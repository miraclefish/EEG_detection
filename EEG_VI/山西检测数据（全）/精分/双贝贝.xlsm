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<sst xmlns="http://schemas.openxmlformats.org/spreadsheetml/2006/main" count="701" uniqueCount="574">
  <si>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</si>
  <si>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</si>
  <si>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</si>
  <si>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</si>
  <si>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</si>
  <si>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</si>
  <si>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</si>
  <si>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</si>
  <si>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</si>
  <si>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</si>
  <si>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</si>
  <si>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</si>
  <si>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</si>
  <si>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</si>
  <si>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</si>
  <si>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</si>
  <si>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</si>
  <si>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</si>
  <si>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</si>
  <si>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</si>
  <si>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</si>
  <si>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</si>
  <si>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</si>
  <si>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</si>
  <si>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</si>
  <si>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</si>
  <si>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</si>
  <si>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</si>
  <si>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</si>
  <si>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</si>
  <si>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</si>
  <si>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</si>
  <si>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</si>
  <si>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</si>
  <si>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</si>
  <si>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</si>
  <si>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</si>
  <si>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</si>
  <si>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</si>
  <si>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</si>
  <si>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</si>
  <si>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</si>
  <si>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</si>
  <si>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</si>
  <si>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</si>
  <si>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</si>
  <si>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</si>
  <si>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</si>
  <si>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</si>
  <si>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</si>
  <si>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</si>
  <si>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</si>
  <si>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</si>
  <si>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</si>
  <si>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</si>
  <si>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</si>
  <si>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</si>
  <si>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</si>
  <si>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</si>
  <si>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</si>
  <si>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</si>
  <si>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</si>
  <si>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</si>
  <si>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</si>
  <si>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</si>
  <si>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</si>
  <si>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</si>
  <si>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</si>
  <si>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</si>
  <si>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</si>
  <si>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</si>
  <si>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</si>
  <si>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</si>
  <si>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</si>
  <si>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</si>
  <si>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</si>
  <si>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</si>
  <si>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</si>
  <si>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</si>
  <si>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</si>
  <si>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</si>
  <si>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</si>
  <si>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</si>
  <si>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</si>
  <si>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</si>
  <si>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</si>
  <si>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</si>
  <si>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</si>
  <si>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</si>
  <si>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</si>
  <si>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</si>
  <si>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</si>
  <si>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</si>
  <si>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</si>
  <si>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</si>
  <si>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</si>
  <si>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</si>
  <si>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</si>
  <si>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</si>
  <si>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</si>
  <si>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</si>
  <si>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</si>
  <si>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</si>
  <si>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</si>
  <si>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</si>
  <si>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</si>
  <si>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</si>
  <si>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</si>
  <si>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</si>
  <si>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</si>
  <si>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</si>
  <si>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</si>
  <si>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</si>
  <si>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</si>
  <si>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</si>
  <si>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</si>
  <si>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</si>
  <si>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</si>
  <si>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</si>
  <si>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</si>
  <si>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</si>
  <si>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</si>
  <si>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</si>
  <si>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</si>
  <si>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</si>
  <si>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</si>
  <si>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</si>
  <si>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</si>
  <si>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</si>
  <si>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</si>
  <si>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</si>
  <si>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</si>
  <si>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</si>
  <si>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</si>
  <si>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</si>
  <si>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</si>
  <si>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</si>
  <si>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</si>
  <si>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</si>
  <si>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</si>
  <si>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</si>
  <si>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</si>
  <si>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</si>
  <si>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</si>
  <si>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</si>
  <si>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</si>
  <si>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</si>
  <si>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</si>
  <si>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</si>
  <si>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</si>
  <si>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</si>
  <si>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</si>
  <si>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</si>
  <si>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</si>
  <si>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</si>
  <si>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</si>
  <si>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</si>
  <si>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</si>
  <si>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</si>
  <si>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</si>
  <si>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</si>
  <si>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</si>
  <si>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</si>
  <si>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</si>
  <si>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</si>
  <si>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</si>
  <si>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</si>
  <si>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</si>
  <si>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</si>
  <si>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</si>
  <si>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</si>
  <si>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</si>
  <si>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</si>
  <si>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</si>
  <si>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</si>
  <si>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</si>
  <si>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</si>
  <si>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</si>
  <si>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</si>
  <si>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</si>
  <si>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</si>
  <si>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</si>
  <si>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</si>
  <si>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</si>
  <si>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</si>
  <si>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</si>
  <si>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</si>
  <si>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</si>
  <si>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</si>
  <si>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</si>
  <si>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</si>
  <si>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</si>
  <si>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</si>
  <si>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</si>
  <si>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</si>
  <si>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</si>
  <si>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</si>
  <si>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</si>
  <si>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</si>
  <si>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</si>
  <si>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</si>
  <si>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</si>
  <si>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</si>
  <si>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</si>
  <si>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</si>
  <si>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</si>
  <si>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</si>
  <si>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</si>
  <si>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</si>
  <si>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</si>
  <si>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</si>
  <si>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</si>
  <si>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</si>
  <si>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</si>
  <si>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</si>
  <si>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</si>
  <si>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</si>
  <si>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</si>
  <si>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</si>
  <si>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</si>
  <si>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</si>
  <si>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</si>
  <si>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</si>
  <si>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</si>
  <si>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</si>
  <si>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</si>
  <si>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</si>
  <si>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</si>
  <si>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</si>
  <si>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</si>
  <si>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</si>
  <si>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</si>
  <si>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</si>
  <si>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</si>
  <si>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</si>
  <si>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</si>
  <si>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</si>
  <si>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</si>
  <si>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</si>
  <si>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</si>
  <si>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</si>
  <si>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</si>
  <si>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</si>
  <si>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</si>
  <si>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</si>
  <si>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</si>
  <si>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</si>
  <si>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</si>
  <si>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</si>
  <si>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</si>
  <si>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</si>
  <si>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</si>
  <si>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</si>
  <si>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</si>
  <si>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</si>
  <si>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</si>
  <si>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</si>
  <si>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</si>
  <si>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</si>
  <si>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</si>
  <si>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</si>
  <si>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</si>
  <si>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</si>
  <si>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</si>
  <si>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</si>
  <si>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</si>
  <si>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</si>
  <si>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</si>
  <si>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</si>
  <si>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</si>
  <si>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</si>
  <si>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</si>
  <si>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</si>
  <si>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</si>
  <si>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</si>
  <si>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</si>
  <si>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</si>
  <si>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</si>
  <si>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</si>
  <si>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</si>
  <si>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</si>
  <si>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</si>
  <si>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</si>
  <si>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</si>
  <si>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</si>
  <si>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</si>
  <si>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</si>
  <si>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</si>
  <si>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</si>
  <si>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</si>
  <si>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</si>
  <si>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</si>
  <si>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</si>
  <si>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</si>
  <si>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</si>
  <si>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</si>
  <si>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</si>
  <si>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</si>
  <si>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</si>
  <si>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</si>
  <si>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</si>
  <si>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</si>
  <si>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</si>
  <si>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</si>
  <si>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</si>
  <si>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</si>
  <si>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</si>
  <si>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</si>
  <si>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</si>
  <si>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</si>
  <si>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</si>
  <si>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</si>
  <si>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</si>
  <si>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</si>
  <si>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</si>
  <si>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</si>
  <si>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</si>
  <si>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</si>
  <si>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</si>
  <si>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</si>
  <si>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</si>
  <si>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</si>
  <si>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</si>
  <si>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</si>
  <si>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</si>
  <si>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</si>
  <si>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</si>
  <si>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</si>
  <si>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</si>
  <si>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</si>
  <si>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</si>
  <si>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</si>
  <si>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</si>
  <si>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</si>
  <si>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</si>
  <si>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</si>
  <si>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</si>
  <si>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</si>
  <si>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</si>
  <si>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</si>
  <si>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</si>
  <si>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</si>
  <si>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</si>
  <si>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</si>
  <si>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</si>
  <si>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</si>
  <si>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</si>
  <si>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</si>
  <si>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</si>
  <si>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</si>
  <si>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</si>
  <si>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</si>
  <si>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</si>
  <si>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</si>
  <si>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</si>
  <si>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</si>
  <si>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</si>
  <si>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</si>
  <si>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</si>
  <si>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</si>
  <si>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</si>
  <si>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</si>
  <si>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</si>
  <si>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</si>
  <si>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</si>
  <si>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</si>
  <si>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</si>
  <si>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</si>
  <si>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</si>
  <si>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</si>
  <si>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</si>
  <si>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</si>
  <si>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</si>
  <si>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</si>
  <si>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</si>
  <si>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</si>
  <si>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</si>
  <si>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</si>
  <si>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</si>
  <si>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</si>
  <si>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</si>
  <si>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</si>
  <si>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</si>
  <si>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</si>
  <si>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</si>
  <si>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</si>
  <si>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</si>
  <si>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</si>
  <si>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</si>
  <si>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</si>
  <si>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</si>
  <si>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</si>
  <si>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</si>
  <si>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</si>
  <si>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</si>
  <si>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</si>
  <si>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</si>
  <si>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</si>
  <si>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</si>
  <si>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</si>
  <si>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</si>
  <si>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Vi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</si>
  <si>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</si>
  <si>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</si>
  <si>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</si>
  <si>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</si>
  <si>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</si>
  <si>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</si>
  <si>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</si>
  <si>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</si>
  <si>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[0.399941]</t>
  </si>
  <si>
    <t>1 [0.810882]</t>
  </si>
  <si>
    <t>1 [1.215738]</t>
  </si>
  <si>
    <t>1 [1.621771]</t>
  </si>
  <si>
    <t>1 [2.026956]</t>
  </si>
  <si>
    <t>1 [2.431114]</t>
  </si>
  <si>
    <t>1 [2.840524]</t>
  </si>
  <si>
    <t>1 [3.244696]</t>
  </si>
  <si>
    <t>1 [3.652156]</t>
  </si>
  <si>
    <t>1 [4.059323]</t>
  </si>
  <si>
    <t>1 [4.463011]</t>
  </si>
  <si>
    <t>1 [4.874212]</t>
  </si>
  <si>
    <t>1 [5.276962]</t>
  </si>
  <si>
    <t>1 [5.678836]</t>
  </si>
  <si>
    <t>1 [6.092726]</t>
  </si>
  <si>
    <t>1 [6.494822]</t>
  </si>
  <si>
    <t>1 [6.903580]</t>
  </si>
  <si>
    <t>1 [7.307759]</t>
  </si>
  <si>
    <t>1 [7.711576]</t>
  </si>
  <si>
    <t>1 [8.118409]</t>
  </si>
  <si>
    <t>1 [8.523794]</t>
  </si>
  <si>
    <t>1 [8.934046]</t>
  </si>
  <si>
    <t>1 [9.340003]</t>
  </si>
  <si>
    <t>1 [9.744901]</t>
  </si>
  <si>
    <t>1 [10.152117]</t>
  </si>
  <si>
    <t>1 [10.558776]</t>
  </si>
  <si>
    <t>1 [10.966842]</t>
  </si>
  <si>
    <t>1 [11.370528]</t>
  </si>
  <si>
    <t>1 [11.777620]</t>
  </si>
  <si>
    <t>1 [12.180603]</t>
  </si>
  <si>
    <t>1 [12.590584]</t>
  </si>
  <si>
    <t>1 [12.998174]</t>
  </si>
  <si>
    <t>1 [13.404194]</t>
  </si>
  <si>
    <t>1 [13.805330]</t>
  </si>
  <si>
    <t>1 [14.211476]</t>
  </si>
  <si>
    <t>1 [14.620161]</t>
  </si>
  <si>
    <t>1 [15.024561]</t>
  </si>
  <si>
    <t>1 [15.432846]</t>
  </si>
  <si>
    <t>1 [15.839627]</t>
  </si>
  <si>
    <t>1 [16.242702]</t>
  </si>
  <si>
    <t>1 [16.649584]</t>
  </si>
  <si>
    <t>1 [17.063515]</t>
  </si>
  <si>
    <t>1 [17.466308]</t>
  </si>
  <si>
    <t>1 [17.871132]</t>
  </si>
  <si>
    <t>1 [18.275181]</t>
  </si>
  <si>
    <t>1 [18.681810]</t>
  </si>
  <si>
    <t>1 [19.091243]</t>
  </si>
  <si>
    <t>1 [19.498851]</t>
  </si>
  <si>
    <t>1 [19.903803]</t>
  </si>
  <si>
    <t>1 [20.308731]</t>
  </si>
  <si>
    <t>1 [20.710484]</t>
  </si>
  <si>
    <t>1 [21.122543]</t>
  </si>
  <si>
    <t>1 [21.523924]</t>
  </si>
  <si>
    <t>1 [21.929862]</t>
  </si>
  <si>
    <t>1 [22.342816]</t>
  </si>
  <si>
    <t>1 [22.746323]</t>
  </si>
  <si>
    <t>1 [23.152022]</t>
  </si>
  <si>
    <t>1 [23.557370]</t>
  </si>
  <si>
    <t>1 [23.963104]</t>
  </si>
  <si>
    <t>1 [24.372768]</t>
  </si>
  <si>
    <t>1 [24.778808]</t>
  </si>
  <si>
    <t>1 [25.180202]</t>
  </si>
  <si>
    <t>1 [25.590927]</t>
  </si>
  <si>
    <t>1 [25.994722]</t>
  </si>
  <si>
    <t>1 [26.403322]</t>
  </si>
  <si>
    <t>1 [26.808466]</t>
  </si>
  <si>
    <t>1 [27.212306]</t>
  </si>
  <si>
    <t>1 [27.621105]</t>
  </si>
  <si>
    <t>1 [28.024212]</t>
  </si>
  <si>
    <t>1 [28.433063]</t>
  </si>
  <si>
    <t>1 [28.839798]</t>
  </si>
  <si>
    <t>1 [29.246927]</t>
  </si>
  <si>
    <t>1 [29.651714]</t>
  </si>
  <si>
    <t>2 [30.059091]</t>
  </si>
  <si>
    <t>2 [30.636106]</t>
  </si>
  <si>
    <t>2 [31.008977]</t>
  </si>
  <si>
    <t>2 [31.384376]</t>
  </si>
  <si>
    <t>2 [31.760995]</t>
  </si>
  <si>
    <t>2 [32.137855]</t>
  </si>
  <si>
    <t>2 [32.541991]</t>
  </si>
  <si>
    <t>2 [32.948017]</t>
  </si>
  <si>
    <t>2 [33.356132]</t>
  </si>
  <si>
    <t>2 [33.761190]</t>
  </si>
  <si>
    <t>2 [34.169611]</t>
  </si>
  <si>
    <t>2 [34.573634]</t>
  </si>
  <si>
    <t>2 [34.979439]</t>
  </si>
  <si>
    <t>2 [35.384488]</t>
  </si>
  <si>
    <t>2 [35.796318]</t>
  </si>
  <si>
    <t>2 [36.200189]</t>
  </si>
  <si>
    <t>2 [36.604057]</t>
  </si>
  <si>
    <t>2 [37.010054]</t>
  </si>
  <si>
    <t>2 [37.414691]</t>
  </si>
  <si>
    <t>2 [37.825872]</t>
  </si>
  <si>
    <t>2 [38.228781]</t>
  </si>
  <si>
    <t>2 [38.637717]</t>
  </si>
  <si>
    <t>2 [39.042599]</t>
  </si>
  <si>
    <t>2 [39.446660]</t>
  </si>
  <si>
    <t>2 [39.853292]</t>
  </si>
  <si>
    <t>2 [40.264353]</t>
  </si>
  <si>
    <t>2 [40.668198]</t>
  </si>
  <si>
    <t>2 [41.072324]</t>
  </si>
  <si>
    <t>2 [41.481218]</t>
  </si>
  <si>
    <t>2 [41.889005]</t>
  </si>
  <si>
    <t>2 [42.294882]</t>
  </si>
  <si>
    <t>2 [42.699738]</t>
  </si>
  <si>
    <t>2 [43.102717]</t>
  </si>
  <si>
    <t>2 [43.512734]</t>
  </si>
  <si>
    <t>2 [43.916638]</t>
  </si>
  <si>
    <t>2 [44.322324]</t>
  </si>
  <si>
    <t>2 [44.728458]</t>
  </si>
  <si>
    <t>2 [45.138341]</t>
  </si>
  <si>
    <t>2 [45.539259]</t>
  </si>
  <si>
    <t>2 [45.950112]</t>
  </si>
  <si>
    <t>2 [46.353027]</t>
  </si>
  <si>
    <t>2 [46.759068]</t>
  </si>
  <si>
    <t>2 [47.170268]</t>
  </si>
  <si>
    <t>2 [47.575873]</t>
  </si>
  <si>
    <t>2 [47.981636]</t>
  </si>
  <si>
    <t>2 [48.384557]</t>
  </si>
  <si>
    <t>2 [48.793618]</t>
  </si>
  <si>
    <t>2 [49.198437]</t>
  </si>
  <si>
    <t>2 [49.606381]</t>
  </si>
  <si>
    <t>2 [50.012148]</t>
  </si>
  <si>
    <t>2 [50.416195]</t>
  </si>
  <si>
    <t>2 [50.824395]</t>
  </si>
  <si>
    <t>2 [51.230973]</t>
  </si>
  <si>
    <t>2 [51.637907]</t>
  </si>
  <si>
    <t>2 [52.045959]</t>
  </si>
  <si>
    <t>2 [52.447772]</t>
  </si>
  <si>
    <t>2 [52.854679]</t>
  </si>
  <si>
    <t>2 [53.262641]</t>
  </si>
  <si>
    <t>2 [53.672543]</t>
  </si>
  <si>
    <t>2 [54.072378]</t>
  </si>
  <si>
    <t>2 [54.479587]</t>
  </si>
  <si>
    <t>2 [54.887587]</t>
  </si>
  <si>
    <t>2 [55.291508]</t>
  </si>
  <si>
    <t>2 [55.701033]</t>
  </si>
  <si>
    <t>2 [56.107195]</t>
  </si>
  <si>
    <t>2 [56.510902]</t>
  </si>
  <si>
    <t>2 [56.916427]</t>
  </si>
  <si>
    <t>2 [57.324008]</t>
  </si>
  <si>
    <t>2 [57.726502]</t>
  </si>
  <si>
    <t>2 [58.137563]</t>
  </si>
  <si>
    <t>2 [58.542886]</t>
  </si>
  <si>
    <t>2 [58.947337]</t>
  </si>
  <si>
    <t>2 [59.354888]</t>
  </si>
  <si>
    <t>2 [59.762152]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</si>
  <si>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</si>
  <si>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</si>
  <si>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</si>
  <si>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</si>
  <si>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</si>
  <si>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</si>
  <si>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</si>
  <si>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S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</si>
  <si>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</si>
  <si>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</si>
  <si>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</si>
  <si>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</si>
  <si>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</si>
  <si>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</si>
  <si>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</si>
  <si>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</si>
  <si>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双贝贝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</si>
</sst>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51.478499999999997</c:v>
                </c:pt>
                <c:pt idx="1">
                  <c:v>31.283799999999999</c:v>
                </c:pt>
                <c:pt idx="2">
                  <c:v>15.6746</c:v>
                </c:pt>
                <c:pt idx="3">
                  <c:v>32.698700000000002</c:v>
                </c:pt>
                <c:pt idx="4">
                  <c:v>62.2712</c:v>
                </c:pt>
                <c:pt idx="5">
                  <c:v>63.883000000000003</c:v>
                </c:pt>
                <c:pt idx="6">
                  <c:v>33.939300000000003</c:v>
                </c:pt>
                <c:pt idx="7">
                  <c:v>63.299700000000001</c:v>
                </c:pt>
                <c:pt idx="8">
                  <c:v>20.0318</c:v>
                </c:pt>
                <c:pt idx="9">
                  <c:v>34.785600000000002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0.48128116896714856</c:v>
                </c:pt>
                <c:pt idx="1">
                  <c:v>0.28252021485527945</c:v>
                </c:pt>
                <c:pt idx="2">
                  <c:v>0.23619861617757185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4704</c:v>
                </c:pt>
                <c:pt idx="7">
                  <c:v>0</c:v>
                </c:pt>
                <c:pt idx="8">
                  <c:v>2561</c:v>
                </c:pt>
                <c:pt idx="9">
                  <c:v>0</c:v>
                </c:pt>
                <c:pt idx="10">
                  <c:v>0</c:v>
                </c:pt>
                <c:pt idx="11">
                  <c:v>3274</c:v>
                </c:pt>
                <c:pt idx="12">
                  <c:v>0</c:v>
                </c:pt>
                <c:pt idx="13">
                  <c:v>3105</c:v>
                </c:pt>
                <c:pt idx="14">
                  <c:v>0</c:v>
                </c:pt>
                <c:pt idx="15">
                  <c:v>0</c:v>
                </c:pt>
                <c:pt idx="16">
                  <c:v>3415</c:v>
                </c:pt>
                <c:pt idx="17">
                  <c:v>0</c:v>
                </c:pt>
                <c:pt idx="18">
                  <c:v>0</c:v>
                </c:pt>
                <c:pt idx="19">
                  <c:v>5431</c:v>
                </c:pt>
                <c:pt idx="20">
                  <c:v>0</c:v>
                </c:pt>
                <c:pt idx="21">
                  <c:v>11927</c:v>
                </c:pt>
                <c:pt idx="22">
                  <c:v>0</c:v>
                </c:pt>
                <c:pt idx="23">
                  <c:v>0</c:v>
                </c:pt>
                <c:pt idx="24">
                  <c:v>15194</c:v>
                </c:pt>
                <c:pt idx="25">
                  <c:v>0</c:v>
                </c:pt>
                <c:pt idx="26">
                  <c:v>25176</c:v>
                </c:pt>
                <c:pt idx="27">
                  <c:v>0</c:v>
                </c:pt>
                <c:pt idx="28">
                  <c:v>0</c:v>
                </c:pt>
                <c:pt idx="29">
                  <c:v>30804</c:v>
                </c:pt>
                <c:pt idx="30">
                  <c:v>0</c:v>
                </c:pt>
                <c:pt idx="31">
                  <c:v>33334</c:v>
                </c:pt>
                <c:pt idx="32">
                  <c:v>0</c:v>
                </c:pt>
                <c:pt idx="33">
                  <c:v>0</c:v>
                </c:pt>
                <c:pt idx="34">
                  <c:v>36372</c:v>
                </c:pt>
                <c:pt idx="35">
                  <c:v>0</c:v>
                </c:pt>
                <c:pt idx="36">
                  <c:v>0</c:v>
                </c:pt>
                <c:pt idx="37">
                  <c:v>43819</c:v>
                </c:pt>
                <c:pt idx="38">
                  <c:v>0</c:v>
                </c:pt>
                <c:pt idx="39">
                  <c:v>46598</c:v>
                </c:pt>
                <c:pt idx="40">
                  <c:v>0</c:v>
                </c:pt>
                <c:pt idx="41">
                  <c:v>0</c:v>
                </c:pt>
                <c:pt idx="42">
                  <c:v>53000</c:v>
                </c:pt>
                <c:pt idx="43">
                  <c:v>0</c:v>
                </c:pt>
                <c:pt idx="44">
                  <c:v>58376</c:v>
                </c:pt>
                <c:pt idx="45">
                  <c:v>0</c:v>
                </c:pt>
                <c:pt idx="46">
                  <c:v>0</c:v>
                </c:pt>
                <c:pt idx="47">
                  <c:v>63998</c:v>
                </c:pt>
                <c:pt idx="48">
                  <c:v>0</c:v>
                </c:pt>
                <c:pt idx="49">
                  <c:v>60048</c:v>
                </c:pt>
                <c:pt idx="50">
                  <c:v>0</c:v>
                </c:pt>
                <c:pt idx="51">
                  <c:v>0</c:v>
                </c:pt>
                <c:pt idx="52">
                  <c:v>61657</c:v>
                </c:pt>
                <c:pt idx="53">
                  <c:v>0</c:v>
                </c:pt>
                <c:pt idx="54">
                  <c:v>0</c:v>
                </c:pt>
                <c:pt idx="55">
                  <c:v>64842</c:v>
                </c:pt>
                <c:pt idx="56">
                  <c:v>0</c:v>
                </c:pt>
                <c:pt idx="57">
                  <c:v>61951</c:v>
                </c:pt>
                <c:pt idx="58">
                  <c:v>0</c:v>
                </c:pt>
                <c:pt idx="59">
                  <c:v>0</c:v>
                </c:pt>
                <c:pt idx="60">
                  <c:v>59989</c:v>
                </c:pt>
                <c:pt idx="61">
                  <c:v>0</c:v>
                </c:pt>
                <c:pt idx="62">
                  <c:v>61442</c:v>
                </c:pt>
                <c:pt idx="63">
                  <c:v>0</c:v>
                </c:pt>
                <c:pt idx="64">
                  <c:v>0</c:v>
                </c:pt>
                <c:pt idx="65">
                  <c:v>67800</c:v>
                </c:pt>
                <c:pt idx="66">
                  <c:v>0</c:v>
                </c:pt>
                <c:pt idx="67">
                  <c:v>69944</c:v>
                </c:pt>
                <c:pt idx="68">
                  <c:v>0</c:v>
                </c:pt>
                <c:pt idx="69">
                  <c:v>0</c:v>
                </c:pt>
                <c:pt idx="70">
                  <c:v>70814</c:v>
                </c:pt>
                <c:pt idx="71">
                  <c:v>0</c:v>
                </c:pt>
                <c:pt idx="72">
                  <c:v>0</c:v>
                </c:pt>
                <c:pt idx="73">
                  <c:v>68943</c:v>
                </c:pt>
                <c:pt idx="74">
                  <c:v>0</c:v>
                </c:pt>
                <c:pt idx="75">
                  <c:v>71372</c:v>
                </c:pt>
                <c:pt idx="76">
                  <c:v>0</c:v>
                </c:pt>
                <c:pt idx="77">
                  <c:v>0</c:v>
                </c:pt>
                <c:pt idx="78">
                  <c:v>74410</c:v>
                </c:pt>
                <c:pt idx="79">
                  <c:v>0</c:v>
                </c:pt>
                <c:pt idx="80">
                  <c:v>72745</c:v>
                </c:pt>
                <c:pt idx="81">
                  <c:v>0</c:v>
                </c:pt>
                <c:pt idx="82">
                  <c:v>0</c:v>
                </c:pt>
                <c:pt idx="83">
                  <c:v>75095</c:v>
                </c:pt>
                <c:pt idx="84">
                  <c:v>0</c:v>
                </c:pt>
                <c:pt idx="85">
                  <c:v>0</c:v>
                </c:pt>
                <c:pt idx="86">
                  <c:v>79804</c:v>
                </c:pt>
                <c:pt idx="87">
                  <c:v>0</c:v>
                </c:pt>
                <c:pt idx="88">
                  <c:v>85808</c:v>
                </c:pt>
                <c:pt idx="89">
                  <c:v>0</c:v>
                </c:pt>
                <c:pt idx="90">
                  <c:v>0</c:v>
                </c:pt>
                <c:pt idx="91">
                  <c:v>95120</c:v>
                </c:pt>
                <c:pt idx="92">
                  <c:v>0</c:v>
                </c:pt>
                <c:pt idx="93">
                  <c:v>101028</c:v>
                </c:pt>
                <c:pt idx="94">
                  <c:v>0</c:v>
                </c:pt>
                <c:pt idx="95">
                  <c:v>0</c:v>
                </c:pt>
                <c:pt idx="96">
                  <c:v>101182</c:v>
                </c:pt>
                <c:pt idx="97">
                  <c:v>0</c:v>
                </c:pt>
                <c:pt idx="98">
                  <c:v>108746</c:v>
                </c:pt>
                <c:pt idx="99">
                  <c:v>0</c:v>
                </c:pt>
                <c:pt idx="100">
                  <c:v>0</c:v>
                </c:pt>
                <c:pt idx="101">
                  <c:v>107714</c:v>
                </c:pt>
                <c:pt idx="102">
                  <c:v>0</c:v>
                </c:pt>
                <c:pt idx="103">
                  <c:v>0</c:v>
                </c:pt>
                <c:pt idx="104">
                  <c:v>105695</c:v>
                </c:pt>
                <c:pt idx="105">
                  <c:v>0</c:v>
                </c:pt>
                <c:pt idx="106">
                  <c:v>118925</c:v>
                </c:pt>
                <c:pt idx="107">
                  <c:v>0</c:v>
                </c:pt>
                <c:pt idx="108">
                  <c:v>0</c:v>
                </c:pt>
                <c:pt idx="109">
                  <c:v>127616</c:v>
                </c:pt>
                <c:pt idx="110">
                  <c:v>0</c:v>
                </c:pt>
                <c:pt idx="111">
                  <c:v>138103</c:v>
                </c:pt>
                <c:pt idx="112">
                  <c:v>0</c:v>
                </c:pt>
                <c:pt idx="113">
                  <c:v>0</c:v>
                </c:pt>
                <c:pt idx="114">
                  <c:v>147204</c:v>
                </c:pt>
                <c:pt idx="115">
                  <c:v>0</c:v>
                </c:pt>
                <c:pt idx="116">
                  <c:v>155563</c:v>
                </c:pt>
                <c:pt idx="117">
                  <c:v>0</c:v>
                </c:pt>
                <c:pt idx="118">
                  <c:v>0</c:v>
                </c:pt>
                <c:pt idx="119">
                  <c:v>167052</c:v>
                </c:pt>
                <c:pt idx="120">
                  <c:v>0</c:v>
                </c:pt>
                <c:pt idx="121">
                  <c:v>0</c:v>
                </c:pt>
                <c:pt idx="122">
                  <c:v>176015</c:v>
                </c:pt>
                <c:pt idx="123">
                  <c:v>0</c:v>
                </c:pt>
                <c:pt idx="124">
                  <c:v>180905</c:v>
                </c:pt>
                <c:pt idx="125">
                  <c:v>0</c:v>
                </c:pt>
                <c:pt idx="126">
                  <c:v>0</c:v>
                </c:pt>
                <c:pt idx="127">
                  <c:v>189334</c:v>
                </c:pt>
                <c:pt idx="128">
                  <c:v>0</c:v>
                </c:pt>
                <c:pt idx="129">
                  <c:v>206025</c:v>
                </c:pt>
                <c:pt idx="130">
                  <c:v>0</c:v>
                </c:pt>
                <c:pt idx="131">
                  <c:v>0</c:v>
                </c:pt>
                <c:pt idx="132">
                  <c:v>203733</c:v>
                </c:pt>
                <c:pt idx="133">
                  <c:v>0</c:v>
                </c:pt>
                <c:pt idx="134">
                  <c:v>194006</c:v>
                </c:pt>
                <c:pt idx="135">
                  <c:v>0</c:v>
                </c:pt>
                <c:pt idx="136">
                  <c:v>0</c:v>
                </c:pt>
                <c:pt idx="137">
                  <c:v>190144</c:v>
                </c:pt>
                <c:pt idx="138">
                  <c:v>0</c:v>
                </c:pt>
                <c:pt idx="139">
                  <c:v>0</c:v>
                </c:pt>
                <c:pt idx="140">
                  <c:v>174324</c:v>
                </c:pt>
                <c:pt idx="141">
                  <c:v>0</c:v>
                </c:pt>
                <c:pt idx="142">
                  <c:v>166456</c:v>
                </c:pt>
                <c:pt idx="143">
                  <c:v>0</c:v>
                </c:pt>
                <c:pt idx="144">
                  <c:v>0</c:v>
                </c:pt>
                <c:pt idx="145">
                  <c:v>151737</c:v>
                </c:pt>
                <c:pt idx="146">
                  <c:v>0</c:v>
                </c:pt>
                <c:pt idx="147">
                  <c:v>139957</c:v>
                </c:pt>
                <c:pt idx="148">
                  <c:v>0</c:v>
                </c:pt>
                <c:pt idx="149">
                  <c:v>0</c:v>
                </c:pt>
                <c:pt idx="150">
                  <c:v>127832</c:v>
                </c:pt>
                <c:pt idx="151">
                  <c:v>0</c:v>
                </c:pt>
                <c:pt idx="152">
                  <c:v>116915</c:v>
                </c:pt>
                <c:pt idx="153">
                  <c:v>0</c:v>
                </c:pt>
                <c:pt idx="154">
                  <c:v>0</c:v>
                </c:pt>
                <c:pt idx="155">
                  <c:v>100729</c:v>
                </c:pt>
                <c:pt idx="156">
                  <c:v>0</c:v>
                </c:pt>
                <c:pt idx="157">
                  <c:v>0</c:v>
                </c:pt>
                <c:pt idx="158">
                  <c:v>94761</c:v>
                </c:pt>
                <c:pt idx="159">
                  <c:v>0</c:v>
                </c:pt>
                <c:pt idx="160">
                  <c:v>86211</c:v>
                </c:pt>
                <c:pt idx="161">
                  <c:v>0</c:v>
                </c:pt>
                <c:pt idx="162">
                  <c:v>0</c:v>
                </c:pt>
                <c:pt idx="163">
                  <c:v>80526</c:v>
                </c:pt>
                <c:pt idx="164">
                  <c:v>0</c:v>
                </c:pt>
                <c:pt idx="165">
                  <c:v>66720</c:v>
                </c:pt>
                <c:pt idx="166">
                  <c:v>0</c:v>
                </c:pt>
                <c:pt idx="167">
                  <c:v>0</c:v>
                </c:pt>
                <c:pt idx="168">
                  <c:v>63651</c:v>
                </c:pt>
                <c:pt idx="169">
                  <c:v>0</c:v>
                </c:pt>
                <c:pt idx="170">
                  <c:v>0</c:v>
                </c:pt>
                <c:pt idx="171">
                  <c:v>59417</c:v>
                </c:pt>
                <c:pt idx="172">
                  <c:v>0</c:v>
                </c:pt>
                <c:pt idx="173">
                  <c:v>53038</c:v>
                </c:pt>
                <c:pt idx="174">
                  <c:v>0</c:v>
                </c:pt>
                <c:pt idx="175">
                  <c:v>0</c:v>
                </c:pt>
                <c:pt idx="176">
                  <c:v>44871</c:v>
                </c:pt>
                <c:pt idx="177">
                  <c:v>0</c:v>
                </c:pt>
                <c:pt idx="178">
                  <c:v>43149</c:v>
                </c:pt>
                <c:pt idx="179">
                  <c:v>0</c:v>
                </c:pt>
                <c:pt idx="180">
                  <c:v>0</c:v>
                </c:pt>
                <c:pt idx="181">
                  <c:v>38995</c:v>
                </c:pt>
                <c:pt idx="182">
                  <c:v>0</c:v>
                </c:pt>
                <c:pt idx="183">
                  <c:v>34778</c:v>
                </c:pt>
                <c:pt idx="184">
                  <c:v>0</c:v>
                </c:pt>
                <c:pt idx="185">
                  <c:v>0</c:v>
                </c:pt>
                <c:pt idx="186">
                  <c:v>25740</c:v>
                </c:pt>
                <c:pt idx="187">
                  <c:v>0</c:v>
                </c:pt>
                <c:pt idx="188">
                  <c:v>0</c:v>
                </c:pt>
                <c:pt idx="189">
                  <c:v>18261</c:v>
                </c:pt>
                <c:pt idx="190">
                  <c:v>0</c:v>
                </c:pt>
                <c:pt idx="191">
                  <c:v>12382</c:v>
                </c:pt>
                <c:pt idx="192">
                  <c:v>0</c:v>
                </c:pt>
                <c:pt idx="193">
                  <c:v>0</c:v>
                </c:pt>
                <c:pt idx="194">
                  <c:v>8464</c:v>
                </c:pt>
                <c:pt idx="195">
                  <c:v>0</c:v>
                </c:pt>
                <c:pt idx="196">
                  <c:v>4108</c:v>
                </c:pt>
                <c:pt idx="197">
                  <c:v>0</c:v>
                </c:pt>
                <c:pt idx="198">
                  <c:v>0</c:v>
                </c:pt>
                <c:pt idx="199">
                  <c:v>3411</c:v>
                </c:pt>
                <c:pt idx="200">
                  <c:v>0</c:v>
                </c:pt>
                <c:pt idx="201">
                  <c:v>3026</c:v>
                </c:pt>
                <c:pt idx="202">
                  <c:v>0</c:v>
                </c:pt>
                <c:pt idx="203">
                  <c:v>0</c:v>
                </c:pt>
                <c:pt idx="204">
                  <c:v>2537</c:v>
                </c:pt>
                <c:pt idx="205">
                  <c:v>0</c:v>
                </c:pt>
                <c:pt idx="206">
                  <c:v>0</c:v>
                </c:pt>
                <c:pt idx="207">
                  <c:v>2072</c:v>
                </c:pt>
                <c:pt idx="208">
                  <c:v>0</c:v>
                </c:pt>
                <c:pt idx="209">
                  <c:v>153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2.3140200000000002</c:v>
                </c:pt>
                <c:pt idx="1">
                  <c:v>2.3821099999999999</c:v>
                </c:pt>
                <c:pt idx="2">
                  <c:v>2.4508199999999998</c:v>
                </c:pt>
                <c:pt idx="3">
                  <c:v>2.5205699999999998</c:v>
                </c:pt>
                <c:pt idx="4">
                  <c:v>2.5893600000000001</c:v>
                </c:pt>
                <c:pt idx="5">
                  <c:v>2.65909</c:v>
                </c:pt>
                <c:pt idx="6">
                  <c:v>2.72966</c:v>
                </c:pt>
                <c:pt idx="7">
                  <c:v>2.8014299999999999</c:v>
                </c:pt>
                <c:pt idx="8">
                  <c:v>2.8747199999999999</c:v>
                </c:pt>
                <c:pt idx="9">
                  <c:v>2.9502499999999996</c:v>
                </c:pt>
                <c:pt idx="10">
                  <c:v>3.02766</c:v>
                </c:pt>
                <c:pt idx="11">
                  <c:v>3.1085200000000004</c:v>
                </c:pt>
                <c:pt idx="12">
                  <c:v>3.1902300000000001</c:v>
                </c:pt>
                <c:pt idx="13">
                  <c:v>3.27359</c:v>
                </c:pt>
                <c:pt idx="14">
                  <c:v>3.35222</c:v>
                </c:pt>
                <c:pt idx="15">
                  <c:v>3.4294599999999997</c:v>
                </c:pt>
                <c:pt idx="16">
                  <c:v>3.5050399999999997</c:v>
                </c:pt>
                <c:pt idx="17">
                  <c:v>3.58202</c:v>
                </c:pt>
                <c:pt idx="18">
                  <c:v>3.6566999999999998</c:v>
                </c:pt>
                <c:pt idx="19">
                  <c:v>3.7274600000000002</c:v>
                </c:pt>
                <c:pt idx="20">
                  <c:v>3.79155</c:v>
                </c:pt>
                <c:pt idx="21">
                  <c:v>3.8504899999999997</c:v>
                </c:pt>
                <c:pt idx="22">
                  <c:v>3.90496</c:v>
                </c:pt>
                <c:pt idx="23">
                  <c:v>3.9537800000000001</c:v>
                </c:pt>
                <c:pt idx="24">
                  <c:v>3.9988000000000001</c:v>
                </c:pt>
                <c:pt idx="25">
                  <c:v>4.0422200000000004</c:v>
                </c:pt>
                <c:pt idx="26">
                  <c:v>4.0828899999999999</c:v>
                </c:pt>
                <c:pt idx="27">
                  <c:v>4.1213699999999998</c:v>
                </c:pt>
                <c:pt idx="28">
                  <c:v>4.1572100000000001</c:v>
                </c:pt>
                <c:pt idx="29">
                  <c:v>4.1951000000000001</c:v>
                </c:pt>
                <c:pt idx="30">
                  <c:v>4.2340900000000001</c:v>
                </c:pt>
                <c:pt idx="31">
                  <c:v>4.2720200000000004</c:v>
                </c:pt>
                <c:pt idx="32">
                  <c:v>4.30966</c:v>
                </c:pt>
                <c:pt idx="33">
                  <c:v>4.3467200000000004</c:v>
                </c:pt>
                <c:pt idx="34">
                  <c:v>4.37941</c:v>
                </c:pt>
                <c:pt idx="35">
                  <c:v>4.4085400000000003</c:v>
                </c:pt>
                <c:pt idx="36">
                  <c:v>4.4330999999999996</c:v>
                </c:pt>
                <c:pt idx="37">
                  <c:v>4.4554899999999993</c:v>
                </c:pt>
                <c:pt idx="38">
                  <c:v>4.4724900000000005</c:v>
                </c:pt>
                <c:pt idx="39">
                  <c:v>4.4893999999999998</c:v>
                </c:pt>
                <c:pt idx="40">
                  <c:v>4.5029000000000003</c:v>
                </c:pt>
                <c:pt idx="41">
                  <c:v>4.51302</c:v>
                </c:pt>
                <c:pt idx="42">
                  <c:v>4.5188199999999998</c:v>
                </c:pt>
                <c:pt idx="43">
                  <c:v>4.5229200000000001</c:v>
                </c:pt>
                <c:pt idx="44">
                  <c:v>4.5266400000000004</c:v>
                </c:pt>
                <c:pt idx="45">
                  <c:v>4.5318399999999999</c:v>
                </c:pt>
                <c:pt idx="46">
                  <c:v>4.5408799999999996</c:v>
                </c:pt>
                <c:pt idx="47">
                  <c:v>4.5545600000000004</c:v>
                </c:pt>
                <c:pt idx="48">
                  <c:v>4.5726499999999994</c:v>
                </c:pt>
                <c:pt idx="49">
                  <c:v>4.5927100000000003</c:v>
                </c:pt>
                <c:pt idx="50">
                  <c:v>4.6076499999999996</c:v>
                </c:pt>
                <c:pt idx="51">
                  <c:v>4.63103</c:v>
                </c:pt>
                <c:pt idx="52">
                  <c:v>4.6570200000000002</c:v>
                </c:pt>
                <c:pt idx="53">
                  <c:v>4.6837999999999997</c:v>
                </c:pt>
                <c:pt idx="54">
                  <c:v>4.7092600000000004</c:v>
                </c:pt>
                <c:pt idx="55">
                  <c:v>4.7325600000000003</c:v>
                </c:pt>
                <c:pt idx="56">
                  <c:v>4.7618899999999993</c:v>
                </c:pt>
                <c:pt idx="57">
                  <c:v>4.7746699999999995</c:v>
                </c:pt>
                <c:pt idx="58">
                  <c:v>4.80009</c:v>
                </c:pt>
                <c:pt idx="59">
                  <c:v>4.8159999999999998</c:v>
                </c:pt>
                <c:pt idx="60">
                  <c:v>4.8306399999999998</c:v>
                </c:pt>
                <c:pt idx="61">
                  <c:v>4.8404799999999994</c:v>
                </c:pt>
                <c:pt idx="62">
                  <c:v>4.8529800000000005</c:v>
                </c:pt>
                <c:pt idx="63">
                  <c:v>4.8676399999999997</c:v>
                </c:pt>
                <c:pt idx="64">
                  <c:v>4.8769900000000002</c:v>
                </c:pt>
                <c:pt idx="65">
                  <c:v>4.8865400000000001</c:v>
                </c:pt>
                <c:pt idx="66">
                  <c:v>4.8956</c:v>
                </c:pt>
                <c:pt idx="67">
                  <c:v>4.90334</c:v>
                </c:pt>
                <c:pt idx="68">
                  <c:v>4.9083199999999998</c:v>
                </c:pt>
                <c:pt idx="69">
                  <c:v>4.9178500000000005</c:v>
                </c:pt>
                <c:pt idx="70">
                  <c:v>4.9262199999999998</c:v>
                </c:pt>
                <c:pt idx="71">
                  <c:v>4.9333799999999997</c:v>
                </c:pt>
                <c:pt idx="72">
                  <c:v>4.9369399999999999</c:v>
                </c:pt>
                <c:pt idx="73">
                  <c:v>4.9418299999999995</c:v>
                </c:pt>
                <c:pt idx="74">
                  <c:v>4.93987</c:v>
                </c:pt>
                <c:pt idx="75">
                  <c:v>4.9384499999999996</c:v>
                </c:pt>
                <c:pt idx="76">
                  <c:v>4.9328899999999996</c:v>
                </c:pt>
                <c:pt idx="77">
                  <c:v>4.9257600000000004</c:v>
                </c:pt>
                <c:pt idx="78">
                  <c:v>4.9176900000000003</c:v>
                </c:pt>
                <c:pt idx="79">
                  <c:v>4.9060699999999997</c:v>
                </c:pt>
                <c:pt idx="80">
                  <c:v>4.89513</c:v>
                </c:pt>
                <c:pt idx="81">
                  <c:v>4.8822900000000002</c:v>
                </c:pt>
                <c:pt idx="82">
                  <c:v>4.8673500000000001</c:v>
                </c:pt>
                <c:pt idx="83">
                  <c:v>4.8530099999999994</c:v>
                </c:pt>
                <c:pt idx="84">
                  <c:v>4.8402099999999999</c:v>
                </c:pt>
                <c:pt idx="85">
                  <c:v>4.83094</c:v>
                </c:pt>
                <c:pt idx="86">
                  <c:v>4.8239400000000003</c:v>
                </c:pt>
                <c:pt idx="87">
                  <c:v>4.8184100000000001</c:v>
                </c:pt>
                <c:pt idx="88">
                  <c:v>4.8140999999999998</c:v>
                </c:pt>
                <c:pt idx="89">
                  <c:v>4.8148</c:v>
                </c:pt>
                <c:pt idx="90">
                  <c:v>4.8184100000000001</c:v>
                </c:pt>
                <c:pt idx="91">
                  <c:v>4.8237300000000003</c:v>
                </c:pt>
                <c:pt idx="92">
                  <c:v>4.8310599999999999</c:v>
                </c:pt>
                <c:pt idx="93">
                  <c:v>4.8411200000000001</c:v>
                </c:pt>
                <c:pt idx="94">
                  <c:v>4.8499499999999998</c:v>
                </c:pt>
                <c:pt idx="95">
                  <c:v>4.8561100000000001</c:v>
                </c:pt>
                <c:pt idx="96">
                  <c:v>4.86172</c:v>
                </c:pt>
                <c:pt idx="97">
                  <c:v>4.8693100000000005</c:v>
                </c:pt>
                <c:pt idx="98">
                  <c:v>4.8738700000000001</c:v>
                </c:pt>
                <c:pt idx="99">
                  <c:v>4.8809399999999998</c:v>
                </c:pt>
                <c:pt idx="100">
                  <c:v>4.8861799999999995</c:v>
                </c:pt>
                <c:pt idx="101">
                  <c:v>4.8900800000000002</c:v>
                </c:pt>
                <c:pt idx="102">
                  <c:v>4.8947400000000005</c:v>
                </c:pt>
                <c:pt idx="103">
                  <c:v>4.90198</c:v>
                </c:pt>
                <c:pt idx="104">
                  <c:v>4.9117800000000003</c:v>
                </c:pt>
                <c:pt idx="105">
                  <c:v>4.92197</c:v>
                </c:pt>
                <c:pt idx="106">
                  <c:v>4.9323899999999998</c:v>
                </c:pt>
                <c:pt idx="107">
                  <c:v>4.94428</c:v>
                </c:pt>
                <c:pt idx="108">
                  <c:v>4.9583700000000004</c:v>
                </c:pt>
                <c:pt idx="109">
                  <c:v>4.9731899999999998</c:v>
                </c:pt>
                <c:pt idx="110">
                  <c:v>4.9819599999999999</c:v>
                </c:pt>
                <c:pt idx="111">
                  <c:v>4.9885200000000003</c:v>
                </c:pt>
                <c:pt idx="112">
                  <c:v>4.9943</c:v>
                </c:pt>
                <c:pt idx="113">
                  <c:v>5.0002500000000003</c:v>
                </c:pt>
                <c:pt idx="114">
                  <c:v>5.0068800000000007</c:v>
                </c:pt>
                <c:pt idx="115">
                  <c:v>5.01126</c:v>
                </c:pt>
                <c:pt idx="116">
                  <c:v>5.0162800000000001</c:v>
                </c:pt>
                <c:pt idx="117">
                  <c:v>5.01912</c:v>
                </c:pt>
                <c:pt idx="118">
                  <c:v>5.0208600000000008</c:v>
                </c:pt>
                <c:pt idx="119">
                  <c:v>5.0229800000000004</c:v>
                </c:pt>
                <c:pt idx="120">
                  <c:v>5.0258599999999998</c:v>
                </c:pt>
                <c:pt idx="121">
                  <c:v>5.0278100000000006</c:v>
                </c:pt>
                <c:pt idx="122">
                  <c:v>5.0258599999999998</c:v>
                </c:pt>
                <c:pt idx="123">
                  <c:v>5.0234999999999994</c:v>
                </c:pt>
                <c:pt idx="124">
                  <c:v>5.0251299999999999</c:v>
                </c:pt>
                <c:pt idx="125">
                  <c:v>5.0288399999999998</c:v>
                </c:pt>
                <c:pt idx="126">
                  <c:v>5.0362600000000004</c:v>
                </c:pt>
                <c:pt idx="127">
                  <c:v>5.0424500000000005</c:v>
                </c:pt>
                <c:pt idx="128">
                  <c:v>5.0464200000000003</c:v>
                </c:pt>
                <c:pt idx="129">
                  <c:v>5.0486200000000006</c:v>
                </c:pt>
                <c:pt idx="130">
                  <c:v>5.05</c:v>
                </c:pt>
                <c:pt idx="131">
                  <c:v>5.0510999999999999</c:v>
                </c:pt>
                <c:pt idx="132">
                  <c:v>5.0519099999999995</c:v>
                </c:pt>
                <c:pt idx="133">
                  <c:v>5.0481400000000001</c:v>
                </c:pt>
                <c:pt idx="134">
                  <c:v>5.04366</c:v>
                </c:pt>
                <c:pt idx="135">
                  <c:v>5.0451100000000002</c:v>
                </c:pt>
                <c:pt idx="136">
                  <c:v>5.0488</c:v>
                </c:pt>
                <c:pt idx="137">
                  <c:v>5.0520500000000004</c:v>
                </c:pt>
                <c:pt idx="138">
                  <c:v>5.0551700000000004</c:v>
                </c:pt>
                <c:pt idx="139">
                  <c:v>5.0493800000000002</c:v>
                </c:pt>
                <c:pt idx="140">
                  <c:v>5.0437399999999997</c:v>
                </c:pt>
                <c:pt idx="141">
                  <c:v>5.0359200000000008</c:v>
                </c:pt>
                <c:pt idx="142">
                  <c:v>5.0331000000000001</c:v>
                </c:pt>
                <c:pt idx="143">
                  <c:v>5.0204499999999994</c:v>
                </c:pt>
                <c:pt idx="144">
                  <c:v>5.0007999999999999</c:v>
                </c:pt>
                <c:pt idx="145">
                  <c:v>4.9709500000000002</c:v>
                </c:pt>
                <c:pt idx="146">
                  <c:v>4.9375099999999996</c:v>
                </c:pt>
                <c:pt idx="147">
                  <c:v>4.9131299999999998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55.649499999999996</c:v>
                </c:pt>
                <c:pt idx="1">
                  <c:v>54.741199999999999</c:v>
                </c:pt>
                <c:pt idx="2">
                  <c:v>53.778099999999995</c:v>
                </c:pt>
                <c:pt idx="3">
                  <c:v>52.701299999999996</c:v>
                </c:pt>
                <c:pt idx="4">
                  <c:v>51.681299999999993</c:v>
                </c:pt>
                <c:pt idx="5">
                  <c:v>50.746899999999997</c:v>
                </c:pt>
                <c:pt idx="6">
                  <c:v>49.795899999999996</c:v>
                </c:pt>
                <c:pt idx="7">
                  <c:v>48.833599999999997</c:v>
                </c:pt>
                <c:pt idx="8">
                  <c:v>47.936199999999999</c:v>
                </c:pt>
                <c:pt idx="9">
                  <c:v>46.967500000000001</c:v>
                </c:pt>
                <c:pt idx="10">
                  <c:v>45.935900000000004</c:v>
                </c:pt>
                <c:pt idx="11">
                  <c:v>44.780300000000004</c:v>
                </c:pt>
                <c:pt idx="12">
                  <c:v>43.582700000000003</c:v>
                </c:pt>
                <c:pt idx="13">
                  <c:v>42.3277</c:v>
                </c:pt>
                <c:pt idx="14">
                  <c:v>41.320700000000002</c:v>
                </c:pt>
                <c:pt idx="15">
                  <c:v>40.476700000000001</c:v>
                </c:pt>
                <c:pt idx="16">
                  <c:v>39.706499999999998</c:v>
                </c:pt>
                <c:pt idx="17">
                  <c:v>38.907699999999998</c:v>
                </c:pt>
                <c:pt idx="18">
                  <c:v>38.227600000000002</c:v>
                </c:pt>
                <c:pt idx="19">
                  <c:v>37.7136</c:v>
                </c:pt>
                <c:pt idx="20">
                  <c:v>37.3855</c:v>
                </c:pt>
                <c:pt idx="21">
                  <c:v>37.176500000000004</c:v>
                </c:pt>
                <c:pt idx="22">
                  <c:v>37.088799999999999</c:v>
                </c:pt>
                <c:pt idx="23">
                  <c:v>37.160700000000006</c:v>
                </c:pt>
                <c:pt idx="24">
                  <c:v>37.270600000000002</c:v>
                </c:pt>
                <c:pt idx="25">
                  <c:v>37.412600000000005</c:v>
                </c:pt>
                <c:pt idx="26">
                  <c:v>37.570300000000003</c:v>
                </c:pt>
                <c:pt idx="27">
                  <c:v>37.702200000000005</c:v>
                </c:pt>
                <c:pt idx="28">
                  <c:v>37.811699999999995</c:v>
                </c:pt>
                <c:pt idx="29">
                  <c:v>37.874699999999997</c:v>
                </c:pt>
                <c:pt idx="30">
                  <c:v>37.863900000000001</c:v>
                </c:pt>
                <c:pt idx="31">
                  <c:v>37.799500000000002</c:v>
                </c:pt>
                <c:pt idx="32">
                  <c:v>37.6494</c:v>
                </c:pt>
                <c:pt idx="33">
                  <c:v>37.431199999999997</c:v>
                </c:pt>
                <c:pt idx="34">
                  <c:v>37.256299999999996</c:v>
                </c:pt>
                <c:pt idx="35">
                  <c:v>37.095599999999997</c:v>
                </c:pt>
                <c:pt idx="36">
                  <c:v>36.938500000000005</c:v>
                </c:pt>
                <c:pt idx="37">
                  <c:v>36.7714</c:v>
                </c:pt>
                <c:pt idx="38">
                  <c:v>36.664400000000001</c:v>
                </c:pt>
                <c:pt idx="39">
                  <c:v>36.5852</c:v>
                </c:pt>
                <c:pt idx="40">
                  <c:v>36.5411</c:v>
                </c:pt>
                <c:pt idx="41">
                  <c:v>36.500700000000002</c:v>
                </c:pt>
                <c:pt idx="42">
                  <c:v>36.486200000000004</c:v>
                </c:pt>
                <c:pt idx="43">
                  <c:v>36.457299999999996</c:v>
                </c:pt>
                <c:pt idx="44">
                  <c:v>36.421199999999999</c:v>
                </c:pt>
                <c:pt idx="45">
                  <c:v>36.382100000000001</c:v>
                </c:pt>
                <c:pt idx="46">
                  <c:v>36.335000000000001</c:v>
                </c:pt>
                <c:pt idx="47">
                  <c:v>36.237000000000002</c:v>
                </c:pt>
                <c:pt idx="48">
                  <c:v>36.094999999999999</c:v>
                </c:pt>
                <c:pt idx="49">
                  <c:v>35.954599999999999</c:v>
                </c:pt>
                <c:pt idx="50">
                  <c:v>35.854100000000003</c:v>
                </c:pt>
                <c:pt idx="51">
                  <c:v>35.717599999999997</c:v>
                </c:pt>
                <c:pt idx="52">
                  <c:v>35.539300000000004</c:v>
                </c:pt>
                <c:pt idx="53">
                  <c:v>35.358400000000003</c:v>
                </c:pt>
                <c:pt idx="54">
                  <c:v>35.164499999999997</c:v>
                </c:pt>
                <c:pt idx="55">
                  <c:v>34.943000000000005</c:v>
                </c:pt>
                <c:pt idx="56">
                  <c:v>34.644999999999996</c:v>
                </c:pt>
                <c:pt idx="57">
                  <c:v>34.526400000000002</c:v>
                </c:pt>
                <c:pt idx="58">
                  <c:v>34.2273</c:v>
                </c:pt>
                <c:pt idx="59">
                  <c:v>34.093000000000004</c:v>
                </c:pt>
                <c:pt idx="60">
                  <c:v>33.9925</c:v>
                </c:pt>
                <c:pt idx="61">
                  <c:v>33.917999999999999</c:v>
                </c:pt>
                <c:pt idx="62">
                  <c:v>33.821600000000004</c:v>
                </c:pt>
                <c:pt idx="63">
                  <c:v>33.7072</c:v>
                </c:pt>
                <c:pt idx="64">
                  <c:v>33.631599999999999</c:v>
                </c:pt>
                <c:pt idx="65">
                  <c:v>33.601500000000001</c:v>
                </c:pt>
                <c:pt idx="66">
                  <c:v>33.538400000000003</c:v>
                </c:pt>
                <c:pt idx="67">
                  <c:v>33.476199999999999</c:v>
                </c:pt>
                <c:pt idx="68">
                  <c:v>33.454899999999995</c:v>
                </c:pt>
                <c:pt idx="69">
                  <c:v>33.43</c:v>
                </c:pt>
                <c:pt idx="70">
                  <c:v>33.428600000000003</c:v>
                </c:pt>
                <c:pt idx="71">
                  <c:v>33.342799999999997</c:v>
                </c:pt>
                <c:pt idx="72">
                  <c:v>33.273899999999998</c:v>
                </c:pt>
                <c:pt idx="73">
                  <c:v>33.200299999999999</c:v>
                </c:pt>
                <c:pt idx="74">
                  <c:v>33.058300000000003</c:v>
                </c:pt>
                <c:pt idx="75">
                  <c:v>32.934699999999999</c:v>
                </c:pt>
                <c:pt idx="76">
                  <c:v>32.805299999999995</c:v>
                </c:pt>
                <c:pt idx="77">
                  <c:v>32.673299999999998</c:v>
                </c:pt>
                <c:pt idx="78">
                  <c:v>32.5623</c:v>
                </c:pt>
                <c:pt idx="79">
                  <c:v>32.513199999999998</c:v>
                </c:pt>
                <c:pt idx="80">
                  <c:v>32.491999999999997</c:v>
                </c:pt>
                <c:pt idx="81">
                  <c:v>32.552500000000002</c:v>
                </c:pt>
                <c:pt idx="82">
                  <c:v>32.660699999999999</c:v>
                </c:pt>
                <c:pt idx="83">
                  <c:v>32.7667</c:v>
                </c:pt>
                <c:pt idx="84">
                  <c:v>32.837699999999998</c:v>
                </c:pt>
                <c:pt idx="85">
                  <c:v>32.8581</c:v>
                </c:pt>
                <c:pt idx="86">
                  <c:v>32.855000000000004</c:v>
                </c:pt>
                <c:pt idx="87">
                  <c:v>32.825500000000005</c:v>
                </c:pt>
                <c:pt idx="88">
                  <c:v>32.786700000000003</c:v>
                </c:pt>
                <c:pt idx="89">
                  <c:v>32.668999999999997</c:v>
                </c:pt>
                <c:pt idx="90">
                  <c:v>32.488099999999996</c:v>
                </c:pt>
                <c:pt idx="91">
                  <c:v>32.355499999999999</c:v>
                </c:pt>
                <c:pt idx="92">
                  <c:v>32.226799999999997</c:v>
                </c:pt>
                <c:pt idx="93">
                  <c:v>32.059599999999996</c:v>
                </c:pt>
                <c:pt idx="94">
                  <c:v>31.903500000000001</c:v>
                </c:pt>
                <c:pt idx="95">
                  <c:v>31.9056</c:v>
                </c:pt>
                <c:pt idx="96">
                  <c:v>31.970199999999998</c:v>
                </c:pt>
                <c:pt idx="97">
                  <c:v>32.030799999999999</c:v>
                </c:pt>
                <c:pt idx="98">
                  <c:v>32.158900000000003</c:v>
                </c:pt>
                <c:pt idx="99">
                  <c:v>32.2316</c:v>
                </c:pt>
                <c:pt idx="100">
                  <c:v>32.329700000000003</c:v>
                </c:pt>
                <c:pt idx="101">
                  <c:v>32.429099999999998</c:v>
                </c:pt>
                <c:pt idx="102">
                  <c:v>32.517000000000003</c:v>
                </c:pt>
                <c:pt idx="103">
                  <c:v>32.554000000000002</c:v>
                </c:pt>
                <c:pt idx="104">
                  <c:v>32.573599999999999</c:v>
                </c:pt>
                <c:pt idx="105">
                  <c:v>32.569099999999999</c:v>
                </c:pt>
                <c:pt idx="106">
                  <c:v>32.522099999999995</c:v>
                </c:pt>
                <c:pt idx="107">
                  <c:v>32.447600000000001</c:v>
                </c:pt>
                <c:pt idx="108">
                  <c:v>32.344200000000001</c:v>
                </c:pt>
                <c:pt idx="109">
                  <c:v>32.243400000000001</c:v>
                </c:pt>
                <c:pt idx="110">
                  <c:v>32.163699999999999</c:v>
                </c:pt>
                <c:pt idx="111">
                  <c:v>32.127899999999997</c:v>
                </c:pt>
                <c:pt idx="112">
                  <c:v>32.162300000000002</c:v>
                </c:pt>
                <c:pt idx="113">
                  <c:v>32.222000000000001</c:v>
                </c:pt>
                <c:pt idx="114">
                  <c:v>32.269599999999997</c:v>
                </c:pt>
                <c:pt idx="115">
                  <c:v>32.331199999999995</c:v>
                </c:pt>
                <c:pt idx="116">
                  <c:v>32.3444</c:v>
                </c:pt>
                <c:pt idx="117">
                  <c:v>32.348300000000002</c:v>
                </c:pt>
                <c:pt idx="118">
                  <c:v>32.391100000000002</c:v>
                </c:pt>
                <c:pt idx="119">
                  <c:v>32.401200000000003</c:v>
                </c:pt>
                <c:pt idx="120">
                  <c:v>32.2973</c:v>
                </c:pt>
                <c:pt idx="121">
                  <c:v>32.1892</c:v>
                </c:pt>
                <c:pt idx="122">
                  <c:v>32.1143</c:v>
                </c:pt>
                <c:pt idx="123">
                  <c:v>32.027699999999996</c:v>
                </c:pt>
                <c:pt idx="124">
                  <c:v>31.937700000000003</c:v>
                </c:pt>
                <c:pt idx="125">
                  <c:v>31.844899999999999</c:v>
                </c:pt>
                <c:pt idx="126">
                  <c:v>31.784299999999998</c:v>
                </c:pt>
                <c:pt idx="127">
                  <c:v>31.757800000000003</c:v>
                </c:pt>
                <c:pt idx="128">
                  <c:v>31.755299999999998</c:v>
                </c:pt>
                <c:pt idx="129">
                  <c:v>31.735200000000003</c:v>
                </c:pt>
                <c:pt idx="130">
                  <c:v>31.709599999999998</c:v>
                </c:pt>
                <c:pt idx="131">
                  <c:v>31.694800000000001</c:v>
                </c:pt>
                <c:pt idx="132">
                  <c:v>31.707800000000002</c:v>
                </c:pt>
                <c:pt idx="133">
                  <c:v>31.770900000000001</c:v>
                </c:pt>
                <c:pt idx="134">
                  <c:v>31.843100000000003</c:v>
                </c:pt>
                <c:pt idx="135">
                  <c:v>31.9224</c:v>
                </c:pt>
                <c:pt idx="136">
                  <c:v>31.9559</c:v>
                </c:pt>
                <c:pt idx="137">
                  <c:v>31.916</c:v>
                </c:pt>
                <c:pt idx="138">
                  <c:v>31.818099999999998</c:v>
                </c:pt>
                <c:pt idx="139">
                  <c:v>31.806600000000003</c:v>
                </c:pt>
                <c:pt idx="140">
                  <c:v>31.7622</c:v>
                </c:pt>
                <c:pt idx="141">
                  <c:v>31.844000000000001</c:v>
                </c:pt>
                <c:pt idx="142">
                  <c:v>31.909700000000001</c:v>
                </c:pt>
                <c:pt idx="143">
                  <c:v>31.919900000000002</c:v>
                </c:pt>
                <c:pt idx="144">
                  <c:v>32.040100000000002</c:v>
                </c:pt>
                <c:pt idx="145">
                  <c:v>32.337600000000002</c:v>
                </c:pt>
                <c:pt idx="146">
                  <c:v>32.792500000000004</c:v>
                </c:pt>
                <c:pt idx="147">
                  <c:v>32.909599999999998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2.3140200000000002</c:v>
                </c:pt>
                <c:pt idx="1">
                  <c:v>2.3821099999999999</c:v>
                </c:pt>
                <c:pt idx="2">
                  <c:v>2.4508199999999998</c:v>
                </c:pt>
                <c:pt idx="3">
                  <c:v>2.5205699999999998</c:v>
                </c:pt>
                <c:pt idx="4">
                  <c:v>2.5893600000000001</c:v>
                </c:pt>
                <c:pt idx="5">
                  <c:v>2.65909</c:v>
                </c:pt>
                <c:pt idx="6">
                  <c:v>2.72966</c:v>
                </c:pt>
                <c:pt idx="7">
                  <c:v>2.8014299999999999</c:v>
                </c:pt>
                <c:pt idx="8">
                  <c:v>2.8747199999999999</c:v>
                </c:pt>
                <c:pt idx="9">
                  <c:v>2.9502499999999996</c:v>
                </c:pt>
                <c:pt idx="10">
                  <c:v>3.02766</c:v>
                </c:pt>
                <c:pt idx="11">
                  <c:v>3.1085200000000004</c:v>
                </c:pt>
                <c:pt idx="12">
                  <c:v>3.1902300000000001</c:v>
                </c:pt>
                <c:pt idx="13">
                  <c:v>3.27359</c:v>
                </c:pt>
                <c:pt idx="14">
                  <c:v>3.35222</c:v>
                </c:pt>
                <c:pt idx="15">
                  <c:v>3.4294599999999997</c:v>
                </c:pt>
                <c:pt idx="16">
                  <c:v>3.5050399999999997</c:v>
                </c:pt>
                <c:pt idx="17">
                  <c:v>3.58202</c:v>
                </c:pt>
                <c:pt idx="18">
                  <c:v>3.6566999999999998</c:v>
                </c:pt>
                <c:pt idx="19">
                  <c:v>3.7274600000000002</c:v>
                </c:pt>
                <c:pt idx="20">
                  <c:v>3.79155</c:v>
                </c:pt>
                <c:pt idx="21">
                  <c:v>3.8504899999999997</c:v>
                </c:pt>
                <c:pt idx="22">
                  <c:v>3.90496</c:v>
                </c:pt>
                <c:pt idx="23">
                  <c:v>3.9537800000000001</c:v>
                </c:pt>
                <c:pt idx="24">
                  <c:v>3.9988000000000001</c:v>
                </c:pt>
                <c:pt idx="25">
                  <c:v>4.0422200000000004</c:v>
                </c:pt>
                <c:pt idx="26">
                  <c:v>4.0828899999999999</c:v>
                </c:pt>
                <c:pt idx="27">
                  <c:v>4.1213699999999998</c:v>
                </c:pt>
                <c:pt idx="28">
                  <c:v>4.1572100000000001</c:v>
                </c:pt>
                <c:pt idx="29">
                  <c:v>4.1951000000000001</c:v>
                </c:pt>
                <c:pt idx="30">
                  <c:v>4.2340900000000001</c:v>
                </c:pt>
                <c:pt idx="31">
                  <c:v>4.2720200000000004</c:v>
                </c:pt>
                <c:pt idx="32">
                  <c:v>4.30966</c:v>
                </c:pt>
                <c:pt idx="33">
                  <c:v>4.3467200000000004</c:v>
                </c:pt>
                <c:pt idx="34">
                  <c:v>4.37941</c:v>
                </c:pt>
                <c:pt idx="35">
                  <c:v>4.4085400000000003</c:v>
                </c:pt>
                <c:pt idx="36">
                  <c:v>4.4330999999999996</c:v>
                </c:pt>
                <c:pt idx="37">
                  <c:v>4.4554899999999993</c:v>
                </c:pt>
                <c:pt idx="38">
                  <c:v>4.4724900000000005</c:v>
                </c:pt>
                <c:pt idx="39">
                  <c:v>4.4893999999999998</c:v>
                </c:pt>
                <c:pt idx="40">
                  <c:v>4.5029000000000003</c:v>
                </c:pt>
                <c:pt idx="41">
                  <c:v>4.51302</c:v>
                </c:pt>
                <c:pt idx="42">
                  <c:v>4.5188199999999998</c:v>
                </c:pt>
                <c:pt idx="43">
                  <c:v>4.5229200000000001</c:v>
                </c:pt>
                <c:pt idx="44">
                  <c:v>4.5266400000000004</c:v>
                </c:pt>
                <c:pt idx="45">
                  <c:v>4.5318399999999999</c:v>
                </c:pt>
                <c:pt idx="46">
                  <c:v>4.5408799999999996</c:v>
                </c:pt>
                <c:pt idx="47">
                  <c:v>4.5545600000000004</c:v>
                </c:pt>
                <c:pt idx="48">
                  <c:v>4.5726499999999994</c:v>
                </c:pt>
                <c:pt idx="49">
                  <c:v>4.5927100000000003</c:v>
                </c:pt>
                <c:pt idx="50">
                  <c:v>4.6076499999999996</c:v>
                </c:pt>
                <c:pt idx="51">
                  <c:v>4.63103</c:v>
                </c:pt>
                <c:pt idx="52">
                  <c:v>4.6570200000000002</c:v>
                </c:pt>
                <c:pt idx="53">
                  <c:v>4.6837999999999997</c:v>
                </c:pt>
                <c:pt idx="54">
                  <c:v>4.7092600000000004</c:v>
                </c:pt>
                <c:pt idx="55">
                  <c:v>4.7325600000000003</c:v>
                </c:pt>
                <c:pt idx="56">
                  <c:v>4.7618899999999993</c:v>
                </c:pt>
                <c:pt idx="57">
                  <c:v>4.7746699999999995</c:v>
                </c:pt>
                <c:pt idx="58">
                  <c:v>4.80009</c:v>
                </c:pt>
                <c:pt idx="59">
                  <c:v>4.8159999999999998</c:v>
                </c:pt>
                <c:pt idx="60">
                  <c:v>4.8306399999999998</c:v>
                </c:pt>
                <c:pt idx="61">
                  <c:v>4.8404799999999994</c:v>
                </c:pt>
                <c:pt idx="62">
                  <c:v>4.8529800000000005</c:v>
                </c:pt>
                <c:pt idx="63">
                  <c:v>4.8676399999999997</c:v>
                </c:pt>
                <c:pt idx="64">
                  <c:v>4.8769900000000002</c:v>
                </c:pt>
                <c:pt idx="65">
                  <c:v>4.8865400000000001</c:v>
                </c:pt>
                <c:pt idx="66">
                  <c:v>4.8956</c:v>
                </c:pt>
                <c:pt idx="67">
                  <c:v>4.90334</c:v>
                </c:pt>
                <c:pt idx="68">
                  <c:v>4.9083199999999998</c:v>
                </c:pt>
                <c:pt idx="69">
                  <c:v>4.9178500000000005</c:v>
                </c:pt>
                <c:pt idx="70">
                  <c:v>4.9262199999999998</c:v>
                </c:pt>
                <c:pt idx="71">
                  <c:v>4.9333799999999997</c:v>
                </c:pt>
                <c:pt idx="72">
                  <c:v>4.9369399999999999</c:v>
                </c:pt>
                <c:pt idx="73">
                  <c:v>4.9418299999999995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55.649499999999996</c:v>
                </c:pt>
                <c:pt idx="1">
                  <c:v>54.741199999999999</c:v>
                </c:pt>
                <c:pt idx="2">
                  <c:v>53.778099999999995</c:v>
                </c:pt>
                <c:pt idx="3">
                  <c:v>52.701299999999996</c:v>
                </c:pt>
                <c:pt idx="4">
                  <c:v>51.681299999999993</c:v>
                </c:pt>
                <c:pt idx="5">
                  <c:v>50.746899999999997</c:v>
                </c:pt>
                <c:pt idx="6">
                  <c:v>49.795899999999996</c:v>
                </c:pt>
                <c:pt idx="7">
                  <c:v>48.833599999999997</c:v>
                </c:pt>
                <c:pt idx="8">
                  <c:v>47.936199999999999</c:v>
                </c:pt>
                <c:pt idx="9">
                  <c:v>46.967500000000001</c:v>
                </c:pt>
                <c:pt idx="10">
                  <c:v>45.935900000000004</c:v>
                </c:pt>
                <c:pt idx="11">
                  <c:v>44.780300000000004</c:v>
                </c:pt>
                <c:pt idx="12">
                  <c:v>43.582700000000003</c:v>
                </c:pt>
                <c:pt idx="13">
                  <c:v>42.3277</c:v>
                </c:pt>
                <c:pt idx="14">
                  <c:v>41.320700000000002</c:v>
                </c:pt>
                <c:pt idx="15">
                  <c:v>40.476700000000001</c:v>
                </c:pt>
                <c:pt idx="16">
                  <c:v>39.706499999999998</c:v>
                </c:pt>
                <c:pt idx="17">
                  <c:v>38.907699999999998</c:v>
                </c:pt>
                <c:pt idx="18">
                  <c:v>38.227600000000002</c:v>
                </c:pt>
                <c:pt idx="19">
                  <c:v>37.7136</c:v>
                </c:pt>
                <c:pt idx="20">
                  <c:v>37.3855</c:v>
                </c:pt>
                <c:pt idx="21">
                  <c:v>37.176500000000004</c:v>
                </c:pt>
                <c:pt idx="22">
                  <c:v>37.088799999999999</c:v>
                </c:pt>
                <c:pt idx="23">
                  <c:v>37.160700000000006</c:v>
                </c:pt>
                <c:pt idx="24">
                  <c:v>37.270600000000002</c:v>
                </c:pt>
                <c:pt idx="25">
                  <c:v>37.412600000000005</c:v>
                </c:pt>
                <c:pt idx="26">
                  <c:v>37.570300000000003</c:v>
                </c:pt>
                <c:pt idx="27">
                  <c:v>37.702200000000005</c:v>
                </c:pt>
                <c:pt idx="28">
                  <c:v>37.811699999999995</c:v>
                </c:pt>
                <c:pt idx="29">
                  <c:v>37.874699999999997</c:v>
                </c:pt>
                <c:pt idx="30">
                  <c:v>37.863900000000001</c:v>
                </c:pt>
                <c:pt idx="31">
                  <c:v>37.799500000000002</c:v>
                </c:pt>
                <c:pt idx="32">
                  <c:v>37.6494</c:v>
                </c:pt>
                <c:pt idx="33">
                  <c:v>37.431199999999997</c:v>
                </c:pt>
                <c:pt idx="34">
                  <c:v>37.256299999999996</c:v>
                </c:pt>
                <c:pt idx="35">
                  <c:v>37.095599999999997</c:v>
                </c:pt>
                <c:pt idx="36">
                  <c:v>36.938500000000005</c:v>
                </c:pt>
                <c:pt idx="37">
                  <c:v>36.7714</c:v>
                </c:pt>
                <c:pt idx="38">
                  <c:v>36.664400000000001</c:v>
                </c:pt>
                <c:pt idx="39">
                  <c:v>36.5852</c:v>
                </c:pt>
                <c:pt idx="40">
                  <c:v>36.5411</c:v>
                </c:pt>
                <c:pt idx="41">
                  <c:v>36.500700000000002</c:v>
                </c:pt>
                <c:pt idx="42">
                  <c:v>36.486200000000004</c:v>
                </c:pt>
                <c:pt idx="43">
                  <c:v>36.457299999999996</c:v>
                </c:pt>
                <c:pt idx="44">
                  <c:v>36.421199999999999</c:v>
                </c:pt>
                <c:pt idx="45">
                  <c:v>36.382100000000001</c:v>
                </c:pt>
                <c:pt idx="46">
                  <c:v>36.335000000000001</c:v>
                </c:pt>
                <c:pt idx="47">
                  <c:v>36.237000000000002</c:v>
                </c:pt>
                <c:pt idx="48">
                  <c:v>36.094999999999999</c:v>
                </c:pt>
                <c:pt idx="49">
                  <c:v>35.954599999999999</c:v>
                </c:pt>
                <c:pt idx="50">
                  <c:v>35.854100000000003</c:v>
                </c:pt>
                <c:pt idx="51">
                  <c:v>35.717599999999997</c:v>
                </c:pt>
                <c:pt idx="52">
                  <c:v>35.539300000000004</c:v>
                </c:pt>
                <c:pt idx="53">
                  <c:v>35.358400000000003</c:v>
                </c:pt>
                <c:pt idx="54">
                  <c:v>35.164499999999997</c:v>
                </c:pt>
                <c:pt idx="55">
                  <c:v>34.943000000000005</c:v>
                </c:pt>
                <c:pt idx="56">
                  <c:v>34.644999999999996</c:v>
                </c:pt>
                <c:pt idx="57">
                  <c:v>34.526400000000002</c:v>
                </c:pt>
                <c:pt idx="58">
                  <c:v>34.2273</c:v>
                </c:pt>
                <c:pt idx="59">
                  <c:v>34.093000000000004</c:v>
                </c:pt>
                <c:pt idx="60">
                  <c:v>33.9925</c:v>
                </c:pt>
                <c:pt idx="61">
                  <c:v>33.917999999999999</c:v>
                </c:pt>
                <c:pt idx="62">
                  <c:v>33.821600000000004</c:v>
                </c:pt>
                <c:pt idx="63">
                  <c:v>33.7072</c:v>
                </c:pt>
                <c:pt idx="64">
                  <c:v>33.631599999999999</c:v>
                </c:pt>
                <c:pt idx="65">
                  <c:v>33.601500000000001</c:v>
                </c:pt>
                <c:pt idx="66">
                  <c:v>33.538400000000003</c:v>
                </c:pt>
                <c:pt idx="67">
                  <c:v>33.476199999999999</c:v>
                </c:pt>
                <c:pt idx="68">
                  <c:v>33.454899999999995</c:v>
                </c:pt>
                <c:pt idx="69">
                  <c:v>33.43</c:v>
                </c:pt>
                <c:pt idx="70">
                  <c:v>33.428600000000003</c:v>
                </c:pt>
                <c:pt idx="71">
                  <c:v>33.342799999999997</c:v>
                </c:pt>
                <c:pt idx="72">
                  <c:v>33.273899999999998</c:v>
                </c:pt>
                <c:pt idx="73">
                  <c:v>33.200299999999999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4.9418299999999995</c:v>
                </c:pt>
                <c:pt idx="1">
                  <c:v>4.93987</c:v>
                </c:pt>
                <c:pt idx="2">
                  <c:v>4.9384499999999996</c:v>
                </c:pt>
                <c:pt idx="3">
                  <c:v>4.9328899999999996</c:v>
                </c:pt>
                <c:pt idx="4">
                  <c:v>4.9257600000000004</c:v>
                </c:pt>
                <c:pt idx="5">
                  <c:v>4.9176900000000003</c:v>
                </c:pt>
                <c:pt idx="6">
                  <c:v>4.9060699999999997</c:v>
                </c:pt>
                <c:pt idx="7">
                  <c:v>4.89513</c:v>
                </c:pt>
                <c:pt idx="8">
                  <c:v>4.8822900000000002</c:v>
                </c:pt>
                <c:pt idx="9">
                  <c:v>4.8673500000000001</c:v>
                </c:pt>
                <c:pt idx="10">
                  <c:v>4.8530099999999994</c:v>
                </c:pt>
                <c:pt idx="11">
                  <c:v>4.8402099999999999</c:v>
                </c:pt>
                <c:pt idx="12">
                  <c:v>4.83094</c:v>
                </c:pt>
                <c:pt idx="13">
                  <c:v>4.8239400000000003</c:v>
                </c:pt>
                <c:pt idx="14">
                  <c:v>4.8184100000000001</c:v>
                </c:pt>
                <c:pt idx="15">
                  <c:v>4.8140999999999998</c:v>
                </c:pt>
                <c:pt idx="16">
                  <c:v>4.8148</c:v>
                </c:pt>
                <c:pt idx="17">
                  <c:v>4.8184100000000001</c:v>
                </c:pt>
                <c:pt idx="18">
                  <c:v>4.8237300000000003</c:v>
                </c:pt>
                <c:pt idx="19">
                  <c:v>4.8310599999999999</c:v>
                </c:pt>
                <c:pt idx="20">
                  <c:v>4.8411200000000001</c:v>
                </c:pt>
                <c:pt idx="21">
                  <c:v>4.8499499999999998</c:v>
                </c:pt>
                <c:pt idx="22">
                  <c:v>4.8561100000000001</c:v>
                </c:pt>
                <c:pt idx="23">
                  <c:v>4.86172</c:v>
                </c:pt>
                <c:pt idx="24">
                  <c:v>4.8693100000000005</c:v>
                </c:pt>
                <c:pt idx="25">
                  <c:v>4.8738700000000001</c:v>
                </c:pt>
                <c:pt idx="26">
                  <c:v>4.8809399999999998</c:v>
                </c:pt>
                <c:pt idx="27">
                  <c:v>4.8861799999999995</c:v>
                </c:pt>
                <c:pt idx="28">
                  <c:v>4.8900800000000002</c:v>
                </c:pt>
                <c:pt idx="29">
                  <c:v>4.8947400000000005</c:v>
                </c:pt>
                <c:pt idx="30">
                  <c:v>4.90198</c:v>
                </c:pt>
                <c:pt idx="31">
                  <c:v>4.9117800000000003</c:v>
                </c:pt>
                <c:pt idx="32">
                  <c:v>4.92197</c:v>
                </c:pt>
                <c:pt idx="33">
                  <c:v>4.9323899999999998</c:v>
                </c:pt>
                <c:pt idx="34">
                  <c:v>4.94428</c:v>
                </c:pt>
                <c:pt idx="35">
                  <c:v>4.9583700000000004</c:v>
                </c:pt>
                <c:pt idx="36">
                  <c:v>4.9731899999999998</c:v>
                </c:pt>
                <c:pt idx="37">
                  <c:v>4.9819599999999999</c:v>
                </c:pt>
                <c:pt idx="38">
                  <c:v>4.9885200000000003</c:v>
                </c:pt>
                <c:pt idx="39">
                  <c:v>4.9943</c:v>
                </c:pt>
                <c:pt idx="40">
                  <c:v>5.0002500000000003</c:v>
                </c:pt>
                <c:pt idx="41">
                  <c:v>5.0068800000000007</c:v>
                </c:pt>
                <c:pt idx="42">
                  <c:v>5.01126</c:v>
                </c:pt>
                <c:pt idx="43">
                  <c:v>5.0162800000000001</c:v>
                </c:pt>
                <c:pt idx="44">
                  <c:v>5.01912</c:v>
                </c:pt>
                <c:pt idx="45">
                  <c:v>5.0208600000000008</c:v>
                </c:pt>
                <c:pt idx="46">
                  <c:v>5.0229800000000004</c:v>
                </c:pt>
                <c:pt idx="47">
                  <c:v>5.0258599999999998</c:v>
                </c:pt>
                <c:pt idx="48">
                  <c:v>5.0278100000000006</c:v>
                </c:pt>
                <c:pt idx="49">
                  <c:v>5.0258599999999998</c:v>
                </c:pt>
                <c:pt idx="50">
                  <c:v>5.0234999999999994</c:v>
                </c:pt>
                <c:pt idx="51">
                  <c:v>5.0251299999999999</c:v>
                </c:pt>
                <c:pt idx="52">
                  <c:v>5.0288399999999998</c:v>
                </c:pt>
                <c:pt idx="53">
                  <c:v>5.0362600000000004</c:v>
                </c:pt>
                <c:pt idx="54">
                  <c:v>5.0424500000000005</c:v>
                </c:pt>
                <c:pt idx="55">
                  <c:v>5.0464200000000003</c:v>
                </c:pt>
                <c:pt idx="56">
                  <c:v>5.0486200000000006</c:v>
                </c:pt>
                <c:pt idx="57">
                  <c:v>5.05</c:v>
                </c:pt>
                <c:pt idx="58">
                  <c:v>5.0510999999999999</c:v>
                </c:pt>
                <c:pt idx="59">
                  <c:v>5.0519099999999995</c:v>
                </c:pt>
                <c:pt idx="60">
                  <c:v>5.0481400000000001</c:v>
                </c:pt>
                <c:pt idx="61">
                  <c:v>5.04366</c:v>
                </c:pt>
                <c:pt idx="62">
                  <c:v>5.0451100000000002</c:v>
                </c:pt>
                <c:pt idx="63">
                  <c:v>5.0488</c:v>
                </c:pt>
                <c:pt idx="64">
                  <c:v>5.0520500000000004</c:v>
                </c:pt>
                <c:pt idx="65">
                  <c:v>5.0551700000000004</c:v>
                </c:pt>
                <c:pt idx="66">
                  <c:v>5.0493800000000002</c:v>
                </c:pt>
                <c:pt idx="67">
                  <c:v>5.0437399999999997</c:v>
                </c:pt>
                <c:pt idx="68">
                  <c:v>5.0359200000000008</c:v>
                </c:pt>
                <c:pt idx="69">
                  <c:v>5.0331000000000001</c:v>
                </c:pt>
                <c:pt idx="70">
                  <c:v>5.0204499999999994</c:v>
                </c:pt>
                <c:pt idx="71">
                  <c:v>5.0007999999999999</c:v>
                </c:pt>
                <c:pt idx="72">
                  <c:v>4.9709500000000002</c:v>
                </c:pt>
                <c:pt idx="73">
                  <c:v>4.9375099999999996</c:v>
                </c:pt>
                <c:pt idx="74">
                  <c:v>4.9131299999999998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33.200299999999999</c:v>
                </c:pt>
                <c:pt idx="1">
                  <c:v>33.058300000000003</c:v>
                </c:pt>
                <c:pt idx="2">
                  <c:v>32.934699999999999</c:v>
                </c:pt>
                <c:pt idx="3">
                  <c:v>32.805299999999995</c:v>
                </c:pt>
                <c:pt idx="4">
                  <c:v>32.673299999999998</c:v>
                </c:pt>
                <c:pt idx="5">
                  <c:v>32.5623</c:v>
                </c:pt>
                <c:pt idx="6">
                  <c:v>32.513199999999998</c:v>
                </c:pt>
                <c:pt idx="7">
                  <c:v>32.491999999999997</c:v>
                </c:pt>
                <c:pt idx="8">
                  <c:v>32.552500000000002</c:v>
                </c:pt>
                <c:pt idx="9">
                  <c:v>32.660699999999999</c:v>
                </c:pt>
                <c:pt idx="10">
                  <c:v>32.7667</c:v>
                </c:pt>
                <c:pt idx="11">
                  <c:v>32.837699999999998</c:v>
                </c:pt>
                <c:pt idx="12">
                  <c:v>32.8581</c:v>
                </c:pt>
                <c:pt idx="13">
                  <c:v>32.855000000000004</c:v>
                </c:pt>
                <c:pt idx="14">
                  <c:v>32.825500000000005</c:v>
                </c:pt>
                <c:pt idx="15">
                  <c:v>32.786700000000003</c:v>
                </c:pt>
                <c:pt idx="16">
                  <c:v>32.668999999999997</c:v>
                </c:pt>
                <c:pt idx="17">
                  <c:v>32.488099999999996</c:v>
                </c:pt>
                <c:pt idx="18">
                  <c:v>32.355499999999999</c:v>
                </c:pt>
                <c:pt idx="19">
                  <c:v>32.226799999999997</c:v>
                </c:pt>
                <c:pt idx="20">
                  <c:v>32.059599999999996</c:v>
                </c:pt>
                <c:pt idx="21">
                  <c:v>31.903500000000001</c:v>
                </c:pt>
                <c:pt idx="22">
                  <c:v>31.9056</c:v>
                </c:pt>
                <c:pt idx="23">
                  <c:v>31.970199999999998</c:v>
                </c:pt>
                <c:pt idx="24">
                  <c:v>32.030799999999999</c:v>
                </c:pt>
                <c:pt idx="25">
                  <c:v>32.158900000000003</c:v>
                </c:pt>
                <c:pt idx="26">
                  <c:v>32.2316</c:v>
                </c:pt>
                <c:pt idx="27">
                  <c:v>32.329700000000003</c:v>
                </c:pt>
                <c:pt idx="28">
                  <c:v>32.429099999999998</c:v>
                </c:pt>
                <c:pt idx="29">
                  <c:v>32.517000000000003</c:v>
                </c:pt>
                <c:pt idx="30">
                  <c:v>32.554000000000002</c:v>
                </c:pt>
                <c:pt idx="31">
                  <c:v>32.573599999999999</c:v>
                </c:pt>
                <c:pt idx="32">
                  <c:v>32.569099999999999</c:v>
                </c:pt>
                <c:pt idx="33">
                  <c:v>32.522099999999995</c:v>
                </c:pt>
                <c:pt idx="34">
                  <c:v>32.447600000000001</c:v>
                </c:pt>
                <c:pt idx="35">
                  <c:v>32.344200000000001</c:v>
                </c:pt>
                <c:pt idx="36">
                  <c:v>32.243400000000001</c:v>
                </c:pt>
                <c:pt idx="37">
                  <c:v>32.163699999999999</c:v>
                </c:pt>
                <c:pt idx="38">
                  <c:v>32.127899999999997</c:v>
                </c:pt>
                <c:pt idx="39">
                  <c:v>32.162300000000002</c:v>
                </c:pt>
                <c:pt idx="40">
                  <c:v>32.222000000000001</c:v>
                </c:pt>
                <c:pt idx="41">
                  <c:v>32.269599999999997</c:v>
                </c:pt>
                <c:pt idx="42">
                  <c:v>32.331199999999995</c:v>
                </c:pt>
                <c:pt idx="43">
                  <c:v>32.3444</c:v>
                </c:pt>
                <c:pt idx="44">
                  <c:v>32.348300000000002</c:v>
                </c:pt>
                <c:pt idx="45">
                  <c:v>32.391100000000002</c:v>
                </c:pt>
                <c:pt idx="46">
                  <c:v>32.401200000000003</c:v>
                </c:pt>
                <c:pt idx="47">
                  <c:v>32.2973</c:v>
                </c:pt>
                <c:pt idx="48">
                  <c:v>32.1892</c:v>
                </c:pt>
                <c:pt idx="49">
                  <c:v>32.1143</c:v>
                </c:pt>
                <c:pt idx="50">
                  <c:v>32.027699999999996</c:v>
                </c:pt>
                <c:pt idx="51">
                  <c:v>31.937700000000003</c:v>
                </c:pt>
                <c:pt idx="52">
                  <c:v>31.844899999999999</c:v>
                </c:pt>
                <c:pt idx="53">
                  <c:v>31.784299999999998</c:v>
                </c:pt>
                <c:pt idx="54">
                  <c:v>31.757800000000003</c:v>
                </c:pt>
                <c:pt idx="55">
                  <c:v>31.755299999999998</c:v>
                </c:pt>
                <c:pt idx="56">
                  <c:v>31.735200000000003</c:v>
                </c:pt>
                <c:pt idx="57">
                  <c:v>31.709599999999998</c:v>
                </c:pt>
                <c:pt idx="58">
                  <c:v>31.694800000000001</c:v>
                </c:pt>
                <c:pt idx="59">
                  <c:v>31.707800000000002</c:v>
                </c:pt>
                <c:pt idx="60">
                  <c:v>31.770900000000001</c:v>
                </c:pt>
                <c:pt idx="61">
                  <c:v>31.843100000000003</c:v>
                </c:pt>
                <c:pt idx="62">
                  <c:v>31.9224</c:v>
                </c:pt>
                <c:pt idx="63">
                  <c:v>31.9559</c:v>
                </c:pt>
                <c:pt idx="64">
                  <c:v>31.916</c:v>
                </c:pt>
                <c:pt idx="65">
                  <c:v>31.818099999999998</c:v>
                </c:pt>
                <c:pt idx="66">
                  <c:v>31.806600000000003</c:v>
                </c:pt>
                <c:pt idx="67">
                  <c:v>31.7622</c:v>
                </c:pt>
                <c:pt idx="68">
                  <c:v>31.844000000000001</c:v>
                </c:pt>
                <c:pt idx="69">
                  <c:v>31.909700000000001</c:v>
                </c:pt>
                <c:pt idx="70">
                  <c:v>31.919900000000002</c:v>
                </c:pt>
                <c:pt idx="71">
                  <c:v>32.040100000000002</c:v>
                </c:pt>
                <c:pt idx="72">
                  <c:v>32.337600000000002</c:v>
                </c:pt>
                <c:pt idx="73">
                  <c:v>32.792500000000004</c:v>
                </c:pt>
                <c:pt idx="74">
                  <c:v>32.909599999999998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4.122890270270271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38.589408108108103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4.9535968918918929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32.264562162162171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4.9535968918918929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32.264562162162171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0.21939915211416405</c:v>
                </c:pt>
                <c:pt idx="1">
                  <c:v>0.30324546384960505</c:v>
                </c:pt>
                <c:pt idx="2">
                  <c:v>0.47735538403623101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0.39994099999999999</c:v>
                </c:pt>
                <c:pt idx="2">
                  <c:v>0.81088199999999999</c:v>
                </c:pt>
                <c:pt idx="3">
                  <c:v>1.21574</c:v>
                </c:pt>
                <c:pt idx="4">
                  <c:v>1.6217699999999999</c:v>
                </c:pt>
                <c:pt idx="5">
                  <c:v>2.0269599999999999</c:v>
                </c:pt>
                <c:pt idx="6">
                  <c:v>2.4311099999999999</c:v>
                </c:pt>
                <c:pt idx="7">
                  <c:v>2.8405200000000002</c:v>
                </c:pt>
                <c:pt idx="8">
                  <c:v>3.2446999999999999</c:v>
                </c:pt>
                <c:pt idx="9">
                  <c:v>3.6521599999999999</c:v>
                </c:pt>
                <c:pt idx="10">
                  <c:v>4.0593199999999996</c:v>
                </c:pt>
                <c:pt idx="11">
                  <c:v>4.4630099999999997</c:v>
                </c:pt>
                <c:pt idx="12">
                  <c:v>4.8742099999999997</c:v>
                </c:pt>
                <c:pt idx="13">
                  <c:v>5.2769599999999999</c:v>
                </c:pt>
                <c:pt idx="14">
                  <c:v>5.6788400000000001</c:v>
                </c:pt>
                <c:pt idx="15">
                  <c:v>6.0927300000000004</c:v>
                </c:pt>
                <c:pt idx="16">
                  <c:v>6.4948199999999998</c:v>
                </c:pt>
                <c:pt idx="17">
                  <c:v>6.9035799999999998</c:v>
                </c:pt>
                <c:pt idx="18">
                  <c:v>7.30776</c:v>
                </c:pt>
                <c:pt idx="19">
                  <c:v>7.7115799999999997</c:v>
                </c:pt>
                <c:pt idx="20">
                  <c:v>8.1184100000000008</c:v>
                </c:pt>
                <c:pt idx="21">
                  <c:v>8.52379</c:v>
                </c:pt>
                <c:pt idx="22">
                  <c:v>8.9340499999999992</c:v>
                </c:pt>
                <c:pt idx="23">
                  <c:v>9.34</c:v>
                </c:pt>
                <c:pt idx="24">
                  <c:v>9.7448999999999995</c:v>
                </c:pt>
                <c:pt idx="25">
                  <c:v>10.152100000000001</c:v>
                </c:pt>
                <c:pt idx="26">
                  <c:v>10.5588</c:v>
                </c:pt>
                <c:pt idx="27">
                  <c:v>10.966799999999999</c:v>
                </c:pt>
                <c:pt idx="28">
                  <c:v>11.3705</c:v>
                </c:pt>
                <c:pt idx="29">
                  <c:v>11.7776</c:v>
                </c:pt>
                <c:pt idx="30">
                  <c:v>12.1806</c:v>
                </c:pt>
                <c:pt idx="31">
                  <c:v>12.5906</c:v>
                </c:pt>
                <c:pt idx="32">
                  <c:v>12.998200000000001</c:v>
                </c:pt>
                <c:pt idx="33">
                  <c:v>13.404199999999999</c:v>
                </c:pt>
                <c:pt idx="34">
                  <c:v>13.805300000000001</c:v>
                </c:pt>
                <c:pt idx="35">
                  <c:v>14.211499999999999</c:v>
                </c:pt>
                <c:pt idx="36">
                  <c:v>14.620200000000001</c:v>
                </c:pt>
                <c:pt idx="37">
                  <c:v>15.0246</c:v>
                </c:pt>
                <c:pt idx="38">
                  <c:v>15.4328</c:v>
                </c:pt>
                <c:pt idx="39">
                  <c:v>15.839600000000001</c:v>
                </c:pt>
                <c:pt idx="40">
                  <c:v>16.242699999999999</c:v>
                </c:pt>
                <c:pt idx="41">
                  <c:v>16.6496</c:v>
                </c:pt>
                <c:pt idx="42">
                  <c:v>17.063500000000001</c:v>
                </c:pt>
                <c:pt idx="43">
                  <c:v>17.4663</c:v>
                </c:pt>
                <c:pt idx="44">
                  <c:v>17.871099999999998</c:v>
                </c:pt>
                <c:pt idx="45">
                  <c:v>18.275200000000002</c:v>
                </c:pt>
                <c:pt idx="46">
                  <c:v>18.681799999999999</c:v>
                </c:pt>
                <c:pt idx="47">
                  <c:v>19.091200000000001</c:v>
                </c:pt>
                <c:pt idx="48">
                  <c:v>19.498899999999999</c:v>
                </c:pt>
                <c:pt idx="49">
                  <c:v>19.9038</c:v>
                </c:pt>
                <c:pt idx="50">
                  <c:v>20.308700000000002</c:v>
                </c:pt>
                <c:pt idx="51">
                  <c:v>20.7105</c:v>
                </c:pt>
                <c:pt idx="52">
                  <c:v>21.122499999999999</c:v>
                </c:pt>
                <c:pt idx="53">
                  <c:v>21.523900000000001</c:v>
                </c:pt>
                <c:pt idx="54">
                  <c:v>21.9299</c:v>
                </c:pt>
                <c:pt idx="55">
                  <c:v>22.3428</c:v>
                </c:pt>
                <c:pt idx="56">
                  <c:v>22.746300000000002</c:v>
                </c:pt>
                <c:pt idx="57">
                  <c:v>23.152000000000001</c:v>
                </c:pt>
                <c:pt idx="58">
                  <c:v>23.557400000000001</c:v>
                </c:pt>
                <c:pt idx="59">
                  <c:v>23.963100000000001</c:v>
                </c:pt>
                <c:pt idx="60">
                  <c:v>24.372800000000002</c:v>
                </c:pt>
                <c:pt idx="61">
                  <c:v>24.7788</c:v>
                </c:pt>
                <c:pt idx="62">
                  <c:v>25.180199999999999</c:v>
                </c:pt>
                <c:pt idx="63">
                  <c:v>25.590900000000001</c:v>
                </c:pt>
                <c:pt idx="64">
                  <c:v>25.994700000000002</c:v>
                </c:pt>
                <c:pt idx="65">
                  <c:v>26.403300000000002</c:v>
                </c:pt>
                <c:pt idx="66">
                  <c:v>26.808499999999999</c:v>
                </c:pt>
                <c:pt idx="67">
                  <c:v>27.212299999999999</c:v>
                </c:pt>
                <c:pt idx="68">
                  <c:v>27.621099999999998</c:v>
                </c:pt>
                <c:pt idx="69">
                  <c:v>28.0242</c:v>
                </c:pt>
                <c:pt idx="70">
                  <c:v>28.4331</c:v>
                </c:pt>
                <c:pt idx="71">
                  <c:v>28.8398</c:v>
                </c:pt>
                <c:pt idx="72">
                  <c:v>29.2469</c:v>
                </c:pt>
                <c:pt idx="73">
                  <c:v>29.651700000000002</c:v>
                </c:pt>
                <c:pt idx="74">
                  <c:v>30.059100000000001</c:v>
                </c:pt>
                <c:pt idx="75">
                  <c:v>30.636099999999999</c:v>
                </c:pt>
                <c:pt idx="76">
                  <c:v>31.009</c:v>
                </c:pt>
                <c:pt idx="77">
                  <c:v>31.384399999999999</c:v>
                </c:pt>
                <c:pt idx="78">
                  <c:v>31.760999999999999</c:v>
                </c:pt>
                <c:pt idx="79">
                  <c:v>32.137900000000002</c:v>
                </c:pt>
                <c:pt idx="80">
                  <c:v>32.542000000000002</c:v>
                </c:pt>
                <c:pt idx="81">
                  <c:v>32.948</c:v>
                </c:pt>
                <c:pt idx="82">
                  <c:v>33.356099999999998</c:v>
                </c:pt>
                <c:pt idx="83">
                  <c:v>33.761200000000002</c:v>
                </c:pt>
                <c:pt idx="84">
                  <c:v>34.169600000000003</c:v>
                </c:pt>
                <c:pt idx="85">
                  <c:v>34.573599999999999</c:v>
                </c:pt>
                <c:pt idx="86">
                  <c:v>34.979399999999998</c:v>
                </c:pt>
                <c:pt idx="87">
                  <c:v>35.384500000000003</c:v>
                </c:pt>
                <c:pt idx="88">
                  <c:v>35.796300000000002</c:v>
                </c:pt>
                <c:pt idx="89">
                  <c:v>36.200200000000002</c:v>
                </c:pt>
                <c:pt idx="90">
                  <c:v>36.604100000000003</c:v>
                </c:pt>
                <c:pt idx="91">
                  <c:v>37.010100000000001</c:v>
                </c:pt>
                <c:pt idx="92">
                  <c:v>37.414700000000003</c:v>
                </c:pt>
                <c:pt idx="93">
                  <c:v>37.825899999999997</c:v>
                </c:pt>
                <c:pt idx="94">
                  <c:v>38.2288</c:v>
                </c:pt>
                <c:pt idx="95">
                  <c:v>38.637700000000002</c:v>
                </c:pt>
                <c:pt idx="96">
                  <c:v>39.0426</c:v>
                </c:pt>
                <c:pt idx="97">
                  <c:v>39.4467</c:v>
                </c:pt>
                <c:pt idx="98">
                  <c:v>39.853299999999997</c:v>
                </c:pt>
                <c:pt idx="99">
                  <c:v>40.264400000000002</c:v>
                </c:pt>
                <c:pt idx="100">
                  <c:v>40.668199999999999</c:v>
                </c:pt>
                <c:pt idx="101">
                  <c:v>41.072299999999998</c:v>
                </c:pt>
                <c:pt idx="102">
                  <c:v>41.481200000000001</c:v>
                </c:pt>
                <c:pt idx="103">
                  <c:v>41.889000000000003</c:v>
                </c:pt>
                <c:pt idx="104">
                  <c:v>42.294899999999998</c:v>
                </c:pt>
                <c:pt idx="105">
                  <c:v>42.6997</c:v>
                </c:pt>
                <c:pt idx="106">
                  <c:v>43.102699999999999</c:v>
                </c:pt>
                <c:pt idx="107">
                  <c:v>43.512700000000002</c:v>
                </c:pt>
                <c:pt idx="108">
                  <c:v>43.916600000000003</c:v>
                </c:pt>
                <c:pt idx="109">
                  <c:v>44.322299999999998</c:v>
                </c:pt>
                <c:pt idx="110">
                  <c:v>44.728499999999997</c:v>
                </c:pt>
                <c:pt idx="111">
                  <c:v>45.138300000000001</c:v>
                </c:pt>
                <c:pt idx="112">
                  <c:v>45.539299999999997</c:v>
                </c:pt>
                <c:pt idx="113">
                  <c:v>45.950099999999999</c:v>
                </c:pt>
                <c:pt idx="114">
                  <c:v>46.353000000000002</c:v>
                </c:pt>
                <c:pt idx="115">
                  <c:v>46.759099999999997</c:v>
                </c:pt>
                <c:pt idx="116">
                  <c:v>47.170299999999997</c:v>
                </c:pt>
                <c:pt idx="117">
                  <c:v>47.575899999999997</c:v>
                </c:pt>
                <c:pt idx="118">
                  <c:v>47.9816</c:v>
                </c:pt>
                <c:pt idx="119">
                  <c:v>48.384599999999999</c:v>
                </c:pt>
                <c:pt idx="120">
                  <c:v>48.793599999999998</c:v>
                </c:pt>
                <c:pt idx="121">
                  <c:v>49.198399999999999</c:v>
                </c:pt>
                <c:pt idx="122">
                  <c:v>49.606400000000001</c:v>
                </c:pt>
                <c:pt idx="123">
                  <c:v>50.012099999999997</c:v>
                </c:pt>
                <c:pt idx="124">
                  <c:v>50.416200000000003</c:v>
                </c:pt>
                <c:pt idx="125">
                  <c:v>50.824399999999997</c:v>
                </c:pt>
                <c:pt idx="126">
                  <c:v>51.231000000000002</c:v>
                </c:pt>
                <c:pt idx="127">
                  <c:v>51.637900000000002</c:v>
                </c:pt>
                <c:pt idx="128">
                  <c:v>52.045999999999999</c:v>
                </c:pt>
                <c:pt idx="129">
                  <c:v>52.447800000000001</c:v>
                </c:pt>
                <c:pt idx="130">
                  <c:v>52.854700000000001</c:v>
                </c:pt>
                <c:pt idx="131">
                  <c:v>53.262599999999999</c:v>
                </c:pt>
                <c:pt idx="132">
                  <c:v>53.672499999999999</c:v>
                </c:pt>
                <c:pt idx="133">
                  <c:v>54.072400000000002</c:v>
                </c:pt>
                <c:pt idx="134">
                  <c:v>54.479599999999998</c:v>
                </c:pt>
                <c:pt idx="135">
                  <c:v>54.887599999999999</c:v>
                </c:pt>
                <c:pt idx="136">
                  <c:v>55.291499999999999</c:v>
                </c:pt>
                <c:pt idx="137">
                  <c:v>55.701000000000001</c:v>
                </c:pt>
                <c:pt idx="138">
                  <c:v>56.107199999999999</c:v>
                </c:pt>
                <c:pt idx="139">
                  <c:v>56.510899999999999</c:v>
                </c:pt>
                <c:pt idx="140">
                  <c:v>56.916400000000003</c:v>
                </c:pt>
                <c:pt idx="141">
                  <c:v>57.323999999999998</c:v>
                </c:pt>
                <c:pt idx="142">
                  <c:v>57.726500000000001</c:v>
                </c:pt>
                <c:pt idx="143">
                  <c:v>58.137599999999999</c:v>
                </c:pt>
                <c:pt idx="144">
                  <c:v>58.542900000000003</c:v>
                </c:pt>
                <c:pt idx="145">
                  <c:v>58.947299999999998</c:v>
                </c:pt>
                <c:pt idx="146">
                  <c:v>59.354900000000001</c:v>
                </c:pt>
                <c:pt idx="147">
                  <c:v>59.7622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2.3140200000000002</c:v>
                </c:pt>
                <c:pt idx="1">
                  <c:v>2.3821099999999999</c:v>
                </c:pt>
                <c:pt idx="2">
                  <c:v>2.4508199999999998</c:v>
                </c:pt>
                <c:pt idx="3">
                  <c:v>2.5205699999999998</c:v>
                </c:pt>
                <c:pt idx="4">
                  <c:v>2.5893600000000001</c:v>
                </c:pt>
                <c:pt idx="5">
                  <c:v>2.65909</c:v>
                </c:pt>
                <c:pt idx="6">
                  <c:v>2.72966</c:v>
                </c:pt>
                <c:pt idx="7">
                  <c:v>2.8014299999999999</c:v>
                </c:pt>
                <c:pt idx="8">
                  <c:v>2.8747199999999999</c:v>
                </c:pt>
                <c:pt idx="9">
                  <c:v>2.9502499999999996</c:v>
                </c:pt>
                <c:pt idx="10">
                  <c:v>3.02766</c:v>
                </c:pt>
                <c:pt idx="11">
                  <c:v>3.1085200000000004</c:v>
                </c:pt>
                <c:pt idx="12">
                  <c:v>3.1902300000000001</c:v>
                </c:pt>
                <c:pt idx="13">
                  <c:v>3.27359</c:v>
                </c:pt>
                <c:pt idx="14">
                  <c:v>3.35222</c:v>
                </c:pt>
                <c:pt idx="15">
                  <c:v>3.4294599999999997</c:v>
                </c:pt>
                <c:pt idx="16">
                  <c:v>3.5050399999999997</c:v>
                </c:pt>
                <c:pt idx="17">
                  <c:v>3.58202</c:v>
                </c:pt>
                <c:pt idx="18">
                  <c:v>3.6566999999999998</c:v>
                </c:pt>
                <c:pt idx="19">
                  <c:v>3.7274600000000002</c:v>
                </c:pt>
                <c:pt idx="20">
                  <c:v>3.79155</c:v>
                </c:pt>
                <c:pt idx="21">
                  <c:v>3.8504899999999997</c:v>
                </c:pt>
                <c:pt idx="22">
                  <c:v>3.90496</c:v>
                </c:pt>
                <c:pt idx="23">
                  <c:v>3.9537800000000001</c:v>
                </c:pt>
                <c:pt idx="24">
                  <c:v>3.9988000000000001</c:v>
                </c:pt>
                <c:pt idx="25">
                  <c:v>4.0422200000000004</c:v>
                </c:pt>
                <c:pt idx="26">
                  <c:v>4.0828899999999999</c:v>
                </c:pt>
                <c:pt idx="27">
                  <c:v>4.1213699999999998</c:v>
                </c:pt>
                <c:pt idx="28">
                  <c:v>4.1572100000000001</c:v>
                </c:pt>
                <c:pt idx="29">
                  <c:v>4.1951000000000001</c:v>
                </c:pt>
                <c:pt idx="30">
                  <c:v>4.2340900000000001</c:v>
                </c:pt>
                <c:pt idx="31">
                  <c:v>4.2720200000000004</c:v>
                </c:pt>
                <c:pt idx="32">
                  <c:v>4.30966</c:v>
                </c:pt>
                <c:pt idx="33">
                  <c:v>4.3467200000000004</c:v>
                </c:pt>
                <c:pt idx="34">
                  <c:v>4.37941</c:v>
                </c:pt>
                <c:pt idx="35">
                  <c:v>4.4085400000000003</c:v>
                </c:pt>
                <c:pt idx="36">
                  <c:v>4.4330999999999996</c:v>
                </c:pt>
                <c:pt idx="37">
                  <c:v>4.4554899999999993</c:v>
                </c:pt>
                <c:pt idx="38">
                  <c:v>4.4724900000000005</c:v>
                </c:pt>
                <c:pt idx="39">
                  <c:v>4.4893999999999998</c:v>
                </c:pt>
                <c:pt idx="40">
                  <c:v>4.5029000000000003</c:v>
                </c:pt>
                <c:pt idx="41">
                  <c:v>4.51302</c:v>
                </c:pt>
                <c:pt idx="42">
                  <c:v>4.5188199999999998</c:v>
                </c:pt>
                <c:pt idx="43">
                  <c:v>4.5229200000000001</c:v>
                </c:pt>
                <c:pt idx="44">
                  <c:v>4.5266400000000004</c:v>
                </c:pt>
                <c:pt idx="45">
                  <c:v>4.5318399999999999</c:v>
                </c:pt>
                <c:pt idx="46">
                  <c:v>4.5408799999999996</c:v>
                </c:pt>
                <c:pt idx="47">
                  <c:v>4.5545600000000004</c:v>
                </c:pt>
                <c:pt idx="48">
                  <c:v>4.5726499999999994</c:v>
                </c:pt>
                <c:pt idx="49">
                  <c:v>4.5927100000000003</c:v>
                </c:pt>
                <c:pt idx="50">
                  <c:v>4.6076499999999996</c:v>
                </c:pt>
                <c:pt idx="51">
                  <c:v>4.63103</c:v>
                </c:pt>
                <c:pt idx="52">
                  <c:v>4.6570200000000002</c:v>
                </c:pt>
                <c:pt idx="53">
                  <c:v>4.6837999999999997</c:v>
                </c:pt>
                <c:pt idx="54">
                  <c:v>4.7092600000000004</c:v>
                </c:pt>
                <c:pt idx="55">
                  <c:v>4.7325600000000003</c:v>
                </c:pt>
                <c:pt idx="56">
                  <c:v>4.7618899999999993</c:v>
                </c:pt>
                <c:pt idx="57">
                  <c:v>4.7746699999999995</c:v>
                </c:pt>
                <c:pt idx="58">
                  <c:v>4.80009</c:v>
                </c:pt>
                <c:pt idx="59">
                  <c:v>4.8159999999999998</c:v>
                </c:pt>
                <c:pt idx="60">
                  <c:v>4.8306399999999998</c:v>
                </c:pt>
                <c:pt idx="61">
                  <c:v>4.8404799999999994</c:v>
                </c:pt>
                <c:pt idx="62">
                  <c:v>4.8529800000000005</c:v>
                </c:pt>
                <c:pt idx="63">
                  <c:v>4.8676399999999997</c:v>
                </c:pt>
                <c:pt idx="64">
                  <c:v>4.8769900000000002</c:v>
                </c:pt>
                <c:pt idx="65">
                  <c:v>4.8865400000000001</c:v>
                </c:pt>
                <c:pt idx="66">
                  <c:v>4.8956</c:v>
                </c:pt>
                <c:pt idx="67">
                  <c:v>4.90334</c:v>
                </c:pt>
                <c:pt idx="68">
                  <c:v>4.9083199999999998</c:v>
                </c:pt>
                <c:pt idx="69">
                  <c:v>4.9178500000000005</c:v>
                </c:pt>
                <c:pt idx="70">
                  <c:v>4.9262199999999998</c:v>
                </c:pt>
                <c:pt idx="71">
                  <c:v>4.9333799999999997</c:v>
                </c:pt>
                <c:pt idx="72">
                  <c:v>4.9369399999999999</c:v>
                </c:pt>
                <c:pt idx="73">
                  <c:v>4.9418299999999995</c:v>
                </c:pt>
                <c:pt idx="74">
                  <c:v>4.93987</c:v>
                </c:pt>
                <c:pt idx="75">
                  <c:v>4.9384499999999996</c:v>
                </c:pt>
                <c:pt idx="76">
                  <c:v>4.9328899999999996</c:v>
                </c:pt>
                <c:pt idx="77">
                  <c:v>4.9257600000000004</c:v>
                </c:pt>
                <c:pt idx="78">
                  <c:v>4.9176900000000003</c:v>
                </c:pt>
                <c:pt idx="79">
                  <c:v>4.9060699999999997</c:v>
                </c:pt>
                <c:pt idx="80">
                  <c:v>4.89513</c:v>
                </c:pt>
                <c:pt idx="81">
                  <c:v>4.8822900000000002</c:v>
                </c:pt>
                <c:pt idx="82">
                  <c:v>4.8673500000000001</c:v>
                </c:pt>
                <c:pt idx="83">
                  <c:v>4.8530099999999994</c:v>
                </c:pt>
                <c:pt idx="84">
                  <c:v>4.8402099999999999</c:v>
                </c:pt>
                <c:pt idx="85">
                  <c:v>4.83094</c:v>
                </c:pt>
                <c:pt idx="86">
                  <c:v>4.8239400000000003</c:v>
                </c:pt>
                <c:pt idx="87">
                  <c:v>4.8184100000000001</c:v>
                </c:pt>
                <c:pt idx="88">
                  <c:v>4.8140999999999998</c:v>
                </c:pt>
                <c:pt idx="89">
                  <c:v>4.8148</c:v>
                </c:pt>
                <c:pt idx="90">
                  <c:v>4.8184100000000001</c:v>
                </c:pt>
                <c:pt idx="91">
                  <c:v>4.8237300000000003</c:v>
                </c:pt>
                <c:pt idx="92">
                  <c:v>4.8310599999999999</c:v>
                </c:pt>
                <c:pt idx="93">
                  <c:v>4.8411200000000001</c:v>
                </c:pt>
                <c:pt idx="94">
                  <c:v>4.8499499999999998</c:v>
                </c:pt>
                <c:pt idx="95">
                  <c:v>4.8561100000000001</c:v>
                </c:pt>
                <c:pt idx="96">
                  <c:v>4.86172</c:v>
                </c:pt>
                <c:pt idx="97">
                  <c:v>4.8693100000000005</c:v>
                </c:pt>
                <c:pt idx="98">
                  <c:v>4.8738700000000001</c:v>
                </c:pt>
                <c:pt idx="99">
                  <c:v>4.8809399999999998</c:v>
                </c:pt>
                <c:pt idx="100">
                  <c:v>4.8861799999999995</c:v>
                </c:pt>
                <c:pt idx="101">
                  <c:v>4.8900800000000002</c:v>
                </c:pt>
                <c:pt idx="102">
                  <c:v>4.8947400000000005</c:v>
                </c:pt>
                <c:pt idx="103">
                  <c:v>4.90198</c:v>
                </c:pt>
                <c:pt idx="104">
                  <c:v>4.9117800000000003</c:v>
                </c:pt>
                <c:pt idx="105">
                  <c:v>4.92197</c:v>
                </c:pt>
                <c:pt idx="106">
                  <c:v>4.9323899999999998</c:v>
                </c:pt>
                <c:pt idx="107">
                  <c:v>4.94428</c:v>
                </c:pt>
                <c:pt idx="108">
                  <c:v>4.9583700000000004</c:v>
                </c:pt>
                <c:pt idx="109">
                  <c:v>4.9731899999999998</c:v>
                </c:pt>
                <c:pt idx="110">
                  <c:v>4.9819599999999999</c:v>
                </c:pt>
                <c:pt idx="111">
                  <c:v>4.9885200000000003</c:v>
                </c:pt>
                <c:pt idx="112">
                  <c:v>4.9943</c:v>
                </c:pt>
                <c:pt idx="113">
                  <c:v>5.0002500000000003</c:v>
                </c:pt>
                <c:pt idx="114">
                  <c:v>5.0068800000000007</c:v>
                </c:pt>
                <c:pt idx="115">
                  <c:v>5.01126</c:v>
                </c:pt>
                <c:pt idx="116">
                  <c:v>5.0162800000000001</c:v>
                </c:pt>
                <c:pt idx="117">
                  <c:v>5.01912</c:v>
                </c:pt>
                <c:pt idx="118">
                  <c:v>5.0208600000000008</c:v>
                </c:pt>
                <c:pt idx="119">
                  <c:v>5.0229800000000004</c:v>
                </c:pt>
                <c:pt idx="120">
                  <c:v>5.0258599999999998</c:v>
                </c:pt>
                <c:pt idx="121">
                  <c:v>5.0278100000000006</c:v>
                </c:pt>
                <c:pt idx="122">
                  <c:v>5.0258599999999998</c:v>
                </c:pt>
                <c:pt idx="123">
                  <c:v>5.0234999999999994</c:v>
                </c:pt>
                <c:pt idx="124">
                  <c:v>5.0251299999999999</c:v>
                </c:pt>
                <c:pt idx="125">
                  <c:v>5.0288399999999998</c:v>
                </c:pt>
                <c:pt idx="126">
                  <c:v>5.0362600000000004</c:v>
                </c:pt>
                <c:pt idx="127">
                  <c:v>5.0424500000000005</c:v>
                </c:pt>
                <c:pt idx="128">
                  <c:v>5.0464200000000003</c:v>
                </c:pt>
                <c:pt idx="129">
                  <c:v>5.0486200000000006</c:v>
                </c:pt>
                <c:pt idx="130">
                  <c:v>5.05</c:v>
                </c:pt>
                <c:pt idx="131">
                  <c:v>5.0510999999999999</c:v>
                </c:pt>
                <c:pt idx="132">
                  <c:v>5.0519099999999995</c:v>
                </c:pt>
                <c:pt idx="133">
                  <c:v>5.0481400000000001</c:v>
                </c:pt>
                <c:pt idx="134">
                  <c:v>5.04366</c:v>
                </c:pt>
                <c:pt idx="135">
                  <c:v>5.0451100000000002</c:v>
                </c:pt>
                <c:pt idx="136">
                  <c:v>5.0488</c:v>
                </c:pt>
                <c:pt idx="137">
                  <c:v>5.0520500000000004</c:v>
                </c:pt>
                <c:pt idx="138">
                  <c:v>5.0551700000000004</c:v>
                </c:pt>
                <c:pt idx="139">
                  <c:v>5.0493800000000002</c:v>
                </c:pt>
                <c:pt idx="140">
                  <c:v>5.0437399999999997</c:v>
                </c:pt>
                <c:pt idx="141">
                  <c:v>5.0359200000000008</c:v>
                </c:pt>
                <c:pt idx="142">
                  <c:v>5.0331000000000001</c:v>
                </c:pt>
                <c:pt idx="143">
                  <c:v>5.0204499999999994</c:v>
                </c:pt>
                <c:pt idx="144">
                  <c:v>5.0007999999999999</c:v>
                </c:pt>
                <c:pt idx="145">
                  <c:v>4.9709500000000002</c:v>
                </c:pt>
                <c:pt idx="146">
                  <c:v>4.9375099999999996</c:v>
                </c:pt>
                <c:pt idx="147">
                  <c:v>4.9131299999999998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0.39994099999999999</c:v>
                </c:pt>
                <c:pt idx="2">
                  <c:v>0.81088199999999999</c:v>
                </c:pt>
                <c:pt idx="3">
                  <c:v>1.21574</c:v>
                </c:pt>
                <c:pt idx="4">
                  <c:v>1.6217699999999999</c:v>
                </c:pt>
                <c:pt idx="5">
                  <c:v>2.0269599999999999</c:v>
                </c:pt>
                <c:pt idx="6">
                  <c:v>2.4311099999999999</c:v>
                </c:pt>
                <c:pt idx="7">
                  <c:v>2.8405200000000002</c:v>
                </c:pt>
                <c:pt idx="8">
                  <c:v>3.2446999999999999</c:v>
                </c:pt>
                <c:pt idx="9">
                  <c:v>3.6521599999999999</c:v>
                </c:pt>
                <c:pt idx="10">
                  <c:v>4.0593199999999996</c:v>
                </c:pt>
                <c:pt idx="11">
                  <c:v>4.4630099999999997</c:v>
                </c:pt>
                <c:pt idx="12">
                  <c:v>4.8742099999999997</c:v>
                </c:pt>
                <c:pt idx="13">
                  <c:v>5.2769599999999999</c:v>
                </c:pt>
                <c:pt idx="14">
                  <c:v>5.6788400000000001</c:v>
                </c:pt>
                <c:pt idx="15">
                  <c:v>6.0927300000000004</c:v>
                </c:pt>
                <c:pt idx="16">
                  <c:v>6.4948199999999998</c:v>
                </c:pt>
                <c:pt idx="17">
                  <c:v>6.9035799999999998</c:v>
                </c:pt>
                <c:pt idx="18">
                  <c:v>7.30776</c:v>
                </c:pt>
                <c:pt idx="19">
                  <c:v>7.7115799999999997</c:v>
                </c:pt>
                <c:pt idx="20">
                  <c:v>8.1184100000000008</c:v>
                </c:pt>
                <c:pt idx="21">
                  <c:v>8.52379</c:v>
                </c:pt>
                <c:pt idx="22">
                  <c:v>8.9340499999999992</c:v>
                </c:pt>
                <c:pt idx="23">
                  <c:v>9.34</c:v>
                </c:pt>
                <c:pt idx="24">
                  <c:v>9.7448999999999995</c:v>
                </c:pt>
                <c:pt idx="25">
                  <c:v>10.152100000000001</c:v>
                </c:pt>
                <c:pt idx="26">
                  <c:v>10.5588</c:v>
                </c:pt>
                <c:pt idx="27">
                  <c:v>10.966799999999999</c:v>
                </c:pt>
                <c:pt idx="28">
                  <c:v>11.3705</c:v>
                </c:pt>
                <c:pt idx="29">
                  <c:v>11.7776</c:v>
                </c:pt>
                <c:pt idx="30">
                  <c:v>12.1806</c:v>
                </c:pt>
                <c:pt idx="31">
                  <c:v>12.5906</c:v>
                </c:pt>
                <c:pt idx="32">
                  <c:v>12.998200000000001</c:v>
                </c:pt>
                <c:pt idx="33">
                  <c:v>13.404199999999999</c:v>
                </c:pt>
                <c:pt idx="34">
                  <c:v>13.805300000000001</c:v>
                </c:pt>
                <c:pt idx="35">
                  <c:v>14.211499999999999</c:v>
                </c:pt>
                <c:pt idx="36">
                  <c:v>14.620200000000001</c:v>
                </c:pt>
                <c:pt idx="37">
                  <c:v>15.0246</c:v>
                </c:pt>
                <c:pt idx="38">
                  <c:v>15.4328</c:v>
                </c:pt>
                <c:pt idx="39">
                  <c:v>15.839600000000001</c:v>
                </c:pt>
                <c:pt idx="40">
                  <c:v>16.242699999999999</c:v>
                </c:pt>
                <c:pt idx="41">
                  <c:v>16.6496</c:v>
                </c:pt>
                <c:pt idx="42">
                  <c:v>17.063500000000001</c:v>
                </c:pt>
                <c:pt idx="43">
                  <c:v>17.4663</c:v>
                </c:pt>
                <c:pt idx="44">
                  <c:v>17.871099999999998</c:v>
                </c:pt>
                <c:pt idx="45">
                  <c:v>18.275200000000002</c:v>
                </c:pt>
                <c:pt idx="46">
                  <c:v>18.681799999999999</c:v>
                </c:pt>
                <c:pt idx="47">
                  <c:v>19.091200000000001</c:v>
                </c:pt>
                <c:pt idx="48">
                  <c:v>19.498899999999999</c:v>
                </c:pt>
                <c:pt idx="49">
                  <c:v>19.9038</c:v>
                </c:pt>
                <c:pt idx="50">
                  <c:v>20.308700000000002</c:v>
                </c:pt>
                <c:pt idx="51">
                  <c:v>20.7105</c:v>
                </c:pt>
                <c:pt idx="52">
                  <c:v>21.122499999999999</c:v>
                </c:pt>
                <c:pt idx="53">
                  <c:v>21.523900000000001</c:v>
                </c:pt>
                <c:pt idx="54">
                  <c:v>21.9299</c:v>
                </c:pt>
                <c:pt idx="55">
                  <c:v>22.3428</c:v>
                </c:pt>
                <c:pt idx="56">
                  <c:v>22.746300000000002</c:v>
                </c:pt>
                <c:pt idx="57">
                  <c:v>23.152000000000001</c:v>
                </c:pt>
                <c:pt idx="58">
                  <c:v>23.557400000000001</c:v>
                </c:pt>
                <c:pt idx="59">
                  <c:v>23.963100000000001</c:v>
                </c:pt>
                <c:pt idx="60">
                  <c:v>24.372800000000002</c:v>
                </c:pt>
                <c:pt idx="61">
                  <c:v>24.7788</c:v>
                </c:pt>
                <c:pt idx="62">
                  <c:v>25.180199999999999</c:v>
                </c:pt>
                <c:pt idx="63">
                  <c:v>25.590900000000001</c:v>
                </c:pt>
                <c:pt idx="64">
                  <c:v>25.994700000000002</c:v>
                </c:pt>
                <c:pt idx="65">
                  <c:v>26.403300000000002</c:v>
                </c:pt>
                <c:pt idx="66">
                  <c:v>26.808499999999999</c:v>
                </c:pt>
                <c:pt idx="67">
                  <c:v>27.212299999999999</c:v>
                </c:pt>
                <c:pt idx="68">
                  <c:v>27.621099999999998</c:v>
                </c:pt>
                <c:pt idx="69">
                  <c:v>28.0242</c:v>
                </c:pt>
                <c:pt idx="70">
                  <c:v>28.4331</c:v>
                </c:pt>
                <c:pt idx="71">
                  <c:v>28.8398</c:v>
                </c:pt>
                <c:pt idx="72">
                  <c:v>29.2469</c:v>
                </c:pt>
                <c:pt idx="73">
                  <c:v>29.651700000000002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2.3140200000000002</c:v>
                </c:pt>
                <c:pt idx="1">
                  <c:v>2.3821099999999999</c:v>
                </c:pt>
                <c:pt idx="2">
                  <c:v>2.4508199999999998</c:v>
                </c:pt>
                <c:pt idx="3">
                  <c:v>2.5205699999999998</c:v>
                </c:pt>
                <c:pt idx="4">
                  <c:v>2.5893600000000001</c:v>
                </c:pt>
                <c:pt idx="5">
                  <c:v>2.65909</c:v>
                </c:pt>
                <c:pt idx="6">
                  <c:v>2.72966</c:v>
                </c:pt>
                <c:pt idx="7">
                  <c:v>2.8014299999999999</c:v>
                </c:pt>
                <c:pt idx="8">
                  <c:v>2.8747199999999999</c:v>
                </c:pt>
                <c:pt idx="9">
                  <c:v>2.9502499999999996</c:v>
                </c:pt>
                <c:pt idx="10">
                  <c:v>3.02766</c:v>
                </c:pt>
                <c:pt idx="11">
                  <c:v>3.1085200000000004</c:v>
                </c:pt>
                <c:pt idx="12">
                  <c:v>3.1902300000000001</c:v>
                </c:pt>
                <c:pt idx="13">
                  <c:v>3.27359</c:v>
                </c:pt>
                <c:pt idx="14">
                  <c:v>3.35222</c:v>
                </c:pt>
                <c:pt idx="15">
                  <c:v>3.4294599999999997</c:v>
                </c:pt>
                <c:pt idx="16">
                  <c:v>3.5050399999999997</c:v>
                </c:pt>
                <c:pt idx="17">
                  <c:v>3.58202</c:v>
                </c:pt>
                <c:pt idx="18">
                  <c:v>3.6566999999999998</c:v>
                </c:pt>
                <c:pt idx="19">
                  <c:v>3.7274600000000002</c:v>
                </c:pt>
                <c:pt idx="20">
                  <c:v>3.79155</c:v>
                </c:pt>
                <c:pt idx="21">
                  <c:v>3.8504899999999997</c:v>
                </c:pt>
                <c:pt idx="22">
                  <c:v>3.90496</c:v>
                </c:pt>
                <c:pt idx="23">
                  <c:v>3.9537800000000001</c:v>
                </c:pt>
                <c:pt idx="24">
                  <c:v>3.9988000000000001</c:v>
                </c:pt>
                <c:pt idx="25">
                  <c:v>4.0422200000000004</c:v>
                </c:pt>
                <c:pt idx="26">
                  <c:v>4.0828899999999999</c:v>
                </c:pt>
                <c:pt idx="27">
                  <c:v>4.1213699999999998</c:v>
                </c:pt>
                <c:pt idx="28">
                  <c:v>4.1572100000000001</c:v>
                </c:pt>
                <c:pt idx="29">
                  <c:v>4.1951000000000001</c:v>
                </c:pt>
                <c:pt idx="30">
                  <c:v>4.2340900000000001</c:v>
                </c:pt>
                <c:pt idx="31">
                  <c:v>4.2720200000000004</c:v>
                </c:pt>
                <c:pt idx="32">
                  <c:v>4.30966</c:v>
                </c:pt>
                <c:pt idx="33">
                  <c:v>4.3467200000000004</c:v>
                </c:pt>
                <c:pt idx="34">
                  <c:v>4.37941</c:v>
                </c:pt>
                <c:pt idx="35">
                  <c:v>4.4085400000000003</c:v>
                </c:pt>
                <c:pt idx="36">
                  <c:v>4.4330999999999996</c:v>
                </c:pt>
                <c:pt idx="37">
                  <c:v>4.4554899999999993</c:v>
                </c:pt>
                <c:pt idx="38">
                  <c:v>4.4724900000000005</c:v>
                </c:pt>
                <c:pt idx="39">
                  <c:v>4.4893999999999998</c:v>
                </c:pt>
                <c:pt idx="40">
                  <c:v>4.5029000000000003</c:v>
                </c:pt>
                <c:pt idx="41">
                  <c:v>4.51302</c:v>
                </c:pt>
                <c:pt idx="42">
                  <c:v>4.5188199999999998</c:v>
                </c:pt>
                <c:pt idx="43">
                  <c:v>4.5229200000000001</c:v>
                </c:pt>
                <c:pt idx="44">
                  <c:v>4.5266400000000004</c:v>
                </c:pt>
                <c:pt idx="45">
                  <c:v>4.5318399999999999</c:v>
                </c:pt>
                <c:pt idx="46">
                  <c:v>4.5408799999999996</c:v>
                </c:pt>
                <c:pt idx="47">
                  <c:v>4.5545600000000004</c:v>
                </c:pt>
                <c:pt idx="48">
                  <c:v>4.5726499999999994</c:v>
                </c:pt>
                <c:pt idx="49">
                  <c:v>4.5927100000000003</c:v>
                </c:pt>
                <c:pt idx="50">
                  <c:v>4.6076499999999996</c:v>
                </c:pt>
                <c:pt idx="51">
                  <c:v>4.63103</c:v>
                </c:pt>
                <c:pt idx="52">
                  <c:v>4.6570200000000002</c:v>
                </c:pt>
                <c:pt idx="53">
                  <c:v>4.6837999999999997</c:v>
                </c:pt>
                <c:pt idx="54">
                  <c:v>4.7092600000000004</c:v>
                </c:pt>
                <c:pt idx="55">
                  <c:v>4.7325600000000003</c:v>
                </c:pt>
                <c:pt idx="56">
                  <c:v>4.7618899999999993</c:v>
                </c:pt>
                <c:pt idx="57">
                  <c:v>4.7746699999999995</c:v>
                </c:pt>
                <c:pt idx="58">
                  <c:v>4.80009</c:v>
                </c:pt>
                <c:pt idx="59">
                  <c:v>4.8159999999999998</c:v>
                </c:pt>
                <c:pt idx="60">
                  <c:v>4.8306399999999998</c:v>
                </c:pt>
                <c:pt idx="61">
                  <c:v>4.8404799999999994</c:v>
                </c:pt>
                <c:pt idx="62">
                  <c:v>4.8529800000000005</c:v>
                </c:pt>
                <c:pt idx="63">
                  <c:v>4.8676399999999997</c:v>
                </c:pt>
                <c:pt idx="64">
                  <c:v>4.8769900000000002</c:v>
                </c:pt>
                <c:pt idx="65">
                  <c:v>4.8865400000000001</c:v>
                </c:pt>
                <c:pt idx="66">
                  <c:v>4.8956</c:v>
                </c:pt>
                <c:pt idx="67">
                  <c:v>4.90334</c:v>
                </c:pt>
                <c:pt idx="68">
                  <c:v>4.9083199999999998</c:v>
                </c:pt>
                <c:pt idx="69">
                  <c:v>4.9178500000000005</c:v>
                </c:pt>
                <c:pt idx="70">
                  <c:v>4.9262199999999998</c:v>
                </c:pt>
                <c:pt idx="71">
                  <c:v>4.9333799999999997</c:v>
                </c:pt>
                <c:pt idx="72">
                  <c:v>4.9369399999999999</c:v>
                </c:pt>
                <c:pt idx="73">
                  <c:v>4.9418299999999995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29.651700000000002</c:v>
                </c:pt>
                <c:pt idx="1">
                  <c:v>30.059100000000001</c:v>
                </c:pt>
                <c:pt idx="2">
                  <c:v>30.636099999999999</c:v>
                </c:pt>
                <c:pt idx="3">
                  <c:v>31.009</c:v>
                </c:pt>
                <c:pt idx="4">
                  <c:v>31.384399999999999</c:v>
                </c:pt>
                <c:pt idx="5">
                  <c:v>31.760999999999999</c:v>
                </c:pt>
                <c:pt idx="6">
                  <c:v>32.137900000000002</c:v>
                </c:pt>
                <c:pt idx="7">
                  <c:v>32.542000000000002</c:v>
                </c:pt>
                <c:pt idx="8">
                  <c:v>32.948</c:v>
                </c:pt>
                <c:pt idx="9">
                  <c:v>33.356099999999998</c:v>
                </c:pt>
                <c:pt idx="10">
                  <c:v>33.761200000000002</c:v>
                </c:pt>
                <c:pt idx="11">
                  <c:v>34.169600000000003</c:v>
                </c:pt>
                <c:pt idx="12">
                  <c:v>34.573599999999999</c:v>
                </c:pt>
                <c:pt idx="13">
                  <c:v>34.979399999999998</c:v>
                </c:pt>
                <c:pt idx="14">
                  <c:v>35.384500000000003</c:v>
                </c:pt>
                <c:pt idx="15">
                  <c:v>35.796300000000002</c:v>
                </c:pt>
                <c:pt idx="16">
                  <c:v>36.200200000000002</c:v>
                </c:pt>
                <c:pt idx="17">
                  <c:v>36.604100000000003</c:v>
                </c:pt>
                <c:pt idx="18">
                  <c:v>37.010100000000001</c:v>
                </c:pt>
                <c:pt idx="19">
                  <c:v>37.414700000000003</c:v>
                </c:pt>
                <c:pt idx="20">
                  <c:v>37.825899999999997</c:v>
                </c:pt>
                <c:pt idx="21">
                  <c:v>38.2288</c:v>
                </c:pt>
                <c:pt idx="22">
                  <c:v>38.637700000000002</c:v>
                </c:pt>
                <c:pt idx="23">
                  <c:v>39.0426</c:v>
                </c:pt>
                <c:pt idx="24">
                  <c:v>39.4467</c:v>
                </c:pt>
                <c:pt idx="25">
                  <c:v>39.853299999999997</c:v>
                </c:pt>
                <c:pt idx="26">
                  <c:v>40.264400000000002</c:v>
                </c:pt>
                <c:pt idx="27">
                  <c:v>40.668199999999999</c:v>
                </c:pt>
                <c:pt idx="28">
                  <c:v>41.072299999999998</c:v>
                </c:pt>
                <c:pt idx="29">
                  <c:v>41.481200000000001</c:v>
                </c:pt>
                <c:pt idx="30">
                  <c:v>41.889000000000003</c:v>
                </c:pt>
                <c:pt idx="31">
                  <c:v>42.294899999999998</c:v>
                </c:pt>
                <c:pt idx="32">
                  <c:v>42.6997</c:v>
                </c:pt>
                <c:pt idx="33">
                  <c:v>43.102699999999999</c:v>
                </c:pt>
                <c:pt idx="34">
                  <c:v>43.512700000000002</c:v>
                </c:pt>
                <c:pt idx="35">
                  <c:v>43.916600000000003</c:v>
                </c:pt>
                <c:pt idx="36">
                  <c:v>44.322299999999998</c:v>
                </c:pt>
                <c:pt idx="37">
                  <c:v>44.728499999999997</c:v>
                </c:pt>
                <c:pt idx="38">
                  <c:v>45.138300000000001</c:v>
                </c:pt>
                <c:pt idx="39">
                  <c:v>45.539299999999997</c:v>
                </c:pt>
                <c:pt idx="40">
                  <c:v>45.950099999999999</c:v>
                </c:pt>
                <c:pt idx="41">
                  <c:v>46.353000000000002</c:v>
                </c:pt>
                <c:pt idx="42">
                  <c:v>46.759099999999997</c:v>
                </c:pt>
                <c:pt idx="43">
                  <c:v>47.170299999999997</c:v>
                </c:pt>
                <c:pt idx="44">
                  <c:v>47.575899999999997</c:v>
                </c:pt>
                <c:pt idx="45">
                  <c:v>47.9816</c:v>
                </c:pt>
                <c:pt idx="46">
                  <c:v>48.384599999999999</c:v>
                </c:pt>
                <c:pt idx="47">
                  <c:v>48.793599999999998</c:v>
                </c:pt>
                <c:pt idx="48">
                  <c:v>49.198399999999999</c:v>
                </c:pt>
                <c:pt idx="49">
                  <c:v>49.606400000000001</c:v>
                </c:pt>
                <c:pt idx="50">
                  <c:v>50.012099999999997</c:v>
                </c:pt>
                <c:pt idx="51">
                  <c:v>50.416200000000003</c:v>
                </c:pt>
                <c:pt idx="52">
                  <c:v>50.824399999999997</c:v>
                </c:pt>
                <c:pt idx="53">
                  <c:v>51.231000000000002</c:v>
                </c:pt>
                <c:pt idx="54">
                  <c:v>51.637900000000002</c:v>
                </c:pt>
                <c:pt idx="55">
                  <c:v>52.045999999999999</c:v>
                </c:pt>
                <c:pt idx="56">
                  <c:v>52.447800000000001</c:v>
                </c:pt>
                <c:pt idx="57">
                  <c:v>52.854700000000001</c:v>
                </c:pt>
                <c:pt idx="58">
                  <c:v>53.262599999999999</c:v>
                </c:pt>
                <c:pt idx="59">
                  <c:v>53.672499999999999</c:v>
                </c:pt>
                <c:pt idx="60">
                  <c:v>54.072400000000002</c:v>
                </c:pt>
                <c:pt idx="61">
                  <c:v>54.479599999999998</c:v>
                </c:pt>
                <c:pt idx="62">
                  <c:v>54.887599999999999</c:v>
                </c:pt>
                <c:pt idx="63">
                  <c:v>55.291499999999999</c:v>
                </c:pt>
                <c:pt idx="64">
                  <c:v>55.701000000000001</c:v>
                </c:pt>
                <c:pt idx="65">
                  <c:v>56.107199999999999</c:v>
                </c:pt>
                <c:pt idx="66">
                  <c:v>56.510899999999999</c:v>
                </c:pt>
                <c:pt idx="67">
                  <c:v>56.916400000000003</c:v>
                </c:pt>
                <c:pt idx="68">
                  <c:v>57.323999999999998</c:v>
                </c:pt>
                <c:pt idx="69">
                  <c:v>57.726500000000001</c:v>
                </c:pt>
                <c:pt idx="70">
                  <c:v>58.137599999999999</c:v>
                </c:pt>
                <c:pt idx="71">
                  <c:v>58.542900000000003</c:v>
                </c:pt>
                <c:pt idx="72">
                  <c:v>58.947299999999998</c:v>
                </c:pt>
                <c:pt idx="73">
                  <c:v>59.354900000000001</c:v>
                </c:pt>
                <c:pt idx="74">
                  <c:v>59.7622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4.9418299999999995</c:v>
                </c:pt>
                <c:pt idx="1">
                  <c:v>4.93987</c:v>
                </c:pt>
                <c:pt idx="2">
                  <c:v>4.9384499999999996</c:v>
                </c:pt>
                <c:pt idx="3">
                  <c:v>4.9328899999999996</c:v>
                </c:pt>
                <c:pt idx="4">
                  <c:v>4.9257600000000004</c:v>
                </c:pt>
                <c:pt idx="5">
                  <c:v>4.9176900000000003</c:v>
                </c:pt>
                <c:pt idx="6">
                  <c:v>4.9060699999999997</c:v>
                </c:pt>
                <c:pt idx="7">
                  <c:v>4.89513</c:v>
                </c:pt>
                <c:pt idx="8">
                  <c:v>4.8822900000000002</c:v>
                </c:pt>
                <c:pt idx="9">
                  <c:v>4.8673500000000001</c:v>
                </c:pt>
                <c:pt idx="10">
                  <c:v>4.8530099999999994</c:v>
                </c:pt>
                <c:pt idx="11">
                  <c:v>4.8402099999999999</c:v>
                </c:pt>
                <c:pt idx="12">
                  <c:v>4.83094</c:v>
                </c:pt>
                <c:pt idx="13">
                  <c:v>4.8239400000000003</c:v>
                </c:pt>
                <c:pt idx="14">
                  <c:v>4.8184100000000001</c:v>
                </c:pt>
                <c:pt idx="15">
                  <c:v>4.8140999999999998</c:v>
                </c:pt>
                <c:pt idx="16">
                  <c:v>4.8148</c:v>
                </c:pt>
                <c:pt idx="17">
                  <c:v>4.8184100000000001</c:v>
                </c:pt>
                <c:pt idx="18">
                  <c:v>4.8237300000000003</c:v>
                </c:pt>
                <c:pt idx="19">
                  <c:v>4.8310599999999999</c:v>
                </c:pt>
                <c:pt idx="20">
                  <c:v>4.8411200000000001</c:v>
                </c:pt>
                <c:pt idx="21">
                  <c:v>4.8499499999999998</c:v>
                </c:pt>
                <c:pt idx="22">
                  <c:v>4.8561100000000001</c:v>
                </c:pt>
                <c:pt idx="23">
                  <c:v>4.86172</c:v>
                </c:pt>
                <c:pt idx="24">
                  <c:v>4.8693100000000005</c:v>
                </c:pt>
                <c:pt idx="25">
                  <c:v>4.8738700000000001</c:v>
                </c:pt>
                <c:pt idx="26">
                  <c:v>4.8809399999999998</c:v>
                </c:pt>
                <c:pt idx="27">
                  <c:v>4.8861799999999995</c:v>
                </c:pt>
                <c:pt idx="28">
                  <c:v>4.8900800000000002</c:v>
                </c:pt>
                <c:pt idx="29">
                  <c:v>4.8947400000000005</c:v>
                </c:pt>
                <c:pt idx="30">
                  <c:v>4.90198</c:v>
                </c:pt>
                <c:pt idx="31">
                  <c:v>4.9117800000000003</c:v>
                </c:pt>
                <c:pt idx="32">
                  <c:v>4.92197</c:v>
                </c:pt>
                <c:pt idx="33">
                  <c:v>4.9323899999999998</c:v>
                </c:pt>
                <c:pt idx="34">
                  <c:v>4.94428</c:v>
                </c:pt>
                <c:pt idx="35">
                  <c:v>4.9583700000000004</c:v>
                </c:pt>
                <c:pt idx="36">
                  <c:v>4.9731899999999998</c:v>
                </c:pt>
                <c:pt idx="37">
                  <c:v>4.9819599999999999</c:v>
                </c:pt>
                <c:pt idx="38">
                  <c:v>4.9885200000000003</c:v>
                </c:pt>
                <c:pt idx="39">
                  <c:v>4.9943</c:v>
                </c:pt>
                <c:pt idx="40">
                  <c:v>5.0002500000000003</c:v>
                </c:pt>
                <c:pt idx="41">
                  <c:v>5.0068800000000007</c:v>
                </c:pt>
                <c:pt idx="42">
                  <c:v>5.01126</c:v>
                </c:pt>
                <c:pt idx="43">
                  <c:v>5.0162800000000001</c:v>
                </c:pt>
                <c:pt idx="44">
                  <c:v>5.01912</c:v>
                </c:pt>
                <c:pt idx="45">
                  <c:v>5.0208600000000008</c:v>
                </c:pt>
                <c:pt idx="46">
                  <c:v>5.0229800000000004</c:v>
                </c:pt>
                <c:pt idx="47">
                  <c:v>5.0258599999999998</c:v>
                </c:pt>
                <c:pt idx="48">
                  <c:v>5.0278100000000006</c:v>
                </c:pt>
                <c:pt idx="49">
                  <c:v>5.0258599999999998</c:v>
                </c:pt>
                <c:pt idx="50">
                  <c:v>5.0234999999999994</c:v>
                </c:pt>
                <c:pt idx="51">
                  <c:v>5.0251299999999999</c:v>
                </c:pt>
                <c:pt idx="52">
                  <c:v>5.0288399999999998</c:v>
                </c:pt>
                <c:pt idx="53">
                  <c:v>5.0362600000000004</c:v>
                </c:pt>
                <c:pt idx="54">
                  <c:v>5.0424500000000005</c:v>
                </c:pt>
                <c:pt idx="55">
                  <c:v>5.0464200000000003</c:v>
                </c:pt>
                <c:pt idx="56">
                  <c:v>5.0486200000000006</c:v>
                </c:pt>
                <c:pt idx="57">
                  <c:v>5.05</c:v>
                </c:pt>
                <c:pt idx="58">
                  <c:v>5.0510999999999999</c:v>
                </c:pt>
                <c:pt idx="59">
                  <c:v>5.0519099999999995</c:v>
                </c:pt>
                <c:pt idx="60">
                  <c:v>5.0481400000000001</c:v>
                </c:pt>
                <c:pt idx="61">
                  <c:v>5.04366</c:v>
                </c:pt>
                <c:pt idx="62">
                  <c:v>5.0451100000000002</c:v>
                </c:pt>
                <c:pt idx="63">
                  <c:v>5.0488</c:v>
                </c:pt>
                <c:pt idx="64">
                  <c:v>5.0520500000000004</c:v>
                </c:pt>
                <c:pt idx="65">
                  <c:v>5.0551700000000004</c:v>
                </c:pt>
                <c:pt idx="66">
                  <c:v>5.0493800000000002</c:v>
                </c:pt>
                <c:pt idx="67">
                  <c:v>5.0437399999999997</c:v>
                </c:pt>
                <c:pt idx="68">
                  <c:v>5.0359200000000008</c:v>
                </c:pt>
                <c:pt idx="69">
                  <c:v>5.0331000000000001</c:v>
                </c:pt>
                <c:pt idx="70">
                  <c:v>5.0204499999999994</c:v>
                </c:pt>
                <c:pt idx="71">
                  <c:v>5.0007999999999999</c:v>
                </c:pt>
                <c:pt idx="72">
                  <c:v>4.9709500000000002</c:v>
                </c:pt>
                <c:pt idx="73">
                  <c:v>4.9375099999999996</c:v>
                </c:pt>
                <c:pt idx="74">
                  <c:v>4.9131299999999998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14.94055</c:v>
                </c:pt>
                <c:pt idx="1">
                  <c:v>44.821649999999998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4.122890270270271</c:v>
                </c:pt>
                <c:pt idx="1">
                  <c:v>4.9535968918918929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0.39994099999999999</c:v>
                </c:pt>
                <c:pt idx="2">
                  <c:v>0.81088199999999999</c:v>
                </c:pt>
                <c:pt idx="3">
                  <c:v>1.21574</c:v>
                </c:pt>
                <c:pt idx="4">
                  <c:v>1.6217699999999999</c:v>
                </c:pt>
                <c:pt idx="5">
                  <c:v>2.0269599999999999</c:v>
                </c:pt>
                <c:pt idx="6">
                  <c:v>2.4311099999999999</c:v>
                </c:pt>
                <c:pt idx="7">
                  <c:v>2.8405200000000002</c:v>
                </c:pt>
                <c:pt idx="8">
                  <c:v>3.2446999999999999</c:v>
                </c:pt>
                <c:pt idx="9">
                  <c:v>3.6521599999999999</c:v>
                </c:pt>
                <c:pt idx="10">
                  <c:v>4.0593199999999996</c:v>
                </c:pt>
                <c:pt idx="11">
                  <c:v>4.4630099999999997</c:v>
                </c:pt>
                <c:pt idx="12">
                  <c:v>4.8742099999999997</c:v>
                </c:pt>
                <c:pt idx="13">
                  <c:v>5.2769599999999999</c:v>
                </c:pt>
                <c:pt idx="14">
                  <c:v>5.6788400000000001</c:v>
                </c:pt>
                <c:pt idx="15">
                  <c:v>6.0927300000000004</c:v>
                </c:pt>
                <c:pt idx="16">
                  <c:v>6.4948199999999998</c:v>
                </c:pt>
                <c:pt idx="17">
                  <c:v>6.9035799999999998</c:v>
                </c:pt>
                <c:pt idx="18">
                  <c:v>7.30776</c:v>
                </c:pt>
                <c:pt idx="19">
                  <c:v>7.7115799999999997</c:v>
                </c:pt>
                <c:pt idx="20">
                  <c:v>8.1184100000000008</c:v>
                </c:pt>
                <c:pt idx="21">
                  <c:v>8.52379</c:v>
                </c:pt>
                <c:pt idx="22">
                  <c:v>8.9340499999999992</c:v>
                </c:pt>
                <c:pt idx="23">
                  <c:v>9.34</c:v>
                </c:pt>
                <c:pt idx="24">
                  <c:v>9.7448999999999995</c:v>
                </c:pt>
                <c:pt idx="25">
                  <c:v>10.152100000000001</c:v>
                </c:pt>
                <c:pt idx="26">
                  <c:v>10.5588</c:v>
                </c:pt>
                <c:pt idx="27">
                  <c:v>10.966799999999999</c:v>
                </c:pt>
                <c:pt idx="28">
                  <c:v>11.3705</c:v>
                </c:pt>
                <c:pt idx="29">
                  <c:v>11.7776</c:v>
                </c:pt>
                <c:pt idx="30">
                  <c:v>12.1806</c:v>
                </c:pt>
                <c:pt idx="31">
                  <c:v>12.5906</c:v>
                </c:pt>
                <c:pt idx="32">
                  <c:v>12.998200000000001</c:v>
                </c:pt>
                <c:pt idx="33">
                  <c:v>13.404199999999999</c:v>
                </c:pt>
                <c:pt idx="34">
                  <c:v>13.805300000000001</c:v>
                </c:pt>
                <c:pt idx="35">
                  <c:v>14.211499999999999</c:v>
                </c:pt>
                <c:pt idx="36">
                  <c:v>14.620200000000001</c:v>
                </c:pt>
                <c:pt idx="37">
                  <c:v>15.0246</c:v>
                </c:pt>
                <c:pt idx="38">
                  <c:v>15.4328</c:v>
                </c:pt>
                <c:pt idx="39">
                  <c:v>15.839600000000001</c:v>
                </c:pt>
                <c:pt idx="40">
                  <c:v>16.242699999999999</c:v>
                </c:pt>
                <c:pt idx="41">
                  <c:v>16.6496</c:v>
                </c:pt>
                <c:pt idx="42">
                  <c:v>17.063500000000001</c:v>
                </c:pt>
                <c:pt idx="43">
                  <c:v>17.4663</c:v>
                </c:pt>
                <c:pt idx="44">
                  <c:v>17.871099999999998</c:v>
                </c:pt>
                <c:pt idx="45">
                  <c:v>18.275200000000002</c:v>
                </c:pt>
                <c:pt idx="46">
                  <c:v>18.681799999999999</c:v>
                </c:pt>
                <c:pt idx="47">
                  <c:v>19.091200000000001</c:v>
                </c:pt>
                <c:pt idx="48">
                  <c:v>19.498899999999999</c:v>
                </c:pt>
                <c:pt idx="49">
                  <c:v>19.9038</c:v>
                </c:pt>
                <c:pt idx="50">
                  <c:v>20.308700000000002</c:v>
                </c:pt>
                <c:pt idx="51">
                  <c:v>20.7105</c:v>
                </c:pt>
                <c:pt idx="52">
                  <c:v>21.122499999999999</c:v>
                </c:pt>
                <c:pt idx="53">
                  <c:v>21.523900000000001</c:v>
                </c:pt>
                <c:pt idx="54">
                  <c:v>21.9299</c:v>
                </c:pt>
                <c:pt idx="55">
                  <c:v>22.3428</c:v>
                </c:pt>
                <c:pt idx="56">
                  <c:v>22.746300000000002</c:v>
                </c:pt>
                <c:pt idx="57">
                  <c:v>23.152000000000001</c:v>
                </c:pt>
                <c:pt idx="58">
                  <c:v>23.557400000000001</c:v>
                </c:pt>
                <c:pt idx="59">
                  <c:v>23.963100000000001</c:v>
                </c:pt>
                <c:pt idx="60">
                  <c:v>24.372800000000002</c:v>
                </c:pt>
                <c:pt idx="61">
                  <c:v>24.7788</c:v>
                </c:pt>
                <c:pt idx="62">
                  <c:v>25.180199999999999</c:v>
                </c:pt>
                <c:pt idx="63">
                  <c:v>25.590900000000001</c:v>
                </c:pt>
                <c:pt idx="64">
                  <c:v>25.994700000000002</c:v>
                </c:pt>
                <c:pt idx="65">
                  <c:v>26.403300000000002</c:v>
                </c:pt>
                <c:pt idx="66">
                  <c:v>26.808499999999999</c:v>
                </c:pt>
                <c:pt idx="67">
                  <c:v>27.212299999999999</c:v>
                </c:pt>
                <c:pt idx="68">
                  <c:v>27.621099999999998</c:v>
                </c:pt>
                <c:pt idx="69">
                  <c:v>28.0242</c:v>
                </c:pt>
                <c:pt idx="70">
                  <c:v>28.4331</c:v>
                </c:pt>
                <c:pt idx="71">
                  <c:v>28.8398</c:v>
                </c:pt>
                <c:pt idx="72">
                  <c:v>29.2469</c:v>
                </c:pt>
                <c:pt idx="73">
                  <c:v>29.651700000000002</c:v>
                </c:pt>
                <c:pt idx="74">
                  <c:v>30.059100000000001</c:v>
                </c:pt>
                <c:pt idx="75">
                  <c:v>30.636099999999999</c:v>
                </c:pt>
                <c:pt idx="76">
                  <c:v>31.009</c:v>
                </c:pt>
                <c:pt idx="77">
                  <c:v>31.384399999999999</c:v>
                </c:pt>
                <c:pt idx="78">
                  <c:v>31.760999999999999</c:v>
                </c:pt>
                <c:pt idx="79">
                  <c:v>32.137900000000002</c:v>
                </c:pt>
                <c:pt idx="80">
                  <c:v>32.542000000000002</c:v>
                </c:pt>
                <c:pt idx="81">
                  <c:v>32.948</c:v>
                </c:pt>
                <c:pt idx="82">
                  <c:v>33.356099999999998</c:v>
                </c:pt>
                <c:pt idx="83">
                  <c:v>33.761200000000002</c:v>
                </c:pt>
                <c:pt idx="84">
                  <c:v>34.169600000000003</c:v>
                </c:pt>
                <c:pt idx="85">
                  <c:v>34.573599999999999</c:v>
                </c:pt>
                <c:pt idx="86">
                  <c:v>34.979399999999998</c:v>
                </c:pt>
                <c:pt idx="87">
                  <c:v>35.384500000000003</c:v>
                </c:pt>
                <c:pt idx="88">
                  <c:v>35.796300000000002</c:v>
                </c:pt>
                <c:pt idx="89">
                  <c:v>36.200200000000002</c:v>
                </c:pt>
                <c:pt idx="90">
                  <c:v>36.604100000000003</c:v>
                </c:pt>
                <c:pt idx="91">
                  <c:v>37.010100000000001</c:v>
                </c:pt>
                <c:pt idx="92">
                  <c:v>37.414700000000003</c:v>
                </c:pt>
                <c:pt idx="93">
                  <c:v>37.825899999999997</c:v>
                </c:pt>
                <c:pt idx="94">
                  <c:v>38.2288</c:v>
                </c:pt>
                <c:pt idx="95">
                  <c:v>38.637700000000002</c:v>
                </c:pt>
                <c:pt idx="96">
                  <c:v>39.0426</c:v>
                </c:pt>
                <c:pt idx="97">
                  <c:v>39.4467</c:v>
                </c:pt>
                <c:pt idx="98">
                  <c:v>39.853299999999997</c:v>
                </c:pt>
                <c:pt idx="99">
                  <c:v>40.264400000000002</c:v>
                </c:pt>
                <c:pt idx="100">
                  <c:v>40.668199999999999</c:v>
                </c:pt>
                <c:pt idx="101">
                  <c:v>41.072299999999998</c:v>
                </c:pt>
                <c:pt idx="102">
                  <c:v>41.481200000000001</c:v>
                </c:pt>
                <c:pt idx="103">
                  <c:v>41.889000000000003</c:v>
                </c:pt>
                <c:pt idx="104">
                  <c:v>42.294899999999998</c:v>
                </c:pt>
                <c:pt idx="105">
                  <c:v>42.6997</c:v>
                </c:pt>
                <c:pt idx="106">
                  <c:v>43.102699999999999</c:v>
                </c:pt>
                <c:pt idx="107">
                  <c:v>43.512700000000002</c:v>
                </c:pt>
                <c:pt idx="108">
                  <c:v>43.916600000000003</c:v>
                </c:pt>
                <c:pt idx="109">
                  <c:v>44.322299999999998</c:v>
                </c:pt>
                <c:pt idx="110">
                  <c:v>44.728499999999997</c:v>
                </c:pt>
                <c:pt idx="111">
                  <c:v>45.138300000000001</c:v>
                </c:pt>
                <c:pt idx="112">
                  <c:v>45.539299999999997</c:v>
                </c:pt>
                <c:pt idx="113">
                  <c:v>45.950099999999999</c:v>
                </c:pt>
                <c:pt idx="114">
                  <c:v>46.353000000000002</c:v>
                </c:pt>
                <c:pt idx="115">
                  <c:v>46.759099999999997</c:v>
                </c:pt>
                <c:pt idx="116">
                  <c:v>47.170299999999997</c:v>
                </c:pt>
                <c:pt idx="117">
                  <c:v>47.575899999999997</c:v>
                </c:pt>
                <c:pt idx="118">
                  <c:v>47.9816</c:v>
                </c:pt>
                <c:pt idx="119">
                  <c:v>48.384599999999999</c:v>
                </c:pt>
                <c:pt idx="120">
                  <c:v>48.793599999999998</c:v>
                </c:pt>
                <c:pt idx="121">
                  <c:v>49.198399999999999</c:v>
                </c:pt>
                <c:pt idx="122">
                  <c:v>49.606400000000001</c:v>
                </c:pt>
                <c:pt idx="123">
                  <c:v>50.012099999999997</c:v>
                </c:pt>
                <c:pt idx="124">
                  <c:v>50.416200000000003</c:v>
                </c:pt>
                <c:pt idx="125">
                  <c:v>50.824399999999997</c:v>
                </c:pt>
                <c:pt idx="126">
                  <c:v>51.231000000000002</c:v>
                </c:pt>
                <c:pt idx="127">
                  <c:v>51.637900000000002</c:v>
                </c:pt>
                <c:pt idx="128">
                  <c:v>52.045999999999999</c:v>
                </c:pt>
                <c:pt idx="129">
                  <c:v>52.447800000000001</c:v>
                </c:pt>
                <c:pt idx="130">
                  <c:v>52.854700000000001</c:v>
                </c:pt>
                <c:pt idx="131">
                  <c:v>53.262599999999999</c:v>
                </c:pt>
                <c:pt idx="132">
                  <c:v>53.672499999999999</c:v>
                </c:pt>
                <c:pt idx="133">
                  <c:v>54.072400000000002</c:v>
                </c:pt>
                <c:pt idx="134">
                  <c:v>54.479599999999998</c:v>
                </c:pt>
                <c:pt idx="135">
                  <c:v>54.887599999999999</c:v>
                </c:pt>
                <c:pt idx="136">
                  <c:v>55.291499999999999</c:v>
                </c:pt>
                <c:pt idx="137">
                  <c:v>55.701000000000001</c:v>
                </c:pt>
                <c:pt idx="138">
                  <c:v>56.107199999999999</c:v>
                </c:pt>
                <c:pt idx="139">
                  <c:v>56.510899999999999</c:v>
                </c:pt>
                <c:pt idx="140">
                  <c:v>56.916400000000003</c:v>
                </c:pt>
                <c:pt idx="141">
                  <c:v>57.323999999999998</c:v>
                </c:pt>
                <c:pt idx="142">
                  <c:v>57.726500000000001</c:v>
                </c:pt>
                <c:pt idx="143">
                  <c:v>58.137599999999999</c:v>
                </c:pt>
                <c:pt idx="144">
                  <c:v>58.542900000000003</c:v>
                </c:pt>
                <c:pt idx="145">
                  <c:v>58.947299999999998</c:v>
                </c:pt>
                <c:pt idx="146">
                  <c:v>59.354900000000001</c:v>
                </c:pt>
                <c:pt idx="147">
                  <c:v>59.7622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55.649499999999996</c:v>
                </c:pt>
                <c:pt idx="1">
                  <c:v>54.741199999999999</c:v>
                </c:pt>
                <c:pt idx="2">
                  <c:v>53.778099999999995</c:v>
                </c:pt>
                <c:pt idx="3">
                  <c:v>52.701299999999996</c:v>
                </c:pt>
                <c:pt idx="4">
                  <c:v>51.681299999999993</c:v>
                </c:pt>
                <c:pt idx="5">
                  <c:v>50.746899999999997</c:v>
                </c:pt>
                <c:pt idx="6">
                  <c:v>49.795899999999996</c:v>
                </c:pt>
                <c:pt idx="7">
                  <c:v>48.833599999999997</c:v>
                </c:pt>
                <c:pt idx="8">
                  <c:v>47.936199999999999</c:v>
                </c:pt>
                <c:pt idx="9">
                  <c:v>46.967500000000001</c:v>
                </c:pt>
                <c:pt idx="10">
                  <c:v>45.935900000000004</c:v>
                </c:pt>
                <c:pt idx="11">
                  <c:v>44.780300000000004</c:v>
                </c:pt>
                <c:pt idx="12">
                  <c:v>43.582700000000003</c:v>
                </c:pt>
                <c:pt idx="13">
                  <c:v>42.3277</c:v>
                </c:pt>
                <c:pt idx="14">
                  <c:v>41.320700000000002</c:v>
                </c:pt>
                <c:pt idx="15">
                  <c:v>40.476700000000001</c:v>
                </c:pt>
                <c:pt idx="16">
                  <c:v>39.706499999999998</c:v>
                </c:pt>
                <c:pt idx="17">
                  <c:v>38.907699999999998</c:v>
                </c:pt>
                <c:pt idx="18">
                  <c:v>38.227600000000002</c:v>
                </c:pt>
                <c:pt idx="19">
                  <c:v>37.7136</c:v>
                </c:pt>
                <c:pt idx="20">
                  <c:v>37.3855</c:v>
                </c:pt>
                <c:pt idx="21">
                  <c:v>37.176500000000004</c:v>
                </c:pt>
                <c:pt idx="22">
                  <c:v>37.088799999999999</c:v>
                </c:pt>
                <c:pt idx="23">
                  <c:v>37.160700000000006</c:v>
                </c:pt>
                <c:pt idx="24">
                  <c:v>37.270600000000002</c:v>
                </c:pt>
                <c:pt idx="25">
                  <c:v>37.412600000000005</c:v>
                </c:pt>
                <c:pt idx="26">
                  <c:v>37.570300000000003</c:v>
                </c:pt>
                <c:pt idx="27">
                  <c:v>37.702200000000005</c:v>
                </c:pt>
                <c:pt idx="28">
                  <c:v>37.811699999999995</c:v>
                </c:pt>
                <c:pt idx="29">
                  <c:v>37.874699999999997</c:v>
                </c:pt>
                <c:pt idx="30">
                  <c:v>37.863900000000001</c:v>
                </c:pt>
                <c:pt idx="31">
                  <c:v>37.799500000000002</c:v>
                </c:pt>
                <c:pt idx="32">
                  <c:v>37.6494</c:v>
                </c:pt>
                <c:pt idx="33">
                  <c:v>37.431199999999997</c:v>
                </c:pt>
                <c:pt idx="34">
                  <c:v>37.256299999999996</c:v>
                </c:pt>
                <c:pt idx="35">
                  <c:v>37.095599999999997</c:v>
                </c:pt>
                <c:pt idx="36">
                  <c:v>36.938500000000005</c:v>
                </c:pt>
                <c:pt idx="37">
                  <c:v>36.7714</c:v>
                </c:pt>
                <c:pt idx="38">
                  <c:v>36.664400000000001</c:v>
                </c:pt>
                <c:pt idx="39">
                  <c:v>36.5852</c:v>
                </c:pt>
                <c:pt idx="40">
                  <c:v>36.5411</c:v>
                </c:pt>
                <c:pt idx="41">
                  <c:v>36.500700000000002</c:v>
                </c:pt>
                <c:pt idx="42">
                  <c:v>36.486200000000004</c:v>
                </c:pt>
                <c:pt idx="43">
                  <c:v>36.457299999999996</c:v>
                </c:pt>
                <c:pt idx="44">
                  <c:v>36.421199999999999</c:v>
                </c:pt>
                <c:pt idx="45">
                  <c:v>36.382100000000001</c:v>
                </c:pt>
                <c:pt idx="46">
                  <c:v>36.335000000000001</c:v>
                </c:pt>
                <c:pt idx="47">
                  <c:v>36.237000000000002</c:v>
                </c:pt>
                <c:pt idx="48">
                  <c:v>36.094999999999999</c:v>
                </c:pt>
                <c:pt idx="49">
                  <c:v>35.954599999999999</c:v>
                </c:pt>
                <c:pt idx="50">
                  <c:v>35.854100000000003</c:v>
                </c:pt>
                <c:pt idx="51">
                  <c:v>35.717599999999997</c:v>
                </c:pt>
                <c:pt idx="52">
                  <c:v>35.539300000000004</c:v>
                </c:pt>
                <c:pt idx="53">
                  <c:v>35.358400000000003</c:v>
                </c:pt>
                <c:pt idx="54">
                  <c:v>35.164499999999997</c:v>
                </c:pt>
                <c:pt idx="55">
                  <c:v>34.943000000000005</c:v>
                </c:pt>
                <c:pt idx="56">
                  <c:v>34.644999999999996</c:v>
                </c:pt>
                <c:pt idx="57">
                  <c:v>34.526400000000002</c:v>
                </c:pt>
                <c:pt idx="58">
                  <c:v>34.2273</c:v>
                </c:pt>
                <c:pt idx="59">
                  <c:v>34.093000000000004</c:v>
                </c:pt>
                <c:pt idx="60">
                  <c:v>33.9925</c:v>
                </c:pt>
                <c:pt idx="61">
                  <c:v>33.917999999999999</c:v>
                </c:pt>
                <c:pt idx="62">
                  <c:v>33.821600000000004</c:v>
                </c:pt>
                <c:pt idx="63">
                  <c:v>33.7072</c:v>
                </c:pt>
                <c:pt idx="64">
                  <c:v>33.631599999999999</c:v>
                </c:pt>
                <c:pt idx="65">
                  <c:v>33.601500000000001</c:v>
                </c:pt>
                <c:pt idx="66">
                  <c:v>33.538400000000003</c:v>
                </c:pt>
                <c:pt idx="67">
                  <c:v>33.476199999999999</c:v>
                </c:pt>
                <c:pt idx="68">
                  <c:v>33.454899999999995</c:v>
                </c:pt>
                <c:pt idx="69">
                  <c:v>33.43</c:v>
                </c:pt>
                <c:pt idx="70">
                  <c:v>33.428600000000003</c:v>
                </c:pt>
                <c:pt idx="71">
                  <c:v>33.342799999999997</c:v>
                </c:pt>
                <c:pt idx="72">
                  <c:v>33.273899999999998</c:v>
                </c:pt>
                <c:pt idx="73">
                  <c:v>33.200299999999999</c:v>
                </c:pt>
                <c:pt idx="74">
                  <c:v>33.058300000000003</c:v>
                </c:pt>
                <c:pt idx="75">
                  <c:v>32.934699999999999</c:v>
                </c:pt>
                <c:pt idx="76">
                  <c:v>32.805299999999995</c:v>
                </c:pt>
                <c:pt idx="77">
                  <c:v>32.673299999999998</c:v>
                </c:pt>
                <c:pt idx="78">
                  <c:v>32.5623</c:v>
                </c:pt>
                <c:pt idx="79">
                  <c:v>32.513199999999998</c:v>
                </c:pt>
                <c:pt idx="80">
                  <c:v>32.491999999999997</c:v>
                </c:pt>
                <c:pt idx="81">
                  <c:v>32.552500000000002</c:v>
                </c:pt>
                <c:pt idx="82">
                  <c:v>32.660699999999999</c:v>
                </c:pt>
                <c:pt idx="83">
                  <c:v>32.7667</c:v>
                </c:pt>
                <c:pt idx="84">
                  <c:v>32.837699999999998</c:v>
                </c:pt>
                <c:pt idx="85">
                  <c:v>32.8581</c:v>
                </c:pt>
                <c:pt idx="86">
                  <c:v>32.855000000000004</c:v>
                </c:pt>
                <c:pt idx="87">
                  <c:v>32.825500000000005</c:v>
                </c:pt>
                <c:pt idx="88">
                  <c:v>32.786700000000003</c:v>
                </c:pt>
                <c:pt idx="89">
                  <c:v>32.668999999999997</c:v>
                </c:pt>
                <c:pt idx="90">
                  <c:v>32.488099999999996</c:v>
                </c:pt>
                <c:pt idx="91">
                  <c:v>32.355499999999999</c:v>
                </c:pt>
                <c:pt idx="92">
                  <c:v>32.226799999999997</c:v>
                </c:pt>
                <c:pt idx="93">
                  <c:v>32.059599999999996</c:v>
                </c:pt>
                <c:pt idx="94">
                  <c:v>31.903500000000001</c:v>
                </c:pt>
                <c:pt idx="95">
                  <c:v>31.9056</c:v>
                </c:pt>
                <c:pt idx="96">
                  <c:v>31.970199999999998</c:v>
                </c:pt>
                <c:pt idx="97">
                  <c:v>32.030799999999999</c:v>
                </c:pt>
                <c:pt idx="98">
                  <c:v>32.158900000000003</c:v>
                </c:pt>
                <c:pt idx="99">
                  <c:v>32.2316</c:v>
                </c:pt>
                <c:pt idx="100">
                  <c:v>32.329700000000003</c:v>
                </c:pt>
                <c:pt idx="101">
                  <c:v>32.429099999999998</c:v>
                </c:pt>
                <c:pt idx="102">
                  <c:v>32.517000000000003</c:v>
                </c:pt>
                <c:pt idx="103">
                  <c:v>32.554000000000002</c:v>
                </c:pt>
                <c:pt idx="104">
                  <c:v>32.573599999999999</c:v>
                </c:pt>
                <c:pt idx="105">
                  <c:v>32.569099999999999</c:v>
                </c:pt>
                <c:pt idx="106">
                  <c:v>32.522099999999995</c:v>
                </c:pt>
                <c:pt idx="107">
                  <c:v>32.447600000000001</c:v>
                </c:pt>
                <c:pt idx="108">
                  <c:v>32.344200000000001</c:v>
                </c:pt>
                <c:pt idx="109">
                  <c:v>32.243400000000001</c:v>
                </c:pt>
                <c:pt idx="110">
                  <c:v>32.163699999999999</c:v>
                </c:pt>
                <c:pt idx="111">
                  <c:v>32.127899999999997</c:v>
                </c:pt>
                <c:pt idx="112">
                  <c:v>32.162300000000002</c:v>
                </c:pt>
                <c:pt idx="113">
                  <c:v>32.222000000000001</c:v>
                </c:pt>
                <c:pt idx="114">
                  <c:v>32.269599999999997</c:v>
                </c:pt>
                <c:pt idx="115">
                  <c:v>32.331199999999995</c:v>
                </c:pt>
                <c:pt idx="116">
                  <c:v>32.3444</c:v>
                </c:pt>
                <c:pt idx="117">
                  <c:v>32.348300000000002</c:v>
                </c:pt>
                <c:pt idx="118">
                  <c:v>32.391100000000002</c:v>
                </c:pt>
                <c:pt idx="119">
                  <c:v>32.401200000000003</c:v>
                </c:pt>
                <c:pt idx="120">
                  <c:v>32.2973</c:v>
                </c:pt>
                <c:pt idx="121">
                  <c:v>32.1892</c:v>
                </c:pt>
                <c:pt idx="122">
                  <c:v>32.1143</c:v>
                </c:pt>
                <c:pt idx="123">
                  <c:v>32.027699999999996</c:v>
                </c:pt>
                <c:pt idx="124">
                  <c:v>31.937700000000003</c:v>
                </c:pt>
                <c:pt idx="125">
                  <c:v>31.844899999999999</c:v>
                </c:pt>
                <c:pt idx="126">
                  <c:v>31.784299999999998</c:v>
                </c:pt>
                <c:pt idx="127">
                  <c:v>31.757800000000003</c:v>
                </c:pt>
                <c:pt idx="128">
                  <c:v>31.755299999999998</c:v>
                </c:pt>
                <c:pt idx="129">
                  <c:v>31.735200000000003</c:v>
                </c:pt>
                <c:pt idx="130">
                  <c:v>31.709599999999998</c:v>
                </c:pt>
                <c:pt idx="131">
                  <c:v>31.694800000000001</c:v>
                </c:pt>
                <c:pt idx="132">
                  <c:v>31.707800000000002</c:v>
                </c:pt>
                <c:pt idx="133">
                  <c:v>31.770900000000001</c:v>
                </c:pt>
                <c:pt idx="134">
                  <c:v>31.843100000000003</c:v>
                </c:pt>
                <c:pt idx="135">
                  <c:v>31.9224</c:v>
                </c:pt>
                <c:pt idx="136">
                  <c:v>31.9559</c:v>
                </c:pt>
                <c:pt idx="137">
                  <c:v>31.916</c:v>
                </c:pt>
                <c:pt idx="138">
                  <c:v>31.818099999999998</c:v>
                </c:pt>
                <c:pt idx="139">
                  <c:v>31.806600000000003</c:v>
                </c:pt>
                <c:pt idx="140">
                  <c:v>31.7622</c:v>
                </c:pt>
                <c:pt idx="141">
                  <c:v>31.844000000000001</c:v>
                </c:pt>
                <c:pt idx="142">
                  <c:v>31.909700000000001</c:v>
                </c:pt>
                <c:pt idx="143">
                  <c:v>31.919900000000002</c:v>
                </c:pt>
                <c:pt idx="144">
                  <c:v>32.040100000000002</c:v>
                </c:pt>
                <c:pt idx="145">
                  <c:v>32.337600000000002</c:v>
                </c:pt>
                <c:pt idx="146">
                  <c:v>32.792500000000004</c:v>
                </c:pt>
                <c:pt idx="147">
                  <c:v>32.909599999999998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0.39994099999999999</c:v>
                </c:pt>
                <c:pt idx="2">
                  <c:v>0.81088199999999999</c:v>
                </c:pt>
                <c:pt idx="3">
                  <c:v>1.21574</c:v>
                </c:pt>
                <c:pt idx="4">
                  <c:v>1.6217699999999999</c:v>
                </c:pt>
                <c:pt idx="5">
                  <c:v>2.0269599999999999</c:v>
                </c:pt>
                <c:pt idx="6">
                  <c:v>2.4311099999999999</c:v>
                </c:pt>
                <c:pt idx="7">
                  <c:v>2.8405200000000002</c:v>
                </c:pt>
                <c:pt idx="8">
                  <c:v>3.2446999999999999</c:v>
                </c:pt>
                <c:pt idx="9">
                  <c:v>3.6521599999999999</c:v>
                </c:pt>
                <c:pt idx="10">
                  <c:v>4.0593199999999996</c:v>
                </c:pt>
                <c:pt idx="11">
                  <c:v>4.4630099999999997</c:v>
                </c:pt>
                <c:pt idx="12">
                  <c:v>4.8742099999999997</c:v>
                </c:pt>
                <c:pt idx="13">
                  <c:v>5.2769599999999999</c:v>
                </c:pt>
                <c:pt idx="14">
                  <c:v>5.6788400000000001</c:v>
                </c:pt>
                <c:pt idx="15">
                  <c:v>6.0927300000000004</c:v>
                </c:pt>
                <c:pt idx="16">
                  <c:v>6.4948199999999998</c:v>
                </c:pt>
                <c:pt idx="17">
                  <c:v>6.9035799999999998</c:v>
                </c:pt>
                <c:pt idx="18">
                  <c:v>7.30776</c:v>
                </c:pt>
                <c:pt idx="19">
                  <c:v>7.7115799999999997</c:v>
                </c:pt>
                <c:pt idx="20">
                  <c:v>8.1184100000000008</c:v>
                </c:pt>
                <c:pt idx="21">
                  <c:v>8.52379</c:v>
                </c:pt>
                <c:pt idx="22">
                  <c:v>8.9340499999999992</c:v>
                </c:pt>
                <c:pt idx="23">
                  <c:v>9.34</c:v>
                </c:pt>
                <c:pt idx="24">
                  <c:v>9.7448999999999995</c:v>
                </c:pt>
                <c:pt idx="25">
                  <c:v>10.152100000000001</c:v>
                </c:pt>
                <c:pt idx="26">
                  <c:v>10.5588</c:v>
                </c:pt>
                <c:pt idx="27">
                  <c:v>10.966799999999999</c:v>
                </c:pt>
                <c:pt idx="28">
                  <c:v>11.3705</c:v>
                </c:pt>
                <c:pt idx="29">
                  <c:v>11.7776</c:v>
                </c:pt>
                <c:pt idx="30">
                  <c:v>12.1806</c:v>
                </c:pt>
                <c:pt idx="31">
                  <c:v>12.5906</c:v>
                </c:pt>
                <c:pt idx="32">
                  <c:v>12.998200000000001</c:v>
                </c:pt>
                <c:pt idx="33">
                  <c:v>13.404199999999999</c:v>
                </c:pt>
                <c:pt idx="34">
                  <c:v>13.805300000000001</c:v>
                </c:pt>
                <c:pt idx="35">
                  <c:v>14.211499999999999</c:v>
                </c:pt>
                <c:pt idx="36">
                  <c:v>14.620200000000001</c:v>
                </c:pt>
                <c:pt idx="37">
                  <c:v>15.0246</c:v>
                </c:pt>
                <c:pt idx="38">
                  <c:v>15.4328</c:v>
                </c:pt>
                <c:pt idx="39">
                  <c:v>15.839600000000001</c:v>
                </c:pt>
                <c:pt idx="40">
                  <c:v>16.242699999999999</c:v>
                </c:pt>
                <c:pt idx="41">
                  <c:v>16.6496</c:v>
                </c:pt>
                <c:pt idx="42">
                  <c:v>17.063500000000001</c:v>
                </c:pt>
                <c:pt idx="43">
                  <c:v>17.4663</c:v>
                </c:pt>
                <c:pt idx="44">
                  <c:v>17.871099999999998</c:v>
                </c:pt>
                <c:pt idx="45">
                  <c:v>18.275200000000002</c:v>
                </c:pt>
                <c:pt idx="46">
                  <c:v>18.681799999999999</c:v>
                </c:pt>
                <c:pt idx="47">
                  <c:v>19.091200000000001</c:v>
                </c:pt>
                <c:pt idx="48">
                  <c:v>19.498899999999999</c:v>
                </c:pt>
                <c:pt idx="49">
                  <c:v>19.9038</c:v>
                </c:pt>
                <c:pt idx="50">
                  <c:v>20.308700000000002</c:v>
                </c:pt>
                <c:pt idx="51">
                  <c:v>20.7105</c:v>
                </c:pt>
                <c:pt idx="52">
                  <c:v>21.122499999999999</c:v>
                </c:pt>
                <c:pt idx="53">
                  <c:v>21.523900000000001</c:v>
                </c:pt>
                <c:pt idx="54">
                  <c:v>21.9299</c:v>
                </c:pt>
                <c:pt idx="55">
                  <c:v>22.3428</c:v>
                </c:pt>
                <c:pt idx="56">
                  <c:v>22.746300000000002</c:v>
                </c:pt>
                <c:pt idx="57">
                  <c:v>23.152000000000001</c:v>
                </c:pt>
                <c:pt idx="58">
                  <c:v>23.557400000000001</c:v>
                </c:pt>
                <c:pt idx="59">
                  <c:v>23.963100000000001</c:v>
                </c:pt>
                <c:pt idx="60">
                  <c:v>24.372800000000002</c:v>
                </c:pt>
                <c:pt idx="61">
                  <c:v>24.7788</c:v>
                </c:pt>
                <c:pt idx="62">
                  <c:v>25.180199999999999</c:v>
                </c:pt>
                <c:pt idx="63">
                  <c:v>25.590900000000001</c:v>
                </c:pt>
                <c:pt idx="64">
                  <c:v>25.994700000000002</c:v>
                </c:pt>
                <c:pt idx="65">
                  <c:v>26.403300000000002</c:v>
                </c:pt>
                <c:pt idx="66">
                  <c:v>26.808499999999999</c:v>
                </c:pt>
                <c:pt idx="67">
                  <c:v>27.212299999999999</c:v>
                </c:pt>
                <c:pt idx="68">
                  <c:v>27.621099999999998</c:v>
                </c:pt>
                <c:pt idx="69">
                  <c:v>28.0242</c:v>
                </c:pt>
                <c:pt idx="70">
                  <c:v>28.4331</c:v>
                </c:pt>
                <c:pt idx="71">
                  <c:v>28.8398</c:v>
                </c:pt>
                <c:pt idx="72">
                  <c:v>29.2469</c:v>
                </c:pt>
                <c:pt idx="73">
                  <c:v>29.651700000000002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55.649499999999996</c:v>
                </c:pt>
                <c:pt idx="1">
                  <c:v>54.741199999999999</c:v>
                </c:pt>
                <c:pt idx="2">
                  <c:v>53.778099999999995</c:v>
                </c:pt>
                <c:pt idx="3">
                  <c:v>52.701299999999996</c:v>
                </c:pt>
                <c:pt idx="4">
                  <c:v>51.681299999999993</c:v>
                </c:pt>
                <c:pt idx="5">
                  <c:v>50.746899999999997</c:v>
                </c:pt>
                <c:pt idx="6">
                  <c:v>49.795899999999996</c:v>
                </c:pt>
                <c:pt idx="7">
                  <c:v>48.833599999999997</c:v>
                </c:pt>
                <c:pt idx="8">
                  <c:v>47.936199999999999</c:v>
                </c:pt>
                <c:pt idx="9">
                  <c:v>46.967500000000001</c:v>
                </c:pt>
                <c:pt idx="10">
                  <c:v>45.935900000000004</c:v>
                </c:pt>
                <c:pt idx="11">
                  <c:v>44.780300000000004</c:v>
                </c:pt>
                <c:pt idx="12">
                  <c:v>43.582700000000003</c:v>
                </c:pt>
                <c:pt idx="13">
                  <c:v>42.3277</c:v>
                </c:pt>
                <c:pt idx="14">
                  <c:v>41.320700000000002</c:v>
                </c:pt>
                <c:pt idx="15">
                  <c:v>40.476700000000001</c:v>
                </c:pt>
                <c:pt idx="16">
                  <c:v>39.706499999999998</c:v>
                </c:pt>
                <c:pt idx="17">
                  <c:v>38.907699999999998</c:v>
                </c:pt>
                <c:pt idx="18">
                  <c:v>38.227600000000002</c:v>
                </c:pt>
                <c:pt idx="19">
                  <c:v>37.7136</c:v>
                </c:pt>
                <c:pt idx="20">
                  <c:v>37.3855</c:v>
                </c:pt>
                <c:pt idx="21">
                  <c:v>37.176500000000004</c:v>
                </c:pt>
                <c:pt idx="22">
                  <c:v>37.088799999999999</c:v>
                </c:pt>
                <c:pt idx="23">
                  <c:v>37.160700000000006</c:v>
                </c:pt>
                <c:pt idx="24">
                  <c:v>37.270600000000002</c:v>
                </c:pt>
                <c:pt idx="25">
                  <c:v>37.412600000000005</c:v>
                </c:pt>
                <c:pt idx="26">
                  <c:v>37.570300000000003</c:v>
                </c:pt>
                <c:pt idx="27">
                  <c:v>37.702200000000005</c:v>
                </c:pt>
                <c:pt idx="28">
                  <c:v>37.811699999999995</c:v>
                </c:pt>
                <c:pt idx="29">
                  <c:v>37.874699999999997</c:v>
                </c:pt>
                <c:pt idx="30">
                  <c:v>37.863900000000001</c:v>
                </c:pt>
                <c:pt idx="31">
                  <c:v>37.799500000000002</c:v>
                </c:pt>
                <c:pt idx="32">
                  <c:v>37.6494</c:v>
                </c:pt>
                <c:pt idx="33">
                  <c:v>37.431199999999997</c:v>
                </c:pt>
                <c:pt idx="34">
                  <c:v>37.256299999999996</c:v>
                </c:pt>
                <c:pt idx="35">
                  <c:v>37.095599999999997</c:v>
                </c:pt>
                <c:pt idx="36">
                  <c:v>36.938500000000005</c:v>
                </c:pt>
                <c:pt idx="37">
                  <c:v>36.7714</c:v>
                </c:pt>
                <c:pt idx="38">
                  <c:v>36.664400000000001</c:v>
                </c:pt>
                <c:pt idx="39">
                  <c:v>36.5852</c:v>
                </c:pt>
                <c:pt idx="40">
                  <c:v>36.5411</c:v>
                </c:pt>
                <c:pt idx="41">
                  <c:v>36.500700000000002</c:v>
                </c:pt>
                <c:pt idx="42">
                  <c:v>36.486200000000004</c:v>
                </c:pt>
                <c:pt idx="43">
                  <c:v>36.457299999999996</c:v>
                </c:pt>
                <c:pt idx="44">
                  <c:v>36.421199999999999</c:v>
                </c:pt>
                <c:pt idx="45">
                  <c:v>36.382100000000001</c:v>
                </c:pt>
                <c:pt idx="46">
                  <c:v>36.335000000000001</c:v>
                </c:pt>
                <c:pt idx="47">
                  <c:v>36.237000000000002</c:v>
                </c:pt>
                <c:pt idx="48">
                  <c:v>36.094999999999999</c:v>
                </c:pt>
                <c:pt idx="49">
                  <c:v>35.954599999999999</c:v>
                </c:pt>
                <c:pt idx="50">
                  <c:v>35.854100000000003</c:v>
                </c:pt>
                <c:pt idx="51">
                  <c:v>35.717599999999997</c:v>
                </c:pt>
                <c:pt idx="52">
                  <c:v>35.539300000000004</c:v>
                </c:pt>
                <c:pt idx="53">
                  <c:v>35.358400000000003</c:v>
                </c:pt>
                <c:pt idx="54">
                  <c:v>35.164499999999997</c:v>
                </c:pt>
                <c:pt idx="55">
                  <c:v>34.943000000000005</c:v>
                </c:pt>
                <c:pt idx="56">
                  <c:v>34.644999999999996</c:v>
                </c:pt>
                <c:pt idx="57">
                  <c:v>34.526400000000002</c:v>
                </c:pt>
                <c:pt idx="58">
                  <c:v>34.2273</c:v>
                </c:pt>
                <c:pt idx="59">
                  <c:v>34.093000000000004</c:v>
                </c:pt>
                <c:pt idx="60">
                  <c:v>33.9925</c:v>
                </c:pt>
                <c:pt idx="61">
                  <c:v>33.917999999999999</c:v>
                </c:pt>
                <c:pt idx="62">
                  <c:v>33.821600000000004</c:v>
                </c:pt>
                <c:pt idx="63">
                  <c:v>33.7072</c:v>
                </c:pt>
                <c:pt idx="64">
                  <c:v>33.631599999999999</c:v>
                </c:pt>
                <c:pt idx="65">
                  <c:v>33.601500000000001</c:v>
                </c:pt>
                <c:pt idx="66">
                  <c:v>33.538400000000003</c:v>
                </c:pt>
                <c:pt idx="67">
                  <c:v>33.476199999999999</c:v>
                </c:pt>
                <c:pt idx="68">
                  <c:v>33.454899999999995</c:v>
                </c:pt>
                <c:pt idx="69">
                  <c:v>33.43</c:v>
                </c:pt>
                <c:pt idx="70">
                  <c:v>33.428600000000003</c:v>
                </c:pt>
                <c:pt idx="71">
                  <c:v>33.342799999999997</c:v>
                </c:pt>
                <c:pt idx="72">
                  <c:v>33.273899999999998</c:v>
                </c:pt>
                <c:pt idx="73">
                  <c:v>33.200299999999999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29.651700000000002</c:v>
                </c:pt>
                <c:pt idx="1">
                  <c:v>30.059100000000001</c:v>
                </c:pt>
                <c:pt idx="2">
                  <c:v>30.636099999999999</c:v>
                </c:pt>
                <c:pt idx="3">
                  <c:v>31.009</c:v>
                </c:pt>
                <c:pt idx="4">
                  <c:v>31.384399999999999</c:v>
                </c:pt>
                <c:pt idx="5">
                  <c:v>31.760999999999999</c:v>
                </c:pt>
                <c:pt idx="6">
                  <c:v>32.137900000000002</c:v>
                </c:pt>
                <c:pt idx="7">
                  <c:v>32.542000000000002</c:v>
                </c:pt>
                <c:pt idx="8">
                  <c:v>32.948</c:v>
                </c:pt>
                <c:pt idx="9">
                  <c:v>33.356099999999998</c:v>
                </c:pt>
                <c:pt idx="10">
                  <c:v>33.761200000000002</c:v>
                </c:pt>
                <c:pt idx="11">
                  <c:v>34.169600000000003</c:v>
                </c:pt>
                <c:pt idx="12">
                  <c:v>34.573599999999999</c:v>
                </c:pt>
                <c:pt idx="13">
                  <c:v>34.979399999999998</c:v>
                </c:pt>
                <c:pt idx="14">
                  <c:v>35.384500000000003</c:v>
                </c:pt>
                <c:pt idx="15">
                  <c:v>35.796300000000002</c:v>
                </c:pt>
                <c:pt idx="16">
                  <c:v>36.200200000000002</c:v>
                </c:pt>
                <c:pt idx="17">
                  <c:v>36.604100000000003</c:v>
                </c:pt>
                <c:pt idx="18">
                  <c:v>37.010100000000001</c:v>
                </c:pt>
                <c:pt idx="19">
                  <c:v>37.414700000000003</c:v>
                </c:pt>
                <c:pt idx="20">
                  <c:v>37.825899999999997</c:v>
                </c:pt>
                <c:pt idx="21">
                  <c:v>38.2288</c:v>
                </c:pt>
                <c:pt idx="22">
                  <c:v>38.637700000000002</c:v>
                </c:pt>
                <c:pt idx="23">
                  <c:v>39.0426</c:v>
                </c:pt>
                <c:pt idx="24">
                  <c:v>39.4467</c:v>
                </c:pt>
                <c:pt idx="25">
                  <c:v>39.853299999999997</c:v>
                </c:pt>
                <c:pt idx="26">
                  <c:v>40.264400000000002</c:v>
                </c:pt>
                <c:pt idx="27">
                  <c:v>40.668199999999999</c:v>
                </c:pt>
                <c:pt idx="28">
                  <c:v>41.072299999999998</c:v>
                </c:pt>
                <c:pt idx="29">
                  <c:v>41.481200000000001</c:v>
                </c:pt>
                <c:pt idx="30">
                  <c:v>41.889000000000003</c:v>
                </c:pt>
                <c:pt idx="31">
                  <c:v>42.294899999999998</c:v>
                </c:pt>
                <c:pt idx="32">
                  <c:v>42.6997</c:v>
                </c:pt>
                <c:pt idx="33">
                  <c:v>43.102699999999999</c:v>
                </c:pt>
                <c:pt idx="34">
                  <c:v>43.512700000000002</c:v>
                </c:pt>
                <c:pt idx="35">
                  <c:v>43.916600000000003</c:v>
                </c:pt>
                <c:pt idx="36">
                  <c:v>44.322299999999998</c:v>
                </c:pt>
                <c:pt idx="37">
                  <c:v>44.728499999999997</c:v>
                </c:pt>
                <c:pt idx="38">
                  <c:v>45.138300000000001</c:v>
                </c:pt>
                <c:pt idx="39">
                  <c:v>45.539299999999997</c:v>
                </c:pt>
                <c:pt idx="40">
                  <c:v>45.950099999999999</c:v>
                </c:pt>
                <c:pt idx="41">
                  <c:v>46.353000000000002</c:v>
                </c:pt>
                <c:pt idx="42">
                  <c:v>46.759099999999997</c:v>
                </c:pt>
                <c:pt idx="43">
                  <c:v>47.170299999999997</c:v>
                </c:pt>
                <c:pt idx="44">
                  <c:v>47.575899999999997</c:v>
                </c:pt>
                <c:pt idx="45">
                  <c:v>47.9816</c:v>
                </c:pt>
                <c:pt idx="46">
                  <c:v>48.384599999999999</c:v>
                </c:pt>
                <c:pt idx="47">
                  <c:v>48.793599999999998</c:v>
                </c:pt>
                <c:pt idx="48">
                  <c:v>49.198399999999999</c:v>
                </c:pt>
                <c:pt idx="49">
                  <c:v>49.606400000000001</c:v>
                </c:pt>
                <c:pt idx="50">
                  <c:v>50.012099999999997</c:v>
                </c:pt>
                <c:pt idx="51">
                  <c:v>50.416200000000003</c:v>
                </c:pt>
                <c:pt idx="52">
                  <c:v>50.824399999999997</c:v>
                </c:pt>
                <c:pt idx="53">
                  <c:v>51.231000000000002</c:v>
                </c:pt>
                <c:pt idx="54">
                  <c:v>51.637900000000002</c:v>
                </c:pt>
                <c:pt idx="55">
                  <c:v>52.045999999999999</c:v>
                </c:pt>
                <c:pt idx="56">
                  <c:v>52.447800000000001</c:v>
                </c:pt>
                <c:pt idx="57">
                  <c:v>52.854700000000001</c:v>
                </c:pt>
                <c:pt idx="58">
                  <c:v>53.262599999999999</c:v>
                </c:pt>
                <c:pt idx="59">
                  <c:v>53.672499999999999</c:v>
                </c:pt>
                <c:pt idx="60">
                  <c:v>54.072400000000002</c:v>
                </c:pt>
                <c:pt idx="61">
                  <c:v>54.479599999999998</c:v>
                </c:pt>
                <c:pt idx="62">
                  <c:v>54.887599999999999</c:v>
                </c:pt>
                <c:pt idx="63">
                  <c:v>55.291499999999999</c:v>
                </c:pt>
                <c:pt idx="64">
                  <c:v>55.701000000000001</c:v>
                </c:pt>
                <c:pt idx="65">
                  <c:v>56.107199999999999</c:v>
                </c:pt>
                <c:pt idx="66">
                  <c:v>56.510899999999999</c:v>
                </c:pt>
                <c:pt idx="67">
                  <c:v>56.916400000000003</c:v>
                </c:pt>
                <c:pt idx="68">
                  <c:v>57.323999999999998</c:v>
                </c:pt>
                <c:pt idx="69">
                  <c:v>57.726500000000001</c:v>
                </c:pt>
                <c:pt idx="70">
                  <c:v>58.137599999999999</c:v>
                </c:pt>
                <c:pt idx="71">
                  <c:v>58.542900000000003</c:v>
                </c:pt>
                <c:pt idx="72">
                  <c:v>58.947299999999998</c:v>
                </c:pt>
                <c:pt idx="73">
                  <c:v>59.354900000000001</c:v>
                </c:pt>
                <c:pt idx="74">
                  <c:v>59.7622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33.200299999999999</c:v>
                </c:pt>
                <c:pt idx="1">
                  <c:v>33.058300000000003</c:v>
                </c:pt>
                <c:pt idx="2">
                  <c:v>32.934699999999999</c:v>
                </c:pt>
                <c:pt idx="3">
                  <c:v>32.805299999999995</c:v>
                </c:pt>
                <c:pt idx="4">
                  <c:v>32.673299999999998</c:v>
                </c:pt>
                <c:pt idx="5">
                  <c:v>32.5623</c:v>
                </c:pt>
                <c:pt idx="6">
                  <c:v>32.513199999999998</c:v>
                </c:pt>
                <c:pt idx="7">
                  <c:v>32.491999999999997</c:v>
                </c:pt>
                <c:pt idx="8">
                  <c:v>32.552500000000002</c:v>
                </c:pt>
                <c:pt idx="9">
                  <c:v>32.660699999999999</c:v>
                </c:pt>
                <c:pt idx="10">
                  <c:v>32.7667</c:v>
                </c:pt>
                <c:pt idx="11">
                  <c:v>32.837699999999998</c:v>
                </c:pt>
                <c:pt idx="12">
                  <c:v>32.8581</c:v>
                </c:pt>
                <c:pt idx="13">
                  <c:v>32.855000000000004</c:v>
                </c:pt>
                <c:pt idx="14">
                  <c:v>32.825500000000005</c:v>
                </c:pt>
                <c:pt idx="15">
                  <c:v>32.786700000000003</c:v>
                </c:pt>
                <c:pt idx="16">
                  <c:v>32.668999999999997</c:v>
                </c:pt>
                <c:pt idx="17">
                  <c:v>32.488099999999996</c:v>
                </c:pt>
                <c:pt idx="18">
                  <c:v>32.355499999999999</c:v>
                </c:pt>
                <c:pt idx="19">
                  <c:v>32.226799999999997</c:v>
                </c:pt>
                <c:pt idx="20">
                  <c:v>32.059599999999996</c:v>
                </c:pt>
                <c:pt idx="21">
                  <c:v>31.903500000000001</c:v>
                </c:pt>
                <c:pt idx="22">
                  <c:v>31.9056</c:v>
                </c:pt>
                <c:pt idx="23">
                  <c:v>31.970199999999998</c:v>
                </c:pt>
                <c:pt idx="24">
                  <c:v>32.030799999999999</c:v>
                </c:pt>
                <c:pt idx="25">
                  <c:v>32.158900000000003</c:v>
                </c:pt>
                <c:pt idx="26">
                  <c:v>32.2316</c:v>
                </c:pt>
                <c:pt idx="27">
                  <c:v>32.329700000000003</c:v>
                </c:pt>
                <c:pt idx="28">
                  <c:v>32.429099999999998</c:v>
                </c:pt>
                <c:pt idx="29">
                  <c:v>32.517000000000003</c:v>
                </c:pt>
                <c:pt idx="30">
                  <c:v>32.554000000000002</c:v>
                </c:pt>
                <c:pt idx="31">
                  <c:v>32.573599999999999</c:v>
                </c:pt>
                <c:pt idx="32">
                  <c:v>32.569099999999999</c:v>
                </c:pt>
                <c:pt idx="33">
                  <c:v>32.522099999999995</c:v>
                </c:pt>
                <c:pt idx="34">
                  <c:v>32.447600000000001</c:v>
                </c:pt>
                <c:pt idx="35">
                  <c:v>32.344200000000001</c:v>
                </c:pt>
                <c:pt idx="36">
                  <c:v>32.243400000000001</c:v>
                </c:pt>
                <c:pt idx="37">
                  <c:v>32.163699999999999</c:v>
                </c:pt>
                <c:pt idx="38">
                  <c:v>32.127899999999997</c:v>
                </c:pt>
                <c:pt idx="39">
                  <c:v>32.162300000000002</c:v>
                </c:pt>
                <c:pt idx="40">
                  <c:v>32.222000000000001</c:v>
                </c:pt>
                <c:pt idx="41">
                  <c:v>32.269599999999997</c:v>
                </c:pt>
                <c:pt idx="42">
                  <c:v>32.331199999999995</c:v>
                </c:pt>
                <c:pt idx="43">
                  <c:v>32.3444</c:v>
                </c:pt>
                <c:pt idx="44">
                  <c:v>32.348300000000002</c:v>
                </c:pt>
                <c:pt idx="45">
                  <c:v>32.391100000000002</c:v>
                </c:pt>
                <c:pt idx="46">
                  <c:v>32.401200000000003</c:v>
                </c:pt>
                <c:pt idx="47">
                  <c:v>32.2973</c:v>
                </c:pt>
                <c:pt idx="48">
                  <c:v>32.1892</c:v>
                </c:pt>
                <c:pt idx="49">
                  <c:v>32.1143</c:v>
                </c:pt>
                <c:pt idx="50">
                  <c:v>32.027699999999996</c:v>
                </c:pt>
                <c:pt idx="51">
                  <c:v>31.937700000000003</c:v>
                </c:pt>
                <c:pt idx="52">
                  <c:v>31.844899999999999</c:v>
                </c:pt>
                <c:pt idx="53">
                  <c:v>31.784299999999998</c:v>
                </c:pt>
                <c:pt idx="54">
                  <c:v>31.757800000000003</c:v>
                </c:pt>
                <c:pt idx="55">
                  <c:v>31.755299999999998</c:v>
                </c:pt>
                <c:pt idx="56">
                  <c:v>31.735200000000003</c:v>
                </c:pt>
                <c:pt idx="57">
                  <c:v>31.709599999999998</c:v>
                </c:pt>
                <c:pt idx="58">
                  <c:v>31.694800000000001</c:v>
                </c:pt>
                <c:pt idx="59">
                  <c:v>31.707800000000002</c:v>
                </c:pt>
                <c:pt idx="60">
                  <c:v>31.770900000000001</c:v>
                </c:pt>
                <c:pt idx="61">
                  <c:v>31.843100000000003</c:v>
                </c:pt>
                <c:pt idx="62">
                  <c:v>31.9224</c:v>
                </c:pt>
                <c:pt idx="63">
                  <c:v>31.9559</c:v>
                </c:pt>
                <c:pt idx="64">
                  <c:v>31.916</c:v>
                </c:pt>
                <c:pt idx="65">
                  <c:v>31.818099999999998</c:v>
                </c:pt>
                <c:pt idx="66">
                  <c:v>31.806600000000003</c:v>
                </c:pt>
                <c:pt idx="67">
                  <c:v>31.7622</c:v>
                </c:pt>
                <c:pt idx="68">
                  <c:v>31.844000000000001</c:v>
                </c:pt>
                <c:pt idx="69">
                  <c:v>31.909700000000001</c:v>
                </c:pt>
                <c:pt idx="70">
                  <c:v>31.919900000000002</c:v>
                </c:pt>
                <c:pt idx="71">
                  <c:v>32.040100000000002</c:v>
                </c:pt>
                <c:pt idx="72">
                  <c:v>32.337600000000002</c:v>
                </c:pt>
                <c:pt idx="73">
                  <c:v>32.792500000000004</c:v>
                </c:pt>
                <c:pt idx="74">
                  <c:v>32.909599999999998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14.94055</c:v>
                </c:pt>
                <c:pt idx="1">
                  <c:v>44.821649999999998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38.589408108108103</c:v>
                </c:pt>
                <c:pt idx="1">
                  <c:v>32.264562162162171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47.765000000000001</c:v>
                </c:pt>
                <c:pt idx="1">
                  <c:v>29.365100000000002</c:v>
                </c:pt>
                <c:pt idx="2">
                  <c:v>17.761099999999999</c:v>
                </c:pt>
                <c:pt idx="3">
                  <c:v>30.803599999999999</c:v>
                </c:pt>
                <c:pt idx="4">
                  <c:v>61.411799999999999</c:v>
                </c:pt>
                <c:pt idx="5">
                  <c:v>71.494399999999999</c:v>
                </c:pt>
                <c:pt idx="6">
                  <c:v>29.792100000000001</c:v>
                </c:pt>
                <c:pt idx="7">
                  <c:v>65.272099999999995</c:v>
                </c:pt>
                <c:pt idx="8">
                  <c:v>17.671900000000001</c:v>
                </c:pt>
                <c:pt idx="9">
                  <c:v>37.806699999999999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52.650700000000001</c:v>
                </c:pt>
                <c:pt idx="1">
                  <c:v>31.774899999999999</c:v>
                </c:pt>
                <c:pt idx="2">
                  <c:v>14.4404</c:v>
                </c:pt>
                <c:pt idx="3">
                  <c:v>33.225900000000003</c:v>
                </c:pt>
                <c:pt idx="4">
                  <c:v>62.722900000000003</c:v>
                </c:pt>
                <c:pt idx="5">
                  <c:v>63.519100000000002</c:v>
                </c:pt>
                <c:pt idx="6">
                  <c:v>36.126399999999997</c:v>
                </c:pt>
                <c:pt idx="7">
                  <c:v>63.021099999999997</c:v>
                </c:pt>
                <c:pt idx="8">
                  <c:v>21.485900000000001</c:v>
                </c:pt>
                <c:pt idx="9">
                  <c:v>26.9453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0.49065735961072904</c:v>
                </c:pt>
                <c:pt idx="1">
                  <c:v>0.27053108072275461</c:v>
                </c:pt>
                <c:pt idx="2">
                  <c:v>0.23881155966651629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1.929694117647059E-2</c:v>
                </c:pt>
                <c:pt idx="2">
                  <c:v>3.8593882352941179E-2</c:v>
                </c:pt>
                <c:pt idx="3">
                  <c:v>5.7890823529411765E-2</c:v>
                </c:pt>
                <c:pt idx="4">
                  <c:v>7.7187764705882358E-2</c:v>
                </c:pt>
                <c:pt idx="5">
                  <c:v>9.6484705882352945E-2</c:v>
                </c:pt>
                <c:pt idx="6">
                  <c:v>0.11578164705882353</c:v>
                </c:pt>
                <c:pt idx="7">
                  <c:v>0.13507858823529412</c:v>
                </c:pt>
                <c:pt idx="8">
                  <c:v>0.15437552941176472</c:v>
                </c:pt>
                <c:pt idx="9">
                  <c:v>0.17367247058823529</c:v>
                </c:pt>
                <c:pt idx="10">
                  <c:v>0.19296941176470589</c:v>
                </c:pt>
                <c:pt idx="11">
                  <c:v>0.21226635294117649</c:v>
                </c:pt>
                <c:pt idx="12">
                  <c:v>0.23156329411764706</c:v>
                </c:pt>
                <c:pt idx="13">
                  <c:v>0.25086023529411766</c:v>
                </c:pt>
                <c:pt idx="14">
                  <c:v>0.27015717647058823</c:v>
                </c:pt>
                <c:pt idx="15">
                  <c:v>0.28945411764705881</c:v>
                </c:pt>
                <c:pt idx="16">
                  <c:v>0.30875105882352943</c:v>
                </c:pt>
                <c:pt idx="17">
                  <c:v>0.32804800000000001</c:v>
                </c:pt>
                <c:pt idx="18">
                  <c:v>0.34734494117647058</c:v>
                </c:pt>
                <c:pt idx="19">
                  <c:v>0.36664188235294121</c:v>
                </c:pt>
                <c:pt idx="20">
                  <c:v>0.38593882352941178</c:v>
                </c:pt>
                <c:pt idx="21">
                  <c:v>0.40523576470588235</c:v>
                </c:pt>
                <c:pt idx="22">
                  <c:v>0.42453270588235298</c:v>
                </c:pt>
                <c:pt idx="23">
                  <c:v>0.44382964705882355</c:v>
                </c:pt>
                <c:pt idx="24">
                  <c:v>0.46312658823529412</c:v>
                </c:pt>
                <c:pt idx="25">
                  <c:v>0.4824235294117647</c:v>
                </c:pt>
                <c:pt idx="26">
                  <c:v>0.50172047058823532</c:v>
                </c:pt>
                <c:pt idx="27">
                  <c:v>0.52101741176470595</c:v>
                </c:pt>
                <c:pt idx="28">
                  <c:v>0.54031435294117647</c:v>
                </c:pt>
                <c:pt idx="29">
                  <c:v>0.5596112941176471</c:v>
                </c:pt>
                <c:pt idx="30">
                  <c:v>0.57890823529411761</c:v>
                </c:pt>
                <c:pt idx="31">
                  <c:v>0.59820517647058824</c:v>
                </c:pt>
                <c:pt idx="32">
                  <c:v>0.61750211764705887</c:v>
                </c:pt>
                <c:pt idx="33">
                  <c:v>0.6367990588235295</c:v>
                </c:pt>
                <c:pt idx="34">
                  <c:v>0.65609600000000001</c:v>
                </c:pt>
                <c:pt idx="35">
                  <c:v>0.67539294117647064</c:v>
                </c:pt>
                <c:pt idx="36">
                  <c:v>0.69468988235294116</c:v>
                </c:pt>
                <c:pt idx="37">
                  <c:v>0.7139868235294119</c:v>
                </c:pt>
                <c:pt idx="38">
                  <c:v>0.73328376470588241</c:v>
                </c:pt>
                <c:pt idx="39">
                  <c:v>0.75258070588235304</c:v>
                </c:pt>
                <c:pt idx="40">
                  <c:v>0.77187764705882356</c:v>
                </c:pt>
                <c:pt idx="41">
                  <c:v>0.79117458823529418</c:v>
                </c:pt>
                <c:pt idx="42">
                  <c:v>0.8104715294117647</c:v>
                </c:pt>
                <c:pt idx="43">
                  <c:v>0.82976847058823544</c:v>
                </c:pt>
                <c:pt idx="44">
                  <c:v>0.84906541176470596</c:v>
                </c:pt>
                <c:pt idx="45">
                  <c:v>0.86836235294117659</c:v>
                </c:pt>
                <c:pt idx="46">
                  <c:v>0.8876592941176471</c:v>
                </c:pt>
                <c:pt idx="47">
                  <c:v>0.90695623529411773</c:v>
                </c:pt>
                <c:pt idx="48">
                  <c:v>0.92625317647058825</c:v>
                </c:pt>
                <c:pt idx="49">
                  <c:v>0.94555011764705887</c:v>
                </c:pt>
                <c:pt idx="50">
                  <c:v>0.96484705882352939</c:v>
                </c:pt>
                <c:pt idx="51">
                  <c:v>0.98414400000000013</c:v>
                </c:pt>
                <c:pt idx="52">
                  <c:v>1.0034409411764706</c:v>
                </c:pt>
                <c:pt idx="53">
                  <c:v>1.0227378823529412</c:v>
                </c:pt>
                <c:pt idx="54">
                  <c:v>1.0420348235294119</c:v>
                </c:pt>
                <c:pt idx="55">
                  <c:v>1.0613317647058824</c:v>
                </c:pt>
                <c:pt idx="56">
                  <c:v>1.0806287058823529</c:v>
                </c:pt>
                <c:pt idx="57">
                  <c:v>1.0999256470588237</c:v>
                </c:pt>
                <c:pt idx="58">
                  <c:v>1.1192225882352942</c:v>
                </c:pt>
                <c:pt idx="59">
                  <c:v>1.1385195294117647</c:v>
                </c:pt>
                <c:pt idx="60">
                  <c:v>1.1578164705882352</c:v>
                </c:pt>
                <c:pt idx="61">
                  <c:v>1.177113411764706</c:v>
                </c:pt>
                <c:pt idx="62">
                  <c:v>1.1964103529411765</c:v>
                </c:pt>
                <c:pt idx="63">
                  <c:v>1.2157072941176472</c:v>
                </c:pt>
                <c:pt idx="64">
                  <c:v>1.2350042352941177</c:v>
                </c:pt>
                <c:pt idx="65">
                  <c:v>1.2543011764705883</c:v>
                </c:pt>
                <c:pt idx="66">
                  <c:v>1.273598117647059</c:v>
                </c:pt>
                <c:pt idx="67">
                  <c:v>1.2928950588235295</c:v>
                </c:pt>
                <c:pt idx="68">
                  <c:v>1.312192</c:v>
                </c:pt>
                <c:pt idx="69">
                  <c:v>1.3314889411764705</c:v>
                </c:pt>
                <c:pt idx="70">
                  <c:v>1.3507858823529413</c:v>
                </c:pt>
                <c:pt idx="71">
                  <c:v>1.3700828235294118</c:v>
                </c:pt>
                <c:pt idx="72">
                  <c:v>1.3893797647058823</c:v>
                </c:pt>
                <c:pt idx="73">
                  <c:v>1.4086767058823528</c:v>
                </c:pt>
                <c:pt idx="74">
                  <c:v>1.4279736470588238</c:v>
                </c:pt>
                <c:pt idx="75">
                  <c:v>1.4472705882352943</c:v>
                </c:pt>
                <c:pt idx="76">
                  <c:v>1.4665675294117648</c:v>
                </c:pt>
                <c:pt idx="77">
                  <c:v>1.4858644705882353</c:v>
                </c:pt>
                <c:pt idx="78">
                  <c:v>1.5051614117647061</c:v>
                </c:pt>
                <c:pt idx="79">
                  <c:v>1.5244583529411766</c:v>
                </c:pt>
                <c:pt idx="80">
                  <c:v>1.5437552941176471</c:v>
                </c:pt>
                <c:pt idx="81">
                  <c:v>1.5630522352941176</c:v>
                </c:pt>
                <c:pt idx="82">
                  <c:v>1.5823491764705884</c:v>
                </c:pt>
                <c:pt idx="83">
                  <c:v>1.6016461176470589</c:v>
                </c:pt>
                <c:pt idx="84">
                  <c:v>1.6209430588235294</c:v>
                </c:pt>
                <c:pt idx="85">
                  <c:v>1.6402399999999999</c:v>
                </c:pt>
                <c:pt idx="86">
                  <c:v>1.6595369411764709</c:v>
                </c:pt>
                <c:pt idx="87">
                  <c:v>1.6788338823529414</c:v>
                </c:pt>
                <c:pt idx="88">
                  <c:v>1.6981308235294119</c:v>
                </c:pt>
                <c:pt idx="89">
                  <c:v>1.7174277647058824</c:v>
                </c:pt>
                <c:pt idx="90">
                  <c:v>1.7367247058823532</c:v>
                </c:pt>
                <c:pt idx="91">
                  <c:v>1.7560216470588237</c:v>
                </c:pt>
                <c:pt idx="92">
                  <c:v>1.7753185882352942</c:v>
                </c:pt>
                <c:pt idx="93">
                  <c:v>1.7946155294117647</c:v>
                </c:pt>
                <c:pt idx="94">
                  <c:v>1.8139124705882355</c:v>
                </c:pt>
                <c:pt idx="95">
                  <c:v>1.833209411764706</c:v>
                </c:pt>
                <c:pt idx="96">
                  <c:v>1.8525063529411765</c:v>
                </c:pt>
                <c:pt idx="97">
                  <c:v>1.871803294117647</c:v>
                </c:pt>
                <c:pt idx="98">
                  <c:v>1.8911002352941177</c:v>
                </c:pt>
                <c:pt idx="99">
                  <c:v>1.9103971764705883</c:v>
                </c:pt>
                <c:pt idx="100">
                  <c:v>1.9296941176470588</c:v>
                </c:pt>
                <c:pt idx="101">
                  <c:v>1.9489910588235293</c:v>
                </c:pt>
                <c:pt idx="102">
                  <c:v>1.9682880000000003</c:v>
                </c:pt>
                <c:pt idx="103">
                  <c:v>1.9875849411764708</c:v>
                </c:pt>
                <c:pt idx="104">
                  <c:v>2.0068818823529413</c:v>
                </c:pt>
                <c:pt idx="105">
                  <c:v>2.0261788235294116</c:v>
                </c:pt>
                <c:pt idx="106">
                  <c:v>2.0454757647058823</c:v>
                </c:pt>
                <c:pt idx="107">
                  <c:v>2.0647727058823531</c:v>
                </c:pt>
                <c:pt idx="108">
                  <c:v>2.0840696470588238</c:v>
                </c:pt>
                <c:pt idx="109">
                  <c:v>2.1033665882352941</c:v>
                </c:pt>
                <c:pt idx="110">
                  <c:v>2.1226635294117648</c:v>
                </c:pt>
                <c:pt idx="111">
                  <c:v>2.1419604705882356</c:v>
                </c:pt>
                <c:pt idx="112">
                  <c:v>2.1612574117647059</c:v>
                </c:pt>
                <c:pt idx="113">
                  <c:v>2.1805543529411766</c:v>
                </c:pt>
                <c:pt idx="114">
                  <c:v>2.1998512941176473</c:v>
                </c:pt>
                <c:pt idx="115">
                  <c:v>2.2191482352941176</c:v>
                </c:pt>
                <c:pt idx="116">
                  <c:v>2.2384451764705884</c:v>
                </c:pt>
                <c:pt idx="117">
                  <c:v>2.2577421176470587</c:v>
                </c:pt>
                <c:pt idx="118">
                  <c:v>2.2770390588235294</c:v>
                </c:pt>
                <c:pt idx="119">
                  <c:v>2.2963360000000002</c:v>
                </c:pt>
                <c:pt idx="120">
                  <c:v>2.3156329411764704</c:v>
                </c:pt>
                <c:pt idx="121">
                  <c:v>2.3349298823529412</c:v>
                </c:pt>
                <c:pt idx="122">
                  <c:v>2.3542268235294119</c:v>
                </c:pt>
                <c:pt idx="123">
                  <c:v>2.3735237647058827</c:v>
                </c:pt>
                <c:pt idx="124">
                  <c:v>2.392820705882353</c:v>
                </c:pt>
                <c:pt idx="125">
                  <c:v>2.4121176470588237</c:v>
                </c:pt>
                <c:pt idx="126">
                  <c:v>2.4314145882352944</c:v>
                </c:pt>
                <c:pt idx="127">
                  <c:v>2.4507115294117647</c:v>
                </c:pt>
                <c:pt idx="128">
                  <c:v>2.4700084705882355</c:v>
                </c:pt>
                <c:pt idx="129">
                  <c:v>2.4893054117647058</c:v>
                </c:pt>
                <c:pt idx="130">
                  <c:v>2.5086023529411765</c:v>
                </c:pt>
                <c:pt idx="131">
                  <c:v>2.5278992941176468</c:v>
                </c:pt>
                <c:pt idx="132">
                  <c:v>2.547196235294118</c:v>
                </c:pt>
                <c:pt idx="133">
                  <c:v>2.5664931764705887</c:v>
                </c:pt>
                <c:pt idx="134">
                  <c:v>2.585790117647059</c:v>
                </c:pt>
                <c:pt idx="135">
                  <c:v>2.6050870588235298</c:v>
                </c:pt>
                <c:pt idx="136">
                  <c:v>2.6243840000000001</c:v>
                </c:pt>
                <c:pt idx="137">
                  <c:v>2.6436809411764708</c:v>
                </c:pt>
                <c:pt idx="138">
                  <c:v>2.6629778823529411</c:v>
                </c:pt>
                <c:pt idx="139">
                  <c:v>2.6822748235294118</c:v>
                </c:pt>
                <c:pt idx="140">
                  <c:v>2.7015717647058826</c:v>
                </c:pt>
                <c:pt idx="141">
                  <c:v>2.7208687058823533</c:v>
                </c:pt>
                <c:pt idx="142">
                  <c:v>2.7401656470588236</c:v>
                </c:pt>
                <c:pt idx="143">
                  <c:v>2.7594625882352943</c:v>
                </c:pt>
                <c:pt idx="144">
                  <c:v>2.7787595294117646</c:v>
                </c:pt>
                <c:pt idx="145">
                  <c:v>2.7980564705882354</c:v>
                </c:pt>
                <c:pt idx="146">
                  <c:v>2.8173534117647057</c:v>
                </c:pt>
                <c:pt idx="147">
                  <c:v>2.8366503529411764</c:v>
                </c:pt>
                <c:pt idx="148">
                  <c:v>2.8559472941176476</c:v>
                </c:pt>
                <c:pt idx="149">
                  <c:v>2.8752442352941179</c:v>
                </c:pt>
                <c:pt idx="150">
                  <c:v>2.8945411764705886</c:v>
                </c:pt>
                <c:pt idx="151">
                  <c:v>2.9138381176470589</c:v>
                </c:pt>
                <c:pt idx="152">
                  <c:v>2.9331350588235297</c:v>
                </c:pt>
                <c:pt idx="153">
                  <c:v>2.9524319999999999</c:v>
                </c:pt>
                <c:pt idx="154">
                  <c:v>2.9717289411764707</c:v>
                </c:pt>
                <c:pt idx="155">
                  <c:v>2.991025882352941</c:v>
                </c:pt>
                <c:pt idx="156">
                  <c:v>3.0103228235294122</c:v>
                </c:pt>
                <c:pt idx="157">
                  <c:v>3.0296197647058825</c:v>
                </c:pt>
                <c:pt idx="158">
                  <c:v>3.0489167058823532</c:v>
                </c:pt>
                <c:pt idx="159">
                  <c:v>3.0682136470588235</c:v>
                </c:pt>
                <c:pt idx="160">
                  <c:v>3.0875105882352942</c:v>
                </c:pt>
                <c:pt idx="161">
                  <c:v>3.1068075294117645</c:v>
                </c:pt>
                <c:pt idx="162">
                  <c:v>3.1261044705882353</c:v>
                </c:pt>
                <c:pt idx="163">
                  <c:v>3.1454014117647056</c:v>
                </c:pt>
                <c:pt idx="164">
                  <c:v>3.1646983529411767</c:v>
                </c:pt>
                <c:pt idx="165">
                  <c:v>3.1839952941176475</c:v>
                </c:pt>
                <c:pt idx="166">
                  <c:v>3.2032922352941178</c:v>
                </c:pt>
                <c:pt idx="167">
                  <c:v>3.2225891764705885</c:v>
                </c:pt>
                <c:pt idx="168">
                  <c:v>3.2418861176470588</c:v>
                </c:pt>
                <c:pt idx="169">
                  <c:v>3.2611830588235295</c:v>
                </c:pt>
                <c:pt idx="170">
                  <c:v>3.2804799999999998</c:v>
                </c:pt>
                <c:pt idx="171">
                  <c:v>3.2997769411764706</c:v>
                </c:pt>
                <c:pt idx="172">
                  <c:v>3.3190738823529418</c:v>
                </c:pt>
                <c:pt idx="173">
                  <c:v>3.3383708235294121</c:v>
                </c:pt>
                <c:pt idx="174">
                  <c:v>3.3576677647058828</c:v>
                </c:pt>
                <c:pt idx="175">
                  <c:v>3.3769647058823531</c:v>
                </c:pt>
                <c:pt idx="176">
                  <c:v>3.3962616470588238</c:v>
                </c:pt>
                <c:pt idx="177">
                  <c:v>3.4155585882352941</c:v>
                </c:pt>
                <c:pt idx="178">
                  <c:v>3.4348555294117649</c:v>
                </c:pt>
                <c:pt idx="179">
                  <c:v>3.4541524705882352</c:v>
                </c:pt>
                <c:pt idx="180">
                  <c:v>3.4734494117647063</c:v>
                </c:pt>
                <c:pt idx="181">
                  <c:v>3.4927463529411766</c:v>
                </c:pt>
                <c:pt idx="182">
                  <c:v>3.5120432941176474</c:v>
                </c:pt>
                <c:pt idx="183">
                  <c:v>3.5313402352941177</c:v>
                </c:pt>
                <c:pt idx="184">
                  <c:v>3.5506371764705884</c:v>
                </c:pt>
                <c:pt idx="185">
                  <c:v>3.5699341176470587</c:v>
                </c:pt>
                <c:pt idx="186">
                  <c:v>3.5892310588235294</c:v>
                </c:pt>
                <c:pt idx="187">
                  <c:v>3.6085279999999997</c:v>
                </c:pt>
                <c:pt idx="188">
                  <c:v>3.6278249411764709</c:v>
                </c:pt>
                <c:pt idx="189">
                  <c:v>3.6471218823529417</c:v>
                </c:pt>
                <c:pt idx="190">
                  <c:v>3.666418823529412</c:v>
                </c:pt>
                <c:pt idx="191">
                  <c:v>3.6857157647058827</c:v>
                </c:pt>
                <c:pt idx="192">
                  <c:v>3.705012705882353</c:v>
                </c:pt>
                <c:pt idx="193">
                  <c:v>3.7243096470588237</c:v>
                </c:pt>
                <c:pt idx="194">
                  <c:v>3.743606588235294</c:v>
                </c:pt>
                <c:pt idx="195">
                  <c:v>3.7629035294117648</c:v>
                </c:pt>
                <c:pt idx="196">
                  <c:v>3.7822004705882355</c:v>
                </c:pt>
                <c:pt idx="197">
                  <c:v>3.8014974117647062</c:v>
                </c:pt>
                <c:pt idx="198">
                  <c:v>3.8207943529411765</c:v>
                </c:pt>
                <c:pt idx="199">
                  <c:v>3.8400912941176473</c:v>
                </c:pt>
                <c:pt idx="200">
                  <c:v>3.8593882352941176</c:v>
                </c:pt>
                <c:pt idx="201">
                  <c:v>3.8786851764705883</c:v>
                </c:pt>
                <c:pt idx="202">
                  <c:v>3.8979821176470586</c:v>
                </c:pt>
                <c:pt idx="203">
                  <c:v>3.9172790588235293</c:v>
                </c:pt>
                <c:pt idx="204">
                  <c:v>3.9365760000000005</c:v>
                </c:pt>
                <c:pt idx="205">
                  <c:v>3.9558729411764708</c:v>
                </c:pt>
                <c:pt idx="206">
                  <c:v>3.9751698823529416</c:v>
                </c:pt>
                <c:pt idx="207">
                  <c:v>3.9944668235294118</c:v>
                </c:pt>
                <c:pt idx="208">
                  <c:v>4.0137637647058826</c:v>
                </c:pt>
                <c:pt idx="209">
                  <c:v>4.0330607058823533</c:v>
                </c:pt>
                <c:pt idx="210">
                  <c:v>4.0523576470588232</c:v>
                </c:pt>
                <c:pt idx="211">
                  <c:v>4.0716545882352939</c:v>
                </c:pt>
                <c:pt idx="212">
                  <c:v>4.0909515294117647</c:v>
                </c:pt>
                <c:pt idx="213">
                  <c:v>4.1102484705882354</c:v>
                </c:pt>
                <c:pt idx="214">
                  <c:v>4.1295454117647061</c:v>
                </c:pt>
                <c:pt idx="215">
                  <c:v>4.1488423529411769</c:v>
                </c:pt>
                <c:pt idx="216">
                  <c:v>4.1681392941176476</c:v>
                </c:pt>
                <c:pt idx="217">
                  <c:v>4.1874362352941175</c:v>
                </c:pt>
                <c:pt idx="218">
                  <c:v>4.2067331764705882</c:v>
                </c:pt>
                <c:pt idx="219">
                  <c:v>4.2260301176470589</c:v>
                </c:pt>
                <c:pt idx="220">
                  <c:v>4.2453270588235297</c:v>
                </c:pt>
                <c:pt idx="221">
                  <c:v>4.2646240000000004</c:v>
                </c:pt>
                <c:pt idx="222">
                  <c:v>4.2839209411764712</c:v>
                </c:pt>
                <c:pt idx="223">
                  <c:v>4.303217882352941</c:v>
                </c:pt>
                <c:pt idx="224">
                  <c:v>4.3225148235294117</c:v>
                </c:pt>
                <c:pt idx="225">
                  <c:v>4.3418117647058825</c:v>
                </c:pt>
                <c:pt idx="226">
                  <c:v>4.3611087058823532</c:v>
                </c:pt>
                <c:pt idx="227">
                  <c:v>4.3804056470588231</c:v>
                </c:pt>
                <c:pt idx="228">
                  <c:v>4.3997025882352947</c:v>
                </c:pt>
                <c:pt idx="229">
                  <c:v>4.4189995294117654</c:v>
                </c:pt>
                <c:pt idx="230">
                  <c:v>4.4382964705882353</c:v>
                </c:pt>
                <c:pt idx="231">
                  <c:v>4.457593411764706</c:v>
                </c:pt>
                <c:pt idx="232">
                  <c:v>4.4768903529411768</c:v>
                </c:pt>
                <c:pt idx="233">
                  <c:v>4.4961872941176475</c:v>
                </c:pt>
                <c:pt idx="234">
                  <c:v>4.5154842352941174</c:v>
                </c:pt>
                <c:pt idx="235">
                  <c:v>4.5347811764705881</c:v>
                </c:pt>
                <c:pt idx="236">
                  <c:v>4.5540781176470588</c:v>
                </c:pt>
                <c:pt idx="237">
                  <c:v>4.5733750588235296</c:v>
                </c:pt>
                <c:pt idx="238">
                  <c:v>4.5926720000000003</c:v>
                </c:pt>
                <c:pt idx="239">
                  <c:v>4.611968941176471</c:v>
                </c:pt>
                <c:pt idx="240">
                  <c:v>4.6312658823529409</c:v>
                </c:pt>
                <c:pt idx="241">
                  <c:v>4.6505628235294116</c:v>
                </c:pt>
                <c:pt idx="242">
                  <c:v>4.6698597647058824</c:v>
                </c:pt>
                <c:pt idx="243">
                  <c:v>4.6891567058823531</c:v>
                </c:pt>
                <c:pt idx="244">
                  <c:v>4.7084536470588239</c:v>
                </c:pt>
                <c:pt idx="245">
                  <c:v>4.7277505882352946</c:v>
                </c:pt>
                <c:pt idx="246">
                  <c:v>4.7470475294117653</c:v>
                </c:pt>
                <c:pt idx="247">
                  <c:v>4.7663444705882352</c:v>
                </c:pt>
                <c:pt idx="248">
                  <c:v>4.7856414117647059</c:v>
                </c:pt>
                <c:pt idx="249">
                  <c:v>4.8049383529411767</c:v>
                </c:pt>
                <c:pt idx="250">
                  <c:v>4.8242352941176474</c:v>
                </c:pt>
                <c:pt idx="251">
                  <c:v>4.8435322352941172</c:v>
                </c:pt>
                <c:pt idx="252">
                  <c:v>4.8628291764705889</c:v>
                </c:pt>
                <c:pt idx="253">
                  <c:v>4.8821261176470587</c:v>
                </c:pt>
                <c:pt idx="254">
                  <c:v>4.9014230588235295</c:v>
                </c:pt>
                <c:pt idx="255">
                  <c:v>4.9207200000000002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3255</c:v>
                </c:pt>
                <c:pt idx="7">
                  <c:v>0</c:v>
                </c:pt>
                <c:pt idx="8">
                  <c:v>1818</c:v>
                </c:pt>
                <c:pt idx="9">
                  <c:v>0</c:v>
                </c:pt>
                <c:pt idx="10">
                  <c:v>0</c:v>
                </c:pt>
                <c:pt idx="11">
                  <c:v>2745</c:v>
                </c:pt>
                <c:pt idx="12">
                  <c:v>0</c:v>
                </c:pt>
                <c:pt idx="13">
                  <c:v>1644</c:v>
                </c:pt>
                <c:pt idx="14">
                  <c:v>0</c:v>
                </c:pt>
                <c:pt idx="15">
                  <c:v>0</c:v>
                </c:pt>
                <c:pt idx="16">
                  <c:v>2851</c:v>
                </c:pt>
                <c:pt idx="17">
                  <c:v>0</c:v>
                </c:pt>
                <c:pt idx="18">
                  <c:v>0</c:v>
                </c:pt>
                <c:pt idx="19">
                  <c:v>4785</c:v>
                </c:pt>
                <c:pt idx="20">
                  <c:v>0</c:v>
                </c:pt>
                <c:pt idx="21">
                  <c:v>9503</c:v>
                </c:pt>
                <c:pt idx="22">
                  <c:v>0</c:v>
                </c:pt>
                <c:pt idx="23">
                  <c:v>0</c:v>
                </c:pt>
                <c:pt idx="24">
                  <c:v>12313</c:v>
                </c:pt>
                <c:pt idx="25">
                  <c:v>0</c:v>
                </c:pt>
                <c:pt idx="26">
                  <c:v>20789</c:v>
                </c:pt>
                <c:pt idx="27">
                  <c:v>0</c:v>
                </c:pt>
                <c:pt idx="28">
                  <c:v>0</c:v>
                </c:pt>
                <c:pt idx="29">
                  <c:v>21629</c:v>
                </c:pt>
                <c:pt idx="30">
                  <c:v>0</c:v>
                </c:pt>
                <c:pt idx="31">
                  <c:v>24357</c:v>
                </c:pt>
                <c:pt idx="32">
                  <c:v>0</c:v>
                </c:pt>
                <c:pt idx="33">
                  <c:v>0</c:v>
                </c:pt>
                <c:pt idx="34">
                  <c:v>27225</c:v>
                </c:pt>
                <c:pt idx="35">
                  <c:v>0</c:v>
                </c:pt>
                <c:pt idx="36">
                  <c:v>0</c:v>
                </c:pt>
                <c:pt idx="37">
                  <c:v>31675</c:v>
                </c:pt>
                <c:pt idx="38">
                  <c:v>0</c:v>
                </c:pt>
                <c:pt idx="39">
                  <c:v>34138</c:v>
                </c:pt>
                <c:pt idx="40">
                  <c:v>0</c:v>
                </c:pt>
                <c:pt idx="41">
                  <c:v>0</c:v>
                </c:pt>
                <c:pt idx="42">
                  <c:v>40145</c:v>
                </c:pt>
                <c:pt idx="43">
                  <c:v>0</c:v>
                </c:pt>
                <c:pt idx="44">
                  <c:v>41756</c:v>
                </c:pt>
                <c:pt idx="45">
                  <c:v>0</c:v>
                </c:pt>
                <c:pt idx="46">
                  <c:v>0</c:v>
                </c:pt>
                <c:pt idx="47">
                  <c:v>44665</c:v>
                </c:pt>
                <c:pt idx="48">
                  <c:v>0</c:v>
                </c:pt>
                <c:pt idx="49">
                  <c:v>43504</c:v>
                </c:pt>
                <c:pt idx="50">
                  <c:v>0</c:v>
                </c:pt>
                <c:pt idx="51">
                  <c:v>0</c:v>
                </c:pt>
                <c:pt idx="52">
                  <c:v>45512</c:v>
                </c:pt>
                <c:pt idx="53">
                  <c:v>0</c:v>
                </c:pt>
                <c:pt idx="54">
                  <c:v>0</c:v>
                </c:pt>
                <c:pt idx="55">
                  <c:v>48041</c:v>
                </c:pt>
                <c:pt idx="56">
                  <c:v>0</c:v>
                </c:pt>
                <c:pt idx="57">
                  <c:v>47993</c:v>
                </c:pt>
                <c:pt idx="58">
                  <c:v>0</c:v>
                </c:pt>
                <c:pt idx="59">
                  <c:v>0</c:v>
                </c:pt>
                <c:pt idx="60">
                  <c:v>44980</c:v>
                </c:pt>
                <c:pt idx="61">
                  <c:v>0</c:v>
                </c:pt>
                <c:pt idx="62">
                  <c:v>45007</c:v>
                </c:pt>
                <c:pt idx="63">
                  <c:v>0</c:v>
                </c:pt>
                <c:pt idx="64">
                  <c:v>0</c:v>
                </c:pt>
                <c:pt idx="65">
                  <c:v>46691</c:v>
                </c:pt>
                <c:pt idx="66">
                  <c:v>0</c:v>
                </c:pt>
                <c:pt idx="67">
                  <c:v>46798</c:v>
                </c:pt>
                <c:pt idx="68">
                  <c:v>0</c:v>
                </c:pt>
                <c:pt idx="69">
                  <c:v>0</c:v>
                </c:pt>
                <c:pt idx="70">
                  <c:v>46806</c:v>
                </c:pt>
                <c:pt idx="71">
                  <c:v>0</c:v>
                </c:pt>
                <c:pt idx="72">
                  <c:v>0</c:v>
                </c:pt>
                <c:pt idx="73">
                  <c:v>44931</c:v>
                </c:pt>
                <c:pt idx="74">
                  <c:v>0</c:v>
                </c:pt>
                <c:pt idx="75">
                  <c:v>44674</c:v>
                </c:pt>
                <c:pt idx="76">
                  <c:v>0</c:v>
                </c:pt>
                <c:pt idx="77">
                  <c:v>0</c:v>
                </c:pt>
                <c:pt idx="78">
                  <c:v>45689</c:v>
                </c:pt>
                <c:pt idx="79">
                  <c:v>0</c:v>
                </c:pt>
                <c:pt idx="80">
                  <c:v>43613</c:v>
                </c:pt>
                <c:pt idx="81">
                  <c:v>0</c:v>
                </c:pt>
                <c:pt idx="82">
                  <c:v>0</c:v>
                </c:pt>
                <c:pt idx="83">
                  <c:v>47120</c:v>
                </c:pt>
                <c:pt idx="84">
                  <c:v>0</c:v>
                </c:pt>
                <c:pt idx="85">
                  <c:v>0</c:v>
                </c:pt>
                <c:pt idx="86">
                  <c:v>50344</c:v>
                </c:pt>
                <c:pt idx="87">
                  <c:v>0</c:v>
                </c:pt>
                <c:pt idx="88">
                  <c:v>51534</c:v>
                </c:pt>
                <c:pt idx="89">
                  <c:v>0</c:v>
                </c:pt>
                <c:pt idx="90">
                  <c:v>0</c:v>
                </c:pt>
                <c:pt idx="91">
                  <c:v>53116</c:v>
                </c:pt>
                <c:pt idx="92">
                  <c:v>0</c:v>
                </c:pt>
                <c:pt idx="93">
                  <c:v>54841</c:v>
                </c:pt>
                <c:pt idx="94">
                  <c:v>0</c:v>
                </c:pt>
                <c:pt idx="95">
                  <c:v>0</c:v>
                </c:pt>
                <c:pt idx="96">
                  <c:v>51766</c:v>
                </c:pt>
                <c:pt idx="97">
                  <c:v>0</c:v>
                </c:pt>
                <c:pt idx="98">
                  <c:v>53791</c:v>
                </c:pt>
                <c:pt idx="99">
                  <c:v>0</c:v>
                </c:pt>
                <c:pt idx="100">
                  <c:v>0</c:v>
                </c:pt>
                <c:pt idx="101">
                  <c:v>50377</c:v>
                </c:pt>
                <c:pt idx="102">
                  <c:v>0</c:v>
                </c:pt>
                <c:pt idx="103">
                  <c:v>0</c:v>
                </c:pt>
                <c:pt idx="104">
                  <c:v>49011</c:v>
                </c:pt>
                <c:pt idx="105">
                  <c:v>0</c:v>
                </c:pt>
                <c:pt idx="106">
                  <c:v>55625</c:v>
                </c:pt>
                <c:pt idx="107">
                  <c:v>0</c:v>
                </c:pt>
                <c:pt idx="108">
                  <c:v>0</c:v>
                </c:pt>
                <c:pt idx="109">
                  <c:v>55033</c:v>
                </c:pt>
                <c:pt idx="110">
                  <c:v>0</c:v>
                </c:pt>
                <c:pt idx="111">
                  <c:v>54998</c:v>
                </c:pt>
                <c:pt idx="112">
                  <c:v>0</c:v>
                </c:pt>
                <c:pt idx="113">
                  <c:v>0</c:v>
                </c:pt>
                <c:pt idx="114">
                  <c:v>54575</c:v>
                </c:pt>
                <c:pt idx="115">
                  <c:v>0</c:v>
                </c:pt>
                <c:pt idx="116">
                  <c:v>59269</c:v>
                </c:pt>
                <c:pt idx="117">
                  <c:v>0</c:v>
                </c:pt>
                <c:pt idx="118">
                  <c:v>0</c:v>
                </c:pt>
                <c:pt idx="119">
                  <c:v>66903</c:v>
                </c:pt>
                <c:pt idx="120">
                  <c:v>0</c:v>
                </c:pt>
                <c:pt idx="121">
                  <c:v>0</c:v>
                </c:pt>
                <c:pt idx="122">
                  <c:v>64665</c:v>
                </c:pt>
                <c:pt idx="123">
                  <c:v>0</c:v>
                </c:pt>
                <c:pt idx="124">
                  <c:v>66919</c:v>
                </c:pt>
                <c:pt idx="125">
                  <c:v>0</c:v>
                </c:pt>
                <c:pt idx="126">
                  <c:v>0</c:v>
                </c:pt>
                <c:pt idx="127">
                  <c:v>73602</c:v>
                </c:pt>
                <c:pt idx="128">
                  <c:v>0</c:v>
                </c:pt>
                <c:pt idx="129">
                  <c:v>77384</c:v>
                </c:pt>
                <c:pt idx="130">
                  <c:v>0</c:v>
                </c:pt>
                <c:pt idx="131">
                  <c:v>0</c:v>
                </c:pt>
                <c:pt idx="132">
                  <c:v>68415</c:v>
                </c:pt>
                <c:pt idx="133">
                  <c:v>0</c:v>
                </c:pt>
                <c:pt idx="134">
                  <c:v>67624</c:v>
                </c:pt>
                <c:pt idx="135">
                  <c:v>0</c:v>
                </c:pt>
                <c:pt idx="136">
                  <c:v>0</c:v>
                </c:pt>
                <c:pt idx="137">
                  <c:v>66633</c:v>
                </c:pt>
                <c:pt idx="138">
                  <c:v>0</c:v>
                </c:pt>
                <c:pt idx="139">
                  <c:v>0</c:v>
                </c:pt>
                <c:pt idx="140">
                  <c:v>55861</c:v>
                </c:pt>
                <c:pt idx="141">
                  <c:v>0</c:v>
                </c:pt>
                <c:pt idx="142">
                  <c:v>51719</c:v>
                </c:pt>
                <c:pt idx="143">
                  <c:v>0</c:v>
                </c:pt>
                <c:pt idx="144">
                  <c:v>0</c:v>
                </c:pt>
                <c:pt idx="145">
                  <c:v>45156</c:v>
                </c:pt>
                <c:pt idx="146">
                  <c:v>0</c:v>
                </c:pt>
                <c:pt idx="147">
                  <c:v>39453</c:v>
                </c:pt>
                <c:pt idx="148">
                  <c:v>0</c:v>
                </c:pt>
                <c:pt idx="149">
                  <c:v>0</c:v>
                </c:pt>
                <c:pt idx="150">
                  <c:v>38646</c:v>
                </c:pt>
                <c:pt idx="151">
                  <c:v>0</c:v>
                </c:pt>
                <c:pt idx="152">
                  <c:v>35035</c:v>
                </c:pt>
                <c:pt idx="153">
                  <c:v>0</c:v>
                </c:pt>
                <c:pt idx="154">
                  <c:v>0</c:v>
                </c:pt>
                <c:pt idx="155">
                  <c:v>28167</c:v>
                </c:pt>
                <c:pt idx="156">
                  <c:v>0</c:v>
                </c:pt>
                <c:pt idx="157">
                  <c:v>0</c:v>
                </c:pt>
                <c:pt idx="158">
                  <c:v>26216</c:v>
                </c:pt>
                <c:pt idx="159">
                  <c:v>0</c:v>
                </c:pt>
                <c:pt idx="160">
                  <c:v>20265</c:v>
                </c:pt>
                <c:pt idx="161">
                  <c:v>0</c:v>
                </c:pt>
                <c:pt idx="162">
                  <c:v>0</c:v>
                </c:pt>
                <c:pt idx="163">
                  <c:v>17116</c:v>
                </c:pt>
                <c:pt idx="164">
                  <c:v>0</c:v>
                </c:pt>
                <c:pt idx="165">
                  <c:v>12638</c:v>
                </c:pt>
                <c:pt idx="166">
                  <c:v>0</c:v>
                </c:pt>
                <c:pt idx="167">
                  <c:v>0</c:v>
                </c:pt>
                <c:pt idx="168">
                  <c:v>11901</c:v>
                </c:pt>
                <c:pt idx="169">
                  <c:v>0</c:v>
                </c:pt>
                <c:pt idx="170">
                  <c:v>0</c:v>
                </c:pt>
                <c:pt idx="171">
                  <c:v>8653</c:v>
                </c:pt>
                <c:pt idx="172">
                  <c:v>0</c:v>
                </c:pt>
                <c:pt idx="173">
                  <c:v>5853</c:v>
                </c:pt>
                <c:pt idx="174">
                  <c:v>0</c:v>
                </c:pt>
                <c:pt idx="175">
                  <c:v>0</c:v>
                </c:pt>
                <c:pt idx="176">
                  <c:v>4517</c:v>
                </c:pt>
                <c:pt idx="177">
                  <c:v>0</c:v>
                </c:pt>
                <c:pt idx="178">
                  <c:v>2805</c:v>
                </c:pt>
                <c:pt idx="179">
                  <c:v>0</c:v>
                </c:pt>
                <c:pt idx="180">
                  <c:v>0</c:v>
                </c:pt>
                <c:pt idx="181">
                  <c:v>1625</c:v>
                </c:pt>
                <c:pt idx="182">
                  <c:v>0</c:v>
                </c:pt>
                <c:pt idx="183">
                  <c:v>303</c:v>
                </c:pt>
                <c:pt idx="184">
                  <c:v>0</c:v>
                </c:pt>
                <c:pt idx="185">
                  <c:v>0</c:v>
                </c:pt>
                <c:pt idx="186">
                  <c:v>28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1493</c:v>
                </c:pt>
                <c:pt idx="7">
                  <c:v>0</c:v>
                </c:pt>
                <c:pt idx="8">
                  <c:v>755</c:v>
                </c:pt>
                <c:pt idx="9">
                  <c:v>0</c:v>
                </c:pt>
                <c:pt idx="10">
                  <c:v>0</c:v>
                </c:pt>
                <c:pt idx="11">
                  <c:v>529</c:v>
                </c:pt>
                <c:pt idx="12">
                  <c:v>0</c:v>
                </c:pt>
                <c:pt idx="13">
                  <c:v>1479</c:v>
                </c:pt>
                <c:pt idx="14">
                  <c:v>0</c:v>
                </c:pt>
                <c:pt idx="15">
                  <c:v>0</c:v>
                </c:pt>
                <c:pt idx="16">
                  <c:v>586</c:v>
                </c:pt>
                <c:pt idx="17">
                  <c:v>0</c:v>
                </c:pt>
                <c:pt idx="18">
                  <c:v>0</c:v>
                </c:pt>
                <c:pt idx="19">
                  <c:v>684</c:v>
                </c:pt>
                <c:pt idx="20">
                  <c:v>0</c:v>
                </c:pt>
                <c:pt idx="21">
                  <c:v>2424</c:v>
                </c:pt>
                <c:pt idx="22">
                  <c:v>0</c:v>
                </c:pt>
                <c:pt idx="23">
                  <c:v>0</c:v>
                </c:pt>
                <c:pt idx="24">
                  <c:v>2901</c:v>
                </c:pt>
                <c:pt idx="25">
                  <c:v>0</c:v>
                </c:pt>
                <c:pt idx="26">
                  <c:v>4473</c:v>
                </c:pt>
                <c:pt idx="27">
                  <c:v>0</c:v>
                </c:pt>
                <c:pt idx="28">
                  <c:v>0</c:v>
                </c:pt>
                <c:pt idx="29">
                  <c:v>9333</c:v>
                </c:pt>
                <c:pt idx="30">
                  <c:v>0</c:v>
                </c:pt>
                <c:pt idx="31">
                  <c:v>9057</c:v>
                </c:pt>
                <c:pt idx="32">
                  <c:v>0</c:v>
                </c:pt>
                <c:pt idx="33">
                  <c:v>0</c:v>
                </c:pt>
                <c:pt idx="34">
                  <c:v>9215</c:v>
                </c:pt>
                <c:pt idx="35">
                  <c:v>0</c:v>
                </c:pt>
                <c:pt idx="36">
                  <c:v>0</c:v>
                </c:pt>
                <c:pt idx="37">
                  <c:v>12300</c:v>
                </c:pt>
                <c:pt idx="38">
                  <c:v>0</c:v>
                </c:pt>
                <c:pt idx="39">
                  <c:v>12597</c:v>
                </c:pt>
                <c:pt idx="40">
                  <c:v>0</c:v>
                </c:pt>
                <c:pt idx="41">
                  <c:v>0</c:v>
                </c:pt>
                <c:pt idx="42">
                  <c:v>13104</c:v>
                </c:pt>
                <c:pt idx="43">
                  <c:v>0</c:v>
                </c:pt>
                <c:pt idx="44">
                  <c:v>16800</c:v>
                </c:pt>
                <c:pt idx="45">
                  <c:v>0</c:v>
                </c:pt>
                <c:pt idx="46">
                  <c:v>0</c:v>
                </c:pt>
                <c:pt idx="47">
                  <c:v>19613</c:v>
                </c:pt>
                <c:pt idx="48">
                  <c:v>0</c:v>
                </c:pt>
                <c:pt idx="49">
                  <c:v>16914</c:v>
                </c:pt>
                <c:pt idx="50">
                  <c:v>0</c:v>
                </c:pt>
                <c:pt idx="51">
                  <c:v>0</c:v>
                </c:pt>
                <c:pt idx="52">
                  <c:v>16307</c:v>
                </c:pt>
                <c:pt idx="53">
                  <c:v>0</c:v>
                </c:pt>
                <c:pt idx="54">
                  <c:v>0</c:v>
                </c:pt>
                <c:pt idx="55">
                  <c:v>17113</c:v>
                </c:pt>
                <c:pt idx="56">
                  <c:v>0</c:v>
                </c:pt>
                <c:pt idx="57">
                  <c:v>14359</c:v>
                </c:pt>
                <c:pt idx="58">
                  <c:v>0</c:v>
                </c:pt>
                <c:pt idx="59">
                  <c:v>0</c:v>
                </c:pt>
                <c:pt idx="60">
                  <c:v>15165</c:v>
                </c:pt>
                <c:pt idx="61">
                  <c:v>0</c:v>
                </c:pt>
                <c:pt idx="62">
                  <c:v>16718</c:v>
                </c:pt>
                <c:pt idx="63">
                  <c:v>0</c:v>
                </c:pt>
                <c:pt idx="64">
                  <c:v>0</c:v>
                </c:pt>
                <c:pt idx="65">
                  <c:v>21320</c:v>
                </c:pt>
                <c:pt idx="66">
                  <c:v>0</c:v>
                </c:pt>
                <c:pt idx="67">
                  <c:v>23459</c:v>
                </c:pt>
                <c:pt idx="68">
                  <c:v>0</c:v>
                </c:pt>
                <c:pt idx="69">
                  <c:v>0</c:v>
                </c:pt>
                <c:pt idx="70">
                  <c:v>24396</c:v>
                </c:pt>
                <c:pt idx="71">
                  <c:v>0</c:v>
                </c:pt>
                <c:pt idx="72">
                  <c:v>0</c:v>
                </c:pt>
                <c:pt idx="73">
                  <c:v>24225</c:v>
                </c:pt>
                <c:pt idx="74">
                  <c:v>0</c:v>
                </c:pt>
                <c:pt idx="75">
                  <c:v>27201</c:v>
                </c:pt>
                <c:pt idx="76">
                  <c:v>0</c:v>
                </c:pt>
                <c:pt idx="77">
                  <c:v>0</c:v>
                </c:pt>
                <c:pt idx="78">
                  <c:v>29096</c:v>
                </c:pt>
                <c:pt idx="79">
                  <c:v>0</c:v>
                </c:pt>
                <c:pt idx="80">
                  <c:v>29752</c:v>
                </c:pt>
                <c:pt idx="81">
                  <c:v>0</c:v>
                </c:pt>
                <c:pt idx="82">
                  <c:v>0</c:v>
                </c:pt>
                <c:pt idx="83">
                  <c:v>28412</c:v>
                </c:pt>
                <c:pt idx="84">
                  <c:v>0</c:v>
                </c:pt>
                <c:pt idx="85">
                  <c:v>0</c:v>
                </c:pt>
                <c:pt idx="86">
                  <c:v>29674</c:v>
                </c:pt>
                <c:pt idx="87">
                  <c:v>0</c:v>
                </c:pt>
                <c:pt idx="88">
                  <c:v>34689</c:v>
                </c:pt>
                <c:pt idx="89">
                  <c:v>0</c:v>
                </c:pt>
                <c:pt idx="90">
                  <c:v>0</c:v>
                </c:pt>
                <c:pt idx="91">
                  <c:v>42601</c:v>
                </c:pt>
                <c:pt idx="92">
                  <c:v>0</c:v>
                </c:pt>
                <c:pt idx="93">
                  <c:v>46632</c:v>
                </c:pt>
                <c:pt idx="94">
                  <c:v>0</c:v>
                </c:pt>
                <c:pt idx="95">
                  <c:v>0</c:v>
                </c:pt>
                <c:pt idx="96">
                  <c:v>49901</c:v>
                </c:pt>
                <c:pt idx="97">
                  <c:v>0</c:v>
                </c:pt>
                <c:pt idx="98">
                  <c:v>55886</c:v>
                </c:pt>
                <c:pt idx="99">
                  <c:v>0</c:v>
                </c:pt>
                <c:pt idx="100">
                  <c:v>0</c:v>
                </c:pt>
                <c:pt idx="101">
                  <c:v>58683</c:v>
                </c:pt>
                <c:pt idx="102">
                  <c:v>0</c:v>
                </c:pt>
                <c:pt idx="103">
                  <c:v>0</c:v>
                </c:pt>
                <c:pt idx="104">
                  <c:v>57711</c:v>
                </c:pt>
                <c:pt idx="105">
                  <c:v>0</c:v>
                </c:pt>
                <c:pt idx="106">
                  <c:v>64646</c:v>
                </c:pt>
                <c:pt idx="107">
                  <c:v>0</c:v>
                </c:pt>
                <c:pt idx="108">
                  <c:v>0</c:v>
                </c:pt>
                <c:pt idx="109">
                  <c:v>73684</c:v>
                </c:pt>
                <c:pt idx="110">
                  <c:v>0</c:v>
                </c:pt>
                <c:pt idx="111">
                  <c:v>84218</c:v>
                </c:pt>
                <c:pt idx="112">
                  <c:v>0</c:v>
                </c:pt>
                <c:pt idx="113">
                  <c:v>0</c:v>
                </c:pt>
                <c:pt idx="114">
                  <c:v>93342</c:v>
                </c:pt>
                <c:pt idx="115">
                  <c:v>0</c:v>
                </c:pt>
                <c:pt idx="116">
                  <c:v>97674</c:v>
                </c:pt>
                <c:pt idx="117">
                  <c:v>0</c:v>
                </c:pt>
                <c:pt idx="118">
                  <c:v>0</c:v>
                </c:pt>
                <c:pt idx="119">
                  <c:v>101491</c:v>
                </c:pt>
                <c:pt idx="120">
                  <c:v>0</c:v>
                </c:pt>
                <c:pt idx="121">
                  <c:v>0</c:v>
                </c:pt>
                <c:pt idx="122">
                  <c:v>112626</c:v>
                </c:pt>
                <c:pt idx="123">
                  <c:v>0</c:v>
                </c:pt>
                <c:pt idx="124">
                  <c:v>115049</c:v>
                </c:pt>
                <c:pt idx="125">
                  <c:v>0</c:v>
                </c:pt>
                <c:pt idx="126">
                  <c:v>0</c:v>
                </c:pt>
                <c:pt idx="127">
                  <c:v>117433</c:v>
                </c:pt>
                <c:pt idx="128">
                  <c:v>0</c:v>
                </c:pt>
                <c:pt idx="129">
                  <c:v>130476</c:v>
                </c:pt>
                <c:pt idx="130">
                  <c:v>0</c:v>
                </c:pt>
                <c:pt idx="131">
                  <c:v>0</c:v>
                </c:pt>
                <c:pt idx="132">
                  <c:v>136992</c:v>
                </c:pt>
                <c:pt idx="133">
                  <c:v>0</c:v>
                </c:pt>
                <c:pt idx="134">
                  <c:v>128153</c:v>
                </c:pt>
                <c:pt idx="135">
                  <c:v>0</c:v>
                </c:pt>
                <c:pt idx="136">
                  <c:v>0</c:v>
                </c:pt>
                <c:pt idx="137">
                  <c:v>124857</c:v>
                </c:pt>
                <c:pt idx="138">
                  <c:v>0</c:v>
                </c:pt>
                <c:pt idx="139">
                  <c:v>0</c:v>
                </c:pt>
                <c:pt idx="140">
                  <c:v>119861</c:v>
                </c:pt>
                <c:pt idx="141">
                  <c:v>0</c:v>
                </c:pt>
                <c:pt idx="142">
                  <c:v>116599</c:v>
                </c:pt>
                <c:pt idx="143">
                  <c:v>0</c:v>
                </c:pt>
                <c:pt idx="144">
                  <c:v>0</c:v>
                </c:pt>
                <c:pt idx="145">
                  <c:v>108121</c:v>
                </c:pt>
                <c:pt idx="146">
                  <c:v>0</c:v>
                </c:pt>
                <c:pt idx="147">
                  <c:v>101588</c:v>
                </c:pt>
                <c:pt idx="148">
                  <c:v>0</c:v>
                </c:pt>
                <c:pt idx="149">
                  <c:v>0</c:v>
                </c:pt>
                <c:pt idx="150">
                  <c:v>90792</c:v>
                </c:pt>
                <c:pt idx="151">
                  <c:v>0</c:v>
                </c:pt>
                <c:pt idx="152">
                  <c:v>82622</c:v>
                </c:pt>
                <c:pt idx="153">
                  <c:v>0</c:v>
                </c:pt>
                <c:pt idx="154">
                  <c:v>0</c:v>
                </c:pt>
                <c:pt idx="155">
                  <c:v>73600</c:v>
                </c:pt>
                <c:pt idx="156">
                  <c:v>0</c:v>
                </c:pt>
                <c:pt idx="157">
                  <c:v>0</c:v>
                </c:pt>
                <c:pt idx="158">
                  <c:v>70969</c:v>
                </c:pt>
                <c:pt idx="159">
                  <c:v>0</c:v>
                </c:pt>
                <c:pt idx="160">
                  <c:v>66931</c:v>
                </c:pt>
                <c:pt idx="161">
                  <c:v>0</c:v>
                </c:pt>
                <c:pt idx="162">
                  <c:v>0</c:v>
                </c:pt>
                <c:pt idx="163">
                  <c:v>64121</c:v>
                </c:pt>
                <c:pt idx="164">
                  <c:v>0</c:v>
                </c:pt>
                <c:pt idx="165">
                  <c:v>54685</c:v>
                </c:pt>
                <c:pt idx="166">
                  <c:v>0</c:v>
                </c:pt>
                <c:pt idx="167">
                  <c:v>0</c:v>
                </c:pt>
                <c:pt idx="168">
                  <c:v>52297</c:v>
                </c:pt>
                <c:pt idx="169">
                  <c:v>0</c:v>
                </c:pt>
                <c:pt idx="170">
                  <c:v>0</c:v>
                </c:pt>
                <c:pt idx="171">
                  <c:v>51670</c:v>
                </c:pt>
                <c:pt idx="172">
                  <c:v>0</c:v>
                </c:pt>
                <c:pt idx="173">
                  <c:v>47749</c:v>
                </c:pt>
                <c:pt idx="174">
                  <c:v>0</c:v>
                </c:pt>
                <c:pt idx="175">
                  <c:v>0</c:v>
                </c:pt>
                <c:pt idx="176">
                  <c:v>40582</c:v>
                </c:pt>
                <c:pt idx="177">
                  <c:v>0</c:v>
                </c:pt>
                <c:pt idx="178">
                  <c:v>40681</c:v>
                </c:pt>
                <c:pt idx="179">
                  <c:v>0</c:v>
                </c:pt>
                <c:pt idx="180">
                  <c:v>0</c:v>
                </c:pt>
                <c:pt idx="181">
                  <c:v>37584</c:v>
                </c:pt>
                <c:pt idx="182">
                  <c:v>0</c:v>
                </c:pt>
                <c:pt idx="183">
                  <c:v>34610</c:v>
                </c:pt>
                <c:pt idx="184">
                  <c:v>0</c:v>
                </c:pt>
                <c:pt idx="185">
                  <c:v>0</c:v>
                </c:pt>
                <c:pt idx="186">
                  <c:v>25712</c:v>
                </c:pt>
                <c:pt idx="187">
                  <c:v>0</c:v>
                </c:pt>
                <c:pt idx="188">
                  <c:v>0</c:v>
                </c:pt>
                <c:pt idx="189">
                  <c:v>18261</c:v>
                </c:pt>
                <c:pt idx="190">
                  <c:v>0</c:v>
                </c:pt>
                <c:pt idx="191">
                  <c:v>12382</c:v>
                </c:pt>
                <c:pt idx="192">
                  <c:v>0</c:v>
                </c:pt>
                <c:pt idx="193">
                  <c:v>0</c:v>
                </c:pt>
                <c:pt idx="194">
                  <c:v>8464</c:v>
                </c:pt>
                <c:pt idx="195">
                  <c:v>0</c:v>
                </c:pt>
                <c:pt idx="196">
                  <c:v>4108</c:v>
                </c:pt>
                <c:pt idx="197">
                  <c:v>0</c:v>
                </c:pt>
                <c:pt idx="198">
                  <c:v>0</c:v>
                </c:pt>
                <c:pt idx="199">
                  <c:v>3411</c:v>
                </c:pt>
                <c:pt idx="200">
                  <c:v>0</c:v>
                </c:pt>
                <c:pt idx="201">
                  <c:v>3026</c:v>
                </c:pt>
                <c:pt idx="202">
                  <c:v>0</c:v>
                </c:pt>
                <c:pt idx="203">
                  <c:v>0</c:v>
                </c:pt>
                <c:pt idx="204">
                  <c:v>2537</c:v>
                </c:pt>
                <c:pt idx="205">
                  <c:v>0</c:v>
                </c:pt>
                <c:pt idx="206">
                  <c:v>0</c:v>
                </c:pt>
                <c:pt idx="207">
                  <c:v>2072</c:v>
                </c:pt>
                <c:pt idx="208">
                  <c:v>0</c:v>
                </c:pt>
                <c:pt idx="209">
                  <c:v>153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0.2497360667264914</c:v>
                </c:pt>
                <c:pt idx="1">
                  <c:v>0.3205725740301496</c:v>
                </c:pt>
                <c:pt idx="2">
                  <c:v>0.42969135924335899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0.49607697959122588</c:v>
                </c:pt>
                <c:pt idx="1">
                  <c:v>0.29073115997180993</c:v>
                </c:pt>
                <c:pt idx="2">
                  <c:v>0.21319186043696428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3.6399625000000002</c:v>
                </c:pt>
                <c:pt idx="1">
                  <c:v>9.3785624999999992</c:v>
                </c:pt>
                <c:pt idx="2">
                  <c:v>32.239400000000003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0.39994099999999999</c:v>
                </c:pt>
                <c:pt idx="2">
                  <c:v>0.81088199999999999</c:v>
                </c:pt>
                <c:pt idx="3">
                  <c:v>1.21574</c:v>
                </c:pt>
                <c:pt idx="4">
                  <c:v>1.6217699999999999</c:v>
                </c:pt>
                <c:pt idx="5">
                  <c:v>2.0269599999999999</c:v>
                </c:pt>
                <c:pt idx="6">
                  <c:v>2.4311099999999999</c:v>
                </c:pt>
                <c:pt idx="7">
                  <c:v>2.8405200000000002</c:v>
                </c:pt>
                <c:pt idx="8">
                  <c:v>3.2446999999999999</c:v>
                </c:pt>
                <c:pt idx="9">
                  <c:v>3.6521599999999999</c:v>
                </c:pt>
                <c:pt idx="10">
                  <c:v>4.0593199999999996</c:v>
                </c:pt>
                <c:pt idx="11">
                  <c:v>4.4630099999999997</c:v>
                </c:pt>
                <c:pt idx="12">
                  <c:v>4.8742099999999997</c:v>
                </c:pt>
                <c:pt idx="13">
                  <c:v>5.2769599999999999</c:v>
                </c:pt>
                <c:pt idx="14">
                  <c:v>5.6788400000000001</c:v>
                </c:pt>
                <c:pt idx="15">
                  <c:v>6.0927300000000004</c:v>
                </c:pt>
                <c:pt idx="16">
                  <c:v>6.4948199999999998</c:v>
                </c:pt>
                <c:pt idx="17">
                  <c:v>6.9035799999999998</c:v>
                </c:pt>
                <c:pt idx="18">
                  <c:v>7.30776</c:v>
                </c:pt>
                <c:pt idx="19">
                  <c:v>7.7115799999999997</c:v>
                </c:pt>
                <c:pt idx="20">
                  <c:v>8.1184100000000008</c:v>
                </c:pt>
                <c:pt idx="21">
                  <c:v>8.52379</c:v>
                </c:pt>
                <c:pt idx="22">
                  <c:v>8.9340499999999992</c:v>
                </c:pt>
                <c:pt idx="23">
                  <c:v>9.34</c:v>
                </c:pt>
                <c:pt idx="24">
                  <c:v>9.7448999999999995</c:v>
                </c:pt>
                <c:pt idx="25">
                  <c:v>10.152100000000001</c:v>
                </c:pt>
                <c:pt idx="26">
                  <c:v>10.5588</c:v>
                </c:pt>
                <c:pt idx="27">
                  <c:v>10.966799999999999</c:v>
                </c:pt>
                <c:pt idx="28">
                  <c:v>11.3705</c:v>
                </c:pt>
                <c:pt idx="29">
                  <c:v>11.7776</c:v>
                </c:pt>
                <c:pt idx="30">
                  <c:v>12.1806</c:v>
                </c:pt>
                <c:pt idx="31">
                  <c:v>12.5906</c:v>
                </c:pt>
                <c:pt idx="32">
                  <c:v>12.998200000000001</c:v>
                </c:pt>
                <c:pt idx="33">
                  <c:v>13.404199999999999</c:v>
                </c:pt>
                <c:pt idx="34">
                  <c:v>13.805300000000001</c:v>
                </c:pt>
                <c:pt idx="35">
                  <c:v>14.211499999999999</c:v>
                </c:pt>
                <c:pt idx="36">
                  <c:v>14.620200000000001</c:v>
                </c:pt>
                <c:pt idx="37">
                  <c:v>15.0246</c:v>
                </c:pt>
                <c:pt idx="38">
                  <c:v>15.4328</c:v>
                </c:pt>
                <c:pt idx="39">
                  <c:v>15.839600000000001</c:v>
                </c:pt>
                <c:pt idx="40">
                  <c:v>16.242699999999999</c:v>
                </c:pt>
                <c:pt idx="41">
                  <c:v>16.6496</c:v>
                </c:pt>
                <c:pt idx="42">
                  <c:v>17.063500000000001</c:v>
                </c:pt>
                <c:pt idx="43">
                  <c:v>17.4663</c:v>
                </c:pt>
                <c:pt idx="44">
                  <c:v>17.871099999999998</c:v>
                </c:pt>
                <c:pt idx="45">
                  <c:v>18.275200000000002</c:v>
                </c:pt>
                <c:pt idx="46">
                  <c:v>18.681799999999999</c:v>
                </c:pt>
                <c:pt idx="47">
                  <c:v>19.091200000000001</c:v>
                </c:pt>
                <c:pt idx="48">
                  <c:v>19.498899999999999</c:v>
                </c:pt>
                <c:pt idx="49">
                  <c:v>19.9038</c:v>
                </c:pt>
                <c:pt idx="50">
                  <c:v>20.308700000000002</c:v>
                </c:pt>
                <c:pt idx="51">
                  <c:v>20.7105</c:v>
                </c:pt>
                <c:pt idx="52">
                  <c:v>21.122499999999999</c:v>
                </c:pt>
                <c:pt idx="53">
                  <c:v>21.523900000000001</c:v>
                </c:pt>
                <c:pt idx="54">
                  <c:v>21.9299</c:v>
                </c:pt>
                <c:pt idx="55">
                  <c:v>22.3428</c:v>
                </c:pt>
                <c:pt idx="56">
                  <c:v>22.746300000000002</c:v>
                </c:pt>
                <c:pt idx="57">
                  <c:v>23.152000000000001</c:v>
                </c:pt>
                <c:pt idx="58">
                  <c:v>23.557400000000001</c:v>
                </c:pt>
                <c:pt idx="59">
                  <c:v>23.963100000000001</c:v>
                </c:pt>
                <c:pt idx="60">
                  <c:v>24.372800000000002</c:v>
                </c:pt>
                <c:pt idx="61">
                  <c:v>24.7788</c:v>
                </c:pt>
                <c:pt idx="62">
                  <c:v>25.180199999999999</c:v>
                </c:pt>
                <c:pt idx="63">
                  <c:v>25.590900000000001</c:v>
                </c:pt>
                <c:pt idx="64">
                  <c:v>25.994700000000002</c:v>
                </c:pt>
                <c:pt idx="65">
                  <c:v>26.403300000000002</c:v>
                </c:pt>
                <c:pt idx="66">
                  <c:v>26.808499999999999</c:v>
                </c:pt>
                <c:pt idx="67">
                  <c:v>27.212299999999999</c:v>
                </c:pt>
                <c:pt idx="68">
                  <c:v>27.621099999999998</c:v>
                </c:pt>
                <c:pt idx="69">
                  <c:v>28.0242</c:v>
                </c:pt>
                <c:pt idx="70">
                  <c:v>28.4331</c:v>
                </c:pt>
                <c:pt idx="71">
                  <c:v>28.8398</c:v>
                </c:pt>
                <c:pt idx="72">
                  <c:v>29.2469</c:v>
                </c:pt>
                <c:pt idx="73">
                  <c:v>29.651700000000002</c:v>
                </c:pt>
                <c:pt idx="74">
                  <c:v>30.059100000000001</c:v>
                </c:pt>
                <c:pt idx="75">
                  <c:v>30.636099999999999</c:v>
                </c:pt>
                <c:pt idx="76">
                  <c:v>31.009</c:v>
                </c:pt>
                <c:pt idx="77">
                  <c:v>31.384399999999999</c:v>
                </c:pt>
                <c:pt idx="78">
                  <c:v>31.760999999999999</c:v>
                </c:pt>
                <c:pt idx="79">
                  <c:v>32.137900000000002</c:v>
                </c:pt>
                <c:pt idx="80">
                  <c:v>32.542000000000002</c:v>
                </c:pt>
                <c:pt idx="81">
                  <c:v>32.948</c:v>
                </c:pt>
                <c:pt idx="82">
                  <c:v>33.356099999999998</c:v>
                </c:pt>
                <c:pt idx="83">
                  <c:v>33.761200000000002</c:v>
                </c:pt>
                <c:pt idx="84">
                  <c:v>34.169600000000003</c:v>
                </c:pt>
                <c:pt idx="85">
                  <c:v>34.573599999999999</c:v>
                </c:pt>
                <c:pt idx="86">
                  <c:v>34.979399999999998</c:v>
                </c:pt>
                <c:pt idx="87">
                  <c:v>35.384500000000003</c:v>
                </c:pt>
                <c:pt idx="88">
                  <c:v>35.796300000000002</c:v>
                </c:pt>
                <c:pt idx="89">
                  <c:v>36.200200000000002</c:v>
                </c:pt>
                <c:pt idx="90">
                  <c:v>36.604100000000003</c:v>
                </c:pt>
                <c:pt idx="91">
                  <c:v>37.010100000000001</c:v>
                </c:pt>
                <c:pt idx="92">
                  <c:v>37.414700000000003</c:v>
                </c:pt>
                <c:pt idx="93">
                  <c:v>37.825899999999997</c:v>
                </c:pt>
                <c:pt idx="94">
                  <c:v>38.2288</c:v>
                </c:pt>
                <c:pt idx="95">
                  <c:v>38.637700000000002</c:v>
                </c:pt>
                <c:pt idx="96">
                  <c:v>39.0426</c:v>
                </c:pt>
                <c:pt idx="97">
                  <c:v>39.4467</c:v>
                </c:pt>
                <c:pt idx="98">
                  <c:v>39.853299999999997</c:v>
                </c:pt>
                <c:pt idx="99">
                  <c:v>40.264400000000002</c:v>
                </c:pt>
                <c:pt idx="100">
                  <c:v>40.668199999999999</c:v>
                </c:pt>
                <c:pt idx="101">
                  <c:v>41.072299999999998</c:v>
                </c:pt>
                <c:pt idx="102">
                  <c:v>41.481200000000001</c:v>
                </c:pt>
                <c:pt idx="103">
                  <c:v>41.889000000000003</c:v>
                </c:pt>
                <c:pt idx="104">
                  <c:v>42.294899999999998</c:v>
                </c:pt>
                <c:pt idx="105">
                  <c:v>42.6997</c:v>
                </c:pt>
                <c:pt idx="106">
                  <c:v>43.102699999999999</c:v>
                </c:pt>
                <c:pt idx="107">
                  <c:v>43.512700000000002</c:v>
                </c:pt>
                <c:pt idx="108">
                  <c:v>43.916600000000003</c:v>
                </c:pt>
                <c:pt idx="109">
                  <c:v>44.322299999999998</c:v>
                </c:pt>
                <c:pt idx="110">
                  <c:v>44.728499999999997</c:v>
                </c:pt>
                <c:pt idx="111">
                  <c:v>45.138300000000001</c:v>
                </c:pt>
                <c:pt idx="112">
                  <c:v>45.539299999999997</c:v>
                </c:pt>
                <c:pt idx="113">
                  <c:v>45.950099999999999</c:v>
                </c:pt>
                <c:pt idx="114">
                  <c:v>46.353000000000002</c:v>
                </c:pt>
                <c:pt idx="115">
                  <c:v>46.759099999999997</c:v>
                </c:pt>
                <c:pt idx="116">
                  <c:v>47.170299999999997</c:v>
                </c:pt>
                <c:pt idx="117">
                  <c:v>47.575899999999997</c:v>
                </c:pt>
                <c:pt idx="118">
                  <c:v>47.9816</c:v>
                </c:pt>
                <c:pt idx="119">
                  <c:v>48.384599999999999</c:v>
                </c:pt>
                <c:pt idx="120">
                  <c:v>48.793599999999998</c:v>
                </c:pt>
                <c:pt idx="121">
                  <c:v>49.198399999999999</c:v>
                </c:pt>
                <c:pt idx="122">
                  <c:v>49.606400000000001</c:v>
                </c:pt>
                <c:pt idx="123">
                  <c:v>50.012099999999997</c:v>
                </c:pt>
                <c:pt idx="124">
                  <c:v>50.416200000000003</c:v>
                </c:pt>
                <c:pt idx="125">
                  <c:v>50.824399999999997</c:v>
                </c:pt>
                <c:pt idx="126">
                  <c:v>51.231000000000002</c:v>
                </c:pt>
                <c:pt idx="127">
                  <c:v>51.637900000000002</c:v>
                </c:pt>
                <c:pt idx="128">
                  <c:v>52.045999999999999</c:v>
                </c:pt>
                <c:pt idx="129">
                  <c:v>52.447800000000001</c:v>
                </c:pt>
                <c:pt idx="130">
                  <c:v>52.854700000000001</c:v>
                </c:pt>
                <c:pt idx="131">
                  <c:v>53.262599999999999</c:v>
                </c:pt>
                <c:pt idx="132">
                  <c:v>53.672499999999999</c:v>
                </c:pt>
                <c:pt idx="133">
                  <c:v>54.072400000000002</c:v>
                </c:pt>
                <c:pt idx="134">
                  <c:v>54.479599999999998</c:v>
                </c:pt>
                <c:pt idx="135">
                  <c:v>54.887599999999999</c:v>
                </c:pt>
                <c:pt idx="136">
                  <c:v>55.291499999999999</c:v>
                </c:pt>
                <c:pt idx="137">
                  <c:v>55.701000000000001</c:v>
                </c:pt>
                <c:pt idx="138">
                  <c:v>56.107199999999999</c:v>
                </c:pt>
                <c:pt idx="139">
                  <c:v>56.510899999999999</c:v>
                </c:pt>
                <c:pt idx="140">
                  <c:v>56.916400000000003</c:v>
                </c:pt>
                <c:pt idx="141">
                  <c:v>57.323999999999998</c:v>
                </c:pt>
                <c:pt idx="142">
                  <c:v>57.726500000000001</c:v>
                </c:pt>
                <c:pt idx="143">
                  <c:v>58.137599999999999</c:v>
                </c:pt>
                <c:pt idx="144">
                  <c:v>58.542900000000003</c:v>
                </c:pt>
                <c:pt idx="145">
                  <c:v>58.947299999999998</c:v>
                </c:pt>
                <c:pt idx="146">
                  <c:v>59.354900000000001</c:v>
                </c:pt>
                <c:pt idx="147">
                  <c:v>59.7622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2.3140200000000002</c:v>
                </c:pt>
                <c:pt idx="1">
                  <c:v>2.3821099999999999</c:v>
                </c:pt>
                <c:pt idx="2">
                  <c:v>2.4508199999999998</c:v>
                </c:pt>
                <c:pt idx="3">
                  <c:v>2.5205699999999998</c:v>
                </c:pt>
                <c:pt idx="4">
                  <c:v>2.5893600000000001</c:v>
                </c:pt>
                <c:pt idx="5">
                  <c:v>2.65909</c:v>
                </c:pt>
                <c:pt idx="6">
                  <c:v>2.72966</c:v>
                </c:pt>
                <c:pt idx="7">
                  <c:v>2.8014299999999999</c:v>
                </c:pt>
                <c:pt idx="8">
                  <c:v>2.8747199999999999</c:v>
                </c:pt>
                <c:pt idx="9">
                  <c:v>2.9502499999999996</c:v>
                </c:pt>
                <c:pt idx="10">
                  <c:v>3.02766</c:v>
                </c:pt>
                <c:pt idx="11">
                  <c:v>3.1085200000000004</c:v>
                </c:pt>
                <c:pt idx="12">
                  <c:v>3.1902300000000001</c:v>
                </c:pt>
                <c:pt idx="13">
                  <c:v>3.27359</c:v>
                </c:pt>
                <c:pt idx="14">
                  <c:v>3.35222</c:v>
                </c:pt>
                <c:pt idx="15">
                  <c:v>3.4294599999999997</c:v>
                </c:pt>
                <c:pt idx="16">
                  <c:v>3.5050399999999997</c:v>
                </c:pt>
                <c:pt idx="17">
                  <c:v>3.58202</c:v>
                </c:pt>
                <c:pt idx="18">
                  <c:v>3.6566999999999998</c:v>
                </c:pt>
                <c:pt idx="19">
                  <c:v>3.7274600000000002</c:v>
                </c:pt>
                <c:pt idx="20">
                  <c:v>3.79155</c:v>
                </c:pt>
                <c:pt idx="21">
                  <c:v>3.8504899999999997</c:v>
                </c:pt>
                <c:pt idx="22">
                  <c:v>3.90496</c:v>
                </c:pt>
                <c:pt idx="23">
                  <c:v>3.9537800000000001</c:v>
                </c:pt>
                <c:pt idx="24">
                  <c:v>3.9988000000000001</c:v>
                </c:pt>
                <c:pt idx="25">
                  <c:v>4.0422200000000004</c:v>
                </c:pt>
                <c:pt idx="26">
                  <c:v>4.0828899999999999</c:v>
                </c:pt>
                <c:pt idx="27">
                  <c:v>4.1213699999999998</c:v>
                </c:pt>
                <c:pt idx="28">
                  <c:v>4.1572100000000001</c:v>
                </c:pt>
                <c:pt idx="29">
                  <c:v>4.1951000000000001</c:v>
                </c:pt>
                <c:pt idx="30">
                  <c:v>4.2340900000000001</c:v>
                </c:pt>
                <c:pt idx="31">
                  <c:v>4.2720200000000004</c:v>
                </c:pt>
                <c:pt idx="32">
                  <c:v>4.30966</c:v>
                </c:pt>
                <c:pt idx="33">
                  <c:v>4.3467200000000004</c:v>
                </c:pt>
                <c:pt idx="34">
                  <c:v>4.37941</c:v>
                </c:pt>
                <c:pt idx="35">
                  <c:v>4.4085400000000003</c:v>
                </c:pt>
                <c:pt idx="36">
                  <c:v>4.4330999999999996</c:v>
                </c:pt>
                <c:pt idx="37">
                  <c:v>4.4554899999999993</c:v>
                </c:pt>
                <c:pt idx="38">
                  <c:v>4.4724900000000005</c:v>
                </c:pt>
                <c:pt idx="39">
                  <c:v>4.4893999999999998</c:v>
                </c:pt>
                <c:pt idx="40">
                  <c:v>4.5029000000000003</c:v>
                </c:pt>
                <c:pt idx="41">
                  <c:v>4.51302</c:v>
                </c:pt>
                <c:pt idx="42">
                  <c:v>4.5188199999999998</c:v>
                </c:pt>
                <c:pt idx="43">
                  <c:v>4.5229200000000001</c:v>
                </c:pt>
                <c:pt idx="44">
                  <c:v>4.5266400000000004</c:v>
                </c:pt>
                <c:pt idx="45">
                  <c:v>4.5318399999999999</c:v>
                </c:pt>
                <c:pt idx="46">
                  <c:v>4.5408799999999996</c:v>
                </c:pt>
                <c:pt idx="47">
                  <c:v>4.5545600000000004</c:v>
                </c:pt>
                <c:pt idx="48">
                  <c:v>4.5726499999999994</c:v>
                </c:pt>
                <c:pt idx="49">
                  <c:v>4.5927100000000003</c:v>
                </c:pt>
                <c:pt idx="50">
                  <c:v>4.6076499999999996</c:v>
                </c:pt>
                <c:pt idx="51">
                  <c:v>4.63103</c:v>
                </c:pt>
                <c:pt idx="52">
                  <c:v>4.6570200000000002</c:v>
                </c:pt>
                <c:pt idx="53">
                  <c:v>4.6837999999999997</c:v>
                </c:pt>
                <c:pt idx="54">
                  <c:v>4.7092600000000004</c:v>
                </c:pt>
                <c:pt idx="55">
                  <c:v>4.7325600000000003</c:v>
                </c:pt>
                <c:pt idx="56">
                  <c:v>4.7618899999999993</c:v>
                </c:pt>
                <c:pt idx="57">
                  <c:v>4.7746699999999995</c:v>
                </c:pt>
                <c:pt idx="58">
                  <c:v>4.80009</c:v>
                </c:pt>
                <c:pt idx="59">
                  <c:v>4.8159999999999998</c:v>
                </c:pt>
                <c:pt idx="60">
                  <c:v>4.8306399999999998</c:v>
                </c:pt>
                <c:pt idx="61">
                  <c:v>4.8404799999999994</c:v>
                </c:pt>
                <c:pt idx="62">
                  <c:v>4.8529800000000005</c:v>
                </c:pt>
                <c:pt idx="63">
                  <c:v>4.8676399999999997</c:v>
                </c:pt>
                <c:pt idx="64">
                  <c:v>4.8769900000000002</c:v>
                </c:pt>
                <c:pt idx="65">
                  <c:v>4.8865400000000001</c:v>
                </c:pt>
                <c:pt idx="66">
                  <c:v>4.8956</c:v>
                </c:pt>
                <c:pt idx="67">
                  <c:v>4.90334</c:v>
                </c:pt>
                <c:pt idx="68">
                  <c:v>4.9083199999999998</c:v>
                </c:pt>
                <c:pt idx="69">
                  <c:v>4.9178500000000005</c:v>
                </c:pt>
                <c:pt idx="70">
                  <c:v>4.9262199999999998</c:v>
                </c:pt>
                <c:pt idx="71">
                  <c:v>4.9333799999999997</c:v>
                </c:pt>
                <c:pt idx="72">
                  <c:v>4.9369399999999999</c:v>
                </c:pt>
                <c:pt idx="73">
                  <c:v>4.9418299999999995</c:v>
                </c:pt>
                <c:pt idx="74">
                  <c:v>4.93987</c:v>
                </c:pt>
                <c:pt idx="75">
                  <c:v>4.9384499999999996</c:v>
                </c:pt>
                <c:pt idx="76">
                  <c:v>4.9328899999999996</c:v>
                </c:pt>
                <c:pt idx="77">
                  <c:v>4.9257600000000004</c:v>
                </c:pt>
                <c:pt idx="78">
                  <c:v>4.9176900000000003</c:v>
                </c:pt>
                <c:pt idx="79">
                  <c:v>4.9060699999999997</c:v>
                </c:pt>
                <c:pt idx="80">
                  <c:v>4.89513</c:v>
                </c:pt>
                <c:pt idx="81">
                  <c:v>4.8822900000000002</c:v>
                </c:pt>
                <c:pt idx="82">
                  <c:v>4.8673500000000001</c:v>
                </c:pt>
                <c:pt idx="83">
                  <c:v>4.8530099999999994</c:v>
                </c:pt>
                <c:pt idx="84">
                  <c:v>4.8402099999999999</c:v>
                </c:pt>
                <c:pt idx="85">
                  <c:v>4.83094</c:v>
                </c:pt>
                <c:pt idx="86">
                  <c:v>4.8239400000000003</c:v>
                </c:pt>
                <c:pt idx="87">
                  <c:v>4.8184100000000001</c:v>
                </c:pt>
                <c:pt idx="88">
                  <c:v>4.8140999999999998</c:v>
                </c:pt>
                <c:pt idx="89">
                  <c:v>4.8148</c:v>
                </c:pt>
                <c:pt idx="90">
                  <c:v>4.8184100000000001</c:v>
                </c:pt>
                <c:pt idx="91">
                  <c:v>4.8237300000000003</c:v>
                </c:pt>
                <c:pt idx="92">
                  <c:v>4.8310599999999999</c:v>
                </c:pt>
                <c:pt idx="93">
                  <c:v>4.8411200000000001</c:v>
                </c:pt>
                <c:pt idx="94">
                  <c:v>4.8499499999999998</c:v>
                </c:pt>
                <c:pt idx="95">
                  <c:v>4.8561100000000001</c:v>
                </c:pt>
                <c:pt idx="96">
                  <c:v>4.86172</c:v>
                </c:pt>
                <c:pt idx="97">
                  <c:v>4.8693100000000005</c:v>
                </c:pt>
                <c:pt idx="98">
                  <c:v>4.8738700000000001</c:v>
                </c:pt>
                <c:pt idx="99">
                  <c:v>4.8809399999999998</c:v>
                </c:pt>
                <c:pt idx="100">
                  <c:v>4.8861799999999995</c:v>
                </c:pt>
                <c:pt idx="101">
                  <c:v>4.8900800000000002</c:v>
                </c:pt>
                <c:pt idx="102">
                  <c:v>4.8947400000000005</c:v>
                </c:pt>
                <c:pt idx="103">
                  <c:v>4.90198</c:v>
                </c:pt>
                <c:pt idx="104">
                  <c:v>4.9117800000000003</c:v>
                </c:pt>
                <c:pt idx="105">
                  <c:v>4.92197</c:v>
                </c:pt>
                <c:pt idx="106">
                  <c:v>4.9323899999999998</c:v>
                </c:pt>
                <c:pt idx="107">
                  <c:v>4.94428</c:v>
                </c:pt>
                <c:pt idx="108">
                  <c:v>4.9583700000000004</c:v>
                </c:pt>
                <c:pt idx="109">
                  <c:v>4.9731899999999998</c:v>
                </c:pt>
                <c:pt idx="110">
                  <c:v>4.9819599999999999</c:v>
                </c:pt>
                <c:pt idx="111">
                  <c:v>4.9885200000000003</c:v>
                </c:pt>
                <c:pt idx="112">
                  <c:v>4.9943</c:v>
                </c:pt>
                <c:pt idx="113">
                  <c:v>5.0002500000000003</c:v>
                </c:pt>
                <c:pt idx="114">
                  <c:v>5.0068800000000007</c:v>
                </c:pt>
                <c:pt idx="115">
                  <c:v>5.01126</c:v>
                </c:pt>
                <c:pt idx="116">
                  <c:v>5.0162800000000001</c:v>
                </c:pt>
                <c:pt idx="117">
                  <c:v>5.01912</c:v>
                </c:pt>
                <c:pt idx="118">
                  <c:v>5.0208600000000008</c:v>
                </c:pt>
                <c:pt idx="119">
                  <c:v>5.0229800000000004</c:v>
                </c:pt>
                <c:pt idx="120">
                  <c:v>5.0258599999999998</c:v>
                </c:pt>
                <c:pt idx="121">
                  <c:v>5.0278100000000006</c:v>
                </c:pt>
                <c:pt idx="122">
                  <c:v>5.0258599999999998</c:v>
                </c:pt>
                <c:pt idx="123">
                  <c:v>5.0234999999999994</c:v>
                </c:pt>
                <c:pt idx="124">
                  <c:v>5.0251299999999999</c:v>
                </c:pt>
                <c:pt idx="125">
                  <c:v>5.0288399999999998</c:v>
                </c:pt>
                <c:pt idx="126">
                  <c:v>5.0362600000000004</c:v>
                </c:pt>
                <c:pt idx="127">
                  <c:v>5.0424500000000005</c:v>
                </c:pt>
                <c:pt idx="128">
                  <c:v>5.0464200000000003</c:v>
                </c:pt>
                <c:pt idx="129">
                  <c:v>5.0486200000000006</c:v>
                </c:pt>
                <c:pt idx="130">
                  <c:v>5.05</c:v>
                </c:pt>
                <c:pt idx="131">
                  <c:v>5.0510999999999999</c:v>
                </c:pt>
                <c:pt idx="132">
                  <c:v>5.0519099999999995</c:v>
                </c:pt>
                <c:pt idx="133">
                  <c:v>5.0481400000000001</c:v>
                </c:pt>
                <c:pt idx="134">
                  <c:v>5.04366</c:v>
                </c:pt>
                <c:pt idx="135">
                  <c:v>5.0451100000000002</c:v>
                </c:pt>
                <c:pt idx="136">
                  <c:v>5.0488</c:v>
                </c:pt>
                <c:pt idx="137">
                  <c:v>5.0520500000000004</c:v>
                </c:pt>
                <c:pt idx="138">
                  <c:v>5.0551700000000004</c:v>
                </c:pt>
                <c:pt idx="139">
                  <c:v>5.0493800000000002</c:v>
                </c:pt>
                <c:pt idx="140">
                  <c:v>5.0437399999999997</c:v>
                </c:pt>
                <c:pt idx="141">
                  <c:v>5.0359200000000008</c:v>
                </c:pt>
                <c:pt idx="142">
                  <c:v>5.0331000000000001</c:v>
                </c:pt>
                <c:pt idx="143">
                  <c:v>5.0204499999999994</c:v>
                </c:pt>
                <c:pt idx="144">
                  <c:v>5.0007999999999999</c:v>
                </c:pt>
                <c:pt idx="145">
                  <c:v>4.9709500000000002</c:v>
                </c:pt>
                <c:pt idx="146">
                  <c:v>4.9375099999999996</c:v>
                </c:pt>
                <c:pt idx="147">
                  <c:v>4.9131299999999998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0.39994099999999999</c:v>
                </c:pt>
                <c:pt idx="2">
                  <c:v>0.81088199999999999</c:v>
                </c:pt>
                <c:pt idx="3">
                  <c:v>1.21574</c:v>
                </c:pt>
                <c:pt idx="4">
                  <c:v>1.6217699999999999</c:v>
                </c:pt>
                <c:pt idx="5">
                  <c:v>2.0269599999999999</c:v>
                </c:pt>
                <c:pt idx="6">
                  <c:v>2.4311099999999999</c:v>
                </c:pt>
                <c:pt idx="7">
                  <c:v>2.8405200000000002</c:v>
                </c:pt>
                <c:pt idx="8">
                  <c:v>3.2446999999999999</c:v>
                </c:pt>
                <c:pt idx="9">
                  <c:v>3.6521599999999999</c:v>
                </c:pt>
                <c:pt idx="10">
                  <c:v>4.0593199999999996</c:v>
                </c:pt>
                <c:pt idx="11">
                  <c:v>4.4630099999999997</c:v>
                </c:pt>
                <c:pt idx="12">
                  <c:v>4.8742099999999997</c:v>
                </c:pt>
                <c:pt idx="13">
                  <c:v>5.2769599999999999</c:v>
                </c:pt>
                <c:pt idx="14">
                  <c:v>5.6788400000000001</c:v>
                </c:pt>
                <c:pt idx="15">
                  <c:v>6.0927300000000004</c:v>
                </c:pt>
                <c:pt idx="16">
                  <c:v>6.4948199999999998</c:v>
                </c:pt>
                <c:pt idx="17">
                  <c:v>6.9035799999999998</c:v>
                </c:pt>
                <c:pt idx="18">
                  <c:v>7.30776</c:v>
                </c:pt>
                <c:pt idx="19">
                  <c:v>7.7115799999999997</c:v>
                </c:pt>
                <c:pt idx="20">
                  <c:v>8.1184100000000008</c:v>
                </c:pt>
                <c:pt idx="21">
                  <c:v>8.52379</c:v>
                </c:pt>
                <c:pt idx="22">
                  <c:v>8.9340499999999992</c:v>
                </c:pt>
                <c:pt idx="23">
                  <c:v>9.34</c:v>
                </c:pt>
                <c:pt idx="24">
                  <c:v>9.7448999999999995</c:v>
                </c:pt>
                <c:pt idx="25">
                  <c:v>10.152100000000001</c:v>
                </c:pt>
                <c:pt idx="26">
                  <c:v>10.5588</c:v>
                </c:pt>
                <c:pt idx="27">
                  <c:v>10.966799999999999</c:v>
                </c:pt>
                <c:pt idx="28">
                  <c:v>11.3705</c:v>
                </c:pt>
                <c:pt idx="29">
                  <c:v>11.7776</c:v>
                </c:pt>
                <c:pt idx="30">
                  <c:v>12.1806</c:v>
                </c:pt>
                <c:pt idx="31">
                  <c:v>12.5906</c:v>
                </c:pt>
                <c:pt idx="32">
                  <c:v>12.998200000000001</c:v>
                </c:pt>
                <c:pt idx="33">
                  <c:v>13.404199999999999</c:v>
                </c:pt>
                <c:pt idx="34">
                  <c:v>13.805300000000001</c:v>
                </c:pt>
                <c:pt idx="35">
                  <c:v>14.211499999999999</c:v>
                </c:pt>
                <c:pt idx="36">
                  <c:v>14.620200000000001</c:v>
                </c:pt>
                <c:pt idx="37">
                  <c:v>15.0246</c:v>
                </c:pt>
                <c:pt idx="38">
                  <c:v>15.4328</c:v>
                </c:pt>
                <c:pt idx="39">
                  <c:v>15.839600000000001</c:v>
                </c:pt>
                <c:pt idx="40">
                  <c:v>16.242699999999999</c:v>
                </c:pt>
                <c:pt idx="41">
                  <c:v>16.6496</c:v>
                </c:pt>
                <c:pt idx="42">
                  <c:v>17.063500000000001</c:v>
                </c:pt>
                <c:pt idx="43">
                  <c:v>17.4663</c:v>
                </c:pt>
                <c:pt idx="44">
                  <c:v>17.871099999999998</c:v>
                </c:pt>
                <c:pt idx="45">
                  <c:v>18.275200000000002</c:v>
                </c:pt>
                <c:pt idx="46">
                  <c:v>18.681799999999999</c:v>
                </c:pt>
                <c:pt idx="47">
                  <c:v>19.091200000000001</c:v>
                </c:pt>
                <c:pt idx="48">
                  <c:v>19.498899999999999</c:v>
                </c:pt>
                <c:pt idx="49">
                  <c:v>19.9038</c:v>
                </c:pt>
                <c:pt idx="50">
                  <c:v>20.308700000000002</c:v>
                </c:pt>
                <c:pt idx="51">
                  <c:v>20.7105</c:v>
                </c:pt>
                <c:pt idx="52">
                  <c:v>21.122499999999999</c:v>
                </c:pt>
                <c:pt idx="53">
                  <c:v>21.523900000000001</c:v>
                </c:pt>
                <c:pt idx="54">
                  <c:v>21.9299</c:v>
                </c:pt>
                <c:pt idx="55">
                  <c:v>22.3428</c:v>
                </c:pt>
                <c:pt idx="56">
                  <c:v>22.746300000000002</c:v>
                </c:pt>
                <c:pt idx="57">
                  <c:v>23.152000000000001</c:v>
                </c:pt>
                <c:pt idx="58">
                  <c:v>23.557400000000001</c:v>
                </c:pt>
                <c:pt idx="59">
                  <c:v>23.963100000000001</c:v>
                </c:pt>
                <c:pt idx="60">
                  <c:v>24.372800000000002</c:v>
                </c:pt>
                <c:pt idx="61">
                  <c:v>24.7788</c:v>
                </c:pt>
                <c:pt idx="62">
                  <c:v>25.180199999999999</c:v>
                </c:pt>
                <c:pt idx="63">
                  <c:v>25.590900000000001</c:v>
                </c:pt>
                <c:pt idx="64">
                  <c:v>25.994700000000002</c:v>
                </c:pt>
                <c:pt idx="65">
                  <c:v>26.403300000000002</c:v>
                </c:pt>
                <c:pt idx="66">
                  <c:v>26.808499999999999</c:v>
                </c:pt>
                <c:pt idx="67">
                  <c:v>27.212299999999999</c:v>
                </c:pt>
                <c:pt idx="68">
                  <c:v>27.621099999999998</c:v>
                </c:pt>
                <c:pt idx="69">
                  <c:v>28.0242</c:v>
                </c:pt>
                <c:pt idx="70">
                  <c:v>28.4331</c:v>
                </c:pt>
                <c:pt idx="71">
                  <c:v>28.8398</c:v>
                </c:pt>
                <c:pt idx="72">
                  <c:v>29.2469</c:v>
                </c:pt>
                <c:pt idx="73">
                  <c:v>29.651700000000002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2.3140200000000002</c:v>
                </c:pt>
                <c:pt idx="1">
                  <c:v>2.3821099999999999</c:v>
                </c:pt>
                <c:pt idx="2">
                  <c:v>2.4508199999999998</c:v>
                </c:pt>
                <c:pt idx="3">
                  <c:v>2.5205699999999998</c:v>
                </c:pt>
                <c:pt idx="4">
                  <c:v>2.5893600000000001</c:v>
                </c:pt>
                <c:pt idx="5">
                  <c:v>2.65909</c:v>
                </c:pt>
                <c:pt idx="6">
                  <c:v>2.72966</c:v>
                </c:pt>
                <c:pt idx="7">
                  <c:v>2.8014299999999999</c:v>
                </c:pt>
                <c:pt idx="8">
                  <c:v>2.8747199999999999</c:v>
                </c:pt>
                <c:pt idx="9">
                  <c:v>2.9502499999999996</c:v>
                </c:pt>
                <c:pt idx="10">
                  <c:v>3.02766</c:v>
                </c:pt>
                <c:pt idx="11">
                  <c:v>3.1085200000000004</c:v>
                </c:pt>
                <c:pt idx="12">
                  <c:v>3.1902300000000001</c:v>
                </c:pt>
                <c:pt idx="13">
                  <c:v>3.27359</c:v>
                </c:pt>
                <c:pt idx="14">
                  <c:v>3.35222</c:v>
                </c:pt>
                <c:pt idx="15">
                  <c:v>3.4294599999999997</c:v>
                </c:pt>
                <c:pt idx="16">
                  <c:v>3.5050399999999997</c:v>
                </c:pt>
                <c:pt idx="17">
                  <c:v>3.58202</c:v>
                </c:pt>
                <c:pt idx="18">
                  <c:v>3.6566999999999998</c:v>
                </c:pt>
                <c:pt idx="19">
                  <c:v>3.7274600000000002</c:v>
                </c:pt>
                <c:pt idx="20">
                  <c:v>3.79155</c:v>
                </c:pt>
                <c:pt idx="21">
                  <c:v>3.8504899999999997</c:v>
                </c:pt>
                <c:pt idx="22">
                  <c:v>3.90496</c:v>
                </c:pt>
                <c:pt idx="23">
                  <c:v>3.9537800000000001</c:v>
                </c:pt>
                <c:pt idx="24">
                  <c:v>3.9988000000000001</c:v>
                </c:pt>
                <c:pt idx="25">
                  <c:v>4.0422200000000004</c:v>
                </c:pt>
                <c:pt idx="26">
                  <c:v>4.0828899999999999</c:v>
                </c:pt>
                <c:pt idx="27">
                  <c:v>4.1213699999999998</c:v>
                </c:pt>
                <c:pt idx="28">
                  <c:v>4.1572100000000001</c:v>
                </c:pt>
                <c:pt idx="29">
                  <c:v>4.1951000000000001</c:v>
                </c:pt>
                <c:pt idx="30">
                  <c:v>4.2340900000000001</c:v>
                </c:pt>
                <c:pt idx="31">
                  <c:v>4.2720200000000004</c:v>
                </c:pt>
                <c:pt idx="32">
                  <c:v>4.30966</c:v>
                </c:pt>
                <c:pt idx="33">
                  <c:v>4.3467200000000004</c:v>
                </c:pt>
                <c:pt idx="34">
                  <c:v>4.37941</c:v>
                </c:pt>
                <c:pt idx="35">
                  <c:v>4.4085400000000003</c:v>
                </c:pt>
                <c:pt idx="36">
                  <c:v>4.4330999999999996</c:v>
                </c:pt>
                <c:pt idx="37">
                  <c:v>4.4554899999999993</c:v>
                </c:pt>
                <c:pt idx="38">
                  <c:v>4.4724900000000005</c:v>
                </c:pt>
                <c:pt idx="39">
                  <c:v>4.4893999999999998</c:v>
                </c:pt>
                <c:pt idx="40">
                  <c:v>4.5029000000000003</c:v>
                </c:pt>
                <c:pt idx="41">
                  <c:v>4.51302</c:v>
                </c:pt>
                <c:pt idx="42">
                  <c:v>4.5188199999999998</c:v>
                </c:pt>
                <c:pt idx="43">
                  <c:v>4.5229200000000001</c:v>
                </c:pt>
                <c:pt idx="44">
                  <c:v>4.5266400000000004</c:v>
                </c:pt>
                <c:pt idx="45">
                  <c:v>4.5318399999999999</c:v>
                </c:pt>
                <c:pt idx="46">
                  <c:v>4.5408799999999996</c:v>
                </c:pt>
                <c:pt idx="47">
                  <c:v>4.5545600000000004</c:v>
                </c:pt>
                <c:pt idx="48">
                  <c:v>4.5726499999999994</c:v>
                </c:pt>
                <c:pt idx="49">
                  <c:v>4.5927100000000003</c:v>
                </c:pt>
                <c:pt idx="50">
                  <c:v>4.6076499999999996</c:v>
                </c:pt>
                <c:pt idx="51">
                  <c:v>4.63103</c:v>
                </c:pt>
                <c:pt idx="52">
                  <c:v>4.6570200000000002</c:v>
                </c:pt>
                <c:pt idx="53">
                  <c:v>4.6837999999999997</c:v>
                </c:pt>
                <c:pt idx="54">
                  <c:v>4.7092600000000004</c:v>
                </c:pt>
                <c:pt idx="55">
                  <c:v>4.7325600000000003</c:v>
                </c:pt>
                <c:pt idx="56">
                  <c:v>4.7618899999999993</c:v>
                </c:pt>
                <c:pt idx="57">
                  <c:v>4.7746699999999995</c:v>
                </c:pt>
                <c:pt idx="58">
                  <c:v>4.80009</c:v>
                </c:pt>
                <c:pt idx="59">
                  <c:v>4.8159999999999998</c:v>
                </c:pt>
                <c:pt idx="60">
                  <c:v>4.8306399999999998</c:v>
                </c:pt>
                <c:pt idx="61">
                  <c:v>4.8404799999999994</c:v>
                </c:pt>
                <c:pt idx="62">
                  <c:v>4.8529800000000005</c:v>
                </c:pt>
                <c:pt idx="63">
                  <c:v>4.8676399999999997</c:v>
                </c:pt>
                <c:pt idx="64">
                  <c:v>4.8769900000000002</c:v>
                </c:pt>
                <c:pt idx="65">
                  <c:v>4.8865400000000001</c:v>
                </c:pt>
                <c:pt idx="66">
                  <c:v>4.8956</c:v>
                </c:pt>
                <c:pt idx="67">
                  <c:v>4.90334</c:v>
                </c:pt>
                <c:pt idx="68">
                  <c:v>4.9083199999999998</c:v>
                </c:pt>
                <c:pt idx="69">
                  <c:v>4.9178500000000005</c:v>
                </c:pt>
                <c:pt idx="70">
                  <c:v>4.9262199999999998</c:v>
                </c:pt>
                <c:pt idx="71">
                  <c:v>4.9333799999999997</c:v>
                </c:pt>
                <c:pt idx="72">
                  <c:v>4.9369399999999999</c:v>
                </c:pt>
                <c:pt idx="73">
                  <c:v>4.9418299999999995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29.651700000000002</c:v>
                </c:pt>
                <c:pt idx="1">
                  <c:v>30.059100000000001</c:v>
                </c:pt>
                <c:pt idx="2">
                  <c:v>30.636099999999999</c:v>
                </c:pt>
                <c:pt idx="3">
                  <c:v>31.009</c:v>
                </c:pt>
                <c:pt idx="4">
                  <c:v>31.384399999999999</c:v>
                </c:pt>
                <c:pt idx="5">
                  <c:v>31.760999999999999</c:v>
                </c:pt>
                <c:pt idx="6">
                  <c:v>32.137900000000002</c:v>
                </c:pt>
                <c:pt idx="7">
                  <c:v>32.542000000000002</c:v>
                </c:pt>
                <c:pt idx="8">
                  <c:v>32.948</c:v>
                </c:pt>
                <c:pt idx="9">
                  <c:v>33.356099999999998</c:v>
                </c:pt>
                <c:pt idx="10">
                  <c:v>33.761200000000002</c:v>
                </c:pt>
                <c:pt idx="11">
                  <c:v>34.169600000000003</c:v>
                </c:pt>
                <c:pt idx="12">
                  <c:v>34.573599999999999</c:v>
                </c:pt>
                <c:pt idx="13">
                  <c:v>34.979399999999998</c:v>
                </c:pt>
                <c:pt idx="14">
                  <c:v>35.384500000000003</c:v>
                </c:pt>
                <c:pt idx="15">
                  <c:v>35.796300000000002</c:v>
                </c:pt>
                <c:pt idx="16">
                  <c:v>36.200200000000002</c:v>
                </c:pt>
                <c:pt idx="17">
                  <c:v>36.604100000000003</c:v>
                </c:pt>
                <c:pt idx="18">
                  <c:v>37.010100000000001</c:v>
                </c:pt>
                <c:pt idx="19">
                  <c:v>37.414700000000003</c:v>
                </c:pt>
                <c:pt idx="20">
                  <c:v>37.825899999999997</c:v>
                </c:pt>
                <c:pt idx="21">
                  <c:v>38.2288</c:v>
                </c:pt>
                <c:pt idx="22">
                  <c:v>38.637700000000002</c:v>
                </c:pt>
                <c:pt idx="23">
                  <c:v>39.0426</c:v>
                </c:pt>
                <c:pt idx="24">
                  <c:v>39.4467</c:v>
                </c:pt>
                <c:pt idx="25">
                  <c:v>39.853299999999997</c:v>
                </c:pt>
                <c:pt idx="26">
                  <c:v>40.264400000000002</c:v>
                </c:pt>
                <c:pt idx="27">
                  <c:v>40.668199999999999</c:v>
                </c:pt>
                <c:pt idx="28">
                  <c:v>41.072299999999998</c:v>
                </c:pt>
                <c:pt idx="29">
                  <c:v>41.481200000000001</c:v>
                </c:pt>
                <c:pt idx="30">
                  <c:v>41.889000000000003</c:v>
                </c:pt>
                <c:pt idx="31">
                  <c:v>42.294899999999998</c:v>
                </c:pt>
                <c:pt idx="32">
                  <c:v>42.6997</c:v>
                </c:pt>
                <c:pt idx="33">
                  <c:v>43.102699999999999</c:v>
                </c:pt>
                <c:pt idx="34">
                  <c:v>43.512700000000002</c:v>
                </c:pt>
                <c:pt idx="35">
                  <c:v>43.916600000000003</c:v>
                </c:pt>
                <c:pt idx="36">
                  <c:v>44.322299999999998</c:v>
                </c:pt>
                <c:pt idx="37">
                  <c:v>44.728499999999997</c:v>
                </c:pt>
                <c:pt idx="38">
                  <c:v>45.138300000000001</c:v>
                </c:pt>
                <c:pt idx="39">
                  <c:v>45.539299999999997</c:v>
                </c:pt>
                <c:pt idx="40">
                  <c:v>45.950099999999999</c:v>
                </c:pt>
                <c:pt idx="41">
                  <c:v>46.353000000000002</c:v>
                </c:pt>
                <c:pt idx="42">
                  <c:v>46.759099999999997</c:v>
                </c:pt>
                <c:pt idx="43">
                  <c:v>47.170299999999997</c:v>
                </c:pt>
                <c:pt idx="44">
                  <c:v>47.575899999999997</c:v>
                </c:pt>
                <c:pt idx="45">
                  <c:v>47.9816</c:v>
                </c:pt>
                <c:pt idx="46">
                  <c:v>48.384599999999999</c:v>
                </c:pt>
                <c:pt idx="47">
                  <c:v>48.793599999999998</c:v>
                </c:pt>
                <c:pt idx="48">
                  <c:v>49.198399999999999</c:v>
                </c:pt>
                <c:pt idx="49">
                  <c:v>49.606400000000001</c:v>
                </c:pt>
                <c:pt idx="50">
                  <c:v>50.012099999999997</c:v>
                </c:pt>
                <c:pt idx="51">
                  <c:v>50.416200000000003</c:v>
                </c:pt>
                <c:pt idx="52">
                  <c:v>50.824399999999997</c:v>
                </c:pt>
                <c:pt idx="53">
                  <c:v>51.231000000000002</c:v>
                </c:pt>
                <c:pt idx="54">
                  <c:v>51.637900000000002</c:v>
                </c:pt>
                <c:pt idx="55">
                  <c:v>52.045999999999999</c:v>
                </c:pt>
                <c:pt idx="56">
                  <c:v>52.447800000000001</c:v>
                </c:pt>
                <c:pt idx="57">
                  <c:v>52.854700000000001</c:v>
                </c:pt>
                <c:pt idx="58">
                  <c:v>53.262599999999999</c:v>
                </c:pt>
                <c:pt idx="59">
                  <c:v>53.672499999999999</c:v>
                </c:pt>
                <c:pt idx="60">
                  <c:v>54.072400000000002</c:v>
                </c:pt>
                <c:pt idx="61">
                  <c:v>54.479599999999998</c:v>
                </c:pt>
                <c:pt idx="62">
                  <c:v>54.887599999999999</c:v>
                </c:pt>
                <c:pt idx="63">
                  <c:v>55.291499999999999</c:v>
                </c:pt>
                <c:pt idx="64">
                  <c:v>55.701000000000001</c:v>
                </c:pt>
                <c:pt idx="65">
                  <c:v>56.107199999999999</c:v>
                </c:pt>
                <c:pt idx="66">
                  <c:v>56.510899999999999</c:v>
                </c:pt>
                <c:pt idx="67">
                  <c:v>56.916400000000003</c:v>
                </c:pt>
                <c:pt idx="68">
                  <c:v>57.323999999999998</c:v>
                </c:pt>
                <c:pt idx="69">
                  <c:v>57.726500000000001</c:v>
                </c:pt>
                <c:pt idx="70">
                  <c:v>58.137599999999999</c:v>
                </c:pt>
                <c:pt idx="71">
                  <c:v>58.542900000000003</c:v>
                </c:pt>
                <c:pt idx="72">
                  <c:v>58.947299999999998</c:v>
                </c:pt>
                <c:pt idx="73">
                  <c:v>59.354900000000001</c:v>
                </c:pt>
                <c:pt idx="74">
                  <c:v>59.7622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4.9418299999999995</c:v>
                </c:pt>
                <c:pt idx="1">
                  <c:v>4.93987</c:v>
                </c:pt>
                <c:pt idx="2">
                  <c:v>4.9384499999999996</c:v>
                </c:pt>
                <c:pt idx="3">
                  <c:v>4.9328899999999996</c:v>
                </c:pt>
                <c:pt idx="4">
                  <c:v>4.9257600000000004</c:v>
                </c:pt>
                <c:pt idx="5">
                  <c:v>4.9176900000000003</c:v>
                </c:pt>
                <c:pt idx="6">
                  <c:v>4.9060699999999997</c:v>
                </c:pt>
                <c:pt idx="7">
                  <c:v>4.89513</c:v>
                </c:pt>
                <c:pt idx="8">
                  <c:v>4.8822900000000002</c:v>
                </c:pt>
                <c:pt idx="9">
                  <c:v>4.8673500000000001</c:v>
                </c:pt>
                <c:pt idx="10">
                  <c:v>4.8530099999999994</c:v>
                </c:pt>
                <c:pt idx="11">
                  <c:v>4.8402099999999999</c:v>
                </c:pt>
                <c:pt idx="12">
                  <c:v>4.83094</c:v>
                </c:pt>
                <c:pt idx="13">
                  <c:v>4.8239400000000003</c:v>
                </c:pt>
                <c:pt idx="14">
                  <c:v>4.8184100000000001</c:v>
                </c:pt>
                <c:pt idx="15">
                  <c:v>4.8140999999999998</c:v>
                </c:pt>
                <c:pt idx="16">
                  <c:v>4.8148</c:v>
                </c:pt>
                <c:pt idx="17">
                  <c:v>4.8184100000000001</c:v>
                </c:pt>
                <c:pt idx="18">
                  <c:v>4.8237300000000003</c:v>
                </c:pt>
                <c:pt idx="19">
                  <c:v>4.8310599999999999</c:v>
                </c:pt>
                <c:pt idx="20">
                  <c:v>4.8411200000000001</c:v>
                </c:pt>
                <c:pt idx="21">
                  <c:v>4.8499499999999998</c:v>
                </c:pt>
                <c:pt idx="22">
                  <c:v>4.8561100000000001</c:v>
                </c:pt>
                <c:pt idx="23">
                  <c:v>4.86172</c:v>
                </c:pt>
                <c:pt idx="24">
                  <c:v>4.8693100000000005</c:v>
                </c:pt>
                <c:pt idx="25">
                  <c:v>4.8738700000000001</c:v>
                </c:pt>
                <c:pt idx="26">
                  <c:v>4.8809399999999998</c:v>
                </c:pt>
                <c:pt idx="27">
                  <c:v>4.8861799999999995</c:v>
                </c:pt>
                <c:pt idx="28">
                  <c:v>4.8900800000000002</c:v>
                </c:pt>
                <c:pt idx="29">
                  <c:v>4.8947400000000005</c:v>
                </c:pt>
                <c:pt idx="30">
                  <c:v>4.90198</c:v>
                </c:pt>
                <c:pt idx="31">
                  <c:v>4.9117800000000003</c:v>
                </c:pt>
                <c:pt idx="32">
                  <c:v>4.92197</c:v>
                </c:pt>
                <c:pt idx="33">
                  <c:v>4.9323899999999998</c:v>
                </c:pt>
                <c:pt idx="34">
                  <c:v>4.94428</c:v>
                </c:pt>
                <c:pt idx="35">
                  <c:v>4.9583700000000004</c:v>
                </c:pt>
                <c:pt idx="36">
                  <c:v>4.9731899999999998</c:v>
                </c:pt>
                <c:pt idx="37">
                  <c:v>4.9819599999999999</c:v>
                </c:pt>
                <c:pt idx="38">
                  <c:v>4.9885200000000003</c:v>
                </c:pt>
                <c:pt idx="39">
                  <c:v>4.9943</c:v>
                </c:pt>
                <c:pt idx="40">
                  <c:v>5.0002500000000003</c:v>
                </c:pt>
                <c:pt idx="41">
                  <c:v>5.0068800000000007</c:v>
                </c:pt>
                <c:pt idx="42">
                  <c:v>5.01126</c:v>
                </c:pt>
                <c:pt idx="43">
                  <c:v>5.0162800000000001</c:v>
                </c:pt>
                <c:pt idx="44">
                  <c:v>5.01912</c:v>
                </c:pt>
                <c:pt idx="45">
                  <c:v>5.0208600000000008</c:v>
                </c:pt>
                <c:pt idx="46">
                  <c:v>5.0229800000000004</c:v>
                </c:pt>
                <c:pt idx="47">
                  <c:v>5.0258599999999998</c:v>
                </c:pt>
                <c:pt idx="48">
                  <c:v>5.0278100000000006</c:v>
                </c:pt>
                <c:pt idx="49">
                  <c:v>5.0258599999999998</c:v>
                </c:pt>
                <c:pt idx="50">
                  <c:v>5.0234999999999994</c:v>
                </c:pt>
                <c:pt idx="51">
                  <c:v>5.0251299999999999</c:v>
                </c:pt>
                <c:pt idx="52">
                  <c:v>5.0288399999999998</c:v>
                </c:pt>
                <c:pt idx="53">
                  <c:v>5.0362600000000004</c:v>
                </c:pt>
                <c:pt idx="54">
                  <c:v>5.0424500000000005</c:v>
                </c:pt>
                <c:pt idx="55">
                  <c:v>5.0464200000000003</c:v>
                </c:pt>
                <c:pt idx="56">
                  <c:v>5.0486200000000006</c:v>
                </c:pt>
                <c:pt idx="57">
                  <c:v>5.05</c:v>
                </c:pt>
                <c:pt idx="58">
                  <c:v>5.0510999999999999</c:v>
                </c:pt>
                <c:pt idx="59">
                  <c:v>5.0519099999999995</c:v>
                </c:pt>
                <c:pt idx="60">
                  <c:v>5.0481400000000001</c:v>
                </c:pt>
                <c:pt idx="61">
                  <c:v>5.04366</c:v>
                </c:pt>
                <c:pt idx="62">
                  <c:v>5.0451100000000002</c:v>
                </c:pt>
                <c:pt idx="63">
                  <c:v>5.0488</c:v>
                </c:pt>
                <c:pt idx="64">
                  <c:v>5.0520500000000004</c:v>
                </c:pt>
                <c:pt idx="65">
                  <c:v>5.0551700000000004</c:v>
                </c:pt>
                <c:pt idx="66">
                  <c:v>5.0493800000000002</c:v>
                </c:pt>
                <c:pt idx="67">
                  <c:v>5.0437399999999997</c:v>
                </c:pt>
                <c:pt idx="68">
                  <c:v>5.0359200000000008</c:v>
                </c:pt>
                <c:pt idx="69">
                  <c:v>5.0331000000000001</c:v>
                </c:pt>
                <c:pt idx="70">
                  <c:v>5.0204499999999994</c:v>
                </c:pt>
                <c:pt idx="71">
                  <c:v>5.0007999999999999</c:v>
                </c:pt>
                <c:pt idx="72">
                  <c:v>4.9709500000000002</c:v>
                </c:pt>
                <c:pt idx="73">
                  <c:v>4.9375099999999996</c:v>
                </c:pt>
                <c:pt idx="74">
                  <c:v>4.9131299999999998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14.94055</c:v>
                </c:pt>
                <c:pt idx="1">
                  <c:v>44.821649999999998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4.122890270270271</c:v>
                </c:pt>
                <c:pt idx="1">
                  <c:v>4.9535968918918929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0.39994099999999999</c:v>
                </c:pt>
                <c:pt idx="2">
                  <c:v>0.81088199999999999</c:v>
                </c:pt>
                <c:pt idx="3">
                  <c:v>1.21574</c:v>
                </c:pt>
                <c:pt idx="4">
                  <c:v>1.6217699999999999</c:v>
                </c:pt>
                <c:pt idx="5">
                  <c:v>2.0269599999999999</c:v>
                </c:pt>
                <c:pt idx="6">
                  <c:v>2.4311099999999999</c:v>
                </c:pt>
                <c:pt idx="7">
                  <c:v>2.8405200000000002</c:v>
                </c:pt>
                <c:pt idx="8">
                  <c:v>3.2446999999999999</c:v>
                </c:pt>
                <c:pt idx="9">
                  <c:v>3.6521599999999999</c:v>
                </c:pt>
                <c:pt idx="10">
                  <c:v>4.0593199999999996</c:v>
                </c:pt>
                <c:pt idx="11">
                  <c:v>4.4630099999999997</c:v>
                </c:pt>
                <c:pt idx="12">
                  <c:v>4.8742099999999997</c:v>
                </c:pt>
                <c:pt idx="13">
                  <c:v>5.2769599999999999</c:v>
                </c:pt>
                <c:pt idx="14">
                  <c:v>5.6788400000000001</c:v>
                </c:pt>
                <c:pt idx="15">
                  <c:v>6.0927300000000004</c:v>
                </c:pt>
                <c:pt idx="16">
                  <c:v>6.4948199999999998</c:v>
                </c:pt>
                <c:pt idx="17">
                  <c:v>6.9035799999999998</c:v>
                </c:pt>
                <c:pt idx="18">
                  <c:v>7.30776</c:v>
                </c:pt>
                <c:pt idx="19">
                  <c:v>7.7115799999999997</c:v>
                </c:pt>
                <c:pt idx="20">
                  <c:v>8.1184100000000008</c:v>
                </c:pt>
                <c:pt idx="21">
                  <c:v>8.52379</c:v>
                </c:pt>
                <c:pt idx="22">
                  <c:v>8.9340499999999992</c:v>
                </c:pt>
                <c:pt idx="23">
                  <c:v>9.34</c:v>
                </c:pt>
                <c:pt idx="24">
                  <c:v>9.7448999999999995</c:v>
                </c:pt>
                <c:pt idx="25">
                  <c:v>10.152100000000001</c:v>
                </c:pt>
                <c:pt idx="26">
                  <c:v>10.5588</c:v>
                </c:pt>
                <c:pt idx="27">
                  <c:v>10.966799999999999</c:v>
                </c:pt>
                <c:pt idx="28">
                  <c:v>11.3705</c:v>
                </c:pt>
                <c:pt idx="29">
                  <c:v>11.7776</c:v>
                </c:pt>
                <c:pt idx="30">
                  <c:v>12.1806</c:v>
                </c:pt>
                <c:pt idx="31">
                  <c:v>12.5906</c:v>
                </c:pt>
                <c:pt idx="32">
                  <c:v>12.998200000000001</c:v>
                </c:pt>
                <c:pt idx="33">
                  <c:v>13.404199999999999</c:v>
                </c:pt>
                <c:pt idx="34">
                  <c:v>13.805300000000001</c:v>
                </c:pt>
                <c:pt idx="35">
                  <c:v>14.211499999999999</c:v>
                </c:pt>
                <c:pt idx="36">
                  <c:v>14.620200000000001</c:v>
                </c:pt>
                <c:pt idx="37">
                  <c:v>15.0246</c:v>
                </c:pt>
                <c:pt idx="38">
                  <c:v>15.4328</c:v>
                </c:pt>
                <c:pt idx="39">
                  <c:v>15.839600000000001</c:v>
                </c:pt>
                <c:pt idx="40">
                  <c:v>16.242699999999999</c:v>
                </c:pt>
                <c:pt idx="41">
                  <c:v>16.6496</c:v>
                </c:pt>
                <c:pt idx="42">
                  <c:v>17.063500000000001</c:v>
                </c:pt>
                <c:pt idx="43">
                  <c:v>17.4663</c:v>
                </c:pt>
                <c:pt idx="44">
                  <c:v>17.871099999999998</c:v>
                </c:pt>
                <c:pt idx="45">
                  <c:v>18.275200000000002</c:v>
                </c:pt>
                <c:pt idx="46">
                  <c:v>18.681799999999999</c:v>
                </c:pt>
                <c:pt idx="47">
                  <c:v>19.091200000000001</c:v>
                </c:pt>
                <c:pt idx="48">
                  <c:v>19.498899999999999</c:v>
                </c:pt>
                <c:pt idx="49">
                  <c:v>19.9038</c:v>
                </c:pt>
                <c:pt idx="50">
                  <c:v>20.308700000000002</c:v>
                </c:pt>
                <c:pt idx="51">
                  <c:v>20.7105</c:v>
                </c:pt>
                <c:pt idx="52">
                  <c:v>21.122499999999999</c:v>
                </c:pt>
                <c:pt idx="53">
                  <c:v>21.523900000000001</c:v>
                </c:pt>
                <c:pt idx="54">
                  <c:v>21.9299</c:v>
                </c:pt>
                <c:pt idx="55">
                  <c:v>22.3428</c:v>
                </c:pt>
                <c:pt idx="56">
                  <c:v>22.746300000000002</c:v>
                </c:pt>
                <c:pt idx="57">
                  <c:v>23.152000000000001</c:v>
                </c:pt>
                <c:pt idx="58">
                  <c:v>23.557400000000001</c:v>
                </c:pt>
                <c:pt idx="59">
                  <c:v>23.963100000000001</c:v>
                </c:pt>
                <c:pt idx="60">
                  <c:v>24.372800000000002</c:v>
                </c:pt>
                <c:pt idx="61">
                  <c:v>24.7788</c:v>
                </c:pt>
                <c:pt idx="62">
                  <c:v>25.180199999999999</c:v>
                </c:pt>
                <c:pt idx="63">
                  <c:v>25.590900000000001</c:v>
                </c:pt>
                <c:pt idx="64">
                  <c:v>25.994700000000002</c:v>
                </c:pt>
                <c:pt idx="65">
                  <c:v>26.403300000000002</c:v>
                </c:pt>
                <c:pt idx="66">
                  <c:v>26.808499999999999</c:v>
                </c:pt>
                <c:pt idx="67">
                  <c:v>27.212299999999999</c:v>
                </c:pt>
                <c:pt idx="68">
                  <c:v>27.621099999999998</c:v>
                </c:pt>
                <c:pt idx="69">
                  <c:v>28.0242</c:v>
                </c:pt>
                <c:pt idx="70">
                  <c:v>28.4331</c:v>
                </c:pt>
                <c:pt idx="71">
                  <c:v>28.8398</c:v>
                </c:pt>
                <c:pt idx="72">
                  <c:v>29.2469</c:v>
                </c:pt>
                <c:pt idx="73">
                  <c:v>29.651700000000002</c:v>
                </c:pt>
                <c:pt idx="74">
                  <c:v>30.059100000000001</c:v>
                </c:pt>
                <c:pt idx="75">
                  <c:v>30.636099999999999</c:v>
                </c:pt>
                <c:pt idx="76">
                  <c:v>31.009</c:v>
                </c:pt>
                <c:pt idx="77">
                  <c:v>31.384399999999999</c:v>
                </c:pt>
                <c:pt idx="78">
                  <c:v>31.760999999999999</c:v>
                </c:pt>
                <c:pt idx="79">
                  <c:v>32.137900000000002</c:v>
                </c:pt>
                <c:pt idx="80">
                  <c:v>32.542000000000002</c:v>
                </c:pt>
                <c:pt idx="81">
                  <c:v>32.948</c:v>
                </c:pt>
                <c:pt idx="82">
                  <c:v>33.356099999999998</c:v>
                </c:pt>
                <c:pt idx="83">
                  <c:v>33.761200000000002</c:v>
                </c:pt>
                <c:pt idx="84">
                  <c:v>34.169600000000003</c:v>
                </c:pt>
                <c:pt idx="85">
                  <c:v>34.573599999999999</c:v>
                </c:pt>
                <c:pt idx="86">
                  <c:v>34.979399999999998</c:v>
                </c:pt>
                <c:pt idx="87">
                  <c:v>35.384500000000003</c:v>
                </c:pt>
                <c:pt idx="88">
                  <c:v>35.796300000000002</c:v>
                </c:pt>
                <c:pt idx="89">
                  <c:v>36.200200000000002</c:v>
                </c:pt>
                <c:pt idx="90">
                  <c:v>36.604100000000003</c:v>
                </c:pt>
                <c:pt idx="91">
                  <c:v>37.010100000000001</c:v>
                </c:pt>
                <c:pt idx="92">
                  <c:v>37.414700000000003</c:v>
                </c:pt>
                <c:pt idx="93">
                  <c:v>37.825899999999997</c:v>
                </c:pt>
                <c:pt idx="94">
                  <c:v>38.2288</c:v>
                </c:pt>
                <c:pt idx="95">
                  <c:v>38.637700000000002</c:v>
                </c:pt>
                <c:pt idx="96">
                  <c:v>39.0426</c:v>
                </c:pt>
                <c:pt idx="97">
                  <c:v>39.4467</c:v>
                </c:pt>
                <c:pt idx="98">
                  <c:v>39.853299999999997</c:v>
                </c:pt>
                <c:pt idx="99">
                  <c:v>40.264400000000002</c:v>
                </c:pt>
                <c:pt idx="100">
                  <c:v>40.668199999999999</c:v>
                </c:pt>
                <c:pt idx="101">
                  <c:v>41.072299999999998</c:v>
                </c:pt>
                <c:pt idx="102">
                  <c:v>41.481200000000001</c:v>
                </c:pt>
                <c:pt idx="103">
                  <c:v>41.889000000000003</c:v>
                </c:pt>
                <c:pt idx="104">
                  <c:v>42.294899999999998</c:v>
                </c:pt>
                <c:pt idx="105">
                  <c:v>42.6997</c:v>
                </c:pt>
                <c:pt idx="106">
                  <c:v>43.102699999999999</c:v>
                </c:pt>
                <c:pt idx="107">
                  <c:v>43.512700000000002</c:v>
                </c:pt>
                <c:pt idx="108">
                  <c:v>43.916600000000003</c:v>
                </c:pt>
                <c:pt idx="109">
                  <c:v>44.322299999999998</c:v>
                </c:pt>
                <c:pt idx="110">
                  <c:v>44.728499999999997</c:v>
                </c:pt>
                <c:pt idx="111">
                  <c:v>45.138300000000001</c:v>
                </c:pt>
                <c:pt idx="112">
                  <c:v>45.539299999999997</c:v>
                </c:pt>
                <c:pt idx="113">
                  <c:v>45.950099999999999</c:v>
                </c:pt>
                <c:pt idx="114">
                  <c:v>46.353000000000002</c:v>
                </c:pt>
                <c:pt idx="115">
                  <c:v>46.759099999999997</c:v>
                </c:pt>
                <c:pt idx="116">
                  <c:v>47.170299999999997</c:v>
                </c:pt>
                <c:pt idx="117">
                  <c:v>47.575899999999997</c:v>
                </c:pt>
                <c:pt idx="118">
                  <c:v>47.9816</c:v>
                </c:pt>
                <c:pt idx="119">
                  <c:v>48.384599999999999</c:v>
                </c:pt>
                <c:pt idx="120">
                  <c:v>48.793599999999998</c:v>
                </c:pt>
                <c:pt idx="121">
                  <c:v>49.198399999999999</c:v>
                </c:pt>
                <c:pt idx="122">
                  <c:v>49.606400000000001</c:v>
                </c:pt>
                <c:pt idx="123">
                  <c:v>50.012099999999997</c:v>
                </c:pt>
                <c:pt idx="124">
                  <c:v>50.416200000000003</c:v>
                </c:pt>
                <c:pt idx="125">
                  <c:v>50.824399999999997</c:v>
                </c:pt>
                <c:pt idx="126">
                  <c:v>51.231000000000002</c:v>
                </c:pt>
                <c:pt idx="127">
                  <c:v>51.637900000000002</c:v>
                </c:pt>
                <c:pt idx="128">
                  <c:v>52.045999999999999</c:v>
                </c:pt>
                <c:pt idx="129">
                  <c:v>52.447800000000001</c:v>
                </c:pt>
                <c:pt idx="130">
                  <c:v>52.854700000000001</c:v>
                </c:pt>
                <c:pt idx="131">
                  <c:v>53.262599999999999</c:v>
                </c:pt>
                <c:pt idx="132">
                  <c:v>53.672499999999999</c:v>
                </c:pt>
                <c:pt idx="133">
                  <c:v>54.072400000000002</c:v>
                </c:pt>
                <c:pt idx="134">
                  <c:v>54.479599999999998</c:v>
                </c:pt>
                <c:pt idx="135">
                  <c:v>54.887599999999999</c:v>
                </c:pt>
                <c:pt idx="136">
                  <c:v>55.291499999999999</c:v>
                </c:pt>
                <c:pt idx="137">
                  <c:v>55.701000000000001</c:v>
                </c:pt>
                <c:pt idx="138">
                  <c:v>56.107199999999999</c:v>
                </c:pt>
                <c:pt idx="139">
                  <c:v>56.510899999999999</c:v>
                </c:pt>
                <c:pt idx="140">
                  <c:v>56.916400000000003</c:v>
                </c:pt>
                <c:pt idx="141">
                  <c:v>57.323999999999998</c:v>
                </c:pt>
                <c:pt idx="142">
                  <c:v>57.726500000000001</c:v>
                </c:pt>
                <c:pt idx="143">
                  <c:v>58.137599999999999</c:v>
                </c:pt>
                <c:pt idx="144">
                  <c:v>58.542900000000003</c:v>
                </c:pt>
                <c:pt idx="145">
                  <c:v>58.947299999999998</c:v>
                </c:pt>
                <c:pt idx="146">
                  <c:v>59.354900000000001</c:v>
                </c:pt>
                <c:pt idx="147">
                  <c:v>59.7622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55.649499999999996</c:v>
                </c:pt>
                <c:pt idx="1">
                  <c:v>54.741199999999999</c:v>
                </c:pt>
                <c:pt idx="2">
                  <c:v>53.778099999999995</c:v>
                </c:pt>
                <c:pt idx="3">
                  <c:v>52.701299999999996</c:v>
                </c:pt>
                <c:pt idx="4">
                  <c:v>51.681299999999993</c:v>
                </c:pt>
                <c:pt idx="5">
                  <c:v>50.746899999999997</c:v>
                </c:pt>
                <c:pt idx="6">
                  <c:v>49.795899999999996</c:v>
                </c:pt>
                <c:pt idx="7">
                  <c:v>48.833599999999997</c:v>
                </c:pt>
                <c:pt idx="8">
                  <c:v>47.936199999999999</c:v>
                </c:pt>
                <c:pt idx="9">
                  <c:v>46.967500000000001</c:v>
                </c:pt>
                <c:pt idx="10">
                  <c:v>45.935900000000004</c:v>
                </c:pt>
                <c:pt idx="11">
                  <c:v>44.780300000000004</c:v>
                </c:pt>
                <c:pt idx="12">
                  <c:v>43.582700000000003</c:v>
                </c:pt>
                <c:pt idx="13">
                  <c:v>42.3277</c:v>
                </c:pt>
                <c:pt idx="14">
                  <c:v>41.320700000000002</c:v>
                </c:pt>
                <c:pt idx="15">
                  <c:v>40.476700000000001</c:v>
                </c:pt>
                <c:pt idx="16">
                  <c:v>39.706499999999998</c:v>
                </c:pt>
                <c:pt idx="17">
                  <c:v>38.907699999999998</c:v>
                </c:pt>
                <c:pt idx="18">
                  <c:v>38.227600000000002</c:v>
                </c:pt>
                <c:pt idx="19">
                  <c:v>37.7136</c:v>
                </c:pt>
                <c:pt idx="20">
                  <c:v>37.3855</c:v>
                </c:pt>
                <c:pt idx="21">
                  <c:v>37.176500000000004</c:v>
                </c:pt>
                <c:pt idx="22">
                  <c:v>37.088799999999999</c:v>
                </c:pt>
                <c:pt idx="23">
                  <c:v>37.160700000000006</c:v>
                </c:pt>
                <c:pt idx="24">
                  <c:v>37.270600000000002</c:v>
                </c:pt>
                <c:pt idx="25">
                  <c:v>37.412600000000005</c:v>
                </c:pt>
                <c:pt idx="26">
                  <c:v>37.570300000000003</c:v>
                </c:pt>
                <c:pt idx="27">
                  <c:v>37.702200000000005</c:v>
                </c:pt>
                <c:pt idx="28">
                  <c:v>37.811699999999995</c:v>
                </c:pt>
                <c:pt idx="29">
                  <c:v>37.874699999999997</c:v>
                </c:pt>
                <c:pt idx="30">
                  <c:v>37.863900000000001</c:v>
                </c:pt>
                <c:pt idx="31">
                  <c:v>37.799500000000002</c:v>
                </c:pt>
                <c:pt idx="32">
                  <c:v>37.6494</c:v>
                </c:pt>
                <c:pt idx="33">
                  <c:v>37.431199999999997</c:v>
                </c:pt>
                <c:pt idx="34">
                  <c:v>37.256299999999996</c:v>
                </c:pt>
                <c:pt idx="35">
                  <c:v>37.095599999999997</c:v>
                </c:pt>
                <c:pt idx="36">
                  <c:v>36.938500000000005</c:v>
                </c:pt>
                <c:pt idx="37">
                  <c:v>36.7714</c:v>
                </c:pt>
                <c:pt idx="38">
                  <c:v>36.664400000000001</c:v>
                </c:pt>
                <c:pt idx="39">
                  <c:v>36.5852</c:v>
                </c:pt>
                <c:pt idx="40">
                  <c:v>36.5411</c:v>
                </c:pt>
                <c:pt idx="41">
                  <c:v>36.500700000000002</c:v>
                </c:pt>
                <c:pt idx="42">
                  <c:v>36.486200000000004</c:v>
                </c:pt>
                <c:pt idx="43">
                  <c:v>36.457299999999996</c:v>
                </c:pt>
                <c:pt idx="44">
                  <c:v>36.421199999999999</c:v>
                </c:pt>
                <c:pt idx="45">
                  <c:v>36.382100000000001</c:v>
                </c:pt>
                <c:pt idx="46">
                  <c:v>36.335000000000001</c:v>
                </c:pt>
                <c:pt idx="47">
                  <c:v>36.237000000000002</c:v>
                </c:pt>
                <c:pt idx="48">
                  <c:v>36.094999999999999</c:v>
                </c:pt>
                <c:pt idx="49">
                  <c:v>35.954599999999999</c:v>
                </c:pt>
                <c:pt idx="50">
                  <c:v>35.854100000000003</c:v>
                </c:pt>
                <c:pt idx="51">
                  <c:v>35.717599999999997</c:v>
                </c:pt>
                <c:pt idx="52">
                  <c:v>35.539300000000004</c:v>
                </c:pt>
                <c:pt idx="53">
                  <c:v>35.358400000000003</c:v>
                </c:pt>
                <c:pt idx="54">
                  <c:v>35.164499999999997</c:v>
                </c:pt>
                <c:pt idx="55">
                  <c:v>34.943000000000005</c:v>
                </c:pt>
                <c:pt idx="56">
                  <c:v>34.644999999999996</c:v>
                </c:pt>
                <c:pt idx="57">
                  <c:v>34.526400000000002</c:v>
                </c:pt>
                <c:pt idx="58">
                  <c:v>34.2273</c:v>
                </c:pt>
                <c:pt idx="59">
                  <c:v>34.093000000000004</c:v>
                </c:pt>
                <c:pt idx="60">
                  <c:v>33.9925</c:v>
                </c:pt>
                <c:pt idx="61">
                  <c:v>33.917999999999999</c:v>
                </c:pt>
                <c:pt idx="62">
                  <c:v>33.821600000000004</c:v>
                </c:pt>
                <c:pt idx="63">
                  <c:v>33.7072</c:v>
                </c:pt>
                <c:pt idx="64">
                  <c:v>33.631599999999999</c:v>
                </c:pt>
                <c:pt idx="65">
                  <c:v>33.601500000000001</c:v>
                </c:pt>
                <c:pt idx="66">
                  <c:v>33.538400000000003</c:v>
                </c:pt>
                <c:pt idx="67">
                  <c:v>33.476199999999999</c:v>
                </c:pt>
                <c:pt idx="68">
                  <c:v>33.454899999999995</c:v>
                </c:pt>
                <c:pt idx="69">
                  <c:v>33.43</c:v>
                </c:pt>
                <c:pt idx="70">
                  <c:v>33.428600000000003</c:v>
                </c:pt>
                <c:pt idx="71">
                  <c:v>33.342799999999997</c:v>
                </c:pt>
                <c:pt idx="72">
                  <c:v>33.273899999999998</c:v>
                </c:pt>
                <c:pt idx="73">
                  <c:v>33.200299999999999</c:v>
                </c:pt>
                <c:pt idx="74">
                  <c:v>33.058300000000003</c:v>
                </c:pt>
                <c:pt idx="75">
                  <c:v>32.934699999999999</c:v>
                </c:pt>
                <c:pt idx="76">
                  <c:v>32.805299999999995</c:v>
                </c:pt>
                <c:pt idx="77">
                  <c:v>32.673299999999998</c:v>
                </c:pt>
                <c:pt idx="78">
                  <c:v>32.5623</c:v>
                </c:pt>
                <c:pt idx="79">
                  <c:v>32.513199999999998</c:v>
                </c:pt>
                <c:pt idx="80">
                  <c:v>32.491999999999997</c:v>
                </c:pt>
                <c:pt idx="81">
                  <c:v>32.552500000000002</c:v>
                </c:pt>
                <c:pt idx="82">
                  <c:v>32.660699999999999</c:v>
                </c:pt>
                <c:pt idx="83">
                  <c:v>32.7667</c:v>
                </c:pt>
                <c:pt idx="84">
                  <c:v>32.837699999999998</c:v>
                </c:pt>
                <c:pt idx="85">
                  <c:v>32.8581</c:v>
                </c:pt>
                <c:pt idx="86">
                  <c:v>32.855000000000004</c:v>
                </c:pt>
                <c:pt idx="87">
                  <c:v>32.825500000000005</c:v>
                </c:pt>
                <c:pt idx="88">
                  <c:v>32.786700000000003</c:v>
                </c:pt>
                <c:pt idx="89">
                  <c:v>32.668999999999997</c:v>
                </c:pt>
                <c:pt idx="90">
                  <c:v>32.488099999999996</c:v>
                </c:pt>
                <c:pt idx="91">
                  <c:v>32.355499999999999</c:v>
                </c:pt>
                <c:pt idx="92">
                  <c:v>32.226799999999997</c:v>
                </c:pt>
                <c:pt idx="93">
                  <c:v>32.059599999999996</c:v>
                </c:pt>
                <c:pt idx="94">
                  <c:v>31.903500000000001</c:v>
                </c:pt>
                <c:pt idx="95">
                  <c:v>31.9056</c:v>
                </c:pt>
                <c:pt idx="96">
                  <c:v>31.970199999999998</c:v>
                </c:pt>
                <c:pt idx="97">
                  <c:v>32.030799999999999</c:v>
                </c:pt>
                <c:pt idx="98">
                  <c:v>32.158900000000003</c:v>
                </c:pt>
                <c:pt idx="99">
                  <c:v>32.2316</c:v>
                </c:pt>
                <c:pt idx="100">
                  <c:v>32.329700000000003</c:v>
                </c:pt>
                <c:pt idx="101">
                  <c:v>32.429099999999998</c:v>
                </c:pt>
                <c:pt idx="102">
                  <c:v>32.517000000000003</c:v>
                </c:pt>
                <c:pt idx="103">
                  <c:v>32.554000000000002</c:v>
                </c:pt>
                <c:pt idx="104">
                  <c:v>32.573599999999999</c:v>
                </c:pt>
                <c:pt idx="105">
                  <c:v>32.569099999999999</c:v>
                </c:pt>
                <c:pt idx="106">
                  <c:v>32.522099999999995</c:v>
                </c:pt>
                <c:pt idx="107">
                  <c:v>32.447600000000001</c:v>
                </c:pt>
                <c:pt idx="108">
                  <c:v>32.344200000000001</c:v>
                </c:pt>
                <c:pt idx="109">
                  <c:v>32.243400000000001</c:v>
                </c:pt>
                <c:pt idx="110">
                  <c:v>32.163699999999999</c:v>
                </c:pt>
                <c:pt idx="111">
                  <c:v>32.127899999999997</c:v>
                </c:pt>
                <c:pt idx="112">
                  <c:v>32.162300000000002</c:v>
                </c:pt>
                <c:pt idx="113">
                  <c:v>32.222000000000001</c:v>
                </c:pt>
                <c:pt idx="114">
                  <c:v>32.269599999999997</c:v>
                </c:pt>
                <c:pt idx="115">
                  <c:v>32.331199999999995</c:v>
                </c:pt>
                <c:pt idx="116">
                  <c:v>32.3444</c:v>
                </c:pt>
                <c:pt idx="117">
                  <c:v>32.348300000000002</c:v>
                </c:pt>
                <c:pt idx="118">
                  <c:v>32.391100000000002</c:v>
                </c:pt>
                <c:pt idx="119">
                  <c:v>32.401200000000003</c:v>
                </c:pt>
                <c:pt idx="120">
                  <c:v>32.2973</c:v>
                </c:pt>
                <c:pt idx="121">
                  <c:v>32.1892</c:v>
                </c:pt>
                <c:pt idx="122">
                  <c:v>32.1143</c:v>
                </c:pt>
                <c:pt idx="123">
                  <c:v>32.027699999999996</c:v>
                </c:pt>
                <c:pt idx="124">
                  <c:v>31.937700000000003</c:v>
                </c:pt>
                <c:pt idx="125">
                  <c:v>31.844899999999999</c:v>
                </c:pt>
                <c:pt idx="126">
                  <c:v>31.784299999999998</c:v>
                </c:pt>
                <c:pt idx="127">
                  <c:v>31.757800000000003</c:v>
                </c:pt>
                <c:pt idx="128">
                  <c:v>31.755299999999998</c:v>
                </c:pt>
                <c:pt idx="129">
                  <c:v>31.735200000000003</c:v>
                </c:pt>
                <c:pt idx="130">
                  <c:v>31.709599999999998</c:v>
                </c:pt>
                <c:pt idx="131">
                  <c:v>31.694800000000001</c:v>
                </c:pt>
                <c:pt idx="132">
                  <c:v>31.707800000000002</c:v>
                </c:pt>
                <c:pt idx="133">
                  <c:v>31.770900000000001</c:v>
                </c:pt>
                <c:pt idx="134">
                  <c:v>31.843100000000003</c:v>
                </c:pt>
                <c:pt idx="135">
                  <c:v>31.9224</c:v>
                </c:pt>
                <c:pt idx="136">
                  <c:v>31.9559</c:v>
                </c:pt>
                <c:pt idx="137">
                  <c:v>31.916</c:v>
                </c:pt>
                <c:pt idx="138">
                  <c:v>31.818099999999998</c:v>
                </c:pt>
                <c:pt idx="139">
                  <c:v>31.806600000000003</c:v>
                </c:pt>
                <c:pt idx="140">
                  <c:v>31.7622</c:v>
                </c:pt>
                <c:pt idx="141">
                  <c:v>31.844000000000001</c:v>
                </c:pt>
                <c:pt idx="142">
                  <c:v>31.909700000000001</c:v>
                </c:pt>
                <c:pt idx="143">
                  <c:v>31.919900000000002</c:v>
                </c:pt>
                <c:pt idx="144">
                  <c:v>32.040100000000002</c:v>
                </c:pt>
                <c:pt idx="145">
                  <c:v>32.337600000000002</c:v>
                </c:pt>
                <c:pt idx="146">
                  <c:v>32.792500000000004</c:v>
                </c:pt>
                <c:pt idx="147">
                  <c:v>32.909599999999998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0.39994099999999999</c:v>
                </c:pt>
                <c:pt idx="2">
                  <c:v>0.81088199999999999</c:v>
                </c:pt>
                <c:pt idx="3">
                  <c:v>1.21574</c:v>
                </c:pt>
                <c:pt idx="4">
                  <c:v>1.6217699999999999</c:v>
                </c:pt>
                <c:pt idx="5">
                  <c:v>2.0269599999999999</c:v>
                </c:pt>
                <c:pt idx="6">
                  <c:v>2.4311099999999999</c:v>
                </c:pt>
                <c:pt idx="7">
                  <c:v>2.8405200000000002</c:v>
                </c:pt>
                <c:pt idx="8">
                  <c:v>3.2446999999999999</c:v>
                </c:pt>
                <c:pt idx="9">
                  <c:v>3.6521599999999999</c:v>
                </c:pt>
                <c:pt idx="10">
                  <c:v>4.0593199999999996</c:v>
                </c:pt>
                <c:pt idx="11">
                  <c:v>4.4630099999999997</c:v>
                </c:pt>
                <c:pt idx="12">
                  <c:v>4.8742099999999997</c:v>
                </c:pt>
                <c:pt idx="13">
                  <c:v>5.2769599999999999</c:v>
                </c:pt>
                <c:pt idx="14">
                  <c:v>5.6788400000000001</c:v>
                </c:pt>
                <c:pt idx="15">
                  <c:v>6.0927300000000004</c:v>
                </c:pt>
                <c:pt idx="16">
                  <c:v>6.4948199999999998</c:v>
                </c:pt>
                <c:pt idx="17">
                  <c:v>6.9035799999999998</c:v>
                </c:pt>
                <c:pt idx="18">
                  <c:v>7.30776</c:v>
                </c:pt>
                <c:pt idx="19">
                  <c:v>7.7115799999999997</c:v>
                </c:pt>
                <c:pt idx="20">
                  <c:v>8.1184100000000008</c:v>
                </c:pt>
                <c:pt idx="21">
                  <c:v>8.52379</c:v>
                </c:pt>
                <c:pt idx="22">
                  <c:v>8.9340499999999992</c:v>
                </c:pt>
                <c:pt idx="23">
                  <c:v>9.34</c:v>
                </c:pt>
                <c:pt idx="24">
                  <c:v>9.7448999999999995</c:v>
                </c:pt>
                <c:pt idx="25">
                  <c:v>10.152100000000001</c:v>
                </c:pt>
                <c:pt idx="26">
                  <c:v>10.5588</c:v>
                </c:pt>
                <c:pt idx="27">
                  <c:v>10.966799999999999</c:v>
                </c:pt>
                <c:pt idx="28">
                  <c:v>11.3705</c:v>
                </c:pt>
                <c:pt idx="29">
                  <c:v>11.7776</c:v>
                </c:pt>
                <c:pt idx="30">
                  <c:v>12.1806</c:v>
                </c:pt>
                <c:pt idx="31">
                  <c:v>12.5906</c:v>
                </c:pt>
                <c:pt idx="32">
                  <c:v>12.998200000000001</c:v>
                </c:pt>
                <c:pt idx="33">
                  <c:v>13.404199999999999</c:v>
                </c:pt>
                <c:pt idx="34">
                  <c:v>13.805300000000001</c:v>
                </c:pt>
                <c:pt idx="35">
                  <c:v>14.211499999999999</c:v>
                </c:pt>
                <c:pt idx="36">
                  <c:v>14.620200000000001</c:v>
                </c:pt>
                <c:pt idx="37">
                  <c:v>15.0246</c:v>
                </c:pt>
                <c:pt idx="38">
                  <c:v>15.4328</c:v>
                </c:pt>
                <c:pt idx="39">
                  <c:v>15.839600000000001</c:v>
                </c:pt>
                <c:pt idx="40">
                  <c:v>16.242699999999999</c:v>
                </c:pt>
                <c:pt idx="41">
                  <c:v>16.6496</c:v>
                </c:pt>
                <c:pt idx="42">
                  <c:v>17.063500000000001</c:v>
                </c:pt>
                <c:pt idx="43">
                  <c:v>17.4663</c:v>
                </c:pt>
                <c:pt idx="44">
                  <c:v>17.871099999999998</c:v>
                </c:pt>
                <c:pt idx="45">
                  <c:v>18.275200000000002</c:v>
                </c:pt>
                <c:pt idx="46">
                  <c:v>18.681799999999999</c:v>
                </c:pt>
                <c:pt idx="47">
                  <c:v>19.091200000000001</c:v>
                </c:pt>
                <c:pt idx="48">
                  <c:v>19.498899999999999</c:v>
                </c:pt>
                <c:pt idx="49">
                  <c:v>19.9038</c:v>
                </c:pt>
                <c:pt idx="50">
                  <c:v>20.308700000000002</c:v>
                </c:pt>
                <c:pt idx="51">
                  <c:v>20.7105</c:v>
                </c:pt>
                <c:pt idx="52">
                  <c:v>21.122499999999999</c:v>
                </c:pt>
                <c:pt idx="53">
                  <c:v>21.523900000000001</c:v>
                </c:pt>
                <c:pt idx="54">
                  <c:v>21.9299</c:v>
                </c:pt>
                <c:pt idx="55">
                  <c:v>22.3428</c:v>
                </c:pt>
                <c:pt idx="56">
                  <c:v>22.746300000000002</c:v>
                </c:pt>
                <c:pt idx="57">
                  <c:v>23.152000000000001</c:v>
                </c:pt>
                <c:pt idx="58">
                  <c:v>23.557400000000001</c:v>
                </c:pt>
                <c:pt idx="59">
                  <c:v>23.963100000000001</c:v>
                </c:pt>
                <c:pt idx="60">
                  <c:v>24.372800000000002</c:v>
                </c:pt>
                <c:pt idx="61">
                  <c:v>24.7788</c:v>
                </c:pt>
                <c:pt idx="62">
                  <c:v>25.180199999999999</c:v>
                </c:pt>
                <c:pt idx="63">
                  <c:v>25.590900000000001</c:v>
                </c:pt>
                <c:pt idx="64">
                  <c:v>25.994700000000002</c:v>
                </c:pt>
                <c:pt idx="65">
                  <c:v>26.403300000000002</c:v>
                </c:pt>
                <c:pt idx="66">
                  <c:v>26.808499999999999</c:v>
                </c:pt>
                <c:pt idx="67">
                  <c:v>27.212299999999999</c:v>
                </c:pt>
                <c:pt idx="68">
                  <c:v>27.621099999999998</c:v>
                </c:pt>
                <c:pt idx="69">
                  <c:v>28.0242</c:v>
                </c:pt>
                <c:pt idx="70">
                  <c:v>28.4331</c:v>
                </c:pt>
                <c:pt idx="71">
                  <c:v>28.8398</c:v>
                </c:pt>
                <c:pt idx="72">
                  <c:v>29.2469</c:v>
                </c:pt>
                <c:pt idx="73">
                  <c:v>29.651700000000002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55.649499999999996</c:v>
                </c:pt>
                <c:pt idx="1">
                  <c:v>54.741199999999999</c:v>
                </c:pt>
                <c:pt idx="2">
                  <c:v>53.778099999999995</c:v>
                </c:pt>
                <c:pt idx="3">
                  <c:v>52.701299999999996</c:v>
                </c:pt>
                <c:pt idx="4">
                  <c:v>51.681299999999993</c:v>
                </c:pt>
                <c:pt idx="5">
                  <c:v>50.746899999999997</c:v>
                </c:pt>
                <c:pt idx="6">
                  <c:v>49.795899999999996</c:v>
                </c:pt>
                <c:pt idx="7">
                  <c:v>48.833599999999997</c:v>
                </c:pt>
                <c:pt idx="8">
                  <c:v>47.936199999999999</c:v>
                </c:pt>
                <c:pt idx="9">
                  <c:v>46.967500000000001</c:v>
                </c:pt>
                <c:pt idx="10">
                  <c:v>45.935900000000004</c:v>
                </c:pt>
                <c:pt idx="11">
                  <c:v>44.780300000000004</c:v>
                </c:pt>
                <c:pt idx="12">
                  <c:v>43.582700000000003</c:v>
                </c:pt>
                <c:pt idx="13">
                  <c:v>42.3277</c:v>
                </c:pt>
                <c:pt idx="14">
                  <c:v>41.320700000000002</c:v>
                </c:pt>
                <c:pt idx="15">
                  <c:v>40.476700000000001</c:v>
                </c:pt>
                <c:pt idx="16">
                  <c:v>39.706499999999998</c:v>
                </c:pt>
                <c:pt idx="17">
                  <c:v>38.907699999999998</c:v>
                </c:pt>
                <c:pt idx="18">
                  <c:v>38.227600000000002</c:v>
                </c:pt>
                <c:pt idx="19">
                  <c:v>37.7136</c:v>
                </c:pt>
                <c:pt idx="20">
                  <c:v>37.3855</c:v>
                </c:pt>
                <c:pt idx="21">
                  <c:v>37.176500000000004</c:v>
                </c:pt>
                <c:pt idx="22">
                  <c:v>37.088799999999999</c:v>
                </c:pt>
                <c:pt idx="23">
                  <c:v>37.160700000000006</c:v>
                </c:pt>
                <c:pt idx="24">
                  <c:v>37.270600000000002</c:v>
                </c:pt>
                <c:pt idx="25">
                  <c:v>37.412600000000005</c:v>
                </c:pt>
                <c:pt idx="26">
                  <c:v>37.570300000000003</c:v>
                </c:pt>
                <c:pt idx="27">
                  <c:v>37.702200000000005</c:v>
                </c:pt>
                <c:pt idx="28">
                  <c:v>37.811699999999995</c:v>
                </c:pt>
                <c:pt idx="29">
                  <c:v>37.874699999999997</c:v>
                </c:pt>
                <c:pt idx="30">
                  <c:v>37.863900000000001</c:v>
                </c:pt>
                <c:pt idx="31">
                  <c:v>37.799500000000002</c:v>
                </c:pt>
                <c:pt idx="32">
                  <c:v>37.6494</c:v>
                </c:pt>
                <c:pt idx="33">
                  <c:v>37.431199999999997</c:v>
                </c:pt>
                <c:pt idx="34">
                  <c:v>37.256299999999996</c:v>
                </c:pt>
                <c:pt idx="35">
                  <c:v>37.095599999999997</c:v>
                </c:pt>
                <c:pt idx="36">
                  <c:v>36.938500000000005</c:v>
                </c:pt>
                <c:pt idx="37">
                  <c:v>36.7714</c:v>
                </c:pt>
                <c:pt idx="38">
                  <c:v>36.664400000000001</c:v>
                </c:pt>
                <c:pt idx="39">
                  <c:v>36.5852</c:v>
                </c:pt>
                <c:pt idx="40">
                  <c:v>36.5411</c:v>
                </c:pt>
                <c:pt idx="41">
                  <c:v>36.500700000000002</c:v>
                </c:pt>
                <c:pt idx="42">
                  <c:v>36.486200000000004</c:v>
                </c:pt>
                <c:pt idx="43">
                  <c:v>36.457299999999996</c:v>
                </c:pt>
                <c:pt idx="44">
                  <c:v>36.421199999999999</c:v>
                </c:pt>
                <c:pt idx="45">
                  <c:v>36.382100000000001</c:v>
                </c:pt>
                <c:pt idx="46">
                  <c:v>36.335000000000001</c:v>
                </c:pt>
                <c:pt idx="47">
                  <c:v>36.237000000000002</c:v>
                </c:pt>
                <c:pt idx="48">
                  <c:v>36.094999999999999</c:v>
                </c:pt>
                <c:pt idx="49">
                  <c:v>35.954599999999999</c:v>
                </c:pt>
                <c:pt idx="50">
                  <c:v>35.854100000000003</c:v>
                </c:pt>
                <c:pt idx="51">
                  <c:v>35.717599999999997</c:v>
                </c:pt>
                <c:pt idx="52">
                  <c:v>35.539300000000004</c:v>
                </c:pt>
                <c:pt idx="53">
                  <c:v>35.358400000000003</c:v>
                </c:pt>
                <c:pt idx="54">
                  <c:v>35.164499999999997</c:v>
                </c:pt>
                <c:pt idx="55">
                  <c:v>34.943000000000005</c:v>
                </c:pt>
                <c:pt idx="56">
                  <c:v>34.644999999999996</c:v>
                </c:pt>
                <c:pt idx="57">
                  <c:v>34.526400000000002</c:v>
                </c:pt>
                <c:pt idx="58">
                  <c:v>34.2273</c:v>
                </c:pt>
                <c:pt idx="59">
                  <c:v>34.093000000000004</c:v>
                </c:pt>
                <c:pt idx="60">
                  <c:v>33.9925</c:v>
                </c:pt>
                <c:pt idx="61">
                  <c:v>33.917999999999999</c:v>
                </c:pt>
                <c:pt idx="62">
                  <c:v>33.821600000000004</c:v>
                </c:pt>
                <c:pt idx="63">
                  <c:v>33.7072</c:v>
                </c:pt>
                <c:pt idx="64">
                  <c:v>33.631599999999999</c:v>
                </c:pt>
                <c:pt idx="65">
                  <c:v>33.601500000000001</c:v>
                </c:pt>
                <c:pt idx="66">
                  <c:v>33.538400000000003</c:v>
                </c:pt>
                <c:pt idx="67">
                  <c:v>33.476199999999999</c:v>
                </c:pt>
                <c:pt idx="68">
                  <c:v>33.454899999999995</c:v>
                </c:pt>
                <c:pt idx="69">
                  <c:v>33.43</c:v>
                </c:pt>
                <c:pt idx="70">
                  <c:v>33.428600000000003</c:v>
                </c:pt>
                <c:pt idx="71">
                  <c:v>33.342799999999997</c:v>
                </c:pt>
                <c:pt idx="72">
                  <c:v>33.273899999999998</c:v>
                </c:pt>
                <c:pt idx="73">
                  <c:v>33.200299999999999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29.651700000000002</c:v>
                </c:pt>
                <c:pt idx="1">
                  <c:v>30.059100000000001</c:v>
                </c:pt>
                <c:pt idx="2">
                  <c:v>30.636099999999999</c:v>
                </c:pt>
                <c:pt idx="3">
                  <c:v>31.009</c:v>
                </c:pt>
                <c:pt idx="4">
                  <c:v>31.384399999999999</c:v>
                </c:pt>
                <c:pt idx="5">
                  <c:v>31.760999999999999</c:v>
                </c:pt>
                <c:pt idx="6">
                  <c:v>32.137900000000002</c:v>
                </c:pt>
                <c:pt idx="7">
                  <c:v>32.542000000000002</c:v>
                </c:pt>
                <c:pt idx="8">
                  <c:v>32.948</c:v>
                </c:pt>
                <c:pt idx="9">
                  <c:v>33.356099999999998</c:v>
                </c:pt>
                <c:pt idx="10">
                  <c:v>33.761200000000002</c:v>
                </c:pt>
                <c:pt idx="11">
                  <c:v>34.169600000000003</c:v>
                </c:pt>
                <c:pt idx="12">
                  <c:v>34.573599999999999</c:v>
                </c:pt>
                <c:pt idx="13">
                  <c:v>34.979399999999998</c:v>
                </c:pt>
                <c:pt idx="14">
                  <c:v>35.384500000000003</c:v>
                </c:pt>
                <c:pt idx="15">
                  <c:v>35.796300000000002</c:v>
                </c:pt>
                <c:pt idx="16">
                  <c:v>36.200200000000002</c:v>
                </c:pt>
                <c:pt idx="17">
                  <c:v>36.604100000000003</c:v>
                </c:pt>
                <c:pt idx="18">
                  <c:v>37.010100000000001</c:v>
                </c:pt>
                <c:pt idx="19">
                  <c:v>37.414700000000003</c:v>
                </c:pt>
                <c:pt idx="20">
                  <c:v>37.825899999999997</c:v>
                </c:pt>
                <c:pt idx="21">
                  <c:v>38.2288</c:v>
                </c:pt>
                <c:pt idx="22">
                  <c:v>38.637700000000002</c:v>
                </c:pt>
                <c:pt idx="23">
                  <c:v>39.0426</c:v>
                </c:pt>
                <c:pt idx="24">
                  <c:v>39.4467</c:v>
                </c:pt>
                <c:pt idx="25">
                  <c:v>39.853299999999997</c:v>
                </c:pt>
                <c:pt idx="26">
                  <c:v>40.264400000000002</c:v>
                </c:pt>
                <c:pt idx="27">
                  <c:v>40.668199999999999</c:v>
                </c:pt>
                <c:pt idx="28">
                  <c:v>41.072299999999998</c:v>
                </c:pt>
                <c:pt idx="29">
                  <c:v>41.481200000000001</c:v>
                </c:pt>
                <c:pt idx="30">
                  <c:v>41.889000000000003</c:v>
                </c:pt>
                <c:pt idx="31">
                  <c:v>42.294899999999998</c:v>
                </c:pt>
                <c:pt idx="32">
                  <c:v>42.6997</c:v>
                </c:pt>
                <c:pt idx="33">
                  <c:v>43.102699999999999</c:v>
                </c:pt>
                <c:pt idx="34">
                  <c:v>43.512700000000002</c:v>
                </c:pt>
                <c:pt idx="35">
                  <c:v>43.916600000000003</c:v>
                </c:pt>
                <c:pt idx="36">
                  <c:v>44.322299999999998</c:v>
                </c:pt>
                <c:pt idx="37">
                  <c:v>44.728499999999997</c:v>
                </c:pt>
                <c:pt idx="38">
                  <c:v>45.138300000000001</c:v>
                </c:pt>
                <c:pt idx="39">
                  <c:v>45.539299999999997</c:v>
                </c:pt>
                <c:pt idx="40">
                  <c:v>45.950099999999999</c:v>
                </c:pt>
                <c:pt idx="41">
                  <c:v>46.353000000000002</c:v>
                </c:pt>
                <c:pt idx="42">
                  <c:v>46.759099999999997</c:v>
                </c:pt>
                <c:pt idx="43">
                  <c:v>47.170299999999997</c:v>
                </c:pt>
                <c:pt idx="44">
                  <c:v>47.575899999999997</c:v>
                </c:pt>
                <c:pt idx="45">
                  <c:v>47.9816</c:v>
                </c:pt>
                <c:pt idx="46">
                  <c:v>48.384599999999999</c:v>
                </c:pt>
                <c:pt idx="47">
                  <c:v>48.793599999999998</c:v>
                </c:pt>
                <c:pt idx="48">
                  <c:v>49.198399999999999</c:v>
                </c:pt>
                <c:pt idx="49">
                  <c:v>49.606400000000001</c:v>
                </c:pt>
                <c:pt idx="50">
                  <c:v>50.012099999999997</c:v>
                </c:pt>
                <c:pt idx="51">
                  <c:v>50.416200000000003</c:v>
                </c:pt>
                <c:pt idx="52">
                  <c:v>50.824399999999997</c:v>
                </c:pt>
                <c:pt idx="53">
                  <c:v>51.231000000000002</c:v>
                </c:pt>
                <c:pt idx="54">
                  <c:v>51.637900000000002</c:v>
                </c:pt>
                <c:pt idx="55">
                  <c:v>52.045999999999999</c:v>
                </c:pt>
                <c:pt idx="56">
                  <c:v>52.447800000000001</c:v>
                </c:pt>
                <c:pt idx="57">
                  <c:v>52.854700000000001</c:v>
                </c:pt>
                <c:pt idx="58">
                  <c:v>53.262599999999999</c:v>
                </c:pt>
                <c:pt idx="59">
                  <c:v>53.672499999999999</c:v>
                </c:pt>
                <c:pt idx="60">
                  <c:v>54.072400000000002</c:v>
                </c:pt>
                <c:pt idx="61">
                  <c:v>54.479599999999998</c:v>
                </c:pt>
                <c:pt idx="62">
                  <c:v>54.887599999999999</c:v>
                </c:pt>
                <c:pt idx="63">
                  <c:v>55.291499999999999</c:v>
                </c:pt>
                <c:pt idx="64">
                  <c:v>55.701000000000001</c:v>
                </c:pt>
                <c:pt idx="65">
                  <c:v>56.107199999999999</c:v>
                </c:pt>
                <c:pt idx="66">
                  <c:v>56.510899999999999</c:v>
                </c:pt>
                <c:pt idx="67">
                  <c:v>56.916400000000003</c:v>
                </c:pt>
                <c:pt idx="68">
                  <c:v>57.323999999999998</c:v>
                </c:pt>
                <c:pt idx="69">
                  <c:v>57.726500000000001</c:v>
                </c:pt>
                <c:pt idx="70">
                  <c:v>58.137599999999999</c:v>
                </c:pt>
                <c:pt idx="71">
                  <c:v>58.542900000000003</c:v>
                </c:pt>
                <c:pt idx="72">
                  <c:v>58.947299999999998</c:v>
                </c:pt>
                <c:pt idx="73">
                  <c:v>59.354900000000001</c:v>
                </c:pt>
                <c:pt idx="74">
                  <c:v>59.7622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33.200299999999999</c:v>
                </c:pt>
                <c:pt idx="1">
                  <c:v>33.058300000000003</c:v>
                </c:pt>
                <c:pt idx="2">
                  <c:v>32.934699999999999</c:v>
                </c:pt>
                <c:pt idx="3">
                  <c:v>32.805299999999995</c:v>
                </c:pt>
                <c:pt idx="4">
                  <c:v>32.673299999999998</c:v>
                </c:pt>
                <c:pt idx="5">
                  <c:v>32.5623</c:v>
                </c:pt>
                <c:pt idx="6">
                  <c:v>32.513199999999998</c:v>
                </c:pt>
                <c:pt idx="7">
                  <c:v>32.491999999999997</c:v>
                </c:pt>
                <c:pt idx="8">
                  <c:v>32.552500000000002</c:v>
                </c:pt>
                <c:pt idx="9">
                  <c:v>32.660699999999999</c:v>
                </c:pt>
                <c:pt idx="10">
                  <c:v>32.7667</c:v>
                </c:pt>
                <c:pt idx="11">
                  <c:v>32.837699999999998</c:v>
                </c:pt>
                <c:pt idx="12">
                  <c:v>32.8581</c:v>
                </c:pt>
                <c:pt idx="13">
                  <c:v>32.855000000000004</c:v>
                </c:pt>
                <c:pt idx="14">
                  <c:v>32.825500000000005</c:v>
                </c:pt>
                <c:pt idx="15">
                  <c:v>32.786700000000003</c:v>
                </c:pt>
                <c:pt idx="16">
                  <c:v>32.668999999999997</c:v>
                </c:pt>
                <c:pt idx="17">
                  <c:v>32.488099999999996</c:v>
                </c:pt>
                <c:pt idx="18">
                  <c:v>32.355499999999999</c:v>
                </c:pt>
                <c:pt idx="19">
                  <c:v>32.226799999999997</c:v>
                </c:pt>
                <c:pt idx="20">
                  <c:v>32.059599999999996</c:v>
                </c:pt>
                <c:pt idx="21">
                  <c:v>31.903500000000001</c:v>
                </c:pt>
                <c:pt idx="22">
                  <c:v>31.9056</c:v>
                </c:pt>
                <c:pt idx="23">
                  <c:v>31.970199999999998</c:v>
                </c:pt>
                <c:pt idx="24">
                  <c:v>32.030799999999999</c:v>
                </c:pt>
                <c:pt idx="25">
                  <c:v>32.158900000000003</c:v>
                </c:pt>
                <c:pt idx="26">
                  <c:v>32.2316</c:v>
                </c:pt>
                <c:pt idx="27">
                  <c:v>32.329700000000003</c:v>
                </c:pt>
                <c:pt idx="28">
                  <c:v>32.429099999999998</c:v>
                </c:pt>
                <c:pt idx="29">
                  <c:v>32.517000000000003</c:v>
                </c:pt>
                <c:pt idx="30">
                  <c:v>32.554000000000002</c:v>
                </c:pt>
                <c:pt idx="31">
                  <c:v>32.573599999999999</c:v>
                </c:pt>
                <c:pt idx="32">
                  <c:v>32.569099999999999</c:v>
                </c:pt>
                <c:pt idx="33">
                  <c:v>32.522099999999995</c:v>
                </c:pt>
                <c:pt idx="34">
                  <c:v>32.447600000000001</c:v>
                </c:pt>
                <c:pt idx="35">
                  <c:v>32.344200000000001</c:v>
                </c:pt>
                <c:pt idx="36">
                  <c:v>32.243400000000001</c:v>
                </c:pt>
                <c:pt idx="37">
                  <c:v>32.163699999999999</c:v>
                </c:pt>
                <c:pt idx="38">
                  <c:v>32.127899999999997</c:v>
                </c:pt>
                <c:pt idx="39">
                  <c:v>32.162300000000002</c:v>
                </c:pt>
                <c:pt idx="40">
                  <c:v>32.222000000000001</c:v>
                </c:pt>
                <c:pt idx="41">
                  <c:v>32.269599999999997</c:v>
                </c:pt>
                <c:pt idx="42">
                  <c:v>32.331199999999995</c:v>
                </c:pt>
                <c:pt idx="43">
                  <c:v>32.3444</c:v>
                </c:pt>
                <c:pt idx="44">
                  <c:v>32.348300000000002</c:v>
                </c:pt>
                <c:pt idx="45">
                  <c:v>32.391100000000002</c:v>
                </c:pt>
                <c:pt idx="46">
                  <c:v>32.401200000000003</c:v>
                </c:pt>
                <c:pt idx="47">
                  <c:v>32.2973</c:v>
                </c:pt>
                <c:pt idx="48">
                  <c:v>32.1892</c:v>
                </c:pt>
                <c:pt idx="49">
                  <c:v>32.1143</c:v>
                </c:pt>
                <c:pt idx="50">
                  <c:v>32.027699999999996</c:v>
                </c:pt>
                <c:pt idx="51">
                  <c:v>31.937700000000003</c:v>
                </c:pt>
                <c:pt idx="52">
                  <c:v>31.844899999999999</c:v>
                </c:pt>
                <c:pt idx="53">
                  <c:v>31.784299999999998</c:v>
                </c:pt>
                <c:pt idx="54">
                  <c:v>31.757800000000003</c:v>
                </c:pt>
                <c:pt idx="55">
                  <c:v>31.755299999999998</c:v>
                </c:pt>
                <c:pt idx="56">
                  <c:v>31.735200000000003</c:v>
                </c:pt>
                <c:pt idx="57">
                  <c:v>31.709599999999998</c:v>
                </c:pt>
                <c:pt idx="58">
                  <c:v>31.694800000000001</c:v>
                </c:pt>
                <c:pt idx="59">
                  <c:v>31.707800000000002</c:v>
                </c:pt>
                <c:pt idx="60">
                  <c:v>31.770900000000001</c:v>
                </c:pt>
                <c:pt idx="61">
                  <c:v>31.843100000000003</c:v>
                </c:pt>
                <c:pt idx="62">
                  <c:v>31.9224</c:v>
                </c:pt>
                <c:pt idx="63">
                  <c:v>31.9559</c:v>
                </c:pt>
                <c:pt idx="64">
                  <c:v>31.916</c:v>
                </c:pt>
                <c:pt idx="65">
                  <c:v>31.818099999999998</c:v>
                </c:pt>
                <c:pt idx="66">
                  <c:v>31.806600000000003</c:v>
                </c:pt>
                <c:pt idx="67">
                  <c:v>31.7622</c:v>
                </c:pt>
                <c:pt idx="68">
                  <c:v>31.844000000000001</c:v>
                </c:pt>
                <c:pt idx="69">
                  <c:v>31.909700000000001</c:v>
                </c:pt>
                <c:pt idx="70">
                  <c:v>31.919900000000002</c:v>
                </c:pt>
                <c:pt idx="71">
                  <c:v>32.040100000000002</c:v>
                </c:pt>
                <c:pt idx="72">
                  <c:v>32.337600000000002</c:v>
                </c:pt>
                <c:pt idx="73">
                  <c:v>32.792500000000004</c:v>
                </c:pt>
                <c:pt idx="74">
                  <c:v>32.909599999999998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14.94055</c:v>
                </c:pt>
                <c:pt idx="1">
                  <c:v>44.821649999999998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38.589408108108103</c:v>
                </c:pt>
                <c:pt idx="1">
                  <c:v>32.264562162162171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2.3140200000000002</c:v>
                </c:pt>
                <c:pt idx="1">
                  <c:v>2.3821099999999999</c:v>
                </c:pt>
                <c:pt idx="2">
                  <c:v>2.4508199999999998</c:v>
                </c:pt>
                <c:pt idx="3">
                  <c:v>2.5205699999999998</c:v>
                </c:pt>
                <c:pt idx="4">
                  <c:v>2.5893600000000001</c:v>
                </c:pt>
                <c:pt idx="5">
                  <c:v>2.65909</c:v>
                </c:pt>
                <c:pt idx="6">
                  <c:v>2.72966</c:v>
                </c:pt>
                <c:pt idx="7">
                  <c:v>2.8014299999999999</c:v>
                </c:pt>
                <c:pt idx="8">
                  <c:v>2.8747199999999999</c:v>
                </c:pt>
                <c:pt idx="9">
                  <c:v>2.9502499999999996</c:v>
                </c:pt>
                <c:pt idx="10">
                  <c:v>3.02766</c:v>
                </c:pt>
                <c:pt idx="11">
                  <c:v>3.1085200000000004</c:v>
                </c:pt>
                <c:pt idx="12">
                  <c:v>3.1902300000000001</c:v>
                </c:pt>
                <c:pt idx="13">
                  <c:v>3.27359</c:v>
                </c:pt>
                <c:pt idx="14">
                  <c:v>3.35222</c:v>
                </c:pt>
                <c:pt idx="15">
                  <c:v>3.4294599999999997</c:v>
                </c:pt>
                <c:pt idx="16">
                  <c:v>3.5050399999999997</c:v>
                </c:pt>
                <c:pt idx="17">
                  <c:v>3.58202</c:v>
                </c:pt>
                <c:pt idx="18">
                  <c:v>3.6566999999999998</c:v>
                </c:pt>
                <c:pt idx="19">
                  <c:v>3.7274600000000002</c:v>
                </c:pt>
                <c:pt idx="20">
                  <c:v>3.79155</c:v>
                </c:pt>
                <c:pt idx="21">
                  <c:v>3.8504899999999997</c:v>
                </c:pt>
                <c:pt idx="22">
                  <c:v>3.90496</c:v>
                </c:pt>
                <c:pt idx="23">
                  <c:v>3.9537800000000001</c:v>
                </c:pt>
                <c:pt idx="24">
                  <c:v>3.9988000000000001</c:v>
                </c:pt>
                <c:pt idx="25">
                  <c:v>4.0422200000000004</c:v>
                </c:pt>
                <c:pt idx="26">
                  <c:v>4.0828899999999999</c:v>
                </c:pt>
                <c:pt idx="27">
                  <c:v>4.1213699999999998</c:v>
                </c:pt>
                <c:pt idx="28">
                  <c:v>4.1572100000000001</c:v>
                </c:pt>
                <c:pt idx="29">
                  <c:v>4.1951000000000001</c:v>
                </c:pt>
                <c:pt idx="30">
                  <c:v>4.2340900000000001</c:v>
                </c:pt>
                <c:pt idx="31">
                  <c:v>4.2720200000000004</c:v>
                </c:pt>
                <c:pt idx="32">
                  <c:v>4.30966</c:v>
                </c:pt>
                <c:pt idx="33">
                  <c:v>4.3467200000000004</c:v>
                </c:pt>
                <c:pt idx="34">
                  <c:v>4.37941</c:v>
                </c:pt>
                <c:pt idx="35">
                  <c:v>4.4085400000000003</c:v>
                </c:pt>
                <c:pt idx="36">
                  <c:v>4.4330999999999996</c:v>
                </c:pt>
                <c:pt idx="37">
                  <c:v>4.4554899999999993</c:v>
                </c:pt>
                <c:pt idx="38">
                  <c:v>4.4724900000000005</c:v>
                </c:pt>
                <c:pt idx="39">
                  <c:v>4.4893999999999998</c:v>
                </c:pt>
                <c:pt idx="40">
                  <c:v>4.5029000000000003</c:v>
                </c:pt>
                <c:pt idx="41">
                  <c:v>4.51302</c:v>
                </c:pt>
                <c:pt idx="42">
                  <c:v>4.5188199999999998</c:v>
                </c:pt>
                <c:pt idx="43">
                  <c:v>4.5229200000000001</c:v>
                </c:pt>
                <c:pt idx="44">
                  <c:v>4.5266400000000004</c:v>
                </c:pt>
                <c:pt idx="45">
                  <c:v>4.5318399999999999</c:v>
                </c:pt>
                <c:pt idx="46">
                  <c:v>4.5408799999999996</c:v>
                </c:pt>
                <c:pt idx="47">
                  <c:v>4.5545600000000004</c:v>
                </c:pt>
                <c:pt idx="48">
                  <c:v>4.5726499999999994</c:v>
                </c:pt>
                <c:pt idx="49">
                  <c:v>4.5927100000000003</c:v>
                </c:pt>
                <c:pt idx="50">
                  <c:v>4.6076499999999996</c:v>
                </c:pt>
                <c:pt idx="51">
                  <c:v>4.63103</c:v>
                </c:pt>
                <c:pt idx="52">
                  <c:v>4.6570200000000002</c:v>
                </c:pt>
                <c:pt idx="53">
                  <c:v>4.6837999999999997</c:v>
                </c:pt>
                <c:pt idx="54">
                  <c:v>4.7092600000000004</c:v>
                </c:pt>
                <c:pt idx="55">
                  <c:v>4.7325600000000003</c:v>
                </c:pt>
                <c:pt idx="56">
                  <c:v>4.7618899999999993</c:v>
                </c:pt>
                <c:pt idx="57">
                  <c:v>4.7746699999999995</c:v>
                </c:pt>
                <c:pt idx="58">
                  <c:v>4.80009</c:v>
                </c:pt>
                <c:pt idx="59">
                  <c:v>4.8159999999999998</c:v>
                </c:pt>
                <c:pt idx="60">
                  <c:v>4.8306399999999998</c:v>
                </c:pt>
                <c:pt idx="61">
                  <c:v>4.8404799999999994</c:v>
                </c:pt>
                <c:pt idx="62">
                  <c:v>4.8529800000000005</c:v>
                </c:pt>
                <c:pt idx="63">
                  <c:v>4.8676399999999997</c:v>
                </c:pt>
                <c:pt idx="64">
                  <c:v>4.8769900000000002</c:v>
                </c:pt>
                <c:pt idx="65">
                  <c:v>4.8865400000000001</c:v>
                </c:pt>
                <c:pt idx="66">
                  <c:v>4.8956</c:v>
                </c:pt>
                <c:pt idx="67">
                  <c:v>4.90334</c:v>
                </c:pt>
                <c:pt idx="68">
                  <c:v>4.9083199999999998</c:v>
                </c:pt>
                <c:pt idx="69">
                  <c:v>4.9178500000000005</c:v>
                </c:pt>
                <c:pt idx="70">
                  <c:v>4.9262199999999998</c:v>
                </c:pt>
                <c:pt idx="71">
                  <c:v>4.9333799999999997</c:v>
                </c:pt>
                <c:pt idx="72">
                  <c:v>4.9369399999999999</c:v>
                </c:pt>
                <c:pt idx="73">
                  <c:v>4.9418299999999995</c:v>
                </c:pt>
                <c:pt idx="74">
                  <c:v>4.93987</c:v>
                </c:pt>
                <c:pt idx="75">
                  <c:v>4.9384499999999996</c:v>
                </c:pt>
                <c:pt idx="76">
                  <c:v>4.9328899999999996</c:v>
                </c:pt>
                <c:pt idx="77">
                  <c:v>4.9257600000000004</c:v>
                </c:pt>
                <c:pt idx="78">
                  <c:v>4.9176900000000003</c:v>
                </c:pt>
                <c:pt idx="79">
                  <c:v>4.9060699999999997</c:v>
                </c:pt>
                <c:pt idx="80">
                  <c:v>4.89513</c:v>
                </c:pt>
                <c:pt idx="81">
                  <c:v>4.8822900000000002</c:v>
                </c:pt>
                <c:pt idx="82">
                  <c:v>4.8673500000000001</c:v>
                </c:pt>
                <c:pt idx="83">
                  <c:v>4.8530099999999994</c:v>
                </c:pt>
                <c:pt idx="84">
                  <c:v>4.8402099999999999</c:v>
                </c:pt>
                <c:pt idx="85">
                  <c:v>4.83094</c:v>
                </c:pt>
                <c:pt idx="86">
                  <c:v>4.8239400000000003</c:v>
                </c:pt>
                <c:pt idx="87">
                  <c:v>4.8184100000000001</c:v>
                </c:pt>
                <c:pt idx="88">
                  <c:v>4.8140999999999998</c:v>
                </c:pt>
                <c:pt idx="89">
                  <c:v>4.8148</c:v>
                </c:pt>
                <c:pt idx="90">
                  <c:v>4.8184100000000001</c:v>
                </c:pt>
                <c:pt idx="91">
                  <c:v>4.8237300000000003</c:v>
                </c:pt>
                <c:pt idx="92">
                  <c:v>4.8310599999999999</c:v>
                </c:pt>
                <c:pt idx="93">
                  <c:v>4.8411200000000001</c:v>
                </c:pt>
                <c:pt idx="94">
                  <c:v>4.8499499999999998</c:v>
                </c:pt>
                <c:pt idx="95">
                  <c:v>4.8561100000000001</c:v>
                </c:pt>
                <c:pt idx="96">
                  <c:v>4.86172</c:v>
                </c:pt>
                <c:pt idx="97">
                  <c:v>4.8693100000000005</c:v>
                </c:pt>
                <c:pt idx="98">
                  <c:v>4.8738700000000001</c:v>
                </c:pt>
                <c:pt idx="99">
                  <c:v>4.8809399999999998</c:v>
                </c:pt>
                <c:pt idx="100">
                  <c:v>4.8861799999999995</c:v>
                </c:pt>
                <c:pt idx="101">
                  <c:v>4.8900800000000002</c:v>
                </c:pt>
                <c:pt idx="102">
                  <c:v>4.8947400000000005</c:v>
                </c:pt>
                <c:pt idx="103">
                  <c:v>4.90198</c:v>
                </c:pt>
                <c:pt idx="104">
                  <c:v>4.9117800000000003</c:v>
                </c:pt>
                <c:pt idx="105">
                  <c:v>4.92197</c:v>
                </c:pt>
                <c:pt idx="106">
                  <c:v>4.9323899999999998</c:v>
                </c:pt>
                <c:pt idx="107">
                  <c:v>4.94428</c:v>
                </c:pt>
                <c:pt idx="108">
                  <c:v>4.9583700000000004</c:v>
                </c:pt>
                <c:pt idx="109">
                  <c:v>4.9731899999999998</c:v>
                </c:pt>
                <c:pt idx="110">
                  <c:v>4.9819599999999999</c:v>
                </c:pt>
                <c:pt idx="111">
                  <c:v>4.9885200000000003</c:v>
                </c:pt>
                <c:pt idx="112">
                  <c:v>4.9943</c:v>
                </c:pt>
                <c:pt idx="113">
                  <c:v>5.0002500000000003</c:v>
                </c:pt>
                <c:pt idx="114">
                  <c:v>5.0068800000000007</c:v>
                </c:pt>
                <c:pt idx="115">
                  <c:v>5.01126</c:v>
                </c:pt>
                <c:pt idx="116">
                  <c:v>5.0162800000000001</c:v>
                </c:pt>
                <c:pt idx="117">
                  <c:v>5.01912</c:v>
                </c:pt>
                <c:pt idx="118">
                  <c:v>5.0208600000000008</c:v>
                </c:pt>
                <c:pt idx="119">
                  <c:v>5.0229800000000004</c:v>
                </c:pt>
                <c:pt idx="120">
                  <c:v>5.0258599999999998</c:v>
                </c:pt>
                <c:pt idx="121">
                  <c:v>5.0278100000000006</c:v>
                </c:pt>
                <c:pt idx="122">
                  <c:v>5.0258599999999998</c:v>
                </c:pt>
                <c:pt idx="123">
                  <c:v>5.0234999999999994</c:v>
                </c:pt>
                <c:pt idx="124">
                  <c:v>5.0251299999999999</c:v>
                </c:pt>
                <c:pt idx="125">
                  <c:v>5.0288399999999998</c:v>
                </c:pt>
                <c:pt idx="126">
                  <c:v>5.0362600000000004</c:v>
                </c:pt>
                <c:pt idx="127">
                  <c:v>5.0424500000000005</c:v>
                </c:pt>
                <c:pt idx="128">
                  <c:v>5.0464200000000003</c:v>
                </c:pt>
                <c:pt idx="129">
                  <c:v>5.0486200000000006</c:v>
                </c:pt>
                <c:pt idx="130">
                  <c:v>5.05</c:v>
                </c:pt>
                <c:pt idx="131">
                  <c:v>5.0510999999999999</c:v>
                </c:pt>
                <c:pt idx="132">
                  <c:v>5.0519099999999995</c:v>
                </c:pt>
                <c:pt idx="133">
                  <c:v>5.0481400000000001</c:v>
                </c:pt>
                <c:pt idx="134">
                  <c:v>5.04366</c:v>
                </c:pt>
                <c:pt idx="135">
                  <c:v>5.0451100000000002</c:v>
                </c:pt>
                <c:pt idx="136">
                  <c:v>5.0488</c:v>
                </c:pt>
                <c:pt idx="137">
                  <c:v>5.0520500000000004</c:v>
                </c:pt>
                <c:pt idx="138">
                  <c:v>5.0551700000000004</c:v>
                </c:pt>
                <c:pt idx="139">
                  <c:v>5.0493800000000002</c:v>
                </c:pt>
                <c:pt idx="140">
                  <c:v>5.0437399999999997</c:v>
                </c:pt>
                <c:pt idx="141">
                  <c:v>5.0359200000000008</c:v>
                </c:pt>
                <c:pt idx="142">
                  <c:v>5.0331000000000001</c:v>
                </c:pt>
                <c:pt idx="143">
                  <c:v>5.0204499999999994</c:v>
                </c:pt>
                <c:pt idx="144">
                  <c:v>5.0007999999999999</c:v>
                </c:pt>
                <c:pt idx="145">
                  <c:v>4.9709500000000002</c:v>
                </c:pt>
                <c:pt idx="146">
                  <c:v>4.9375099999999996</c:v>
                </c:pt>
                <c:pt idx="147">
                  <c:v>4.9131299999999998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55.649499999999996</c:v>
                </c:pt>
                <c:pt idx="1">
                  <c:v>54.741199999999999</c:v>
                </c:pt>
                <c:pt idx="2">
                  <c:v>53.778099999999995</c:v>
                </c:pt>
                <c:pt idx="3">
                  <c:v>52.701299999999996</c:v>
                </c:pt>
                <c:pt idx="4">
                  <c:v>51.681299999999993</c:v>
                </c:pt>
                <c:pt idx="5">
                  <c:v>50.746899999999997</c:v>
                </c:pt>
                <c:pt idx="6">
                  <c:v>49.795899999999996</c:v>
                </c:pt>
                <c:pt idx="7">
                  <c:v>48.833599999999997</c:v>
                </c:pt>
                <c:pt idx="8">
                  <c:v>47.936199999999999</c:v>
                </c:pt>
                <c:pt idx="9">
                  <c:v>46.967500000000001</c:v>
                </c:pt>
                <c:pt idx="10">
                  <c:v>45.935900000000004</c:v>
                </c:pt>
                <c:pt idx="11">
                  <c:v>44.780300000000004</c:v>
                </c:pt>
                <c:pt idx="12">
                  <c:v>43.582700000000003</c:v>
                </c:pt>
                <c:pt idx="13">
                  <c:v>42.3277</c:v>
                </c:pt>
                <c:pt idx="14">
                  <c:v>41.320700000000002</c:v>
                </c:pt>
                <c:pt idx="15">
                  <c:v>40.476700000000001</c:v>
                </c:pt>
                <c:pt idx="16">
                  <c:v>39.706499999999998</c:v>
                </c:pt>
                <c:pt idx="17">
                  <c:v>38.907699999999998</c:v>
                </c:pt>
                <c:pt idx="18">
                  <c:v>38.227600000000002</c:v>
                </c:pt>
                <c:pt idx="19">
                  <c:v>37.7136</c:v>
                </c:pt>
                <c:pt idx="20">
                  <c:v>37.3855</c:v>
                </c:pt>
                <c:pt idx="21">
                  <c:v>37.176500000000004</c:v>
                </c:pt>
                <c:pt idx="22">
                  <c:v>37.088799999999999</c:v>
                </c:pt>
                <c:pt idx="23">
                  <c:v>37.160700000000006</c:v>
                </c:pt>
                <c:pt idx="24">
                  <c:v>37.270600000000002</c:v>
                </c:pt>
                <c:pt idx="25">
                  <c:v>37.412600000000005</c:v>
                </c:pt>
                <c:pt idx="26">
                  <c:v>37.570300000000003</c:v>
                </c:pt>
                <c:pt idx="27">
                  <c:v>37.702200000000005</c:v>
                </c:pt>
                <c:pt idx="28">
                  <c:v>37.811699999999995</c:v>
                </c:pt>
                <c:pt idx="29">
                  <c:v>37.874699999999997</c:v>
                </c:pt>
                <c:pt idx="30">
                  <c:v>37.863900000000001</c:v>
                </c:pt>
                <c:pt idx="31">
                  <c:v>37.799500000000002</c:v>
                </c:pt>
                <c:pt idx="32">
                  <c:v>37.6494</c:v>
                </c:pt>
                <c:pt idx="33">
                  <c:v>37.431199999999997</c:v>
                </c:pt>
                <c:pt idx="34">
                  <c:v>37.256299999999996</c:v>
                </c:pt>
                <c:pt idx="35">
                  <c:v>37.095599999999997</c:v>
                </c:pt>
                <c:pt idx="36">
                  <c:v>36.938500000000005</c:v>
                </c:pt>
                <c:pt idx="37">
                  <c:v>36.7714</c:v>
                </c:pt>
                <c:pt idx="38">
                  <c:v>36.664400000000001</c:v>
                </c:pt>
                <c:pt idx="39">
                  <c:v>36.5852</c:v>
                </c:pt>
                <c:pt idx="40">
                  <c:v>36.5411</c:v>
                </c:pt>
                <c:pt idx="41">
                  <c:v>36.500700000000002</c:v>
                </c:pt>
                <c:pt idx="42">
                  <c:v>36.486200000000004</c:v>
                </c:pt>
                <c:pt idx="43">
                  <c:v>36.457299999999996</c:v>
                </c:pt>
                <c:pt idx="44">
                  <c:v>36.421199999999999</c:v>
                </c:pt>
                <c:pt idx="45">
                  <c:v>36.382100000000001</c:v>
                </c:pt>
                <c:pt idx="46">
                  <c:v>36.335000000000001</c:v>
                </c:pt>
                <c:pt idx="47">
                  <c:v>36.237000000000002</c:v>
                </c:pt>
                <c:pt idx="48">
                  <c:v>36.094999999999999</c:v>
                </c:pt>
                <c:pt idx="49">
                  <c:v>35.954599999999999</c:v>
                </c:pt>
                <c:pt idx="50">
                  <c:v>35.854100000000003</c:v>
                </c:pt>
                <c:pt idx="51">
                  <c:v>35.717599999999997</c:v>
                </c:pt>
                <c:pt idx="52">
                  <c:v>35.539300000000004</c:v>
                </c:pt>
                <c:pt idx="53">
                  <c:v>35.358400000000003</c:v>
                </c:pt>
                <c:pt idx="54">
                  <c:v>35.164499999999997</c:v>
                </c:pt>
                <c:pt idx="55">
                  <c:v>34.943000000000005</c:v>
                </c:pt>
                <c:pt idx="56">
                  <c:v>34.644999999999996</c:v>
                </c:pt>
                <c:pt idx="57">
                  <c:v>34.526400000000002</c:v>
                </c:pt>
                <c:pt idx="58">
                  <c:v>34.2273</c:v>
                </c:pt>
                <c:pt idx="59">
                  <c:v>34.093000000000004</c:v>
                </c:pt>
                <c:pt idx="60">
                  <c:v>33.9925</c:v>
                </c:pt>
                <c:pt idx="61">
                  <c:v>33.917999999999999</c:v>
                </c:pt>
                <c:pt idx="62">
                  <c:v>33.821600000000004</c:v>
                </c:pt>
                <c:pt idx="63">
                  <c:v>33.7072</c:v>
                </c:pt>
                <c:pt idx="64">
                  <c:v>33.631599999999999</c:v>
                </c:pt>
                <c:pt idx="65">
                  <c:v>33.601500000000001</c:v>
                </c:pt>
                <c:pt idx="66">
                  <c:v>33.538400000000003</c:v>
                </c:pt>
                <c:pt idx="67">
                  <c:v>33.476199999999999</c:v>
                </c:pt>
                <c:pt idx="68">
                  <c:v>33.454899999999995</c:v>
                </c:pt>
                <c:pt idx="69">
                  <c:v>33.43</c:v>
                </c:pt>
                <c:pt idx="70">
                  <c:v>33.428600000000003</c:v>
                </c:pt>
                <c:pt idx="71">
                  <c:v>33.342799999999997</c:v>
                </c:pt>
                <c:pt idx="72">
                  <c:v>33.273899999999998</c:v>
                </c:pt>
                <c:pt idx="73">
                  <c:v>33.200299999999999</c:v>
                </c:pt>
                <c:pt idx="74">
                  <c:v>33.058300000000003</c:v>
                </c:pt>
                <c:pt idx="75">
                  <c:v>32.934699999999999</c:v>
                </c:pt>
                <c:pt idx="76">
                  <c:v>32.805299999999995</c:v>
                </c:pt>
                <c:pt idx="77">
                  <c:v>32.673299999999998</c:v>
                </c:pt>
                <c:pt idx="78">
                  <c:v>32.5623</c:v>
                </c:pt>
                <c:pt idx="79">
                  <c:v>32.513199999999998</c:v>
                </c:pt>
                <c:pt idx="80">
                  <c:v>32.491999999999997</c:v>
                </c:pt>
                <c:pt idx="81">
                  <c:v>32.552500000000002</c:v>
                </c:pt>
                <c:pt idx="82">
                  <c:v>32.660699999999999</c:v>
                </c:pt>
                <c:pt idx="83">
                  <c:v>32.7667</c:v>
                </c:pt>
                <c:pt idx="84">
                  <c:v>32.837699999999998</c:v>
                </c:pt>
                <c:pt idx="85">
                  <c:v>32.8581</c:v>
                </c:pt>
                <c:pt idx="86">
                  <c:v>32.855000000000004</c:v>
                </c:pt>
                <c:pt idx="87">
                  <c:v>32.825500000000005</c:v>
                </c:pt>
                <c:pt idx="88">
                  <c:v>32.786700000000003</c:v>
                </c:pt>
                <c:pt idx="89">
                  <c:v>32.668999999999997</c:v>
                </c:pt>
                <c:pt idx="90">
                  <c:v>32.488099999999996</c:v>
                </c:pt>
                <c:pt idx="91">
                  <c:v>32.355499999999999</c:v>
                </c:pt>
                <c:pt idx="92">
                  <c:v>32.226799999999997</c:v>
                </c:pt>
                <c:pt idx="93">
                  <c:v>32.059599999999996</c:v>
                </c:pt>
                <c:pt idx="94">
                  <c:v>31.903500000000001</c:v>
                </c:pt>
                <c:pt idx="95">
                  <c:v>31.9056</c:v>
                </c:pt>
                <c:pt idx="96">
                  <c:v>31.970199999999998</c:v>
                </c:pt>
                <c:pt idx="97">
                  <c:v>32.030799999999999</c:v>
                </c:pt>
                <c:pt idx="98">
                  <c:v>32.158900000000003</c:v>
                </c:pt>
                <c:pt idx="99">
                  <c:v>32.2316</c:v>
                </c:pt>
                <c:pt idx="100">
                  <c:v>32.329700000000003</c:v>
                </c:pt>
                <c:pt idx="101">
                  <c:v>32.429099999999998</c:v>
                </c:pt>
                <c:pt idx="102">
                  <c:v>32.517000000000003</c:v>
                </c:pt>
                <c:pt idx="103">
                  <c:v>32.554000000000002</c:v>
                </c:pt>
                <c:pt idx="104">
                  <c:v>32.573599999999999</c:v>
                </c:pt>
                <c:pt idx="105">
                  <c:v>32.569099999999999</c:v>
                </c:pt>
                <c:pt idx="106">
                  <c:v>32.522099999999995</c:v>
                </c:pt>
                <c:pt idx="107">
                  <c:v>32.447600000000001</c:v>
                </c:pt>
                <c:pt idx="108">
                  <c:v>32.344200000000001</c:v>
                </c:pt>
                <c:pt idx="109">
                  <c:v>32.243400000000001</c:v>
                </c:pt>
                <c:pt idx="110">
                  <c:v>32.163699999999999</c:v>
                </c:pt>
                <c:pt idx="111">
                  <c:v>32.127899999999997</c:v>
                </c:pt>
                <c:pt idx="112">
                  <c:v>32.162300000000002</c:v>
                </c:pt>
                <c:pt idx="113">
                  <c:v>32.222000000000001</c:v>
                </c:pt>
                <c:pt idx="114">
                  <c:v>32.269599999999997</c:v>
                </c:pt>
                <c:pt idx="115">
                  <c:v>32.331199999999995</c:v>
                </c:pt>
                <c:pt idx="116">
                  <c:v>32.3444</c:v>
                </c:pt>
                <c:pt idx="117">
                  <c:v>32.348300000000002</c:v>
                </c:pt>
                <c:pt idx="118">
                  <c:v>32.391100000000002</c:v>
                </c:pt>
                <c:pt idx="119">
                  <c:v>32.401200000000003</c:v>
                </c:pt>
                <c:pt idx="120">
                  <c:v>32.2973</c:v>
                </c:pt>
                <c:pt idx="121">
                  <c:v>32.1892</c:v>
                </c:pt>
                <c:pt idx="122">
                  <c:v>32.1143</c:v>
                </c:pt>
                <c:pt idx="123">
                  <c:v>32.027699999999996</c:v>
                </c:pt>
                <c:pt idx="124">
                  <c:v>31.937700000000003</c:v>
                </c:pt>
                <c:pt idx="125">
                  <c:v>31.844899999999999</c:v>
                </c:pt>
                <c:pt idx="126">
                  <c:v>31.784299999999998</c:v>
                </c:pt>
                <c:pt idx="127">
                  <c:v>31.757800000000003</c:v>
                </c:pt>
                <c:pt idx="128">
                  <c:v>31.755299999999998</c:v>
                </c:pt>
                <c:pt idx="129">
                  <c:v>31.735200000000003</c:v>
                </c:pt>
                <c:pt idx="130">
                  <c:v>31.709599999999998</c:v>
                </c:pt>
                <c:pt idx="131">
                  <c:v>31.694800000000001</c:v>
                </c:pt>
                <c:pt idx="132">
                  <c:v>31.707800000000002</c:v>
                </c:pt>
                <c:pt idx="133">
                  <c:v>31.770900000000001</c:v>
                </c:pt>
                <c:pt idx="134">
                  <c:v>31.843100000000003</c:v>
                </c:pt>
                <c:pt idx="135">
                  <c:v>31.9224</c:v>
                </c:pt>
                <c:pt idx="136">
                  <c:v>31.9559</c:v>
                </c:pt>
                <c:pt idx="137">
                  <c:v>31.916</c:v>
                </c:pt>
                <c:pt idx="138">
                  <c:v>31.818099999999998</c:v>
                </c:pt>
                <c:pt idx="139">
                  <c:v>31.806600000000003</c:v>
                </c:pt>
                <c:pt idx="140">
                  <c:v>31.7622</c:v>
                </c:pt>
                <c:pt idx="141">
                  <c:v>31.844000000000001</c:v>
                </c:pt>
                <c:pt idx="142">
                  <c:v>31.909700000000001</c:v>
                </c:pt>
                <c:pt idx="143">
                  <c:v>31.919900000000002</c:v>
                </c:pt>
                <c:pt idx="144">
                  <c:v>32.040100000000002</c:v>
                </c:pt>
                <c:pt idx="145">
                  <c:v>32.337600000000002</c:v>
                </c:pt>
                <c:pt idx="146">
                  <c:v>32.792500000000004</c:v>
                </c:pt>
                <c:pt idx="147">
                  <c:v>32.909599999999998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2.3140200000000002</c:v>
                </c:pt>
                <c:pt idx="1">
                  <c:v>2.3821099999999999</c:v>
                </c:pt>
                <c:pt idx="2">
                  <c:v>2.4508199999999998</c:v>
                </c:pt>
                <c:pt idx="3">
                  <c:v>2.5205699999999998</c:v>
                </c:pt>
                <c:pt idx="4">
                  <c:v>2.5893600000000001</c:v>
                </c:pt>
                <c:pt idx="5">
                  <c:v>2.65909</c:v>
                </c:pt>
                <c:pt idx="6">
                  <c:v>2.72966</c:v>
                </c:pt>
                <c:pt idx="7">
                  <c:v>2.8014299999999999</c:v>
                </c:pt>
                <c:pt idx="8">
                  <c:v>2.8747199999999999</c:v>
                </c:pt>
                <c:pt idx="9">
                  <c:v>2.9502499999999996</c:v>
                </c:pt>
                <c:pt idx="10">
                  <c:v>3.02766</c:v>
                </c:pt>
                <c:pt idx="11">
                  <c:v>3.1085200000000004</c:v>
                </c:pt>
                <c:pt idx="12">
                  <c:v>3.1902300000000001</c:v>
                </c:pt>
                <c:pt idx="13">
                  <c:v>3.27359</c:v>
                </c:pt>
                <c:pt idx="14">
                  <c:v>3.35222</c:v>
                </c:pt>
                <c:pt idx="15">
                  <c:v>3.4294599999999997</c:v>
                </c:pt>
                <c:pt idx="16">
                  <c:v>3.5050399999999997</c:v>
                </c:pt>
                <c:pt idx="17">
                  <c:v>3.58202</c:v>
                </c:pt>
                <c:pt idx="18">
                  <c:v>3.6566999999999998</c:v>
                </c:pt>
                <c:pt idx="19">
                  <c:v>3.7274600000000002</c:v>
                </c:pt>
                <c:pt idx="20">
                  <c:v>3.79155</c:v>
                </c:pt>
                <c:pt idx="21">
                  <c:v>3.8504899999999997</c:v>
                </c:pt>
                <c:pt idx="22">
                  <c:v>3.90496</c:v>
                </c:pt>
                <c:pt idx="23">
                  <c:v>3.9537800000000001</c:v>
                </c:pt>
                <c:pt idx="24">
                  <c:v>3.9988000000000001</c:v>
                </c:pt>
                <c:pt idx="25">
                  <c:v>4.0422200000000004</c:v>
                </c:pt>
                <c:pt idx="26">
                  <c:v>4.0828899999999999</c:v>
                </c:pt>
                <c:pt idx="27">
                  <c:v>4.1213699999999998</c:v>
                </c:pt>
                <c:pt idx="28">
                  <c:v>4.1572100000000001</c:v>
                </c:pt>
                <c:pt idx="29">
                  <c:v>4.1951000000000001</c:v>
                </c:pt>
                <c:pt idx="30">
                  <c:v>4.2340900000000001</c:v>
                </c:pt>
                <c:pt idx="31">
                  <c:v>4.2720200000000004</c:v>
                </c:pt>
                <c:pt idx="32">
                  <c:v>4.30966</c:v>
                </c:pt>
                <c:pt idx="33">
                  <c:v>4.3467200000000004</c:v>
                </c:pt>
                <c:pt idx="34">
                  <c:v>4.37941</c:v>
                </c:pt>
                <c:pt idx="35">
                  <c:v>4.4085400000000003</c:v>
                </c:pt>
                <c:pt idx="36">
                  <c:v>4.4330999999999996</c:v>
                </c:pt>
                <c:pt idx="37">
                  <c:v>4.4554899999999993</c:v>
                </c:pt>
                <c:pt idx="38">
                  <c:v>4.4724900000000005</c:v>
                </c:pt>
                <c:pt idx="39">
                  <c:v>4.4893999999999998</c:v>
                </c:pt>
                <c:pt idx="40">
                  <c:v>4.5029000000000003</c:v>
                </c:pt>
                <c:pt idx="41">
                  <c:v>4.51302</c:v>
                </c:pt>
                <c:pt idx="42">
                  <c:v>4.5188199999999998</c:v>
                </c:pt>
                <c:pt idx="43">
                  <c:v>4.5229200000000001</c:v>
                </c:pt>
                <c:pt idx="44">
                  <c:v>4.5266400000000004</c:v>
                </c:pt>
                <c:pt idx="45">
                  <c:v>4.5318399999999999</c:v>
                </c:pt>
                <c:pt idx="46">
                  <c:v>4.5408799999999996</c:v>
                </c:pt>
                <c:pt idx="47">
                  <c:v>4.5545600000000004</c:v>
                </c:pt>
                <c:pt idx="48">
                  <c:v>4.5726499999999994</c:v>
                </c:pt>
                <c:pt idx="49">
                  <c:v>4.5927100000000003</c:v>
                </c:pt>
                <c:pt idx="50">
                  <c:v>4.6076499999999996</c:v>
                </c:pt>
                <c:pt idx="51">
                  <c:v>4.63103</c:v>
                </c:pt>
                <c:pt idx="52">
                  <c:v>4.6570200000000002</c:v>
                </c:pt>
                <c:pt idx="53">
                  <c:v>4.6837999999999997</c:v>
                </c:pt>
                <c:pt idx="54">
                  <c:v>4.7092600000000004</c:v>
                </c:pt>
                <c:pt idx="55">
                  <c:v>4.7325600000000003</c:v>
                </c:pt>
                <c:pt idx="56">
                  <c:v>4.7618899999999993</c:v>
                </c:pt>
                <c:pt idx="57">
                  <c:v>4.7746699999999995</c:v>
                </c:pt>
                <c:pt idx="58">
                  <c:v>4.80009</c:v>
                </c:pt>
                <c:pt idx="59">
                  <c:v>4.8159999999999998</c:v>
                </c:pt>
                <c:pt idx="60">
                  <c:v>4.8306399999999998</c:v>
                </c:pt>
                <c:pt idx="61">
                  <c:v>4.8404799999999994</c:v>
                </c:pt>
                <c:pt idx="62">
                  <c:v>4.8529800000000005</c:v>
                </c:pt>
                <c:pt idx="63">
                  <c:v>4.8676399999999997</c:v>
                </c:pt>
                <c:pt idx="64">
                  <c:v>4.8769900000000002</c:v>
                </c:pt>
                <c:pt idx="65">
                  <c:v>4.8865400000000001</c:v>
                </c:pt>
                <c:pt idx="66">
                  <c:v>4.8956</c:v>
                </c:pt>
                <c:pt idx="67">
                  <c:v>4.90334</c:v>
                </c:pt>
                <c:pt idx="68">
                  <c:v>4.9083199999999998</c:v>
                </c:pt>
                <c:pt idx="69">
                  <c:v>4.9178500000000005</c:v>
                </c:pt>
                <c:pt idx="70">
                  <c:v>4.9262199999999998</c:v>
                </c:pt>
                <c:pt idx="71">
                  <c:v>4.9333799999999997</c:v>
                </c:pt>
                <c:pt idx="72">
                  <c:v>4.9369399999999999</c:v>
                </c:pt>
                <c:pt idx="73">
                  <c:v>4.9418299999999995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55.649499999999996</c:v>
                </c:pt>
                <c:pt idx="1">
                  <c:v>54.741199999999999</c:v>
                </c:pt>
                <c:pt idx="2">
                  <c:v>53.778099999999995</c:v>
                </c:pt>
                <c:pt idx="3">
                  <c:v>52.701299999999996</c:v>
                </c:pt>
                <c:pt idx="4">
                  <c:v>51.681299999999993</c:v>
                </c:pt>
                <c:pt idx="5">
                  <c:v>50.746899999999997</c:v>
                </c:pt>
                <c:pt idx="6">
                  <c:v>49.795899999999996</c:v>
                </c:pt>
                <c:pt idx="7">
                  <c:v>48.833599999999997</c:v>
                </c:pt>
                <c:pt idx="8">
                  <c:v>47.936199999999999</c:v>
                </c:pt>
                <c:pt idx="9">
                  <c:v>46.967500000000001</c:v>
                </c:pt>
                <c:pt idx="10">
                  <c:v>45.935900000000004</c:v>
                </c:pt>
                <c:pt idx="11">
                  <c:v>44.780300000000004</c:v>
                </c:pt>
                <c:pt idx="12">
                  <c:v>43.582700000000003</c:v>
                </c:pt>
                <c:pt idx="13">
                  <c:v>42.3277</c:v>
                </c:pt>
                <c:pt idx="14">
                  <c:v>41.320700000000002</c:v>
                </c:pt>
                <c:pt idx="15">
                  <c:v>40.476700000000001</c:v>
                </c:pt>
                <c:pt idx="16">
                  <c:v>39.706499999999998</c:v>
                </c:pt>
                <c:pt idx="17">
                  <c:v>38.907699999999998</c:v>
                </c:pt>
                <c:pt idx="18">
                  <c:v>38.227600000000002</c:v>
                </c:pt>
                <c:pt idx="19">
                  <c:v>37.7136</c:v>
                </c:pt>
                <c:pt idx="20">
                  <c:v>37.3855</c:v>
                </c:pt>
                <c:pt idx="21">
                  <c:v>37.176500000000004</c:v>
                </c:pt>
                <c:pt idx="22">
                  <c:v>37.088799999999999</c:v>
                </c:pt>
                <c:pt idx="23">
                  <c:v>37.160700000000006</c:v>
                </c:pt>
                <c:pt idx="24">
                  <c:v>37.270600000000002</c:v>
                </c:pt>
                <c:pt idx="25">
                  <c:v>37.412600000000005</c:v>
                </c:pt>
                <c:pt idx="26">
                  <c:v>37.570300000000003</c:v>
                </c:pt>
                <c:pt idx="27">
                  <c:v>37.702200000000005</c:v>
                </c:pt>
                <c:pt idx="28">
                  <c:v>37.811699999999995</c:v>
                </c:pt>
                <c:pt idx="29">
                  <c:v>37.874699999999997</c:v>
                </c:pt>
                <c:pt idx="30">
                  <c:v>37.863900000000001</c:v>
                </c:pt>
                <c:pt idx="31">
                  <c:v>37.799500000000002</c:v>
                </c:pt>
                <c:pt idx="32">
                  <c:v>37.6494</c:v>
                </c:pt>
                <c:pt idx="33">
                  <c:v>37.431199999999997</c:v>
                </c:pt>
                <c:pt idx="34">
                  <c:v>37.256299999999996</c:v>
                </c:pt>
                <c:pt idx="35">
                  <c:v>37.095599999999997</c:v>
                </c:pt>
                <c:pt idx="36">
                  <c:v>36.938500000000005</c:v>
                </c:pt>
                <c:pt idx="37">
                  <c:v>36.7714</c:v>
                </c:pt>
                <c:pt idx="38">
                  <c:v>36.664400000000001</c:v>
                </c:pt>
                <c:pt idx="39">
                  <c:v>36.5852</c:v>
                </c:pt>
                <c:pt idx="40">
                  <c:v>36.5411</c:v>
                </c:pt>
                <c:pt idx="41">
                  <c:v>36.500700000000002</c:v>
                </c:pt>
                <c:pt idx="42">
                  <c:v>36.486200000000004</c:v>
                </c:pt>
                <c:pt idx="43">
                  <c:v>36.457299999999996</c:v>
                </c:pt>
                <c:pt idx="44">
                  <c:v>36.421199999999999</c:v>
                </c:pt>
                <c:pt idx="45">
                  <c:v>36.382100000000001</c:v>
                </c:pt>
                <c:pt idx="46">
                  <c:v>36.335000000000001</c:v>
                </c:pt>
                <c:pt idx="47">
                  <c:v>36.237000000000002</c:v>
                </c:pt>
                <c:pt idx="48">
                  <c:v>36.094999999999999</c:v>
                </c:pt>
                <c:pt idx="49">
                  <c:v>35.954599999999999</c:v>
                </c:pt>
                <c:pt idx="50">
                  <c:v>35.854100000000003</c:v>
                </c:pt>
                <c:pt idx="51">
                  <c:v>35.717599999999997</c:v>
                </c:pt>
                <c:pt idx="52">
                  <c:v>35.539300000000004</c:v>
                </c:pt>
                <c:pt idx="53">
                  <c:v>35.358400000000003</c:v>
                </c:pt>
                <c:pt idx="54">
                  <c:v>35.164499999999997</c:v>
                </c:pt>
                <c:pt idx="55">
                  <c:v>34.943000000000005</c:v>
                </c:pt>
                <c:pt idx="56">
                  <c:v>34.644999999999996</c:v>
                </c:pt>
                <c:pt idx="57">
                  <c:v>34.526400000000002</c:v>
                </c:pt>
                <c:pt idx="58">
                  <c:v>34.2273</c:v>
                </c:pt>
                <c:pt idx="59">
                  <c:v>34.093000000000004</c:v>
                </c:pt>
                <c:pt idx="60">
                  <c:v>33.9925</c:v>
                </c:pt>
                <c:pt idx="61">
                  <c:v>33.917999999999999</c:v>
                </c:pt>
                <c:pt idx="62">
                  <c:v>33.821600000000004</c:v>
                </c:pt>
                <c:pt idx="63">
                  <c:v>33.7072</c:v>
                </c:pt>
                <c:pt idx="64">
                  <c:v>33.631599999999999</c:v>
                </c:pt>
                <c:pt idx="65">
                  <c:v>33.601500000000001</c:v>
                </c:pt>
                <c:pt idx="66">
                  <c:v>33.538400000000003</c:v>
                </c:pt>
                <c:pt idx="67">
                  <c:v>33.476199999999999</c:v>
                </c:pt>
                <c:pt idx="68">
                  <c:v>33.454899999999995</c:v>
                </c:pt>
                <c:pt idx="69">
                  <c:v>33.43</c:v>
                </c:pt>
                <c:pt idx="70">
                  <c:v>33.428600000000003</c:v>
                </c:pt>
                <c:pt idx="71">
                  <c:v>33.342799999999997</c:v>
                </c:pt>
                <c:pt idx="72">
                  <c:v>33.273899999999998</c:v>
                </c:pt>
                <c:pt idx="73">
                  <c:v>33.200299999999999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4.9418299999999995</c:v>
                </c:pt>
                <c:pt idx="1">
                  <c:v>4.93987</c:v>
                </c:pt>
                <c:pt idx="2">
                  <c:v>4.9384499999999996</c:v>
                </c:pt>
                <c:pt idx="3">
                  <c:v>4.9328899999999996</c:v>
                </c:pt>
                <c:pt idx="4">
                  <c:v>4.9257600000000004</c:v>
                </c:pt>
                <c:pt idx="5">
                  <c:v>4.9176900000000003</c:v>
                </c:pt>
                <c:pt idx="6">
                  <c:v>4.9060699999999997</c:v>
                </c:pt>
                <c:pt idx="7">
                  <c:v>4.89513</c:v>
                </c:pt>
                <c:pt idx="8">
                  <c:v>4.8822900000000002</c:v>
                </c:pt>
                <c:pt idx="9">
                  <c:v>4.8673500000000001</c:v>
                </c:pt>
                <c:pt idx="10">
                  <c:v>4.8530099999999994</c:v>
                </c:pt>
                <c:pt idx="11">
                  <c:v>4.8402099999999999</c:v>
                </c:pt>
                <c:pt idx="12">
                  <c:v>4.83094</c:v>
                </c:pt>
                <c:pt idx="13">
                  <c:v>4.8239400000000003</c:v>
                </c:pt>
                <c:pt idx="14">
                  <c:v>4.8184100000000001</c:v>
                </c:pt>
                <c:pt idx="15">
                  <c:v>4.8140999999999998</c:v>
                </c:pt>
                <c:pt idx="16">
                  <c:v>4.8148</c:v>
                </c:pt>
                <c:pt idx="17">
                  <c:v>4.8184100000000001</c:v>
                </c:pt>
                <c:pt idx="18">
                  <c:v>4.8237300000000003</c:v>
                </c:pt>
                <c:pt idx="19">
                  <c:v>4.8310599999999999</c:v>
                </c:pt>
                <c:pt idx="20">
                  <c:v>4.8411200000000001</c:v>
                </c:pt>
                <c:pt idx="21">
                  <c:v>4.8499499999999998</c:v>
                </c:pt>
                <c:pt idx="22">
                  <c:v>4.8561100000000001</c:v>
                </c:pt>
                <c:pt idx="23">
                  <c:v>4.86172</c:v>
                </c:pt>
                <c:pt idx="24">
                  <c:v>4.8693100000000005</c:v>
                </c:pt>
                <c:pt idx="25">
                  <c:v>4.8738700000000001</c:v>
                </c:pt>
                <c:pt idx="26">
                  <c:v>4.8809399999999998</c:v>
                </c:pt>
                <c:pt idx="27">
                  <c:v>4.8861799999999995</c:v>
                </c:pt>
                <c:pt idx="28">
                  <c:v>4.8900800000000002</c:v>
                </c:pt>
                <c:pt idx="29">
                  <c:v>4.8947400000000005</c:v>
                </c:pt>
                <c:pt idx="30">
                  <c:v>4.90198</c:v>
                </c:pt>
                <c:pt idx="31">
                  <c:v>4.9117800000000003</c:v>
                </c:pt>
                <c:pt idx="32">
                  <c:v>4.92197</c:v>
                </c:pt>
                <c:pt idx="33">
                  <c:v>4.9323899999999998</c:v>
                </c:pt>
                <c:pt idx="34">
                  <c:v>4.94428</c:v>
                </c:pt>
                <c:pt idx="35">
                  <c:v>4.9583700000000004</c:v>
                </c:pt>
                <c:pt idx="36">
                  <c:v>4.9731899999999998</c:v>
                </c:pt>
                <c:pt idx="37">
                  <c:v>4.9819599999999999</c:v>
                </c:pt>
                <c:pt idx="38">
                  <c:v>4.9885200000000003</c:v>
                </c:pt>
                <c:pt idx="39">
                  <c:v>4.9943</c:v>
                </c:pt>
                <c:pt idx="40">
                  <c:v>5.0002500000000003</c:v>
                </c:pt>
                <c:pt idx="41">
                  <c:v>5.0068800000000007</c:v>
                </c:pt>
                <c:pt idx="42">
                  <c:v>5.01126</c:v>
                </c:pt>
                <c:pt idx="43">
                  <c:v>5.0162800000000001</c:v>
                </c:pt>
                <c:pt idx="44">
                  <c:v>5.01912</c:v>
                </c:pt>
                <c:pt idx="45">
                  <c:v>5.0208600000000008</c:v>
                </c:pt>
                <c:pt idx="46">
                  <c:v>5.0229800000000004</c:v>
                </c:pt>
                <c:pt idx="47">
                  <c:v>5.0258599999999998</c:v>
                </c:pt>
                <c:pt idx="48">
                  <c:v>5.0278100000000006</c:v>
                </c:pt>
                <c:pt idx="49">
                  <c:v>5.0258599999999998</c:v>
                </c:pt>
                <c:pt idx="50">
                  <c:v>5.0234999999999994</c:v>
                </c:pt>
                <c:pt idx="51">
                  <c:v>5.0251299999999999</c:v>
                </c:pt>
                <c:pt idx="52">
                  <c:v>5.0288399999999998</c:v>
                </c:pt>
                <c:pt idx="53">
                  <c:v>5.0362600000000004</c:v>
                </c:pt>
                <c:pt idx="54">
                  <c:v>5.0424500000000005</c:v>
                </c:pt>
                <c:pt idx="55">
                  <c:v>5.0464200000000003</c:v>
                </c:pt>
                <c:pt idx="56">
                  <c:v>5.0486200000000006</c:v>
                </c:pt>
                <c:pt idx="57">
                  <c:v>5.05</c:v>
                </c:pt>
                <c:pt idx="58">
                  <c:v>5.0510999999999999</c:v>
                </c:pt>
                <c:pt idx="59">
                  <c:v>5.0519099999999995</c:v>
                </c:pt>
                <c:pt idx="60">
                  <c:v>5.0481400000000001</c:v>
                </c:pt>
                <c:pt idx="61">
                  <c:v>5.04366</c:v>
                </c:pt>
                <c:pt idx="62">
                  <c:v>5.0451100000000002</c:v>
                </c:pt>
                <c:pt idx="63">
                  <c:v>5.0488</c:v>
                </c:pt>
                <c:pt idx="64">
                  <c:v>5.0520500000000004</c:v>
                </c:pt>
                <c:pt idx="65">
                  <c:v>5.0551700000000004</c:v>
                </c:pt>
                <c:pt idx="66">
                  <c:v>5.0493800000000002</c:v>
                </c:pt>
                <c:pt idx="67">
                  <c:v>5.0437399999999997</c:v>
                </c:pt>
                <c:pt idx="68">
                  <c:v>5.0359200000000008</c:v>
                </c:pt>
                <c:pt idx="69">
                  <c:v>5.0331000000000001</c:v>
                </c:pt>
                <c:pt idx="70">
                  <c:v>5.0204499999999994</c:v>
                </c:pt>
                <c:pt idx="71">
                  <c:v>5.0007999999999999</c:v>
                </c:pt>
                <c:pt idx="72">
                  <c:v>4.9709500000000002</c:v>
                </c:pt>
                <c:pt idx="73">
                  <c:v>4.9375099999999996</c:v>
                </c:pt>
                <c:pt idx="74">
                  <c:v>4.9131299999999998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33.200299999999999</c:v>
                </c:pt>
                <c:pt idx="1">
                  <c:v>33.058300000000003</c:v>
                </c:pt>
                <c:pt idx="2">
                  <c:v>32.934699999999999</c:v>
                </c:pt>
                <c:pt idx="3">
                  <c:v>32.805299999999995</c:v>
                </c:pt>
                <c:pt idx="4">
                  <c:v>32.673299999999998</c:v>
                </c:pt>
                <c:pt idx="5">
                  <c:v>32.5623</c:v>
                </c:pt>
                <c:pt idx="6">
                  <c:v>32.513199999999998</c:v>
                </c:pt>
                <c:pt idx="7">
                  <c:v>32.491999999999997</c:v>
                </c:pt>
                <c:pt idx="8">
                  <c:v>32.552500000000002</c:v>
                </c:pt>
                <c:pt idx="9">
                  <c:v>32.660699999999999</c:v>
                </c:pt>
                <c:pt idx="10">
                  <c:v>32.7667</c:v>
                </c:pt>
                <c:pt idx="11">
                  <c:v>32.837699999999998</c:v>
                </c:pt>
                <c:pt idx="12">
                  <c:v>32.8581</c:v>
                </c:pt>
                <c:pt idx="13">
                  <c:v>32.855000000000004</c:v>
                </c:pt>
                <c:pt idx="14">
                  <c:v>32.825500000000005</c:v>
                </c:pt>
                <c:pt idx="15">
                  <c:v>32.786700000000003</c:v>
                </c:pt>
                <c:pt idx="16">
                  <c:v>32.668999999999997</c:v>
                </c:pt>
                <c:pt idx="17">
                  <c:v>32.488099999999996</c:v>
                </c:pt>
                <c:pt idx="18">
                  <c:v>32.355499999999999</c:v>
                </c:pt>
                <c:pt idx="19">
                  <c:v>32.226799999999997</c:v>
                </c:pt>
                <c:pt idx="20">
                  <c:v>32.059599999999996</c:v>
                </c:pt>
                <c:pt idx="21">
                  <c:v>31.903500000000001</c:v>
                </c:pt>
                <c:pt idx="22">
                  <c:v>31.9056</c:v>
                </c:pt>
                <c:pt idx="23">
                  <c:v>31.970199999999998</c:v>
                </c:pt>
                <c:pt idx="24">
                  <c:v>32.030799999999999</c:v>
                </c:pt>
                <c:pt idx="25">
                  <c:v>32.158900000000003</c:v>
                </c:pt>
                <c:pt idx="26">
                  <c:v>32.2316</c:v>
                </c:pt>
                <c:pt idx="27">
                  <c:v>32.329700000000003</c:v>
                </c:pt>
                <c:pt idx="28">
                  <c:v>32.429099999999998</c:v>
                </c:pt>
                <c:pt idx="29">
                  <c:v>32.517000000000003</c:v>
                </c:pt>
                <c:pt idx="30">
                  <c:v>32.554000000000002</c:v>
                </c:pt>
                <c:pt idx="31">
                  <c:v>32.573599999999999</c:v>
                </c:pt>
                <c:pt idx="32">
                  <c:v>32.569099999999999</c:v>
                </c:pt>
                <c:pt idx="33">
                  <c:v>32.522099999999995</c:v>
                </c:pt>
                <c:pt idx="34">
                  <c:v>32.447600000000001</c:v>
                </c:pt>
                <c:pt idx="35">
                  <c:v>32.344200000000001</c:v>
                </c:pt>
                <c:pt idx="36">
                  <c:v>32.243400000000001</c:v>
                </c:pt>
                <c:pt idx="37">
                  <c:v>32.163699999999999</c:v>
                </c:pt>
                <c:pt idx="38">
                  <c:v>32.127899999999997</c:v>
                </c:pt>
                <c:pt idx="39">
                  <c:v>32.162300000000002</c:v>
                </c:pt>
                <c:pt idx="40">
                  <c:v>32.222000000000001</c:v>
                </c:pt>
                <c:pt idx="41">
                  <c:v>32.269599999999997</c:v>
                </c:pt>
                <c:pt idx="42">
                  <c:v>32.331199999999995</c:v>
                </c:pt>
                <c:pt idx="43">
                  <c:v>32.3444</c:v>
                </c:pt>
                <c:pt idx="44">
                  <c:v>32.348300000000002</c:v>
                </c:pt>
                <c:pt idx="45">
                  <c:v>32.391100000000002</c:v>
                </c:pt>
                <c:pt idx="46">
                  <c:v>32.401200000000003</c:v>
                </c:pt>
                <c:pt idx="47">
                  <c:v>32.2973</c:v>
                </c:pt>
                <c:pt idx="48">
                  <c:v>32.1892</c:v>
                </c:pt>
                <c:pt idx="49">
                  <c:v>32.1143</c:v>
                </c:pt>
                <c:pt idx="50">
                  <c:v>32.027699999999996</c:v>
                </c:pt>
                <c:pt idx="51">
                  <c:v>31.937700000000003</c:v>
                </c:pt>
                <c:pt idx="52">
                  <c:v>31.844899999999999</c:v>
                </c:pt>
                <c:pt idx="53">
                  <c:v>31.784299999999998</c:v>
                </c:pt>
                <c:pt idx="54">
                  <c:v>31.757800000000003</c:v>
                </c:pt>
                <c:pt idx="55">
                  <c:v>31.755299999999998</c:v>
                </c:pt>
                <c:pt idx="56">
                  <c:v>31.735200000000003</c:v>
                </c:pt>
                <c:pt idx="57">
                  <c:v>31.709599999999998</c:v>
                </c:pt>
                <c:pt idx="58">
                  <c:v>31.694800000000001</c:v>
                </c:pt>
                <c:pt idx="59">
                  <c:v>31.707800000000002</c:v>
                </c:pt>
                <c:pt idx="60">
                  <c:v>31.770900000000001</c:v>
                </c:pt>
                <c:pt idx="61">
                  <c:v>31.843100000000003</c:v>
                </c:pt>
                <c:pt idx="62">
                  <c:v>31.9224</c:v>
                </c:pt>
                <c:pt idx="63">
                  <c:v>31.9559</c:v>
                </c:pt>
                <c:pt idx="64">
                  <c:v>31.916</c:v>
                </c:pt>
                <c:pt idx="65">
                  <c:v>31.818099999999998</c:v>
                </c:pt>
                <c:pt idx="66">
                  <c:v>31.806600000000003</c:v>
                </c:pt>
                <c:pt idx="67">
                  <c:v>31.7622</c:v>
                </c:pt>
                <c:pt idx="68">
                  <c:v>31.844000000000001</c:v>
                </c:pt>
                <c:pt idx="69">
                  <c:v>31.909700000000001</c:v>
                </c:pt>
                <c:pt idx="70">
                  <c:v>31.919900000000002</c:v>
                </c:pt>
                <c:pt idx="71">
                  <c:v>32.040100000000002</c:v>
                </c:pt>
                <c:pt idx="72">
                  <c:v>32.337600000000002</c:v>
                </c:pt>
                <c:pt idx="73">
                  <c:v>32.792500000000004</c:v>
                </c:pt>
                <c:pt idx="74">
                  <c:v>32.909599999999998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2.3140200000000002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55.649499999999996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4.122890270270271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38.589408108108103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4.9535968918918929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32.264562162162171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4.9535968918918929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32.264562162162171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573</v>
      </c>
      <c r="D5" s="191"/>
      <c r="E5" s="191"/>
      <c r="F5" s="192"/>
      <c r="G5" s="48" t="str">
        <f>lang!B27</f>
        <v>编号</v>
      </c>
      <c r="H5" s="190">
        <v>21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572</v>
      </c>
      <c r="D6" s="145"/>
      <c r="E6" s="145"/>
      <c r="F6" s="146"/>
      <c r="G6" s="49" t="str">
        <f>lang!B28</f>
        <v xml:space="preserve"> 日期</v>
      </c>
      <c r="H6" s="129">
        <f>FH_info!A2</f>
        <v>43615.678981481484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/>
      <c r="D7" s="148"/>
      <c r="E7" s="148"/>
      <c r="F7" s="149"/>
      <c r="G7" s="50" t="str">
        <f>lang!B29</f>
        <v>误差率（%）</v>
      </c>
      <c r="H7" s="132">
        <f>M!B17*1</f>
        <v>17.254899999999999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51.478499999999997</v>
      </c>
      <c r="O8" s="59">
        <f>M!C5*1</f>
        <v>9.9227000000000007</v>
      </c>
      <c r="P8" s="59">
        <f>M!D5*1</f>
        <v>19.275400000000001</v>
      </c>
      <c r="Q8" s="59">
        <f>M!E5*1</f>
        <v>20</v>
      </c>
      <c r="R8" s="59">
        <f>M!F5*1</f>
        <v>15.7896</v>
      </c>
      <c r="S8" s="59">
        <f>M!G5*1</f>
        <v>50</v>
      </c>
      <c r="T8" s="59">
        <f>M!H5*1</f>
        <v>57.363500000000002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31.283799999999999</v>
      </c>
      <c r="O9" s="59">
        <f>M!C6*1</f>
        <v>1.8197700000000001</v>
      </c>
      <c r="P9" s="59">
        <f>M!D6*1</f>
        <v>5.81698</v>
      </c>
      <c r="Q9" s="59">
        <f>M!E6*1</f>
        <v>20</v>
      </c>
      <c r="R9" s="59">
        <f>M!F6*1</f>
        <v>24.954699999999999</v>
      </c>
      <c r="S9" s="59">
        <f>M!G6*1</f>
        <v>40</v>
      </c>
      <c r="T9" s="59">
        <f>M!H6*1</f>
        <v>33.648699999999998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15.7896</v>
      </c>
      <c r="D10" s="99">
        <f>N8</f>
        <v>51.478499999999997</v>
      </c>
      <c r="E10" s="100">
        <f>T8</f>
        <v>57.363500000000002</v>
      </c>
      <c r="F10" s="91">
        <f>P8</f>
        <v>19.275400000000001</v>
      </c>
      <c r="G10" s="81" t="str">
        <f>CONCATENATE(M9,"
(20 ~ 40)")</f>
        <v>压力
(20 ~ 40)</v>
      </c>
      <c r="H10" s="98">
        <f>R9</f>
        <v>24.954699999999999</v>
      </c>
      <c r="I10" s="108">
        <f>N9</f>
        <v>31.283799999999999</v>
      </c>
      <c r="J10" s="98">
        <f>T9</f>
        <v>33.648699999999998</v>
      </c>
      <c r="K10" s="92">
        <f>P9</f>
        <v>5.81698</v>
      </c>
      <c r="L10" s="6"/>
      <c r="M10" s="27" t="str">
        <f>lang!B16</f>
        <v>焦虑</v>
      </c>
      <c r="N10" s="59">
        <f>M!B7*1</f>
        <v>15.6746</v>
      </c>
      <c r="O10" s="59">
        <f>M!C7*1</f>
        <v>4.8141800000000003</v>
      </c>
      <c r="P10" s="59">
        <f>M!D7*1</f>
        <v>30.7133</v>
      </c>
      <c r="Q10" s="59">
        <f>M!E7*1</f>
        <v>15</v>
      </c>
      <c r="R10" s="59">
        <f>M!F7*1</f>
        <v>3.7533400000000001</v>
      </c>
      <c r="S10" s="59">
        <f>M!G7*1</f>
        <v>40</v>
      </c>
      <c r="T10" s="59">
        <f>M!H7*1</f>
        <v>35.796199999999999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3.7533400000000001</v>
      </c>
      <c r="D11" s="102">
        <f>N10</f>
        <v>15.6746</v>
      </c>
      <c r="E11" s="103">
        <f>T10</f>
        <v>35.796199999999999</v>
      </c>
      <c r="F11" s="94">
        <f>P10</f>
        <v>30.7133</v>
      </c>
      <c r="G11" s="52" t="str">
        <f>CONCATENATE(M11,"
(20 ~ 50)")</f>
        <v>可疑
(20 ~ 50)</v>
      </c>
      <c r="H11" s="101">
        <f>R11</f>
        <v>15.6564</v>
      </c>
      <c r="I11" s="104">
        <f>N11</f>
        <v>32.698700000000002</v>
      </c>
      <c r="J11" s="101">
        <f>T11</f>
        <v>37.148600000000002</v>
      </c>
      <c r="K11" s="95">
        <f>P11</f>
        <v>12.923</v>
      </c>
      <c r="L11" s="4"/>
      <c r="M11" s="27" t="str">
        <f>lang!B17</f>
        <v>可疑</v>
      </c>
      <c r="N11" s="59">
        <f>M!B8*1</f>
        <v>32.698700000000002</v>
      </c>
      <c r="O11" s="59">
        <f>M!C8*1</f>
        <v>4.22567</v>
      </c>
      <c r="P11" s="59">
        <f>M!D8*1</f>
        <v>12.923</v>
      </c>
      <c r="Q11" s="59">
        <f>M!E8*1</f>
        <v>20</v>
      </c>
      <c r="R11" s="59">
        <f>M!F8*1</f>
        <v>15.6564</v>
      </c>
      <c r="S11" s="59">
        <f>M!G8*1</f>
        <v>50</v>
      </c>
      <c r="T11" s="59">
        <f>M!H8*1</f>
        <v>37.148600000000002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49.271900000000002</v>
      </c>
      <c r="D12" s="104">
        <f>N12</f>
        <v>62.2712</v>
      </c>
      <c r="E12" s="101">
        <f>T12</f>
        <v>76.739400000000003</v>
      </c>
      <c r="F12" s="93">
        <f>P12</f>
        <v>8.7843900000000001</v>
      </c>
      <c r="G12" s="52" t="str">
        <f>CONCATENATE(M13,"
(40 ~ 100)")</f>
        <v>自信
(40 ~ 100)</v>
      </c>
      <c r="H12" s="101">
        <f>R13</f>
        <v>58.5075</v>
      </c>
      <c r="I12" s="104">
        <f>N13</f>
        <v>63.883000000000003</v>
      </c>
      <c r="J12" s="101">
        <f>T13</f>
        <v>81.418700000000001</v>
      </c>
      <c r="K12" s="95">
        <f>P13</f>
        <v>10.3637</v>
      </c>
      <c r="L12" s="4"/>
      <c r="M12" s="27" t="str">
        <f>lang!B18</f>
        <v>平衡</v>
      </c>
      <c r="N12" s="59">
        <f>M!B9*1</f>
        <v>62.2712</v>
      </c>
      <c r="O12" s="59">
        <f>M!C9*1</f>
        <v>5.4701500000000003</v>
      </c>
      <c r="P12" s="59">
        <f>M!D9*1</f>
        <v>8.7843900000000001</v>
      </c>
      <c r="Q12" s="59">
        <f>M!E9*1</f>
        <v>50</v>
      </c>
      <c r="R12" s="59">
        <f>M!F9*1</f>
        <v>49.271900000000002</v>
      </c>
      <c r="S12" s="59">
        <f>M!G9*1</f>
        <v>100</v>
      </c>
      <c r="T12" s="59">
        <f>M!H9*1</f>
        <v>76.739400000000003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9.7354599999999998</v>
      </c>
      <c r="D13" s="102">
        <f>N14</f>
        <v>33.939300000000003</v>
      </c>
      <c r="E13" s="103">
        <f>T14</f>
        <v>37.500599999999999</v>
      </c>
      <c r="F13" s="94">
        <f>P14</f>
        <v>22.5748</v>
      </c>
      <c r="G13" s="52" t="str">
        <f>CONCATENATE(M15,"
(50 ~ 100)")</f>
        <v>自我调节
(50 ~ 100)</v>
      </c>
      <c r="H13" s="101">
        <f>R15</f>
        <v>54.572899999999997</v>
      </c>
      <c r="I13" s="104">
        <f>N15</f>
        <v>63.299700000000001</v>
      </c>
      <c r="J13" s="101">
        <f>T15</f>
        <v>78.435199999999995</v>
      </c>
      <c r="K13" s="95">
        <f>P15</f>
        <v>8.0025499999999994</v>
      </c>
      <c r="L13" s="4"/>
      <c r="M13" s="27" t="str">
        <f>lang!B19</f>
        <v>自信</v>
      </c>
      <c r="N13" s="59">
        <f>M!B10*1</f>
        <v>63.883000000000003</v>
      </c>
      <c r="O13" s="59">
        <f>M!C10*1</f>
        <v>6.6206399999999999</v>
      </c>
      <c r="P13" s="59">
        <f>M!D10*1</f>
        <v>10.3637</v>
      </c>
      <c r="Q13" s="59">
        <f>M!E10*1</f>
        <v>40</v>
      </c>
      <c r="R13" s="59">
        <f>M!F10*1</f>
        <v>58.5075</v>
      </c>
      <c r="S13" s="59">
        <f>M!G10*1</f>
        <v>100</v>
      </c>
      <c r="T13" s="59">
        <f>M!H10*1</f>
        <v>81.418700000000001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14.270899999999999</v>
      </c>
      <c r="D14" s="106">
        <f>N16</f>
        <v>20.0318</v>
      </c>
      <c r="E14" s="107">
        <f>T16</f>
        <v>29.946000000000002</v>
      </c>
      <c r="F14" s="96">
        <f>P16</f>
        <v>17.365200000000002</v>
      </c>
      <c r="G14" s="112" t="str">
        <f>CONCATENATE(M17,"
(10 ~ 50)")</f>
        <v>神经质
(10 ~ 50)</v>
      </c>
      <c r="H14" s="105">
        <f>R17</f>
        <v>2.7052700000000001</v>
      </c>
      <c r="I14" s="106">
        <f>N17</f>
        <v>34.785600000000002</v>
      </c>
      <c r="J14" s="107">
        <f>T17</f>
        <v>40.947499999999998</v>
      </c>
      <c r="K14" s="97">
        <f>P17</f>
        <v>36.729599999999998</v>
      </c>
      <c r="M14" s="27" t="str">
        <f>lang!B20</f>
        <v>活力</v>
      </c>
      <c r="N14" s="59">
        <f>M!B11*1</f>
        <v>33.939300000000003</v>
      </c>
      <c r="O14" s="59">
        <f>M!C11*1</f>
        <v>7.6617199999999999</v>
      </c>
      <c r="P14" s="59">
        <f>M!D11*1</f>
        <v>22.5748</v>
      </c>
      <c r="Q14" s="59">
        <f>M!E11*1</f>
        <v>10</v>
      </c>
      <c r="R14" s="59">
        <f>M!F11*1</f>
        <v>9.7354599999999998</v>
      </c>
      <c r="S14" s="59">
        <f>M!G11*1</f>
        <v>50</v>
      </c>
      <c r="T14" s="59">
        <f>M!H11*1</f>
        <v>37.500599999999999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63.299700000000001</v>
      </c>
      <c r="O15" s="59">
        <f>M!C12*1</f>
        <v>5.0655900000000003</v>
      </c>
      <c r="P15" s="59">
        <f>M!D12*1</f>
        <v>8.0025499999999994</v>
      </c>
      <c r="Q15" s="59">
        <f>M!E12*1</f>
        <v>50</v>
      </c>
      <c r="R15" s="59">
        <f>M!F12*1</f>
        <v>54.572899999999997</v>
      </c>
      <c r="S15" s="59">
        <f>M!G12*1</f>
        <v>100</v>
      </c>
      <c r="T15" s="59">
        <f>M!H12*1</f>
        <v>78.435199999999995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20.0318</v>
      </c>
      <c r="O16" s="59">
        <f>M!C13*1</f>
        <v>3.4785599999999999</v>
      </c>
      <c r="P16" s="59">
        <f>M!D13*1</f>
        <v>17.365200000000002</v>
      </c>
      <c r="Q16" s="59">
        <f>M!E13*1</f>
        <v>10</v>
      </c>
      <c r="R16" s="59">
        <f>M!F13*1</f>
        <v>14.270899999999999</v>
      </c>
      <c r="S16" s="59">
        <f>M!G13*1</f>
        <v>25</v>
      </c>
      <c r="T16" s="59">
        <f>M!H13*1</f>
        <v>29.946000000000002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34.785600000000002</v>
      </c>
      <c r="O17" s="59">
        <f>M!C14*1</f>
        <v>12.7766</v>
      </c>
      <c r="P17" s="59">
        <f>M!D14*1</f>
        <v>36.729599999999998</v>
      </c>
      <c r="Q17" s="59">
        <f>M!E14*1</f>
        <v>10</v>
      </c>
      <c r="R17" s="59">
        <f>M!F14*1</f>
        <v>2.7052700000000001</v>
      </c>
      <c r="S17" s="59">
        <f>M!G14*1</f>
        <v>50</v>
      </c>
      <c r="T17" s="59">
        <f>M!H14*1</f>
        <v>40.947499999999998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55.848300000000002</v>
      </c>
      <c r="O18" s="22">
        <f>N18/(N18+N19+N20)</f>
        <v>0.48128116896714856</v>
      </c>
      <c r="P18" s="65">
        <f>SUM(P12:P15)/4</f>
        <v>12.43136</v>
      </c>
      <c r="Q18" s="22">
        <f>P18/(P18+P19+P20)</f>
        <v>0.21939915211416405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32.783900000000003</v>
      </c>
      <c r="O19" s="22">
        <f>N19/(N18+N19+N20)</f>
        <v>0.28252021485527945</v>
      </c>
      <c r="P19" s="18">
        <f>SUM(P8:P11)/4</f>
        <v>17.182169999999999</v>
      </c>
      <c r="Q19" s="22">
        <f>P19/(P18+P19+P20)</f>
        <v>0.30324546384960505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27.408700000000003</v>
      </c>
      <c r="O20" s="22">
        <f>N20/(N18+N19+N20)</f>
        <v>0.23619861617757185</v>
      </c>
      <c r="P20" s="18">
        <f>(P16+P17)/2</f>
        <v>27.0474</v>
      </c>
      <c r="Q20" s="22">
        <f>P20/(P18+P19+P20)</f>
        <v>0.47735538403623101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-0.14631912162162153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2.200615510419158</v>
      </c>
      <c r="D25" s="44" t="str">
        <f>lang!B11</f>
        <v>频率方差</v>
      </c>
      <c r="E25" s="182">
        <f ca="1">FH!L3</f>
        <v>0.74563947193309121</v>
      </c>
      <c r="F25" s="183"/>
      <c r="G25" s="174" t="str">
        <f>lang!B12</f>
        <v>生理变化率</v>
      </c>
      <c r="H25" s="175"/>
      <c r="I25" s="62" t="str">
        <f ca="1">CONCATENATE(info!M7,"-",info!M8)</f>
        <v>31.7-55.6</v>
      </c>
      <c r="J25" s="42" t="str">
        <f>lang!B13</f>
        <v>千卡l/分钟</v>
      </c>
      <c r="K25" s="41" t="str">
        <f ca="1">CONCATENATE(info!M5,"-",info!M6)</f>
        <v>2.3-5.1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40.226900000000001</v>
      </c>
      <c r="F28" s="121"/>
      <c r="G28" s="135" t="str">
        <f>lang!B33</f>
        <v>稳定性</v>
      </c>
      <c r="H28" s="136"/>
      <c r="I28" s="137"/>
      <c r="J28" s="138">
        <f>M!B19*100</f>
        <v>42.821399999999997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43615.678981481484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4.8856999999999999</v>
      </c>
      <c r="O7" s="59">
        <f t="shared" ref="O7:T7" si="2">AG7-X7</f>
        <v>-9.8051900000000014</v>
      </c>
      <c r="P7" s="59">
        <f t="shared" si="2"/>
        <v>-20.838700000000003</v>
      </c>
      <c r="Q7" s="59">
        <f t="shared" si="2"/>
        <v>0</v>
      </c>
      <c r="R7" s="59">
        <f t="shared" si="2"/>
        <v>32.855899999999998</v>
      </c>
      <c r="S7" s="59">
        <f t="shared" si="2"/>
        <v>0</v>
      </c>
      <c r="T7" s="59">
        <f t="shared" si="2"/>
        <v>0.47390000000000043</v>
      </c>
      <c r="U7" s="14"/>
      <c r="V7" s="27" t="str">
        <f>M7</f>
        <v>攻击性</v>
      </c>
      <c r="W7" s="59">
        <f>'M1'!B5*1</f>
        <v>47.765000000000001</v>
      </c>
      <c r="X7" s="59">
        <f>'M1'!C5*1</f>
        <v>11.404400000000001</v>
      </c>
      <c r="Y7" s="59">
        <f>'M1'!D5*1</f>
        <v>23.876100000000001</v>
      </c>
      <c r="Z7" s="59">
        <f>'M1'!E5*1</f>
        <v>20</v>
      </c>
      <c r="AA7" s="59">
        <f>'M1'!F5*1</f>
        <v>15.7896</v>
      </c>
      <c r="AB7" s="59">
        <f>'M1'!G5*1</f>
        <v>50</v>
      </c>
      <c r="AC7" s="59">
        <f>'M1'!H5*1</f>
        <v>56.889600000000002</v>
      </c>
      <c r="AE7" s="27" t="str">
        <f>V7</f>
        <v>攻击性</v>
      </c>
      <c r="AF7" s="59">
        <f>'M2'!B5*1</f>
        <v>52.650700000000001</v>
      </c>
      <c r="AG7" s="59">
        <f>'M2'!C5*1</f>
        <v>1.59921</v>
      </c>
      <c r="AH7" s="59">
        <f>'M2'!D5*1</f>
        <v>3.0373999999999999</v>
      </c>
      <c r="AI7" s="59">
        <f>'M2'!E5*1</f>
        <v>20</v>
      </c>
      <c r="AJ7" s="59">
        <f>'M2'!F5*1</f>
        <v>48.645499999999998</v>
      </c>
      <c r="AK7" s="59">
        <f>'M2'!G5*1</f>
        <v>50</v>
      </c>
      <c r="AL7" s="59">
        <f>'M2'!H5*1</f>
        <v>57.363500000000002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2.4097999999999971</v>
      </c>
      <c r="O8" s="59">
        <f t="shared" ref="O8:O16" si="5">AG8-X8</f>
        <v>-0.97787299999999999</v>
      </c>
      <c r="P8" s="59">
        <f t="shared" ref="P8:P16" si="6">AH8-Y8</f>
        <v>-3.53877</v>
      </c>
      <c r="Q8" s="59">
        <f t="shared" ref="Q8:Q16" si="7">AI8-Z8</f>
        <v>0</v>
      </c>
      <c r="R8" s="59">
        <f t="shared" ref="R8:R16" si="8">AJ8-AA8</f>
        <v>5.2835000000000001</v>
      </c>
      <c r="S8" s="59">
        <f t="shared" ref="S8:S16" si="9">AK8-AB8</f>
        <v>0</v>
      </c>
      <c r="T8" s="59">
        <f t="shared" ref="T8:T16" si="10">AL8-AC8</f>
        <v>1.3147999999999982</v>
      </c>
      <c r="U8" s="15"/>
      <c r="V8" s="27" t="str">
        <f t="shared" ref="V8:V16" si="11">M8</f>
        <v>压力</v>
      </c>
      <c r="W8" s="59">
        <f>'M1'!B6*1</f>
        <v>29.365100000000002</v>
      </c>
      <c r="X8" s="59">
        <f>'M1'!C6*1</f>
        <v>1.78596</v>
      </c>
      <c r="Y8" s="59">
        <f>'M1'!D6*1</f>
        <v>6.0819299999999998</v>
      </c>
      <c r="Z8" s="59">
        <f>'M1'!E6*1</f>
        <v>20</v>
      </c>
      <c r="AA8" s="59">
        <f>'M1'!F6*1</f>
        <v>24.954699999999999</v>
      </c>
      <c r="AB8" s="59">
        <f>'M1'!G6*1</f>
        <v>40</v>
      </c>
      <c r="AC8" s="59">
        <f>'M1'!H6*1</f>
        <v>32.3339</v>
      </c>
      <c r="AE8" s="27" t="str">
        <f t="shared" ref="AE8:AE16" si="12">V8</f>
        <v>压力</v>
      </c>
      <c r="AF8" s="59">
        <f>'M2'!B6*1</f>
        <v>31.774899999999999</v>
      </c>
      <c r="AG8" s="59">
        <f>'M2'!C6*1</f>
        <v>0.808087</v>
      </c>
      <c r="AH8" s="59">
        <f>'M2'!D6*1</f>
        <v>2.5431599999999999</v>
      </c>
      <c r="AI8" s="59">
        <f>'M2'!E6*1</f>
        <v>20</v>
      </c>
      <c r="AJ8" s="59">
        <f>'M2'!F6*1</f>
        <v>30.238199999999999</v>
      </c>
      <c r="AK8" s="59">
        <f>'M2'!G6*1</f>
        <v>40</v>
      </c>
      <c r="AL8" s="59">
        <f>'M2'!H6*1</f>
        <v>33.648699999999998</v>
      </c>
    </row>
    <row r="9" spans="2:38" s="7" customFormat="1" ht="21" customHeight="1">
      <c r="B9" s="76" t="str">
        <f>CONCATENATE(M7,"
(20 ~ 50)")</f>
        <v>攻击性
(20 ~ 50)</v>
      </c>
      <c r="C9" s="77">
        <f>R7</f>
        <v>32.855899999999998</v>
      </c>
      <c r="D9" s="78">
        <f>N7</f>
        <v>4.8856999999999999</v>
      </c>
      <c r="E9" s="79">
        <f>T7</f>
        <v>0.47390000000000043</v>
      </c>
      <c r="F9" s="79">
        <f>P7</f>
        <v>-20.838700000000003</v>
      </c>
      <c r="G9" s="80" t="str">
        <f>CONCATENATE(M8,"
(20 ~ 40)")</f>
        <v>压力
(20 ~ 40)</v>
      </c>
      <c r="H9" s="77">
        <f>R8</f>
        <v>5.2835000000000001</v>
      </c>
      <c r="I9" s="81">
        <f>N8</f>
        <v>2.4097999999999971</v>
      </c>
      <c r="J9" s="77">
        <f>T8</f>
        <v>1.3147999999999982</v>
      </c>
      <c r="K9" s="82">
        <f>P8</f>
        <v>-3.53877</v>
      </c>
      <c r="L9" s="6"/>
      <c r="M9" s="27" t="str">
        <f>lang!B16</f>
        <v>焦虑</v>
      </c>
      <c r="N9" s="59">
        <f t="shared" si="4"/>
        <v>-3.3206999999999987</v>
      </c>
      <c r="O9" s="59">
        <f t="shared" si="5"/>
        <v>-1.30037</v>
      </c>
      <c r="P9" s="59">
        <f t="shared" si="6"/>
        <v>-2.157</v>
      </c>
      <c r="Q9" s="59">
        <f t="shared" si="7"/>
        <v>0</v>
      </c>
      <c r="R9" s="59">
        <f t="shared" si="8"/>
        <v>3.96034</v>
      </c>
      <c r="S9" s="59">
        <f t="shared" si="9"/>
        <v>0</v>
      </c>
      <c r="T9" s="59">
        <f t="shared" si="10"/>
        <v>-7.4457999999999984</v>
      </c>
      <c r="U9" s="14"/>
      <c r="V9" s="27" t="str">
        <f t="shared" si="11"/>
        <v>焦虑</v>
      </c>
      <c r="W9" s="59">
        <f>'M1'!B7*1</f>
        <v>17.761099999999999</v>
      </c>
      <c r="X9" s="59">
        <f>'M1'!C7*1</f>
        <v>5.2891300000000001</v>
      </c>
      <c r="Y9" s="59">
        <f>'M1'!D7*1</f>
        <v>29.779199999999999</v>
      </c>
      <c r="Z9" s="59">
        <f>'M1'!E7*1</f>
        <v>15</v>
      </c>
      <c r="AA9" s="59">
        <f>'M1'!F7*1</f>
        <v>3.7533400000000001</v>
      </c>
      <c r="AB9" s="59">
        <f>'M1'!G7*1</f>
        <v>40</v>
      </c>
      <c r="AC9" s="59">
        <f>'M1'!H7*1</f>
        <v>35.796199999999999</v>
      </c>
      <c r="AE9" s="27" t="str">
        <f t="shared" si="12"/>
        <v>焦虑</v>
      </c>
      <c r="AF9" s="59">
        <f>'M2'!B7*1</f>
        <v>14.4404</v>
      </c>
      <c r="AG9" s="59">
        <f>'M2'!C7*1</f>
        <v>3.9887600000000001</v>
      </c>
      <c r="AH9" s="59">
        <f>'M2'!D7*1</f>
        <v>27.622199999999999</v>
      </c>
      <c r="AI9" s="59">
        <f>'M2'!E7*1</f>
        <v>15</v>
      </c>
      <c r="AJ9" s="59">
        <f>'M2'!F7*1</f>
        <v>7.7136800000000001</v>
      </c>
      <c r="AK9" s="59">
        <f>'M2'!G7*1</f>
        <v>40</v>
      </c>
      <c r="AL9" s="59">
        <f>'M2'!H7*1</f>
        <v>28.3504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3.96034</v>
      </c>
      <c r="D10" s="51">
        <f>N9</f>
        <v>-3.3206999999999987</v>
      </c>
      <c r="E10" s="53">
        <f>T9</f>
        <v>-7.4457999999999984</v>
      </c>
      <c r="F10" s="53">
        <f>P9</f>
        <v>-2.157</v>
      </c>
      <c r="G10" s="73" t="str">
        <f>CONCATENATE(M10,"
(20 ~ 50)")</f>
        <v>可疑
(20 ~ 50)</v>
      </c>
      <c r="H10" s="24">
        <f>R10</f>
        <v>15.253100000000002</v>
      </c>
      <c r="I10" s="52">
        <f>N10</f>
        <v>2.4223000000000035</v>
      </c>
      <c r="J10" s="24">
        <f>T10</f>
        <v>2.3248000000000033</v>
      </c>
      <c r="K10" s="25">
        <f>P10</f>
        <v>-11.781610000000001</v>
      </c>
      <c r="L10" s="4"/>
      <c r="M10" s="27" t="str">
        <f>lang!B17</f>
        <v>可疑</v>
      </c>
      <c r="N10" s="59">
        <f t="shared" si="4"/>
        <v>2.4223000000000035</v>
      </c>
      <c r="O10" s="59">
        <f t="shared" si="5"/>
        <v>-3.5247299999999999</v>
      </c>
      <c r="P10" s="59">
        <f t="shared" si="6"/>
        <v>-11.781610000000001</v>
      </c>
      <c r="Q10" s="59">
        <f t="shared" si="7"/>
        <v>0</v>
      </c>
      <c r="R10" s="59">
        <f t="shared" si="8"/>
        <v>15.253100000000002</v>
      </c>
      <c r="S10" s="59">
        <f t="shared" si="9"/>
        <v>0</v>
      </c>
      <c r="T10" s="59">
        <f t="shared" si="10"/>
        <v>2.3248000000000033</v>
      </c>
      <c r="U10" s="14"/>
      <c r="V10" s="27" t="str">
        <f t="shared" si="11"/>
        <v>可疑</v>
      </c>
      <c r="W10" s="59">
        <f>'M1'!B8*1</f>
        <v>30.803599999999999</v>
      </c>
      <c r="X10" s="59">
        <f>'M1'!C8*1</f>
        <v>4.9572599999999998</v>
      </c>
      <c r="Y10" s="59">
        <f>'M1'!D8*1</f>
        <v>16.0931</v>
      </c>
      <c r="Z10" s="59">
        <f>'M1'!E8*1</f>
        <v>20</v>
      </c>
      <c r="AA10" s="59">
        <f>'M1'!F8*1</f>
        <v>15.6564</v>
      </c>
      <c r="AB10" s="59">
        <f>'M1'!G8*1</f>
        <v>50</v>
      </c>
      <c r="AC10" s="59">
        <f>'M1'!H8*1</f>
        <v>34.823799999999999</v>
      </c>
      <c r="AE10" s="27" t="str">
        <f t="shared" si="12"/>
        <v>可疑</v>
      </c>
      <c r="AF10" s="59">
        <f>'M2'!B8*1</f>
        <v>33.225900000000003</v>
      </c>
      <c r="AG10" s="59">
        <f>'M2'!C8*1</f>
        <v>1.4325300000000001</v>
      </c>
      <c r="AH10" s="59">
        <f>'M2'!D8*1</f>
        <v>4.31149</v>
      </c>
      <c r="AI10" s="59">
        <f>'M2'!E8*1</f>
        <v>20</v>
      </c>
      <c r="AJ10" s="59">
        <f>'M2'!F8*1</f>
        <v>30.909500000000001</v>
      </c>
      <c r="AK10" s="59">
        <f>'M2'!G8*1</f>
        <v>50</v>
      </c>
      <c r="AL10" s="59">
        <f>'M2'!H8*1</f>
        <v>37.148600000000002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3.7005999999999943</v>
      </c>
      <c r="D11" s="52">
        <f>N11</f>
        <v>1.3111000000000033</v>
      </c>
      <c r="E11" s="24">
        <f>T11</f>
        <v>-1.5028000000000077</v>
      </c>
      <c r="F11" s="24">
        <f>P11</f>
        <v>-4.4502499999999996</v>
      </c>
      <c r="G11" s="73" t="str">
        <f>CONCATENATE(M12,"
(40 ~ 100)")</f>
        <v>自信
(40 ~ 100)</v>
      </c>
      <c r="H11" s="24">
        <f>R12</f>
        <v>2.6015999999999977</v>
      </c>
      <c r="I11" s="52">
        <f>N12</f>
        <v>-7.9752999999999972</v>
      </c>
      <c r="J11" s="24">
        <f>T12</f>
        <v>-14.886200000000002</v>
      </c>
      <c r="K11" s="25">
        <f>P12</f>
        <v>-9.5782899999999991</v>
      </c>
      <c r="L11" s="4"/>
      <c r="M11" s="27" t="str">
        <f>lang!B18</f>
        <v>平衡</v>
      </c>
      <c r="N11" s="59">
        <f t="shared" si="4"/>
        <v>1.3111000000000033</v>
      </c>
      <c r="O11" s="59">
        <f t="shared" si="5"/>
        <v>-2.6501900000000003</v>
      </c>
      <c r="P11" s="59">
        <f t="shared" si="6"/>
        <v>-4.4502499999999996</v>
      </c>
      <c r="Q11" s="59">
        <f t="shared" si="7"/>
        <v>0</v>
      </c>
      <c r="R11" s="59">
        <f t="shared" si="8"/>
        <v>3.7005999999999943</v>
      </c>
      <c r="S11" s="59">
        <f t="shared" si="9"/>
        <v>0</v>
      </c>
      <c r="T11" s="59">
        <f t="shared" si="10"/>
        <v>-1.5028000000000077</v>
      </c>
      <c r="U11" s="14"/>
      <c r="V11" s="27" t="str">
        <f t="shared" si="11"/>
        <v>平衡</v>
      </c>
      <c r="W11" s="59">
        <f>'M1'!B9*1</f>
        <v>61.411799999999999</v>
      </c>
      <c r="X11" s="59">
        <f>'M1'!C9*1</f>
        <v>6.6089200000000003</v>
      </c>
      <c r="Y11" s="59">
        <f>'M1'!D9*1</f>
        <v>10.761699999999999</v>
      </c>
      <c r="Z11" s="59">
        <f>'M1'!E9*1</f>
        <v>50</v>
      </c>
      <c r="AA11" s="59">
        <f>'M1'!F9*1</f>
        <v>49.271900000000002</v>
      </c>
      <c r="AB11" s="59">
        <f>'M1'!G9*1</f>
        <v>100</v>
      </c>
      <c r="AC11" s="59">
        <f>'M1'!H9*1</f>
        <v>76.739400000000003</v>
      </c>
      <c r="AE11" s="27" t="str">
        <f t="shared" si="12"/>
        <v>平衡</v>
      </c>
      <c r="AF11" s="59">
        <f>'M2'!B9*1</f>
        <v>62.722900000000003</v>
      </c>
      <c r="AG11" s="59">
        <f>'M2'!C9*1</f>
        <v>3.9587300000000001</v>
      </c>
      <c r="AH11" s="59">
        <f>'M2'!D9*1</f>
        <v>6.3114499999999998</v>
      </c>
      <c r="AI11" s="59">
        <f>'M2'!E9*1</f>
        <v>50</v>
      </c>
      <c r="AJ11" s="59">
        <f>'M2'!F9*1</f>
        <v>52.972499999999997</v>
      </c>
      <c r="AK11" s="59">
        <f>'M2'!G9*1</f>
        <v>100</v>
      </c>
      <c r="AL11" s="59">
        <f>'M2'!H9*1</f>
        <v>75.236599999999996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23.999739999999999</v>
      </c>
      <c r="D12" s="51">
        <f>N13</f>
        <v>6.3342999999999954</v>
      </c>
      <c r="E12" s="53">
        <f>T13</f>
        <v>2.4371999999999971</v>
      </c>
      <c r="F12" s="53">
        <f>P13</f>
        <v>-23.76041</v>
      </c>
      <c r="G12" s="73" t="str">
        <f>CONCATENATE(M14,"
(50 ~ 100)")</f>
        <v>自我调节
(50 ~ 100)</v>
      </c>
      <c r="H12" s="24">
        <f>R14</f>
        <v>3.0343000000000018</v>
      </c>
      <c r="I12" s="52">
        <f>N14</f>
        <v>-2.2509999999999977</v>
      </c>
      <c r="J12" s="24">
        <f>T14</f>
        <v>-9.0502999999999929</v>
      </c>
      <c r="K12" s="25">
        <f>P14</f>
        <v>-6.7253999999999996</v>
      </c>
      <c r="L12" s="4"/>
      <c r="M12" s="27" t="str">
        <f>lang!B19</f>
        <v>自信</v>
      </c>
      <c r="N12" s="59">
        <f t="shared" si="4"/>
        <v>-7.9752999999999972</v>
      </c>
      <c r="O12" s="59">
        <f t="shared" si="5"/>
        <v>-7.0002699999999995</v>
      </c>
      <c r="P12" s="59">
        <f t="shared" si="6"/>
        <v>-9.5782899999999991</v>
      </c>
      <c r="Q12" s="59">
        <f t="shared" si="7"/>
        <v>0</v>
      </c>
      <c r="R12" s="59">
        <f t="shared" si="8"/>
        <v>2.6015999999999977</v>
      </c>
      <c r="S12" s="59">
        <f t="shared" si="9"/>
        <v>0</v>
      </c>
      <c r="T12" s="59">
        <f t="shared" si="10"/>
        <v>-14.886200000000002</v>
      </c>
      <c r="U12" s="15"/>
      <c r="V12" s="27" t="str">
        <f t="shared" si="11"/>
        <v>自信</v>
      </c>
      <c r="W12" s="59">
        <f>'M1'!B10*1</f>
        <v>71.494399999999999</v>
      </c>
      <c r="X12" s="59">
        <f>'M1'!C10*1</f>
        <v>8.2131699999999999</v>
      </c>
      <c r="Y12" s="59">
        <f>'M1'!D10*1</f>
        <v>11.4878</v>
      </c>
      <c r="Z12" s="59">
        <f>'M1'!E10*1</f>
        <v>40</v>
      </c>
      <c r="AA12" s="59">
        <f>'M1'!F10*1</f>
        <v>58.5075</v>
      </c>
      <c r="AB12" s="59">
        <f>'M1'!G10*1</f>
        <v>100</v>
      </c>
      <c r="AC12" s="59">
        <f>'M1'!H10*1</f>
        <v>81.418700000000001</v>
      </c>
      <c r="AE12" s="27" t="str">
        <f t="shared" si="12"/>
        <v>自信</v>
      </c>
      <c r="AF12" s="59">
        <f>'M2'!B10*1</f>
        <v>63.519100000000002</v>
      </c>
      <c r="AG12" s="59">
        <f>'M2'!C10*1</f>
        <v>1.2129000000000001</v>
      </c>
      <c r="AH12" s="59">
        <f>'M2'!D10*1</f>
        <v>1.90951</v>
      </c>
      <c r="AI12" s="59">
        <f>'M2'!E10*1</f>
        <v>40</v>
      </c>
      <c r="AJ12" s="59">
        <f>'M2'!F10*1</f>
        <v>61.109099999999998</v>
      </c>
      <c r="AK12" s="59">
        <f>'M2'!G10*1</f>
        <v>100</v>
      </c>
      <c r="AL12" s="59">
        <f>'M2'!H10*1</f>
        <v>66.532499999999999</v>
      </c>
    </row>
    <row r="13" spans="2:38" ht="25.5" customHeight="1" thickBot="1">
      <c r="B13" s="72" t="str">
        <f>CONCATENATE(M15,"
(10 ~ 25)")</f>
        <v>抑郁
(10 ~ 25)</v>
      </c>
      <c r="C13" s="54">
        <f>R15</f>
        <v>1.7983999999999991</v>
      </c>
      <c r="D13" s="55">
        <f>N15</f>
        <v>3.8140000000000001</v>
      </c>
      <c r="E13" s="56">
        <f>T15</f>
        <v>-1.7225999999999999</v>
      </c>
      <c r="F13" s="56">
        <f>P15</f>
        <v>-8.8527999999999984</v>
      </c>
      <c r="G13" s="74" t="str">
        <f>CONCATENATE(M16,"
(10 ~ 50)")</f>
        <v>神经质
(10 ~ 50)</v>
      </c>
      <c r="H13" s="54">
        <f>R16</f>
        <v>0.33762999999999987</v>
      </c>
      <c r="I13" s="55">
        <f>N16</f>
        <v>-10.8614</v>
      </c>
      <c r="J13" s="56">
        <f>T16</f>
        <v>1.9908999999999963</v>
      </c>
      <c r="K13" s="57">
        <f>P16</f>
        <v>22.5106</v>
      </c>
      <c r="M13" s="27" t="str">
        <f>lang!B20</f>
        <v>活力</v>
      </c>
      <c r="N13" s="59">
        <f t="shared" si="4"/>
        <v>6.3342999999999954</v>
      </c>
      <c r="O13" s="59">
        <f t="shared" si="5"/>
        <v>-6.8912599999999999</v>
      </c>
      <c r="P13" s="59">
        <f t="shared" si="6"/>
        <v>-23.76041</v>
      </c>
      <c r="Q13" s="59">
        <f t="shared" si="7"/>
        <v>0</v>
      </c>
      <c r="R13" s="59">
        <f t="shared" si="8"/>
        <v>23.999739999999999</v>
      </c>
      <c r="S13" s="59">
        <f t="shared" si="9"/>
        <v>0</v>
      </c>
      <c r="T13" s="59">
        <f t="shared" si="10"/>
        <v>2.4371999999999971</v>
      </c>
      <c r="U13" s="14"/>
      <c r="V13" s="27" t="str">
        <f t="shared" si="11"/>
        <v>活力</v>
      </c>
      <c r="W13" s="59">
        <f>'M1'!B11*1</f>
        <v>29.792100000000001</v>
      </c>
      <c r="X13" s="59">
        <f>'M1'!C11*1</f>
        <v>7.9604900000000001</v>
      </c>
      <c r="Y13" s="59">
        <f>'M1'!D11*1</f>
        <v>26.720099999999999</v>
      </c>
      <c r="Z13" s="59">
        <f>'M1'!E11*1</f>
        <v>10</v>
      </c>
      <c r="AA13" s="59">
        <f>'M1'!F11*1</f>
        <v>9.7354599999999998</v>
      </c>
      <c r="AB13" s="59">
        <f>'M1'!G11*1</f>
        <v>50</v>
      </c>
      <c r="AC13" s="59">
        <f>'M1'!H11*1</f>
        <v>35.063400000000001</v>
      </c>
      <c r="AE13" s="27" t="str">
        <f t="shared" si="12"/>
        <v>活力</v>
      </c>
      <c r="AF13" s="59">
        <f>'M2'!B11*1</f>
        <v>36.126399999999997</v>
      </c>
      <c r="AG13" s="59">
        <f>'M2'!C11*1</f>
        <v>1.0692299999999999</v>
      </c>
      <c r="AH13" s="59">
        <f>'M2'!D11*1</f>
        <v>2.9596900000000002</v>
      </c>
      <c r="AI13" s="59">
        <f>'M2'!E11*1</f>
        <v>10</v>
      </c>
      <c r="AJ13" s="59">
        <f>'M2'!F11*1</f>
        <v>33.735199999999999</v>
      </c>
      <c r="AK13" s="59">
        <f>'M2'!G11*1</f>
        <v>50</v>
      </c>
      <c r="AL13" s="59">
        <f>'M2'!H11*1</f>
        <v>37.500599999999999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-2.2509999999999977</v>
      </c>
      <c r="O14" s="59">
        <f t="shared" si="5"/>
        <v>-4.4658700000000007</v>
      </c>
      <c r="P14" s="59">
        <f t="shared" si="6"/>
        <v>-6.7253999999999996</v>
      </c>
      <c r="Q14" s="59">
        <f t="shared" si="7"/>
        <v>0</v>
      </c>
      <c r="R14" s="59">
        <f t="shared" si="8"/>
        <v>3.0343000000000018</v>
      </c>
      <c r="S14" s="59">
        <f t="shared" si="9"/>
        <v>0</v>
      </c>
      <c r="T14" s="59">
        <f t="shared" si="10"/>
        <v>-9.0502999999999929</v>
      </c>
      <c r="U14" s="14"/>
      <c r="V14" s="27" t="str">
        <f t="shared" si="11"/>
        <v>自我调节</v>
      </c>
      <c r="W14" s="59">
        <f>'M1'!B12*1</f>
        <v>65.272099999999995</v>
      </c>
      <c r="X14" s="59">
        <f>'M1'!C12*1</f>
        <v>6.5954800000000002</v>
      </c>
      <c r="Y14" s="59">
        <f>'M1'!D12*1</f>
        <v>10.1046</v>
      </c>
      <c r="Z14" s="59">
        <f>'M1'!E12*1</f>
        <v>50</v>
      </c>
      <c r="AA14" s="59">
        <f>'M1'!F12*1</f>
        <v>54.572899999999997</v>
      </c>
      <c r="AB14" s="59">
        <f>'M1'!G12*1</f>
        <v>100</v>
      </c>
      <c r="AC14" s="59">
        <f>'M1'!H12*1</f>
        <v>78.435199999999995</v>
      </c>
      <c r="AE14" s="27" t="str">
        <f t="shared" si="12"/>
        <v>自我调节</v>
      </c>
      <c r="AF14" s="59">
        <f>'M2'!B12*1</f>
        <v>63.021099999999997</v>
      </c>
      <c r="AG14" s="59">
        <f>'M2'!C12*1</f>
        <v>2.12961</v>
      </c>
      <c r="AH14" s="59">
        <f>'M2'!D12*1</f>
        <v>3.3792</v>
      </c>
      <c r="AI14" s="59">
        <f>'M2'!E12*1</f>
        <v>50</v>
      </c>
      <c r="AJ14" s="59">
        <f>'M2'!F12*1</f>
        <v>57.607199999999999</v>
      </c>
      <c r="AK14" s="59">
        <f>'M2'!G12*1</f>
        <v>100</v>
      </c>
      <c r="AL14" s="59">
        <f>'M2'!H12*1</f>
        <v>69.384900000000002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3.8140000000000001</v>
      </c>
      <c r="O15" s="59">
        <f t="shared" si="5"/>
        <v>-1.0861400000000003</v>
      </c>
      <c r="P15" s="59">
        <f t="shared" si="6"/>
        <v>-8.8527999999999984</v>
      </c>
      <c r="Q15" s="59">
        <f t="shared" si="7"/>
        <v>0</v>
      </c>
      <c r="R15" s="59">
        <f t="shared" si="8"/>
        <v>1.7983999999999991</v>
      </c>
      <c r="S15" s="59">
        <f t="shared" si="9"/>
        <v>0</v>
      </c>
      <c r="T15" s="59">
        <f t="shared" si="10"/>
        <v>-1.7225999999999999</v>
      </c>
      <c r="U15" s="14"/>
      <c r="V15" s="27" t="str">
        <f t="shared" si="11"/>
        <v>抑郁</v>
      </c>
      <c r="W15" s="59">
        <f>'M1'!B13*1</f>
        <v>17.671900000000001</v>
      </c>
      <c r="X15" s="59">
        <f>'M1'!C13*1</f>
        <v>3.7806700000000002</v>
      </c>
      <c r="Y15" s="59">
        <f>'M1'!D13*1</f>
        <v>21.393699999999999</v>
      </c>
      <c r="Z15" s="59">
        <f>'M1'!E13*1</f>
        <v>10</v>
      </c>
      <c r="AA15" s="59">
        <f>'M1'!F13*1</f>
        <v>14.270899999999999</v>
      </c>
      <c r="AB15" s="59">
        <f>'M1'!G13*1</f>
        <v>25</v>
      </c>
      <c r="AC15" s="59">
        <f>'M1'!H13*1</f>
        <v>29.946000000000002</v>
      </c>
      <c r="AE15" s="27" t="str">
        <f t="shared" si="12"/>
        <v>抑郁</v>
      </c>
      <c r="AF15" s="59">
        <f>'M2'!B13*1</f>
        <v>21.485900000000001</v>
      </c>
      <c r="AG15" s="59">
        <f>'M2'!C13*1</f>
        <v>2.6945299999999999</v>
      </c>
      <c r="AH15" s="59">
        <f>'M2'!D13*1</f>
        <v>12.540900000000001</v>
      </c>
      <c r="AI15" s="59">
        <f>'M2'!E13*1</f>
        <v>10</v>
      </c>
      <c r="AJ15" s="59">
        <f>'M2'!F13*1</f>
        <v>16.069299999999998</v>
      </c>
      <c r="AK15" s="59">
        <f>'M2'!G13*1</f>
        <v>25</v>
      </c>
      <c r="AL15" s="59">
        <f>'M2'!H13*1</f>
        <v>28.223400000000002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-10.8614</v>
      </c>
      <c r="O16" s="59">
        <f t="shared" si="5"/>
        <v>2.8692999999999991</v>
      </c>
      <c r="P16" s="59">
        <f t="shared" si="6"/>
        <v>22.5106</v>
      </c>
      <c r="Q16" s="59">
        <f t="shared" si="7"/>
        <v>0</v>
      </c>
      <c r="R16" s="59">
        <f t="shared" si="8"/>
        <v>0.33762999999999987</v>
      </c>
      <c r="S16" s="59">
        <f t="shared" si="9"/>
        <v>0</v>
      </c>
      <c r="T16" s="59">
        <f t="shared" si="10"/>
        <v>1.9908999999999963</v>
      </c>
      <c r="U16" s="15"/>
      <c r="V16" s="27" t="str">
        <f t="shared" si="11"/>
        <v>神经质</v>
      </c>
      <c r="W16" s="59">
        <f>'M1'!B14*1</f>
        <v>37.806699999999999</v>
      </c>
      <c r="X16" s="59">
        <f>'M1'!C14*1</f>
        <v>11.125500000000001</v>
      </c>
      <c r="Y16" s="59">
        <f>'M1'!D14*1</f>
        <v>29.427299999999999</v>
      </c>
      <c r="Z16" s="59">
        <f>'M1'!E14*1</f>
        <v>10</v>
      </c>
      <c r="AA16" s="59">
        <f>'M1'!F14*1</f>
        <v>2.7052700000000001</v>
      </c>
      <c r="AB16" s="59">
        <f>'M1'!G14*1</f>
        <v>50</v>
      </c>
      <c r="AC16" s="59">
        <f>'M1'!H14*1</f>
        <v>38.956600000000002</v>
      </c>
      <c r="AE16" s="27" t="str">
        <f t="shared" si="12"/>
        <v>神经质</v>
      </c>
      <c r="AF16" s="59">
        <f>'M2'!B14*1</f>
        <v>26.9453</v>
      </c>
      <c r="AG16" s="59">
        <f>'M2'!C14*1</f>
        <v>13.9948</v>
      </c>
      <c r="AH16" s="59">
        <f>'M2'!D14*1</f>
        <v>51.937899999999999</v>
      </c>
      <c r="AI16" s="59">
        <f>'M2'!E14*1</f>
        <v>10</v>
      </c>
      <c r="AJ16" s="59">
        <f>'M2'!F14*1</f>
        <v>3.0428999999999999</v>
      </c>
      <c r="AK16" s="59">
        <f>'M2'!G14*1</f>
        <v>50</v>
      </c>
      <c r="AL16" s="59">
        <f>'M2'!H14*1</f>
        <v>40.947499999999998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-0.64522499999999905</v>
      </c>
      <c r="O17" s="22">
        <f>N17/(N17+N18+N19)</f>
        <v>0.25109450703403163</v>
      </c>
      <c r="P17" s="65">
        <f>SUM(P11:P14)/4</f>
        <v>-11.1285875</v>
      </c>
      <c r="Q17" s="22">
        <f>P17/(P17+P18+P19)</f>
        <v>0.80184610130302114</v>
      </c>
      <c r="R17" s="14"/>
      <c r="S17" s="14"/>
      <c r="T17" s="14"/>
      <c r="U17" s="14"/>
      <c r="V17" s="21" t="str">
        <f>M17</f>
        <v>Positive</v>
      </c>
      <c r="W17" s="65">
        <f>SUM(W11:W14)/4</f>
        <v>56.992600000000003</v>
      </c>
      <c r="X17" s="22">
        <f>W17/(W17+W18+W19)</f>
        <v>0.49065735961072904</v>
      </c>
      <c r="Y17" s="65">
        <f>SUM(Y11:Y14)/4</f>
        <v>14.768549999999999</v>
      </c>
      <c r="Z17" s="22">
        <f>Y17/(Y17+Y18+Y19)</f>
        <v>0.2497360667264914</v>
      </c>
      <c r="AA17" s="14"/>
      <c r="AB17" s="14"/>
      <c r="AC17" s="14"/>
      <c r="AE17" s="21" t="str">
        <f>V17</f>
        <v>Positive</v>
      </c>
      <c r="AF17" s="65">
        <f>SUM(AF11:AF14)/4</f>
        <v>56.347375</v>
      </c>
      <c r="AG17" s="22">
        <f>AF17/(AF17+AF18+AF19)</f>
        <v>0.49607697959122588</v>
      </c>
      <c r="AH17" s="65">
        <f>SUM(AH11:AH14)/4</f>
        <v>3.6399625000000002</v>
      </c>
      <c r="AI17" s="22">
        <f>AH17/(AH17+AH18+AH19)</f>
        <v>8.0427074374267049E-2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1.5992750000000004</v>
      </c>
      <c r="O18" s="22">
        <f>N18/(N17+N18+N19)</f>
        <v>-0.62237075088047067</v>
      </c>
      <c r="P18" s="18">
        <f>SUM(P7:P10)/4</f>
        <v>-9.5790199999999999</v>
      </c>
      <c r="Q18" s="22">
        <f>P18/(P17+P18+P19)</f>
        <v>0.69019539463599178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31.4237</v>
      </c>
      <c r="X18" s="22">
        <f>W18/(W17+W18+W19)</f>
        <v>0.27053108072275461</v>
      </c>
      <c r="Y18" s="18">
        <f>SUM(Y7:Y10)/4</f>
        <v>18.957582500000001</v>
      </c>
      <c r="Z18" s="22">
        <f>Y18/(Y17+Y18+Y19)</f>
        <v>0.3205725740301496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33.022975000000002</v>
      </c>
      <c r="AG18" s="22">
        <f>AF18/(AF17+AF18+AF19)</f>
        <v>0.29073115997180993</v>
      </c>
      <c r="AH18" s="18">
        <f>SUM(AH7:AH10)/4</f>
        <v>9.3785624999999992</v>
      </c>
      <c r="AI18" s="22">
        <f>AH18/(AH17+AH18+AH19)</f>
        <v>0.20722475676911831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-3.5236999999999998</v>
      </c>
      <c r="O19" s="22">
        <f>N19/(N17+N18+N19)</f>
        <v>1.371276243846439</v>
      </c>
      <c r="P19" s="18">
        <f>(P15+P16)/2</f>
        <v>6.8289000000000009</v>
      </c>
      <c r="Q19" s="22">
        <f>P19/(P17+P18+P19)</f>
        <v>-0.49204149593901308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27.7393</v>
      </c>
      <c r="X19" s="22">
        <f>W19/(W17+W18+W19)</f>
        <v>0.23881155966651629</v>
      </c>
      <c r="Y19" s="18">
        <f>(Y15+Y16)/2</f>
        <v>25.410499999999999</v>
      </c>
      <c r="Z19" s="22">
        <f>Y19/(Y17+Y18+Y19)</f>
        <v>0.42969135924335899</v>
      </c>
      <c r="AA19" s="14"/>
      <c r="AB19" s="14"/>
      <c r="AC19" s="14"/>
      <c r="AE19" s="21" t="str">
        <f t="shared" si="14"/>
        <v>Physiological</v>
      </c>
      <c r="AF19" s="18">
        <f>(AF15+AF16)/2</f>
        <v>24.215600000000002</v>
      </c>
      <c r="AG19" s="22">
        <f>AF19/(AF17+AF18+AF19)</f>
        <v>0.21319186043696428</v>
      </c>
      <c r="AH19" s="18">
        <f>(AH15+AH16)/2</f>
        <v>32.239400000000003</v>
      </c>
      <c r="AI19" s="22">
        <f>AH19/(AH17+AH18+AH19)</f>
        <v>0.71234816885661467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1.89/2.43</v>
      </c>
      <c r="D24" s="44" t="str">
        <f>lang!B11</f>
        <v>频率方差</v>
      </c>
      <c r="E24" s="182" t="str">
        <f ca="1">CONCATENATE(ROUND('FH1'!L3,2),"/",ROUND('FH2'!L3,2))</f>
        <v>0.73/0.66</v>
      </c>
      <c r="F24" s="183"/>
      <c r="G24" s="174" t="str">
        <f>lang!B12</f>
        <v>生理变化率</v>
      </c>
      <c r="H24" s="175"/>
      <c r="I24" s="62" t="str">
        <f ca="1">CONCATENATE(info!M7,"-",info!M8)</f>
        <v>31.7-55.6</v>
      </c>
      <c r="J24" s="42" t="str">
        <f>lang!B13</f>
        <v>千卡l/分钟</v>
      </c>
      <c r="K24" s="41" t="str">
        <f ca="1">CONCATENATE(info!M5,"-",info!M6)</f>
        <v>2.3-5.1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-0.11190000000000366</v>
      </c>
      <c r="F27" s="121"/>
      <c r="G27" s="135" t="str">
        <f>lang!B33</f>
        <v>稳定性</v>
      </c>
      <c r="H27" s="136"/>
      <c r="I27" s="137"/>
      <c r="J27" s="138">
        <f>dM!B19*100</f>
        <v>4.7370999999999999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-0.95707572190227963</v>
      </c>
      <c r="C2">
        <f t="array" aca="1" ref="C2" ca="1">CORREL(FT_E02,FT_PH02)</f>
        <v>-0.62730177672116227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2.3140200000000002</v>
      </c>
      <c r="G2" s="61">
        <f>IF(FT!B2&lt;&gt;"",FT!B2*100,"")</f>
        <v>55.649499999999996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4.9207200000000002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1.929694117647059E-2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2.3821099999999999</v>
      </c>
      <c r="G3" s="61">
        <f>IF(FT!B3&lt;&gt;"",FT!B3*100,"")</f>
        <v>54.741199999999999</v>
      </c>
      <c r="H3" s="61">
        <f t="shared" ref="H3:H66" si="1">(IF(F3&lt;&gt;"",1,""))</f>
        <v>1</v>
      </c>
      <c r="I3" t="str">
        <f>IF(FT!B3&lt;&gt;"",FT!E3,"")</f>
        <v>1 [0.399941]</v>
      </c>
      <c r="J3">
        <f>IF(FT!B3&lt;&gt;"",FT!C3,"")</f>
        <v>0.39994099999999999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0.38589408108108103</v>
      </c>
      <c r="V3">
        <f ca="1">AVERAGE(OFFSET(FT!B2,info!$L$3/2,0,info!$L$3/2,1))</f>
        <v>0.32264562162162169</v>
      </c>
      <c r="W3">
        <f ca="1">AVERAGE(OFFSET(FT!A2,0,0,info!$L$3/2,1))</f>
        <v>0.41228902702702708</v>
      </c>
      <c r="X3">
        <f ca="1">AVERAGE(OFFSET(FT!A2,info!$L$3/2,0,info!$L$3/2,1))</f>
        <v>0.49535968918918927</v>
      </c>
    </row>
    <row r="4" spans="1:24">
      <c r="A4" s="61">
        <f t="shared" ref="A4:A67" si="2">A3+1</f>
        <v>2</v>
      </c>
      <c r="B4" s="61">
        <f t="shared" si="0"/>
        <v>3.8593882352941179E-2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2.4508199999999998</v>
      </c>
      <c r="G4" s="61">
        <f>IF(FT!B4&lt;&gt;"",FT!B4*100,"")</f>
        <v>53.778099999999995</v>
      </c>
      <c r="H4" s="61">
        <f t="shared" si="1"/>
        <v>1</v>
      </c>
      <c r="I4" t="str">
        <f>IF(FT!B4&lt;&gt;"",FT!E4,"")</f>
        <v>1 [0.810882]</v>
      </c>
      <c r="J4">
        <f>IF(FT!B4&lt;&gt;"",FT!C4,"")</f>
        <v>0.81088199999999999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14.94055</v>
      </c>
      <c r="V4">
        <f>U4*3</f>
        <v>44.821649999999998</v>
      </c>
      <c r="W4">
        <f>U4</f>
        <v>14.94055</v>
      </c>
      <c r="X4">
        <f>V4</f>
        <v>44.821649999999998</v>
      </c>
    </row>
    <row r="5" spans="1:24">
      <c r="A5" s="61">
        <f t="shared" si="2"/>
        <v>3</v>
      </c>
      <c r="B5" s="61">
        <f t="shared" si="0"/>
        <v>5.7890823529411765E-2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2.5205699999999998</v>
      </c>
      <c r="G5" s="61">
        <f>IF(FT!B5&lt;&gt;"",FT!B5*100,"")</f>
        <v>52.701299999999996</v>
      </c>
      <c r="H5" s="61">
        <f t="shared" si="1"/>
        <v>1</v>
      </c>
      <c r="I5" t="str">
        <f>IF(FT!B5&lt;&gt;"",FT!E5,"")</f>
        <v>1 [1.215738]</v>
      </c>
      <c r="J5">
        <f>IF(FT!B5&lt;&gt;"",FT!C5,"")</f>
        <v>1.21574</v>
      </c>
      <c r="K5" t="s">
        <v>53</v>
      </c>
      <c r="L5" s="63">
        <f ca="1">MIN(FT_E)</f>
        <v>2.3140200000000002</v>
      </c>
      <c r="M5" s="63">
        <f ca="1">ROUND(L5,1)</f>
        <v>2.2999999999999998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38.589408108108103</v>
      </c>
      <c r="V5">
        <f ca="1">V3*100</f>
        <v>32.264562162162171</v>
      </c>
      <c r="W5">
        <f ca="1">W3*10</f>
        <v>4.122890270270271</v>
      </c>
      <c r="X5">
        <f ca="1">X3*10</f>
        <v>4.9535968918918929</v>
      </c>
    </row>
    <row r="6" spans="1:24">
      <c r="A6" s="61">
        <f t="shared" si="2"/>
        <v>4</v>
      </c>
      <c r="B6" s="61">
        <f t="shared" si="0"/>
        <v>7.7187764705882358E-2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2.5893600000000001</v>
      </c>
      <c r="G6" s="61">
        <f>IF(FT!B6&lt;&gt;"",FT!B6*100,"")</f>
        <v>51.681299999999993</v>
      </c>
      <c r="H6" s="61">
        <f t="shared" si="1"/>
        <v>1</v>
      </c>
      <c r="I6" t="str">
        <f>IF(FT!B6&lt;&gt;"",FT!E6,"")</f>
        <v>1 [1.621771]</v>
      </c>
      <c r="J6">
        <f>IF(FT!B6&lt;&gt;"",FT!C6,"")</f>
        <v>1.6217699999999999</v>
      </c>
      <c r="K6" t="s">
        <v>54</v>
      </c>
      <c r="L6" s="63">
        <f ca="1">MAX(FT_E)</f>
        <v>5.0551700000000004</v>
      </c>
      <c r="M6" s="63">
        <f ca="1">ROUND(L6,1)</f>
        <v>5.0999999999999996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9.6484705882352945E-2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2.65909</v>
      </c>
      <c r="G7" s="61">
        <f>IF(FT!B7&lt;&gt;"",FT!B7*100,"")</f>
        <v>50.746899999999997</v>
      </c>
      <c r="H7" s="61">
        <f t="shared" si="1"/>
        <v>1</v>
      </c>
      <c r="I7" t="str">
        <f>IF(FT!B7&lt;&gt;"",FT!E7,"")</f>
        <v>1 [2.026956]</v>
      </c>
      <c r="J7">
        <f>IF(FT!B7&lt;&gt;"",FT!C7,"")</f>
        <v>2.0269599999999999</v>
      </c>
      <c r="K7" t="s">
        <v>55</v>
      </c>
      <c r="L7" s="63">
        <f ca="1">MIN(FT_PH)</f>
        <v>31.694800000000001</v>
      </c>
      <c r="M7" s="63">
        <f ca="1">ROUND(L7,1)</f>
        <v>31.7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0.11578164705882353</v>
      </c>
      <c r="C8" s="61">
        <f>FH!A8*1</f>
        <v>4704</v>
      </c>
      <c r="D8" s="61">
        <f>FH!B8*1</f>
        <v>4704</v>
      </c>
      <c r="E8">
        <f t="shared" si="3"/>
        <v>6</v>
      </c>
      <c r="F8" s="61">
        <f>IF(FT!A8&lt;&gt;"",FT!A8*10,"")</f>
        <v>2.72966</v>
      </c>
      <c r="G8" s="61">
        <f>IF(FT!B8&lt;&gt;"",FT!B8*100,"")</f>
        <v>49.795899999999996</v>
      </c>
      <c r="H8" s="61">
        <f t="shared" si="1"/>
        <v>1</v>
      </c>
      <c r="I8" t="str">
        <f>IF(FT!B8&lt;&gt;"",FT!E8,"")</f>
        <v>1 [2.431114]</v>
      </c>
      <c r="J8">
        <f>IF(FT!B8&lt;&gt;"",FT!C8,"")</f>
        <v>2.4311099999999999</v>
      </c>
      <c r="K8" t="s">
        <v>56</v>
      </c>
      <c r="L8" s="63">
        <f ca="1">MAX(FT_PH)</f>
        <v>55.649499999999996</v>
      </c>
      <c r="M8" s="63">
        <f ca="1">ROUND(L8,1)</f>
        <v>55.6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0.13507858823529412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2.8014299999999999</v>
      </c>
      <c r="G9" s="61">
        <f>IF(FT!B9&lt;&gt;"",FT!B9*100,"")</f>
        <v>48.833599999999997</v>
      </c>
      <c r="H9" s="61">
        <f t="shared" si="1"/>
        <v>1</v>
      </c>
      <c r="I9" t="str">
        <f>IF(FT!B9&lt;&gt;"",FT!E9,"")</f>
        <v>1 [2.840524]</v>
      </c>
      <c r="J9">
        <f>IF(FT!B9&lt;&gt;"",FT!C9,"")</f>
        <v>2.8405200000000002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0.15437552941176472</v>
      </c>
      <c r="C10" s="61">
        <f>FH!A10*1</f>
        <v>2561</v>
      </c>
      <c r="D10" s="61">
        <f>FH!B10*1</f>
        <v>2561</v>
      </c>
      <c r="E10">
        <f t="shared" si="3"/>
        <v>8</v>
      </c>
      <c r="F10" s="61">
        <f>IF(FT!A10&lt;&gt;"",FT!A10*10,"")</f>
        <v>2.8747199999999999</v>
      </c>
      <c r="G10" s="61">
        <f>IF(FT!B10&lt;&gt;"",FT!B10*100,"")</f>
        <v>47.936199999999999</v>
      </c>
      <c r="H10" s="61">
        <f t="shared" si="1"/>
        <v>1</v>
      </c>
      <c r="I10" t="str">
        <f>IF(FT!B10&lt;&gt;"",FT!E10,"")</f>
        <v>1 [3.244696]</v>
      </c>
      <c r="J10">
        <f>IF(FT!B10&lt;&gt;"",FT!C10,"")</f>
        <v>3.2446999999999999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0.17367247058823529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2.9502499999999996</v>
      </c>
      <c r="G11" s="61">
        <f>IF(FT!B11&lt;&gt;"",FT!B11*100,"")</f>
        <v>46.967500000000001</v>
      </c>
      <c r="H11" s="61">
        <f t="shared" si="1"/>
        <v>1</v>
      </c>
      <c r="I11" t="str">
        <f>IF(FT!B11&lt;&gt;"",FT!E11,"")</f>
        <v>1 [3.652156]</v>
      </c>
      <c r="J11">
        <f>IF(FT!B11&lt;&gt;"",FT!C11,"")</f>
        <v>3.6521599999999999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0.19296941176470589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3.02766</v>
      </c>
      <c r="G12" s="61">
        <f>IF(FT!B12&lt;&gt;"",FT!B12*100,"")</f>
        <v>45.935900000000004</v>
      </c>
      <c r="H12" s="61">
        <f t="shared" si="1"/>
        <v>1</v>
      </c>
      <c r="I12" t="str">
        <f>IF(FT!B12&lt;&gt;"",FT!E12,"")</f>
        <v>1 [4.059323]</v>
      </c>
      <c r="J12">
        <f>IF(FT!B12&lt;&gt;"",FT!C12,"")</f>
        <v>4.0593199999999996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0.21226635294117649</v>
      </c>
      <c r="C13" s="61">
        <f>FH!A13*1</f>
        <v>3274</v>
      </c>
      <c r="D13" s="61">
        <f>FH!B13*1</f>
        <v>3274</v>
      </c>
      <c r="E13">
        <f t="shared" si="3"/>
        <v>11</v>
      </c>
      <c r="F13" s="61">
        <f>IF(FT!A13&lt;&gt;"",FT!A13*10,"")</f>
        <v>3.1085200000000004</v>
      </c>
      <c r="G13" s="61">
        <f>IF(FT!B13&lt;&gt;"",FT!B13*100,"")</f>
        <v>44.780300000000004</v>
      </c>
      <c r="H13" s="61">
        <f t="shared" si="1"/>
        <v>1</v>
      </c>
      <c r="I13" t="str">
        <f>IF(FT!B13&lt;&gt;"",FT!E13,"")</f>
        <v>1 [4.463011]</v>
      </c>
      <c r="J13">
        <f>IF(FT!B13&lt;&gt;"",FT!C13,"")</f>
        <v>4.4630099999999997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0.23156329411764706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3.1902300000000001</v>
      </c>
      <c r="G14" s="61">
        <f>IF(FT!B14&lt;&gt;"",FT!B14*100,"")</f>
        <v>43.582700000000003</v>
      </c>
      <c r="H14" s="61">
        <f t="shared" si="1"/>
        <v>1</v>
      </c>
      <c r="I14" t="str">
        <f>IF(FT!B14&lt;&gt;"",FT!E14,"")</f>
        <v>1 [4.874212]</v>
      </c>
      <c r="J14">
        <f>IF(FT!B14&lt;&gt;"",FT!C14,"")</f>
        <v>4.8742099999999997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0.25086023529411766</v>
      </c>
      <c r="C15" s="61">
        <f>FH!A15*1</f>
        <v>3105</v>
      </c>
      <c r="D15" s="61">
        <f>FH!B15*1</f>
        <v>3105</v>
      </c>
      <c r="E15">
        <f t="shared" si="3"/>
        <v>13</v>
      </c>
      <c r="F15" s="61">
        <f>IF(FT!A15&lt;&gt;"",FT!A15*10,"")</f>
        <v>3.27359</v>
      </c>
      <c r="G15" s="61">
        <f>IF(FT!B15&lt;&gt;"",FT!B15*100,"")</f>
        <v>42.3277</v>
      </c>
      <c r="H15" s="61">
        <f t="shared" si="1"/>
        <v>1</v>
      </c>
      <c r="I15" t="str">
        <f>IF(FT!B15&lt;&gt;"",FT!E15,"")</f>
        <v>1 [5.276962]</v>
      </c>
      <c r="J15">
        <f>IF(FT!B15&lt;&gt;"",FT!C15,"")</f>
        <v>5.2769599999999999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0.27015717647058823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3.35222</v>
      </c>
      <c r="G16" s="61">
        <f>IF(FT!B16&lt;&gt;"",FT!B16*100,"")</f>
        <v>41.320700000000002</v>
      </c>
      <c r="H16" s="61">
        <f t="shared" si="1"/>
        <v>1</v>
      </c>
      <c r="I16" t="str">
        <f>IF(FT!B16&lt;&gt;"",FT!E16,"")</f>
        <v>1 [5.678836]</v>
      </c>
      <c r="J16">
        <f>IF(FT!B16&lt;&gt;"",FT!C16,"")</f>
        <v>5.6788400000000001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0.28945411764705881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3.4294599999999997</v>
      </c>
      <c r="G17" s="61">
        <f>IF(FT!B17&lt;&gt;"",FT!B17*100,"")</f>
        <v>40.476700000000001</v>
      </c>
      <c r="H17" s="61">
        <f t="shared" si="1"/>
        <v>1</v>
      </c>
      <c r="I17" t="str">
        <f>IF(FT!B17&lt;&gt;"",FT!E17,"")</f>
        <v>1 [6.092726]</v>
      </c>
      <c r="J17">
        <f>IF(FT!B17&lt;&gt;"",FT!C17,"")</f>
        <v>6.0927300000000004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0.30875105882352943</v>
      </c>
      <c r="C18" s="61">
        <f>FH!A18*1</f>
        <v>3415</v>
      </c>
      <c r="D18" s="61">
        <f>FH!B18*1</f>
        <v>3415</v>
      </c>
      <c r="E18">
        <f t="shared" si="3"/>
        <v>16</v>
      </c>
      <c r="F18" s="61">
        <f>IF(FT!A18&lt;&gt;"",FT!A18*10,"")</f>
        <v>3.5050399999999997</v>
      </c>
      <c r="G18" s="61">
        <f>IF(FT!B18&lt;&gt;"",FT!B18*100,"")</f>
        <v>39.706499999999998</v>
      </c>
      <c r="H18" s="61">
        <f t="shared" si="1"/>
        <v>1</v>
      </c>
      <c r="I18" t="str">
        <f>IF(FT!B18&lt;&gt;"",FT!E18,"")</f>
        <v>1 [6.494822]</v>
      </c>
      <c r="J18">
        <f>IF(FT!B18&lt;&gt;"",FT!C18,"")</f>
        <v>6.4948199999999998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0.32804800000000001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3.58202</v>
      </c>
      <c r="G19" s="61">
        <f>IF(FT!B19&lt;&gt;"",FT!B19*100,"")</f>
        <v>38.907699999999998</v>
      </c>
      <c r="H19" s="61">
        <f t="shared" si="1"/>
        <v>1</v>
      </c>
      <c r="I19" t="str">
        <f>IF(FT!B19&lt;&gt;"",FT!E19,"")</f>
        <v>1 [6.903580]</v>
      </c>
      <c r="J19">
        <f>IF(FT!B19&lt;&gt;"",FT!C19,"")</f>
        <v>6.9035799999999998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0.34734494117647058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3.6566999999999998</v>
      </c>
      <c r="G20" s="61">
        <f>IF(FT!B20&lt;&gt;"",FT!B20*100,"")</f>
        <v>38.227600000000002</v>
      </c>
      <c r="H20" s="61">
        <f t="shared" si="1"/>
        <v>1</v>
      </c>
      <c r="I20" t="str">
        <f>IF(FT!B20&lt;&gt;"",FT!E20,"")</f>
        <v>1 [7.307759]</v>
      </c>
      <c r="J20">
        <f>IF(FT!B20&lt;&gt;"",FT!C20,"")</f>
        <v>7.30776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0.36664188235294121</v>
      </c>
      <c r="C21" s="61">
        <f>FH!A21*1</f>
        <v>5431</v>
      </c>
      <c r="D21" s="61">
        <f>FH!B21*1</f>
        <v>5431</v>
      </c>
      <c r="E21">
        <f t="shared" si="3"/>
        <v>19</v>
      </c>
      <c r="F21" s="61">
        <f>IF(FT!A21&lt;&gt;"",FT!A21*10,"")</f>
        <v>3.7274600000000002</v>
      </c>
      <c r="G21" s="61">
        <f>IF(FT!B21&lt;&gt;"",FT!B21*100,"")</f>
        <v>37.7136</v>
      </c>
      <c r="H21" s="61">
        <f t="shared" si="1"/>
        <v>1</v>
      </c>
      <c r="I21" t="str">
        <f>IF(FT!B21&lt;&gt;"",FT!E21,"")</f>
        <v>1 [7.711576]</v>
      </c>
      <c r="J21">
        <f>IF(FT!B21&lt;&gt;"",FT!C21,"")</f>
        <v>7.7115799999999997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0.38593882352941178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3.79155</v>
      </c>
      <c r="G22" s="61">
        <f>IF(FT!B22&lt;&gt;"",FT!B22*100,"")</f>
        <v>37.3855</v>
      </c>
      <c r="H22" s="61">
        <f t="shared" si="1"/>
        <v>1</v>
      </c>
      <c r="I22" t="str">
        <f>IF(FT!B22&lt;&gt;"",FT!E22,"")</f>
        <v>1 [8.118409]</v>
      </c>
      <c r="J22">
        <f>IF(FT!B22&lt;&gt;"",FT!C22,"")</f>
        <v>8.1184100000000008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0.40523576470588235</v>
      </c>
      <c r="C23" s="61">
        <f>FH!A23*1</f>
        <v>11927</v>
      </c>
      <c r="D23" s="61">
        <f>FH!B23*1</f>
        <v>11927</v>
      </c>
      <c r="E23">
        <f t="shared" si="3"/>
        <v>21</v>
      </c>
      <c r="F23" s="61">
        <f>IF(FT!A23&lt;&gt;"",FT!A23*10,"")</f>
        <v>3.8504899999999997</v>
      </c>
      <c r="G23" s="61">
        <f>IF(FT!B23&lt;&gt;"",FT!B23*100,"")</f>
        <v>37.176500000000004</v>
      </c>
      <c r="H23" s="61">
        <f t="shared" si="1"/>
        <v>1</v>
      </c>
      <c r="I23" t="str">
        <f>IF(FT!B23&lt;&gt;"",FT!E23,"")</f>
        <v>1 [8.523794]</v>
      </c>
      <c r="J23">
        <f>IF(FT!B23&lt;&gt;"",FT!C23,"")</f>
        <v>8.52379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0.42453270588235298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3.90496</v>
      </c>
      <c r="G24" s="61">
        <f>IF(FT!B24&lt;&gt;"",FT!B24*100,"")</f>
        <v>37.088799999999999</v>
      </c>
      <c r="H24" s="61">
        <f t="shared" si="1"/>
        <v>1</v>
      </c>
      <c r="I24" t="str">
        <f>IF(FT!B24&lt;&gt;"",FT!E24,"")</f>
        <v>1 [8.934046]</v>
      </c>
      <c r="J24">
        <f>IF(FT!B24&lt;&gt;"",FT!C24,"")</f>
        <v>8.9340499999999992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0.44382964705882355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3.9537800000000001</v>
      </c>
      <c r="G25" s="61">
        <f>IF(FT!B25&lt;&gt;"",FT!B25*100,"")</f>
        <v>37.160700000000006</v>
      </c>
      <c r="H25" s="61">
        <f t="shared" si="1"/>
        <v>1</v>
      </c>
      <c r="I25" t="str">
        <f>IF(FT!B25&lt;&gt;"",FT!E25,"")</f>
        <v>1 [9.340003]</v>
      </c>
      <c r="J25">
        <f>IF(FT!B25&lt;&gt;"",FT!C25,"")</f>
        <v>9.34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0.46312658823529412</v>
      </c>
      <c r="C26" s="61">
        <f>FH!A26*1</f>
        <v>15194</v>
      </c>
      <c r="D26" s="61">
        <f>FH!B26*1</f>
        <v>15194</v>
      </c>
      <c r="E26">
        <f t="shared" si="3"/>
        <v>24</v>
      </c>
      <c r="F26" s="61">
        <f>IF(FT!A26&lt;&gt;"",FT!A26*10,"")</f>
        <v>3.9988000000000001</v>
      </c>
      <c r="G26" s="61">
        <f>IF(FT!B26&lt;&gt;"",FT!B26*100,"")</f>
        <v>37.270600000000002</v>
      </c>
      <c r="H26" s="61">
        <f t="shared" si="1"/>
        <v>1</v>
      </c>
      <c r="I26" t="str">
        <f>IF(FT!B26&lt;&gt;"",FT!E26,"")</f>
        <v>1 [9.744901]</v>
      </c>
      <c r="J26">
        <f>IF(FT!B26&lt;&gt;"",FT!C26,"")</f>
        <v>9.7448999999999995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0.4824235294117647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4.0422200000000004</v>
      </c>
      <c r="G27" s="61">
        <f>IF(FT!B27&lt;&gt;"",FT!B27*100,"")</f>
        <v>37.412600000000005</v>
      </c>
      <c r="H27" s="61">
        <f t="shared" si="1"/>
        <v>1</v>
      </c>
      <c r="I27" t="str">
        <f>IF(FT!B27&lt;&gt;"",FT!E27,"")</f>
        <v>1 [10.152117]</v>
      </c>
      <c r="J27">
        <f>IF(FT!B27&lt;&gt;"",FT!C27,"")</f>
        <v>10.152100000000001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0.50172047058823532</v>
      </c>
      <c r="C28" s="61">
        <f>FH!A28*1</f>
        <v>25176</v>
      </c>
      <c r="D28" s="61">
        <f>FH!B28*1</f>
        <v>25176</v>
      </c>
      <c r="E28">
        <f t="shared" si="3"/>
        <v>26</v>
      </c>
      <c r="F28" s="61">
        <f>IF(FT!A28&lt;&gt;"",FT!A28*10,"")</f>
        <v>4.0828899999999999</v>
      </c>
      <c r="G28" s="61">
        <f>IF(FT!B28&lt;&gt;"",FT!B28*100,"")</f>
        <v>37.570300000000003</v>
      </c>
      <c r="H28" s="61">
        <f t="shared" si="1"/>
        <v>1</v>
      </c>
      <c r="I28" t="str">
        <f>IF(FT!B28&lt;&gt;"",FT!E28,"")</f>
        <v>1 [10.558776]</v>
      </c>
      <c r="J28">
        <f>IF(FT!B28&lt;&gt;"",FT!C28,"")</f>
        <v>10.5588</v>
      </c>
    </row>
    <row r="29" spans="1:19">
      <c r="A29" s="61">
        <f t="shared" si="2"/>
        <v>27</v>
      </c>
      <c r="B29" s="61">
        <f t="shared" si="0"/>
        <v>0.52101741176470595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4.1213699999999998</v>
      </c>
      <c r="G29" s="61">
        <f>IF(FT!B29&lt;&gt;"",FT!B29*100,"")</f>
        <v>37.702200000000005</v>
      </c>
      <c r="H29" s="61">
        <f t="shared" si="1"/>
        <v>1</v>
      </c>
      <c r="I29" t="str">
        <f>IF(FT!B29&lt;&gt;"",FT!E29,"")</f>
        <v>1 [10.966842]</v>
      </c>
      <c r="J29">
        <f>IF(FT!B29&lt;&gt;"",FT!C29,"")</f>
        <v>10.966799999999999</v>
      </c>
    </row>
    <row r="30" spans="1:19">
      <c r="A30" s="61">
        <f t="shared" si="2"/>
        <v>28</v>
      </c>
      <c r="B30" s="61">
        <f t="shared" si="0"/>
        <v>0.54031435294117647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4.1572100000000001</v>
      </c>
      <c r="G30" s="61">
        <f>IF(FT!B30&lt;&gt;"",FT!B30*100,"")</f>
        <v>37.811699999999995</v>
      </c>
      <c r="H30" s="61">
        <f t="shared" si="1"/>
        <v>1</v>
      </c>
      <c r="I30" t="str">
        <f>IF(FT!B30&lt;&gt;"",FT!E30,"")</f>
        <v>1 [11.370528]</v>
      </c>
      <c r="J30">
        <f>IF(FT!B30&lt;&gt;"",FT!C30,"")</f>
        <v>11.3705</v>
      </c>
    </row>
    <row r="31" spans="1:19">
      <c r="A31" s="61">
        <f t="shared" si="2"/>
        <v>29</v>
      </c>
      <c r="B31" s="61">
        <f t="shared" si="0"/>
        <v>0.5596112941176471</v>
      </c>
      <c r="C31" s="61">
        <f>FH!A31*1</f>
        <v>30804</v>
      </c>
      <c r="D31" s="61">
        <f>FH!B31*1</f>
        <v>30804</v>
      </c>
      <c r="E31">
        <f t="shared" si="3"/>
        <v>29</v>
      </c>
      <c r="F31" s="61">
        <f>IF(FT!A31&lt;&gt;"",FT!A31*10,"")</f>
        <v>4.1951000000000001</v>
      </c>
      <c r="G31" s="61">
        <f>IF(FT!B31&lt;&gt;"",FT!B31*100,"")</f>
        <v>37.874699999999997</v>
      </c>
      <c r="H31" s="61">
        <f t="shared" si="1"/>
        <v>1</v>
      </c>
      <c r="I31" t="str">
        <f>IF(FT!B31&lt;&gt;"",FT!E31,"")</f>
        <v>1 [11.777620]</v>
      </c>
      <c r="J31">
        <f>IF(FT!B31&lt;&gt;"",FT!C31,"")</f>
        <v>11.7776</v>
      </c>
    </row>
    <row r="32" spans="1:19">
      <c r="A32" s="61">
        <f t="shared" si="2"/>
        <v>30</v>
      </c>
      <c r="B32" s="61">
        <f t="shared" si="0"/>
        <v>0.57890823529411761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4.2340900000000001</v>
      </c>
      <c r="G32" s="61">
        <f>IF(FT!B32&lt;&gt;"",FT!B32*100,"")</f>
        <v>37.863900000000001</v>
      </c>
      <c r="H32" s="61">
        <f t="shared" si="1"/>
        <v>1</v>
      </c>
      <c r="I32" t="str">
        <f>IF(FT!B32&lt;&gt;"",FT!E32,"")</f>
        <v>1 [12.180603]</v>
      </c>
      <c r="J32">
        <f>IF(FT!B32&lt;&gt;"",FT!C32,"")</f>
        <v>12.1806</v>
      </c>
    </row>
    <row r="33" spans="1:10">
      <c r="A33" s="61">
        <f t="shared" si="2"/>
        <v>31</v>
      </c>
      <c r="B33" s="61">
        <f t="shared" si="0"/>
        <v>0.59820517647058824</v>
      </c>
      <c r="C33" s="61">
        <f>FH!A33*1</f>
        <v>33334</v>
      </c>
      <c r="D33" s="61">
        <f>FH!B33*1</f>
        <v>33334</v>
      </c>
      <c r="E33">
        <f t="shared" si="3"/>
        <v>31</v>
      </c>
      <c r="F33" s="61">
        <f>IF(FT!A33&lt;&gt;"",FT!A33*10,"")</f>
        <v>4.2720200000000004</v>
      </c>
      <c r="G33" s="61">
        <f>IF(FT!B33&lt;&gt;"",FT!B33*100,"")</f>
        <v>37.799500000000002</v>
      </c>
      <c r="H33" s="61">
        <f t="shared" si="1"/>
        <v>1</v>
      </c>
      <c r="I33" t="str">
        <f>IF(FT!B33&lt;&gt;"",FT!E33,"")</f>
        <v>1 [12.590584]</v>
      </c>
      <c r="J33">
        <f>IF(FT!B33&lt;&gt;"",FT!C33,"")</f>
        <v>12.5906</v>
      </c>
    </row>
    <row r="34" spans="1:10">
      <c r="A34" s="61">
        <f t="shared" si="2"/>
        <v>32</v>
      </c>
      <c r="B34" s="61">
        <f t="shared" si="0"/>
        <v>0.61750211764705887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4.30966</v>
      </c>
      <c r="G34" s="61">
        <f>IF(FT!B34&lt;&gt;"",FT!B34*100,"")</f>
        <v>37.6494</v>
      </c>
      <c r="H34" s="61">
        <f t="shared" si="1"/>
        <v>1</v>
      </c>
      <c r="I34" t="str">
        <f>IF(FT!B34&lt;&gt;"",FT!E34,"")</f>
        <v>1 [12.998174]</v>
      </c>
      <c r="J34">
        <f>IF(FT!B34&lt;&gt;"",FT!C34,"")</f>
        <v>12.998200000000001</v>
      </c>
    </row>
    <row r="35" spans="1:10">
      <c r="A35" s="61">
        <f t="shared" si="2"/>
        <v>33</v>
      </c>
      <c r="B35" s="61">
        <f t="shared" si="0"/>
        <v>0.6367990588235295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4.3467200000000004</v>
      </c>
      <c r="G35" s="61">
        <f>IF(FT!B35&lt;&gt;"",FT!B35*100,"")</f>
        <v>37.431199999999997</v>
      </c>
      <c r="H35" s="61">
        <f t="shared" si="1"/>
        <v>1</v>
      </c>
      <c r="I35" t="str">
        <f>IF(FT!B35&lt;&gt;"",FT!E35,"")</f>
        <v>1 [13.404194]</v>
      </c>
      <c r="J35">
        <f>IF(FT!B35&lt;&gt;"",FT!C35,"")</f>
        <v>13.404199999999999</v>
      </c>
    </row>
    <row r="36" spans="1:10">
      <c r="A36" s="61">
        <f t="shared" si="2"/>
        <v>34</v>
      </c>
      <c r="B36" s="61">
        <f t="shared" si="0"/>
        <v>0.65609600000000001</v>
      </c>
      <c r="C36" s="61">
        <f>FH!A36*1</f>
        <v>36372</v>
      </c>
      <c r="D36" s="61">
        <f>FH!B36*1</f>
        <v>36372</v>
      </c>
      <c r="E36">
        <f t="shared" si="3"/>
        <v>34</v>
      </c>
      <c r="F36" s="61">
        <f>IF(FT!A36&lt;&gt;"",FT!A36*10,"")</f>
        <v>4.37941</v>
      </c>
      <c r="G36" s="61">
        <f>IF(FT!B36&lt;&gt;"",FT!B36*100,"")</f>
        <v>37.256299999999996</v>
      </c>
      <c r="H36" s="61">
        <f t="shared" si="1"/>
        <v>1</v>
      </c>
      <c r="I36" t="str">
        <f>IF(FT!B36&lt;&gt;"",FT!E36,"")</f>
        <v>1 [13.805330]</v>
      </c>
      <c r="J36">
        <f>IF(FT!B36&lt;&gt;"",FT!C36,"")</f>
        <v>13.805300000000001</v>
      </c>
    </row>
    <row r="37" spans="1:10">
      <c r="A37" s="61">
        <f t="shared" si="2"/>
        <v>35</v>
      </c>
      <c r="B37" s="61">
        <f t="shared" si="0"/>
        <v>0.67539294117647064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4.4085400000000003</v>
      </c>
      <c r="G37" s="61">
        <f>IF(FT!B37&lt;&gt;"",FT!B37*100,"")</f>
        <v>37.095599999999997</v>
      </c>
      <c r="H37" s="61">
        <f t="shared" si="1"/>
        <v>1</v>
      </c>
      <c r="I37" t="str">
        <f>IF(FT!B37&lt;&gt;"",FT!E37,"")</f>
        <v>1 [14.211476]</v>
      </c>
      <c r="J37">
        <f>IF(FT!B37&lt;&gt;"",FT!C37,"")</f>
        <v>14.211499999999999</v>
      </c>
    </row>
    <row r="38" spans="1:10">
      <c r="A38" s="61">
        <f t="shared" si="2"/>
        <v>36</v>
      </c>
      <c r="B38" s="61">
        <f t="shared" si="0"/>
        <v>0.69468988235294116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4.4330999999999996</v>
      </c>
      <c r="G38" s="61">
        <f>IF(FT!B38&lt;&gt;"",FT!B38*100,"")</f>
        <v>36.938500000000005</v>
      </c>
      <c r="H38" s="61">
        <f t="shared" si="1"/>
        <v>1</v>
      </c>
      <c r="I38" t="str">
        <f>IF(FT!B38&lt;&gt;"",FT!E38,"")</f>
        <v>1 [14.620161]</v>
      </c>
      <c r="J38">
        <f>IF(FT!B38&lt;&gt;"",FT!C38,"")</f>
        <v>14.620200000000001</v>
      </c>
    </row>
    <row r="39" spans="1:10">
      <c r="A39" s="61">
        <f t="shared" si="2"/>
        <v>37</v>
      </c>
      <c r="B39" s="61">
        <f t="shared" si="0"/>
        <v>0.7139868235294119</v>
      </c>
      <c r="C39" s="61">
        <f>FH!A39*1</f>
        <v>43819</v>
      </c>
      <c r="D39" s="61">
        <f>FH!B39*1</f>
        <v>43819</v>
      </c>
      <c r="E39">
        <f t="shared" si="3"/>
        <v>37</v>
      </c>
      <c r="F39" s="61">
        <f>IF(FT!A39&lt;&gt;"",FT!A39*10,"")</f>
        <v>4.4554899999999993</v>
      </c>
      <c r="G39" s="61">
        <f>IF(FT!B39&lt;&gt;"",FT!B39*100,"")</f>
        <v>36.7714</v>
      </c>
      <c r="H39" s="61">
        <f t="shared" si="1"/>
        <v>1</v>
      </c>
      <c r="I39" t="str">
        <f>IF(FT!B39&lt;&gt;"",FT!E39,"")</f>
        <v>1 [15.024561]</v>
      </c>
      <c r="J39">
        <f>IF(FT!B39&lt;&gt;"",FT!C39,"")</f>
        <v>15.0246</v>
      </c>
    </row>
    <row r="40" spans="1:10">
      <c r="A40" s="61">
        <f t="shared" si="2"/>
        <v>38</v>
      </c>
      <c r="B40" s="61">
        <f t="shared" si="0"/>
        <v>0.73328376470588241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4.4724900000000005</v>
      </c>
      <c r="G40" s="61">
        <f>IF(FT!B40&lt;&gt;"",FT!B40*100,"")</f>
        <v>36.664400000000001</v>
      </c>
      <c r="H40" s="61">
        <f t="shared" si="1"/>
        <v>1</v>
      </c>
      <c r="I40" t="str">
        <f>IF(FT!B40&lt;&gt;"",FT!E40,"")</f>
        <v>1 [15.432846]</v>
      </c>
      <c r="J40">
        <f>IF(FT!B40&lt;&gt;"",FT!C40,"")</f>
        <v>15.4328</v>
      </c>
    </row>
    <row r="41" spans="1:10">
      <c r="A41" s="61">
        <f t="shared" si="2"/>
        <v>39</v>
      </c>
      <c r="B41" s="61">
        <f t="shared" si="0"/>
        <v>0.75258070588235304</v>
      </c>
      <c r="C41" s="61">
        <f>FH!A41*1</f>
        <v>46598</v>
      </c>
      <c r="D41" s="61">
        <f>FH!B41*1</f>
        <v>46598</v>
      </c>
      <c r="E41">
        <f t="shared" si="3"/>
        <v>39</v>
      </c>
      <c r="F41" s="61">
        <f>IF(FT!A41&lt;&gt;"",FT!A41*10,"")</f>
        <v>4.4893999999999998</v>
      </c>
      <c r="G41" s="61">
        <f>IF(FT!B41&lt;&gt;"",FT!B41*100,"")</f>
        <v>36.5852</v>
      </c>
      <c r="H41" s="61">
        <f t="shared" si="1"/>
        <v>1</v>
      </c>
      <c r="I41" t="str">
        <f>IF(FT!B41&lt;&gt;"",FT!E41,"")</f>
        <v>1 [15.839627]</v>
      </c>
      <c r="J41">
        <f>IF(FT!B41&lt;&gt;"",FT!C41,"")</f>
        <v>15.839600000000001</v>
      </c>
    </row>
    <row r="42" spans="1:10">
      <c r="A42" s="61">
        <f t="shared" si="2"/>
        <v>40</v>
      </c>
      <c r="B42" s="61">
        <f t="shared" si="0"/>
        <v>0.77187764705882356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4.5029000000000003</v>
      </c>
      <c r="G42" s="61">
        <f>IF(FT!B42&lt;&gt;"",FT!B42*100,"")</f>
        <v>36.5411</v>
      </c>
      <c r="H42" s="61">
        <f t="shared" si="1"/>
        <v>1</v>
      </c>
      <c r="I42" t="str">
        <f>IF(FT!B42&lt;&gt;"",FT!E42,"")</f>
        <v>1 [16.242702]</v>
      </c>
      <c r="J42">
        <f>IF(FT!B42&lt;&gt;"",FT!C42,"")</f>
        <v>16.242699999999999</v>
      </c>
    </row>
    <row r="43" spans="1:10">
      <c r="A43" s="61">
        <f t="shared" si="2"/>
        <v>41</v>
      </c>
      <c r="B43" s="61">
        <f t="shared" si="0"/>
        <v>0.79117458823529418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4.51302</v>
      </c>
      <c r="G43" s="61">
        <f>IF(FT!B43&lt;&gt;"",FT!B43*100,"")</f>
        <v>36.500700000000002</v>
      </c>
      <c r="H43" s="61">
        <f t="shared" si="1"/>
        <v>1</v>
      </c>
      <c r="I43" t="str">
        <f>IF(FT!B43&lt;&gt;"",FT!E43,"")</f>
        <v>1 [16.649584]</v>
      </c>
      <c r="J43">
        <f>IF(FT!B43&lt;&gt;"",FT!C43,"")</f>
        <v>16.6496</v>
      </c>
    </row>
    <row r="44" spans="1:10">
      <c r="A44" s="61">
        <f t="shared" si="2"/>
        <v>42</v>
      </c>
      <c r="B44" s="61">
        <f t="shared" si="0"/>
        <v>0.8104715294117647</v>
      </c>
      <c r="C44" s="61">
        <f>FH!A44*1</f>
        <v>53000</v>
      </c>
      <c r="D44" s="61">
        <f>FH!B44*1</f>
        <v>53000</v>
      </c>
      <c r="E44">
        <f t="shared" si="3"/>
        <v>42</v>
      </c>
      <c r="F44" s="61">
        <f>IF(FT!A44&lt;&gt;"",FT!A44*10,"")</f>
        <v>4.5188199999999998</v>
      </c>
      <c r="G44" s="61">
        <f>IF(FT!B44&lt;&gt;"",FT!B44*100,"")</f>
        <v>36.486200000000004</v>
      </c>
      <c r="H44" s="61">
        <f t="shared" si="1"/>
        <v>1</v>
      </c>
      <c r="I44" t="str">
        <f>IF(FT!B44&lt;&gt;"",FT!E44,"")</f>
        <v>1 [17.063515]</v>
      </c>
      <c r="J44">
        <f>IF(FT!B44&lt;&gt;"",FT!C44,"")</f>
        <v>17.063500000000001</v>
      </c>
    </row>
    <row r="45" spans="1:10">
      <c r="A45" s="61">
        <f t="shared" si="2"/>
        <v>43</v>
      </c>
      <c r="B45" s="61">
        <f t="shared" si="0"/>
        <v>0.82976847058823544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4.5229200000000001</v>
      </c>
      <c r="G45" s="61">
        <f>IF(FT!B45&lt;&gt;"",FT!B45*100,"")</f>
        <v>36.457299999999996</v>
      </c>
      <c r="H45" s="61">
        <f t="shared" si="1"/>
        <v>1</v>
      </c>
      <c r="I45" t="str">
        <f>IF(FT!B45&lt;&gt;"",FT!E45,"")</f>
        <v>1 [17.466308]</v>
      </c>
      <c r="J45">
        <f>IF(FT!B45&lt;&gt;"",FT!C45,"")</f>
        <v>17.4663</v>
      </c>
    </row>
    <row r="46" spans="1:10">
      <c r="A46" s="61">
        <f t="shared" si="2"/>
        <v>44</v>
      </c>
      <c r="B46" s="61">
        <f t="shared" si="0"/>
        <v>0.84906541176470596</v>
      </c>
      <c r="C46" s="61">
        <f>FH!A46*1</f>
        <v>58376</v>
      </c>
      <c r="D46" s="61">
        <f>FH!B46*1</f>
        <v>58376</v>
      </c>
      <c r="E46">
        <f t="shared" si="3"/>
        <v>44</v>
      </c>
      <c r="F46" s="61">
        <f>IF(FT!A46&lt;&gt;"",FT!A46*10,"")</f>
        <v>4.5266400000000004</v>
      </c>
      <c r="G46" s="61">
        <f>IF(FT!B46&lt;&gt;"",FT!B46*100,"")</f>
        <v>36.421199999999999</v>
      </c>
      <c r="H46" s="61">
        <f t="shared" si="1"/>
        <v>1</v>
      </c>
      <c r="I46" t="str">
        <f>IF(FT!B46&lt;&gt;"",FT!E46,"")</f>
        <v>1 [17.871132]</v>
      </c>
      <c r="J46">
        <f>IF(FT!B46&lt;&gt;"",FT!C46,"")</f>
        <v>17.871099999999998</v>
      </c>
    </row>
    <row r="47" spans="1:10">
      <c r="A47" s="61">
        <f t="shared" si="2"/>
        <v>45</v>
      </c>
      <c r="B47" s="61">
        <f t="shared" si="0"/>
        <v>0.86836235294117659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4.5318399999999999</v>
      </c>
      <c r="G47" s="61">
        <f>IF(FT!B47&lt;&gt;"",FT!B47*100,"")</f>
        <v>36.382100000000001</v>
      </c>
      <c r="H47" s="61">
        <f t="shared" si="1"/>
        <v>1</v>
      </c>
      <c r="I47" t="str">
        <f>IF(FT!B47&lt;&gt;"",FT!E47,"")</f>
        <v>1 [18.275181]</v>
      </c>
      <c r="J47">
        <f>IF(FT!B47&lt;&gt;"",FT!C47,"")</f>
        <v>18.275200000000002</v>
      </c>
    </row>
    <row r="48" spans="1:10">
      <c r="A48" s="61">
        <f t="shared" si="2"/>
        <v>46</v>
      </c>
      <c r="B48" s="61">
        <f t="shared" si="0"/>
        <v>0.8876592941176471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4.5408799999999996</v>
      </c>
      <c r="G48" s="61">
        <f>IF(FT!B48&lt;&gt;"",FT!B48*100,"")</f>
        <v>36.335000000000001</v>
      </c>
      <c r="H48" s="61">
        <f t="shared" si="1"/>
        <v>1</v>
      </c>
      <c r="I48" t="str">
        <f>IF(FT!B48&lt;&gt;"",FT!E48,"")</f>
        <v>1 [18.681810]</v>
      </c>
      <c r="J48">
        <f>IF(FT!B48&lt;&gt;"",FT!C48,"")</f>
        <v>18.681799999999999</v>
      </c>
    </row>
    <row r="49" spans="1:10">
      <c r="A49" s="61">
        <f t="shared" si="2"/>
        <v>47</v>
      </c>
      <c r="B49" s="61">
        <f t="shared" si="0"/>
        <v>0.90695623529411773</v>
      </c>
      <c r="C49" s="61">
        <f>FH!A49*1</f>
        <v>63998</v>
      </c>
      <c r="D49" s="61">
        <f>FH!B49*1</f>
        <v>63998</v>
      </c>
      <c r="E49">
        <f t="shared" si="3"/>
        <v>47</v>
      </c>
      <c r="F49" s="61">
        <f>IF(FT!A49&lt;&gt;"",FT!A49*10,"")</f>
        <v>4.5545600000000004</v>
      </c>
      <c r="G49" s="61">
        <f>IF(FT!B49&lt;&gt;"",FT!B49*100,"")</f>
        <v>36.237000000000002</v>
      </c>
      <c r="H49" s="61">
        <f t="shared" si="1"/>
        <v>1</v>
      </c>
      <c r="I49" t="str">
        <f>IF(FT!B49&lt;&gt;"",FT!E49,"")</f>
        <v>1 [19.091243]</v>
      </c>
      <c r="J49">
        <f>IF(FT!B49&lt;&gt;"",FT!C49,"")</f>
        <v>19.091200000000001</v>
      </c>
    </row>
    <row r="50" spans="1:10">
      <c r="A50" s="61">
        <f t="shared" si="2"/>
        <v>48</v>
      </c>
      <c r="B50" s="61">
        <f t="shared" si="0"/>
        <v>0.92625317647058825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4.5726499999999994</v>
      </c>
      <c r="G50" s="61">
        <f>IF(FT!B50&lt;&gt;"",FT!B50*100,"")</f>
        <v>36.094999999999999</v>
      </c>
      <c r="H50" s="61">
        <f t="shared" si="1"/>
        <v>1</v>
      </c>
      <c r="I50" t="str">
        <f>IF(FT!B50&lt;&gt;"",FT!E50,"")</f>
        <v>1 [19.498851]</v>
      </c>
      <c r="J50">
        <f>IF(FT!B50&lt;&gt;"",FT!C50,"")</f>
        <v>19.498899999999999</v>
      </c>
    </row>
    <row r="51" spans="1:10">
      <c r="A51" s="61">
        <f t="shared" si="2"/>
        <v>49</v>
      </c>
      <c r="B51" s="61">
        <f t="shared" si="0"/>
        <v>0.94555011764705887</v>
      </c>
      <c r="C51" s="61">
        <f>FH!A51*1</f>
        <v>60048</v>
      </c>
      <c r="D51" s="61">
        <f>FH!B51*1</f>
        <v>60048</v>
      </c>
      <c r="E51">
        <f t="shared" si="3"/>
        <v>49</v>
      </c>
      <c r="F51" s="61">
        <f>IF(FT!A51&lt;&gt;"",FT!A51*10,"")</f>
        <v>4.5927100000000003</v>
      </c>
      <c r="G51" s="61">
        <f>IF(FT!B51&lt;&gt;"",FT!B51*100,"")</f>
        <v>35.954599999999999</v>
      </c>
      <c r="H51" s="61">
        <f t="shared" si="1"/>
        <v>1</v>
      </c>
      <c r="I51" t="str">
        <f>IF(FT!B51&lt;&gt;"",FT!E51,"")</f>
        <v>1 [19.903803]</v>
      </c>
      <c r="J51">
        <f>IF(FT!B51&lt;&gt;"",FT!C51,"")</f>
        <v>19.9038</v>
      </c>
    </row>
    <row r="52" spans="1:10">
      <c r="A52" s="61">
        <f t="shared" si="2"/>
        <v>50</v>
      </c>
      <c r="B52" s="61">
        <f t="shared" si="0"/>
        <v>0.96484705882352939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4.6076499999999996</v>
      </c>
      <c r="G52" s="61">
        <f>IF(FT!B52&lt;&gt;"",FT!B52*100,"")</f>
        <v>35.854100000000003</v>
      </c>
      <c r="H52" s="61">
        <f t="shared" si="1"/>
        <v>1</v>
      </c>
      <c r="I52" t="str">
        <f>IF(FT!B52&lt;&gt;"",FT!E52,"")</f>
        <v>1 [20.308731]</v>
      </c>
      <c r="J52">
        <f>IF(FT!B52&lt;&gt;"",FT!C52,"")</f>
        <v>20.308700000000002</v>
      </c>
    </row>
    <row r="53" spans="1:10">
      <c r="A53" s="61">
        <f t="shared" si="2"/>
        <v>51</v>
      </c>
      <c r="B53" s="61">
        <f t="shared" si="0"/>
        <v>0.98414400000000013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4.63103</v>
      </c>
      <c r="G53" s="61">
        <f>IF(FT!B53&lt;&gt;"",FT!B53*100,"")</f>
        <v>35.717599999999997</v>
      </c>
      <c r="H53" s="61">
        <f t="shared" si="1"/>
        <v>1</v>
      </c>
      <c r="I53" t="str">
        <f>IF(FT!B53&lt;&gt;"",FT!E53,"")</f>
        <v>1 [20.710484]</v>
      </c>
      <c r="J53">
        <f>IF(FT!B53&lt;&gt;"",FT!C53,"")</f>
        <v>20.7105</v>
      </c>
    </row>
    <row r="54" spans="1:10">
      <c r="A54" s="61">
        <f t="shared" si="2"/>
        <v>52</v>
      </c>
      <c r="B54" s="61">
        <f t="shared" si="0"/>
        <v>1.0034409411764706</v>
      </c>
      <c r="C54" s="61">
        <f>FH!A54*1</f>
        <v>61657</v>
      </c>
      <c r="D54" s="61">
        <f>FH!B54*1</f>
        <v>61657</v>
      </c>
      <c r="E54">
        <f t="shared" si="3"/>
        <v>52</v>
      </c>
      <c r="F54" s="61">
        <f>IF(FT!A54&lt;&gt;"",FT!A54*10,"")</f>
        <v>4.6570200000000002</v>
      </c>
      <c r="G54" s="61">
        <f>IF(FT!B54&lt;&gt;"",FT!B54*100,"")</f>
        <v>35.539300000000004</v>
      </c>
      <c r="H54" s="61">
        <f t="shared" si="1"/>
        <v>1</v>
      </c>
      <c r="I54" t="str">
        <f>IF(FT!B54&lt;&gt;"",FT!E54,"")</f>
        <v>1 [21.122543]</v>
      </c>
      <c r="J54">
        <f>IF(FT!B54&lt;&gt;"",FT!C54,"")</f>
        <v>21.122499999999999</v>
      </c>
    </row>
    <row r="55" spans="1:10">
      <c r="A55" s="61">
        <f t="shared" si="2"/>
        <v>53</v>
      </c>
      <c r="B55" s="61">
        <f t="shared" si="0"/>
        <v>1.0227378823529412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4.6837999999999997</v>
      </c>
      <c r="G55" s="61">
        <f>IF(FT!B55&lt;&gt;"",FT!B55*100,"")</f>
        <v>35.358400000000003</v>
      </c>
      <c r="H55" s="61">
        <f t="shared" si="1"/>
        <v>1</v>
      </c>
      <c r="I55" t="str">
        <f>IF(FT!B55&lt;&gt;"",FT!E55,"")</f>
        <v>1 [21.523924]</v>
      </c>
      <c r="J55">
        <f>IF(FT!B55&lt;&gt;"",FT!C55,"")</f>
        <v>21.523900000000001</v>
      </c>
    </row>
    <row r="56" spans="1:10">
      <c r="A56" s="61">
        <f t="shared" si="2"/>
        <v>54</v>
      </c>
      <c r="B56" s="61">
        <f t="shared" si="0"/>
        <v>1.0420348235294119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4.7092600000000004</v>
      </c>
      <c r="G56" s="61">
        <f>IF(FT!B56&lt;&gt;"",FT!B56*100,"")</f>
        <v>35.164499999999997</v>
      </c>
      <c r="H56" s="61">
        <f t="shared" si="1"/>
        <v>1</v>
      </c>
      <c r="I56" t="str">
        <f>IF(FT!B56&lt;&gt;"",FT!E56,"")</f>
        <v>1 [21.929862]</v>
      </c>
      <c r="J56">
        <f>IF(FT!B56&lt;&gt;"",FT!C56,"")</f>
        <v>21.9299</v>
      </c>
    </row>
    <row r="57" spans="1:10">
      <c r="A57" s="61">
        <f t="shared" si="2"/>
        <v>55</v>
      </c>
      <c r="B57" s="61">
        <f t="shared" si="0"/>
        <v>1.0613317647058824</v>
      </c>
      <c r="C57" s="61">
        <f>FH!A57*1</f>
        <v>64842</v>
      </c>
      <c r="D57" s="61">
        <f>FH!B57*1</f>
        <v>64842</v>
      </c>
      <c r="E57">
        <f t="shared" si="3"/>
        <v>55</v>
      </c>
      <c r="F57" s="61">
        <f>IF(FT!A57&lt;&gt;"",FT!A57*10,"")</f>
        <v>4.7325600000000003</v>
      </c>
      <c r="G57" s="61">
        <f>IF(FT!B57&lt;&gt;"",FT!B57*100,"")</f>
        <v>34.943000000000005</v>
      </c>
      <c r="H57" s="61">
        <f t="shared" si="1"/>
        <v>1</v>
      </c>
      <c r="I57" t="str">
        <f>IF(FT!B57&lt;&gt;"",FT!E57,"")</f>
        <v>1 [22.342816]</v>
      </c>
      <c r="J57">
        <f>IF(FT!B57&lt;&gt;"",FT!C57,"")</f>
        <v>22.3428</v>
      </c>
    </row>
    <row r="58" spans="1:10">
      <c r="A58" s="61">
        <f t="shared" si="2"/>
        <v>56</v>
      </c>
      <c r="B58" s="61">
        <f t="shared" si="0"/>
        <v>1.0806287058823529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4.7618899999999993</v>
      </c>
      <c r="G58" s="61">
        <f>IF(FT!B58&lt;&gt;"",FT!B58*100,"")</f>
        <v>34.644999999999996</v>
      </c>
      <c r="H58" s="61">
        <f t="shared" si="1"/>
        <v>1</v>
      </c>
      <c r="I58" t="str">
        <f>IF(FT!B58&lt;&gt;"",FT!E58,"")</f>
        <v>1 [22.746323]</v>
      </c>
      <c r="J58">
        <f>IF(FT!B58&lt;&gt;"",FT!C58,"")</f>
        <v>22.746300000000002</v>
      </c>
    </row>
    <row r="59" spans="1:10">
      <c r="A59" s="61">
        <f t="shared" si="2"/>
        <v>57</v>
      </c>
      <c r="B59" s="61">
        <f t="shared" si="0"/>
        <v>1.0999256470588237</v>
      </c>
      <c r="C59" s="61">
        <f>FH!A59*1</f>
        <v>61951</v>
      </c>
      <c r="D59" s="61">
        <f>FH!B59*1</f>
        <v>61951</v>
      </c>
      <c r="E59">
        <f t="shared" si="3"/>
        <v>57</v>
      </c>
      <c r="F59" s="61">
        <f>IF(FT!A59&lt;&gt;"",FT!A59*10,"")</f>
        <v>4.7746699999999995</v>
      </c>
      <c r="G59" s="61">
        <f>IF(FT!B59&lt;&gt;"",FT!B59*100,"")</f>
        <v>34.526400000000002</v>
      </c>
      <c r="H59" s="61">
        <f t="shared" si="1"/>
        <v>1</v>
      </c>
      <c r="I59" t="str">
        <f>IF(FT!B59&lt;&gt;"",FT!E59,"")</f>
        <v>1 [23.152022]</v>
      </c>
      <c r="J59">
        <f>IF(FT!B59&lt;&gt;"",FT!C59,"")</f>
        <v>23.152000000000001</v>
      </c>
    </row>
    <row r="60" spans="1:10">
      <c r="A60" s="61">
        <f t="shared" si="2"/>
        <v>58</v>
      </c>
      <c r="B60" s="61">
        <f t="shared" si="0"/>
        <v>1.1192225882352942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4.80009</v>
      </c>
      <c r="G60" s="61">
        <f>IF(FT!B60&lt;&gt;"",FT!B60*100,"")</f>
        <v>34.2273</v>
      </c>
      <c r="H60" s="61">
        <f t="shared" si="1"/>
        <v>1</v>
      </c>
      <c r="I60" t="str">
        <f>IF(FT!B60&lt;&gt;"",FT!E60,"")</f>
        <v>1 [23.557370]</v>
      </c>
      <c r="J60">
        <f>IF(FT!B60&lt;&gt;"",FT!C60,"")</f>
        <v>23.557400000000001</v>
      </c>
    </row>
    <row r="61" spans="1:10">
      <c r="A61" s="61">
        <f t="shared" si="2"/>
        <v>59</v>
      </c>
      <c r="B61" s="61">
        <f t="shared" si="0"/>
        <v>1.1385195294117647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4.8159999999999998</v>
      </c>
      <c r="G61" s="61">
        <f>IF(FT!B61&lt;&gt;"",FT!B61*100,"")</f>
        <v>34.093000000000004</v>
      </c>
      <c r="H61" s="61">
        <f t="shared" si="1"/>
        <v>1</v>
      </c>
      <c r="I61" t="str">
        <f>IF(FT!B61&lt;&gt;"",FT!E61,"")</f>
        <v>1 [23.963104]</v>
      </c>
      <c r="J61">
        <f>IF(FT!B61&lt;&gt;"",FT!C61,"")</f>
        <v>23.963100000000001</v>
      </c>
    </row>
    <row r="62" spans="1:10">
      <c r="A62" s="61">
        <f t="shared" si="2"/>
        <v>60</v>
      </c>
      <c r="B62" s="61">
        <f t="shared" si="0"/>
        <v>1.1578164705882352</v>
      </c>
      <c r="C62" s="61">
        <f>FH!A62*1</f>
        <v>59989</v>
      </c>
      <c r="D62" s="61">
        <f>FH!B62*1</f>
        <v>59989</v>
      </c>
      <c r="E62">
        <f t="shared" si="3"/>
        <v>60</v>
      </c>
      <c r="F62" s="61">
        <f>IF(FT!A62&lt;&gt;"",FT!A62*10,"")</f>
        <v>4.8306399999999998</v>
      </c>
      <c r="G62" s="61">
        <f>IF(FT!B62&lt;&gt;"",FT!B62*100,"")</f>
        <v>33.9925</v>
      </c>
      <c r="H62" s="61">
        <f t="shared" si="1"/>
        <v>1</v>
      </c>
      <c r="I62" t="str">
        <f>IF(FT!B62&lt;&gt;"",FT!E62,"")</f>
        <v>1 [24.372768]</v>
      </c>
      <c r="J62">
        <f>IF(FT!B62&lt;&gt;"",FT!C62,"")</f>
        <v>24.372800000000002</v>
      </c>
    </row>
    <row r="63" spans="1:10">
      <c r="A63" s="61">
        <f t="shared" si="2"/>
        <v>61</v>
      </c>
      <c r="B63" s="61">
        <f t="shared" si="0"/>
        <v>1.177113411764706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4.8404799999999994</v>
      </c>
      <c r="G63" s="61">
        <f>IF(FT!B63&lt;&gt;"",FT!B63*100,"")</f>
        <v>33.917999999999999</v>
      </c>
      <c r="H63" s="61">
        <f t="shared" si="1"/>
        <v>1</v>
      </c>
      <c r="I63" t="str">
        <f>IF(FT!B63&lt;&gt;"",FT!E63,"")</f>
        <v>1 [24.778808]</v>
      </c>
      <c r="J63">
        <f>IF(FT!B63&lt;&gt;"",FT!C63,"")</f>
        <v>24.7788</v>
      </c>
    </row>
    <row r="64" spans="1:10">
      <c r="A64" s="61">
        <f t="shared" si="2"/>
        <v>62</v>
      </c>
      <c r="B64" s="61">
        <f t="shared" si="0"/>
        <v>1.1964103529411765</v>
      </c>
      <c r="C64" s="61">
        <f>FH!A64*1</f>
        <v>61442</v>
      </c>
      <c r="D64" s="61">
        <f>FH!B64*1</f>
        <v>61442</v>
      </c>
      <c r="E64">
        <f t="shared" si="3"/>
        <v>62</v>
      </c>
      <c r="F64" s="61">
        <f>IF(FT!A64&lt;&gt;"",FT!A64*10,"")</f>
        <v>4.8529800000000005</v>
      </c>
      <c r="G64" s="61">
        <f>IF(FT!B64&lt;&gt;"",FT!B64*100,"")</f>
        <v>33.821600000000004</v>
      </c>
      <c r="H64" s="61">
        <f t="shared" si="1"/>
        <v>1</v>
      </c>
      <c r="I64" t="str">
        <f>IF(FT!B64&lt;&gt;"",FT!E64,"")</f>
        <v>1 [25.180202]</v>
      </c>
      <c r="J64">
        <f>IF(FT!B64&lt;&gt;"",FT!C64,"")</f>
        <v>25.180199999999999</v>
      </c>
    </row>
    <row r="65" spans="1:10">
      <c r="A65" s="61">
        <f t="shared" si="2"/>
        <v>63</v>
      </c>
      <c r="B65" s="61">
        <f t="shared" si="0"/>
        <v>1.2157072941176472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4.8676399999999997</v>
      </c>
      <c r="G65" s="61">
        <f>IF(FT!B65&lt;&gt;"",FT!B65*100,"")</f>
        <v>33.7072</v>
      </c>
      <c r="H65" s="61">
        <f t="shared" si="1"/>
        <v>1</v>
      </c>
      <c r="I65" t="str">
        <f>IF(FT!B65&lt;&gt;"",FT!E65,"")</f>
        <v>1 [25.590927]</v>
      </c>
      <c r="J65">
        <f>IF(FT!B65&lt;&gt;"",FT!C65,"")</f>
        <v>25.590900000000001</v>
      </c>
    </row>
    <row r="66" spans="1:10">
      <c r="A66" s="61">
        <f t="shared" si="2"/>
        <v>64</v>
      </c>
      <c r="B66" s="61">
        <f t="shared" si="0"/>
        <v>1.2350042352941177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4.8769900000000002</v>
      </c>
      <c r="G66" s="61">
        <f>IF(FT!B66&lt;&gt;"",FT!B66*100,"")</f>
        <v>33.631599999999999</v>
      </c>
      <c r="H66" s="61">
        <f t="shared" si="1"/>
        <v>1</v>
      </c>
      <c r="I66" t="str">
        <f>IF(FT!B66&lt;&gt;"",FT!E66,"")</f>
        <v>1 [25.994722]</v>
      </c>
      <c r="J66">
        <f>IF(FT!B66&lt;&gt;"",FT!C66,"")</f>
        <v>25.994700000000002</v>
      </c>
    </row>
    <row r="67" spans="1:10">
      <c r="A67" s="61">
        <f t="shared" si="2"/>
        <v>65</v>
      </c>
      <c r="B67" s="61">
        <f t="shared" ref="B67:B130" si="8">A67/255*$L$2</f>
        <v>1.2543011764705883</v>
      </c>
      <c r="C67" s="61">
        <f>FH!A67*1</f>
        <v>67800</v>
      </c>
      <c r="D67" s="61">
        <f>FH!B67*1</f>
        <v>67800</v>
      </c>
      <c r="E67">
        <f t="shared" si="3"/>
        <v>65</v>
      </c>
      <c r="F67" s="61">
        <f>IF(FT!A67&lt;&gt;"",FT!A67*10,"")</f>
        <v>4.8865400000000001</v>
      </c>
      <c r="G67" s="61">
        <f>IF(FT!B67&lt;&gt;"",FT!B67*100,"")</f>
        <v>33.601500000000001</v>
      </c>
      <c r="H67" s="61">
        <f t="shared" ref="H67:H130" si="9">(IF(F67&lt;&gt;"",1,""))</f>
        <v>1</v>
      </c>
      <c r="I67" t="str">
        <f>IF(FT!B67&lt;&gt;"",FT!E67,"")</f>
        <v>1 [26.403322]</v>
      </c>
      <c r="J67">
        <f>IF(FT!B67&lt;&gt;"",FT!C67,"")</f>
        <v>26.403300000000002</v>
      </c>
    </row>
    <row r="68" spans="1:10">
      <c r="A68" s="61">
        <f t="shared" ref="A68:A131" si="10">A67+1</f>
        <v>66</v>
      </c>
      <c r="B68" s="61">
        <f t="shared" si="8"/>
        <v>1.273598117647059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4.8956</v>
      </c>
      <c r="G68" s="61">
        <f>IF(FT!B68&lt;&gt;"",FT!B68*100,"")</f>
        <v>33.538400000000003</v>
      </c>
      <c r="H68" s="61">
        <f t="shared" si="9"/>
        <v>1</v>
      </c>
      <c r="I68" t="str">
        <f>IF(FT!B68&lt;&gt;"",FT!E68,"")</f>
        <v>1 [26.808466]</v>
      </c>
      <c r="J68">
        <f>IF(FT!B68&lt;&gt;"",FT!C68,"")</f>
        <v>26.808499999999999</v>
      </c>
    </row>
    <row r="69" spans="1:10">
      <c r="A69" s="61">
        <f t="shared" si="10"/>
        <v>67</v>
      </c>
      <c r="B69" s="61">
        <f t="shared" si="8"/>
        <v>1.2928950588235295</v>
      </c>
      <c r="C69" s="61">
        <f>FH!A69*1</f>
        <v>69944</v>
      </c>
      <c r="D69" s="61">
        <f>FH!B69*1</f>
        <v>69944</v>
      </c>
      <c r="E69">
        <f t="shared" si="11"/>
        <v>67</v>
      </c>
      <c r="F69" s="61">
        <f>IF(FT!A69&lt;&gt;"",FT!A69*10,"")</f>
        <v>4.90334</v>
      </c>
      <c r="G69" s="61">
        <f>IF(FT!B69&lt;&gt;"",FT!B69*100,"")</f>
        <v>33.476199999999999</v>
      </c>
      <c r="H69" s="61">
        <f t="shared" si="9"/>
        <v>1</v>
      </c>
      <c r="I69" t="str">
        <f>IF(FT!B69&lt;&gt;"",FT!E69,"")</f>
        <v>1 [27.212306]</v>
      </c>
      <c r="J69">
        <f>IF(FT!B69&lt;&gt;"",FT!C69,"")</f>
        <v>27.212299999999999</v>
      </c>
    </row>
    <row r="70" spans="1:10">
      <c r="A70" s="61">
        <f t="shared" si="10"/>
        <v>68</v>
      </c>
      <c r="B70" s="61">
        <f t="shared" si="8"/>
        <v>1.312192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4.9083199999999998</v>
      </c>
      <c r="G70" s="61">
        <f>IF(FT!B70&lt;&gt;"",FT!B70*100,"")</f>
        <v>33.454899999999995</v>
      </c>
      <c r="H70" s="61">
        <f t="shared" si="9"/>
        <v>1</v>
      </c>
      <c r="I70" t="str">
        <f>IF(FT!B70&lt;&gt;"",FT!E70,"")</f>
        <v>1 [27.621105]</v>
      </c>
      <c r="J70">
        <f>IF(FT!B70&lt;&gt;"",FT!C70,"")</f>
        <v>27.621099999999998</v>
      </c>
    </row>
    <row r="71" spans="1:10">
      <c r="A71" s="61">
        <f t="shared" si="10"/>
        <v>69</v>
      </c>
      <c r="B71" s="61">
        <f t="shared" si="8"/>
        <v>1.3314889411764705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4.9178500000000005</v>
      </c>
      <c r="G71" s="61">
        <f>IF(FT!B71&lt;&gt;"",FT!B71*100,"")</f>
        <v>33.43</v>
      </c>
      <c r="H71" s="61">
        <f t="shared" si="9"/>
        <v>1</v>
      </c>
      <c r="I71" t="str">
        <f>IF(FT!B71&lt;&gt;"",FT!E71,"")</f>
        <v>1 [28.024212]</v>
      </c>
      <c r="J71">
        <f>IF(FT!B71&lt;&gt;"",FT!C71,"")</f>
        <v>28.0242</v>
      </c>
    </row>
    <row r="72" spans="1:10">
      <c r="A72" s="61">
        <f t="shared" si="10"/>
        <v>70</v>
      </c>
      <c r="B72" s="61">
        <f t="shared" si="8"/>
        <v>1.3507858823529413</v>
      </c>
      <c r="C72" s="61">
        <f>FH!A72*1</f>
        <v>70814</v>
      </c>
      <c r="D72" s="61">
        <f>FH!B72*1</f>
        <v>70814</v>
      </c>
      <c r="E72">
        <f t="shared" si="11"/>
        <v>70</v>
      </c>
      <c r="F72" s="61">
        <f>IF(FT!A72&lt;&gt;"",FT!A72*10,"")</f>
        <v>4.9262199999999998</v>
      </c>
      <c r="G72" s="61">
        <f>IF(FT!B72&lt;&gt;"",FT!B72*100,"")</f>
        <v>33.428600000000003</v>
      </c>
      <c r="H72" s="61">
        <f t="shared" si="9"/>
        <v>1</v>
      </c>
      <c r="I72" t="str">
        <f>IF(FT!B72&lt;&gt;"",FT!E72,"")</f>
        <v>1 [28.433063]</v>
      </c>
      <c r="J72">
        <f>IF(FT!B72&lt;&gt;"",FT!C72,"")</f>
        <v>28.4331</v>
      </c>
    </row>
    <row r="73" spans="1:10">
      <c r="A73" s="61">
        <f t="shared" si="10"/>
        <v>71</v>
      </c>
      <c r="B73" s="61">
        <f t="shared" si="8"/>
        <v>1.3700828235294118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4.9333799999999997</v>
      </c>
      <c r="G73" s="61">
        <f>IF(FT!B73&lt;&gt;"",FT!B73*100,"")</f>
        <v>33.342799999999997</v>
      </c>
      <c r="H73" s="61">
        <f t="shared" si="9"/>
        <v>1</v>
      </c>
      <c r="I73" t="str">
        <f>IF(FT!B73&lt;&gt;"",FT!E73,"")</f>
        <v>1 [28.839798]</v>
      </c>
      <c r="J73">
        <f>IF(FT!B73&lt;&gt;"",FT!C73,"")</f>
        <v>28.8398</v>
      </c>
    </row>
    <row r="74" spans="1:10">
      <c r="A74" s="61">
        <f t="shared" si="10"/>
        <v>72</v>
      </c>
      <c r="B74" s="61">
        <f t="shared" si="8"/>
        <v>1.3893797647058823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4.9369399999999999</v>
      </c>
      <c r="G74" s="61">
        <f>IF(FT!B74&lt;&gt;"",FT!B74*100,"")</f>
        <v>33.273899999999998</v>
      </c>
      <c r="H74" s="61">
        <f t="shared" si="9"/>
        <v>1</v>
      </c>
      <c r="I74" t="str">
        <f>IF(FT!B74&lt;&gt;"",FT!E74,"")</f>
        <v>1 [29.246927]</v>
      </c>
      <c r="J74">
        <f>IF(FT!B74&lt;&gt;"",FT!C74,"")</f>
        <v>29.2469</v>
      </c>
    </row>
    <row r="75" spans="1:10">
      <c r="A75" s="61">
        <f t="shared" si="10"/>
        <v>73</v>
      </c>
      <c r="B75" s="61">
        <f t="shared" si="8"/>
        <v>1.4086767058823528</v>
      </c>
      <c r="C75" s="61">
        <f>FH!A75*1</f>
        <v>68943</v>
      </c>
      <c r="D75" s="61">
        <f>FH!B75*1</f>
        <v>68943</v>
      </c>
      <c r="E75">
        <f t="shared" si="11"/>
        <v>73</v>
      </c>
      <c r="F75" s="61">
        <f>IF(FT!A75&lt;&gt;"",FT!A75*10,"")</f>
        <v>4.9418299999999995</v>
      </c>
      <c r="G75" s="61">
        <f>IF(FT!B75&lt;&gt;"",FT!B75*100,"")</f>
        <v>33.200299999999999</v>
      </c>
      <c r="H75" s="61">
        <f t="shared" si="9"/>
        <v>1</v>
      </c>
      <c r="I75" t="str">
        <f>IF(FT!B75&lt;&gt;"",FT!E75,"")</f>
        <v>1 [29.651714]</v>
      </c>
      <c r="J75">
        <f>IF(FT!B75&lt;&gt;"",FT!C75,"")</f>
        <v>29.651700000000002</v>
      </c>
    </row>
    <row r="76" spans="1:10">
      <c r="A76" s="61">
        <f t="shared" si="10"/>
        <v>74</v>
      </c>
      <c r="B76" s="61">
        <f t="shared" si="8"/>
        <v>1.4279736470588238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4.93987</v>
      </c>
      <c r="G76" s="61">
        <f>IF(FT!B76&lt;&gt;"",FT!B76*100,"")</f>
        <v>33.058300000000003</v>
      </c>
      <c r="H76" s="61">
        <f t="shared" si="9"/>
        <v>1</v>
      </c>
      <c r="I76" t="str">
        <f>IF(FT!B76&lt;&gt;"",FT!E76,"")</f>
        <v>2 [30.059091]</v>
      </c>
      <c r="J76">
        <f>IF(FT!B76&lt;&gt;"",FT!C76,"")</f>
        <v>30.059100000000001</v>
      </c>
    </row>
    <row r="77" spans="1:10">
      <c r="A77" s="61">
        <f t="shared" si="10"/>
        <v>75</v>
      </c>
      <c r="B77" s="61">
        <f t="shared" si="8"/>
        <v>1.4472705882352943</v>
      </c>
      <c r="C77" s="61">
        <f>FH!A77*1</f>
        <v>71372</v>
      </c>
      <c r="D77" s="61">
        <f>FH!B77*1</f>
        <v>71372</v>
      </c>
      <c r="E77">
        <f t="shared" si="11"/>
        <v>75</v>
      </c>
      <c r="F77" s="61">
        <f>IF(FT!A77&lt;&gt;"",FT!A77*10,"")</f>
        <v>4.9384499999999996</v>
      </c>
      <c r="G77" s="61">
        <f>IF(FT!B77&lt;&gt;"",FT!B77*100,"")</f>
        <v>32.934699999999999</v>
      </c>
      <c r="H77" s="61">
        <f t="shared" si="9"/>
        <v>1</v>
      </c>
      <c r="I77" t="str">
        <f>IF(FT!B77&lt;&gt;"",FT!E77,"")</f>
        <v>2 [30.636106]</v>
      </c>
      <c r="J77">
        <f>IF(FT!B77&lt;&gt;"",FT!C77,"")</f>
        <v>30.636099999999999</v>
      </c>
    </row>
    <row r="78" spans="1:10">
      <c r="A78" s="61">
        <f t="shared" si="10"/>
        <v>76</v>
      </c>
      <c r="B78" s="61">
        <f t="shared" si="8"/>
        <v>1.4665675294117648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4.9328899999999996</v>
      </c>
      <c r="G78" s="61">
        <f>IF(FT!B78&lt;&gt;"",FT!B78*100,"")</f>
        <v>32.805299999999995</v>
      </c>
      <c r="H78" s="61">
        <f t="shared" si="9"/>
        <v>1</v>
      </c>
      <c r="I78" t="str">
        <f>IF(FT!B78&lt;&gt;"",FT!E78,"")</f>
        <v>2 [31.008977]</v>
      </c>
      <c r="J78">
        <f>IF(FT!B78&lt;&gt;"",FT!C78,"")</f>
        <v>31.009</v>
      </c>
    </row>
    <row r="79" spans="1:10">
      <c r="A79" s="61">
        <f t="shared" si="10"/>
        <v>77</v>
      </c>
      <c r="B79" s="61">
        <f t="shared" si="8"/>
        <v>1.4858644705882353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4.9257600000000004</v>
      </c>
      <c r="G79" s="61">
        <f>IF(FT!B79&lt;&gt;"",FT!B79*100,"")</f>
        <v>32.673299999999998</v>
      </c>
      <c r="H79" s="61">
        <f t="shared" si="9"/>
        <v>1</v>
      </c>
      <c r="I79" t="str">
        <f>IF(FT!B79&lt;&gt;"",FT!E79,"")</f>
        <v>2 [31.384376]</v>
      </c>
      <c r="J79">
        <f>IF(FT!B79&lt;&gt;"",FT!C79,"")</f>
        <v>31.384399999999999</v>
      </c>
    </row>
    <row r="80" spans="1:10">
      <c r="A80" s="61">
        <f t="shared" si="10"/>
        <v>78</v>
      </c>
      <c r="B80" s="61">
        <f t="shared" si="8"/>
        <v>1.5051614117647061</v>
      </c>
      <c r="C80" s="61">
        <f>FH!A80*1</f>
        <v>74410</v>
      </c>
      <c r="D80" s="61">
        <f>FH!B80*1</f>
        <v>74410</v>
      </c>
      <c r="E80">
        <f t="shared" si="11"/>
        <v>78</v>
      </c>
      <c r="F80" s="61">
        <f>IF(FT!A80&lt;&gt;"",FT!A80*10,"")</f>
        <v>4.9176900000000003</v>
      </c>
      <c r="G80" s="61">
        <f>IF(FT!B80&lt;&gt;"",FT!B80*100,"")</f>
        <v>32.5623</v>
      </c>
      <c r="H80" s="61">
        <f t="shared" si="9"/>
        <v>1</v>
      </c>
      <c r="I80" t="str">
        <f>IF(FT!B80&lt;&gt;"",FT!E80,"")</f>
        <v>2 [31.760995]</v>
      </c>
      <c r="J80">
        <f>IF(FT!B80&lt;&gt;"",FT!C80,"")</f>
        <v>31.760999999999999</v>
      </c>
    </row>
    <row r="81" spans="1:10">
      <c r="A81" s="61">
        <f t="shared" si="10"/>
        <v>79</v>
      </c>
      <c r="B81" s="61">
        <f t="shared" si="8"/>
        <v>1.5244583529411766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4.9060699999999997</v>
      </c>
      <c r="G81" s="61">
        <f>IF(FT!B81&lt;&gt;"",FT!B81*100,"")</f>
        <v>32.513199999999998</v>
      </c>
      <c r="H81" s="61">
        <f t="shared" si="9"/>
        <v>1</v>
      </c>
      <c r="I81" t="str">
        <f>IF(FT!B81&lt;&gt;"",FT!E81,"")</f>
        <v>2 [32.137855]</v>
      </c>
      <c r="J81">
        <f>IF(FT!B81&lt;&gt;"",FT!C81,"")</f>
        <v>32.137900000000002</v>
      </c>
    </row>
    <row r="82" spans="1:10">
      <c r="A82" s="61">
        <f t="shared" si="10"/>
        <v>80</v>
      </c>
      <c r="B82" s="61">
        <f t="shared" si="8"/>
        <v>1.5437552941176471</v>
      </c>
      <c r="C82" s="61">
        <f>FH!A82*1</f>
        <v>72745</v>
      </c>
      <c r="D82" s="61">
        <f>FH!B82*1</f>
        <v>72745</v>
      </c>
      <c r="E82">
        <f t="shared" si="11"/>
        <v>80</v>
      </c>
      <c r="F82" s="61">
        <f>IF(FT!A82&lt;&gt;"",FT!A82*10,"")</f>
        <v>4.89513</v>
      </c>
      <c r="G82" s="61">
        <f>IF(FT!B82&lt;&gt;"",FT!B82*100,"")</f>
        <v>32.491999999999997</v>
      </c>
      <c r="H82" s="61">
        <f t="shared" si="9"/>
        <v>1</v>
      </c>
      <c r="I82" t="str">
        <f>IF(FT!B82&lt;&gt;"",FT!E82,"")</f>
        <v>2 [32.541991]</v>
      </c>
      <c r="J82">
        <f>IF(FT!B82&lt;&gt;"",FT!C82,"")</f>
        <v>32.542000000000002</v>
      </c>
    </row>
    <row r="83" spans="1:10">
      <c r="A83" s="61">
        <f t="shared" si="10"/>
        <v>81</v>
      </c>
      <c r="B83" s="61">
        <f t="shared" si="8"/>
        <v>1.5630522352941176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4.8822900000000002</v>
      </c>
      <c r="G83" s="61">
        <f>IF(FT!B83&lt;&gt;"",FT!B83*100,"")</f>
        <v>32.552500000000002</v>
      </c>
      <c r="H83" s="61">
        <f t="shared" si="9"/>
        <v>1</v>
      </c>
      <c r="I83" t="str">
        <f>IF(FT!B83&lt;&gt;"",FT!E83,"")</f>
        <v>2 [32.948017]</v>
      </c>
      <c r="J83">
        <f>IF(FT!B83&lt;&gt;"",FT!C83,"")</f>
        <v>32.948</v>
      </c>
    </row>
    <row r="84" spans="1:10">
      <c r="A84" s="61">
        <f t="shared" si="10"/>
        <v>82</v>
      </c>
      <c r="B84" s="61">
        <f t="shared" si="8"/>
        <v>1.5823491764705884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4.8673500000000001</v>
      </c>
      <c r="G84" s="61">
        <f>IF(FT!B84&lt;&gt;"",FT!B84*100,"")</f>
        <v>32.660699999999999</v>
      </c>
      <c r="H84" s="61">
        <f t="shared" si="9"/>
        <v>1</v>
      </c>
      <c r="I84" t="str">
        <f>IF(FT!B84&lt;&gt;"",FT!E84,"")</f>
        <v>2 [33.356132]</v>
      </c>
      <c r="J84">
        <f>IF(FT!B84&lt;&gt;"",FT!C84,"")</f>
        <v>33.356099999999998</v>
      </c>
    </row>
    <row r="85" spans="1:10">
      <c r="A85" s="61">
        <f t="shared" si="10"/>
        <v>83</v>
      </c>
      <c r="B85" s="61">
        <f t="shared" si="8"/>
        <v>1.6016461176470589</v>
      </c>
      <c r="C85" s="61">
        <f>FH!A85*1</f>
        <v>75095</v>
      </c>
      <c r="D85" s="61">
        <f>FH!B85*1</f>
        <v>75095</v>
      </c>
      <c r="E85">
        <f t="shared" si="11"/>
        <v>83</v>
      </c>
      <c r="F85" s="61">
        <f>IF(FT!A85&lt;&gt;"",FT!A85*10,"")</f>
        <v>4.8530099999999994</v>
      </c>
      <c r="G85" s="61">
        <f>IF(FT!B85&lt;&gt;"",FT!B85*100,"")</f>
        <v>32.7667</v>
      </c>
      <c r="H85" s="61">
        <f t="shared" si="9"/>
        <v>1</v>
      </c>
      <c r="I85" t="str">
        <f>IF(FT!B85&lt;&gt;"",FT!E85,"")</f>
        <v>2 [33.761190]</v>
      </c>
      <c r="J85">
        <f>IF(FT!B85&lt;&gt;"",FT!C85,"")</f>
        <v>33.761200000000002</v>
      </c>
    </row>
    <row r="86" spans="1:10">
      <c r="A86" s="61">
        <f t="shared" si="10"/>
        <v>84</v>
      </c>
      <c r="B86" s="61">
        <f t="shared" si="8"/>
        <v>1.6209430588235294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4.8402099999999999</v>
      </c>
      <c r="G86" s="61">
        <f>IF(FT!B86&lt;&gt;"",FT!B86*100,"")</f>
        <v>32.837699999999998</v>
      </c>
      <c r="H86" s="61">
        <f t="shared" si="9"/>
        <v>1</v>
      </c>
      <c r="I86" t="str">
        <f>IF(FT!B86&lt;&gt;"",FT!E86,"")</f>
        <v>2 [34.169611]</v>
      </c>
      <c r="J86">
        <f>IF(FT!B86&lt;&gt;"",FT!C86,"")</f>
        <v>34.169600000000003</v>
      </c>
    </row>
    <row r="87" spans="1:10">
      <c r="A87" s="61">
        <f t="shared" si="10"/>
        <v>85</v>
      </c>
      <c r="B87" s="61">
        <f t="shared" si="8"/>
        <v>1.6402399999999999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4.83094</v>
      </c>
      <c r="G87" s="61">
        <f>IF(FT!B87&lt;&gt;"",FT!B87*100,"")</f>
        <v>32.8581</v>
      </c>
      <c r="H87" s="61">
        <f t="shared" si="9"/>
        <v>1</v>
      </c>
      <c r="I87" t="str">
        <f>IF(FT!B87&lt;&gt;"",FT!E87,"")</f>
        <v>2 [34.573634]</v>
      </c>
      <c r="J87">
        <f>IF(FT!B87&lt;&gt;"",FT!C87,"")</f>
        <v>34.573599999999999</v>
      </c>
    </row>
    <row r="88" spans="1:10">
      <c r="A88" s="61">
        <f t="shared" si="10"/>
        <v>86</v>
      </c>
      <c r="B88" s="61">
        <f t="shared" si="8"/>
        <v>1.6595369411764709</v>
      </c>
      <c r="C88" s="61">
        <f>FH!A88*1</f>
        <v>79804</v>
      </c>
      <c r="D88" s="61">
        <f>FH!B88*1</f>
        <v>79804</v>
      </c>
      <c r="E88">
        <f t="shared" si="11"/>
        <v>86</v>
      </c>
      <c r="F88" s="61">
        <f>IF(FT!A88&lt;&gt;"",FT!A88*10,"")</f>
        <v>4.8239400000000003</v>
      </c>
      <c r="G88" s="61">
        <f>IF(FT!B88&lt;&gt;"",FT!B88*100,"")</f>
        <v>32.855000000000004</v>
      </c>
      <c r="H88" s="61">
        <f t="shared" si="9"/>
        <v>1</v>
      </c>
      <c r="I88" t="str">
        <f>IF(FT!B88&lt;&gt;"",FT!E88,"")</f>
        <v>2 [34.979439]</v>
      </c>
      <c r="J88">
        <f>IF(FT!B88&lt;&gt;"",FT!C88,"")</f>
        <v>34.979399999999998</v>
      </c>
    </row>
    <row r="89" spans="1:10">
      <c r="A89" s="61">
        <f t="shared" si="10"/>
        <v>87</v>
      </c>
      <c r="B89" s="61">
        <f t="shared" si="8"/>
        <v>1.6788338823529414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4.8184100000000001</v>
      </c>
      <c r="G89" s="61">
        <f>IF(FT!B89&lt;&gt;"",FT!B89*100,"")</f>
        <v>32.825500000000005</v>
      </c>
      <c r="H89" s="61">
        <f t="shared" si="9"/>
        <v>1</v>
      </c>
      <c r="I89" t="str">
        <f>IF(FT!B89&lt;&gt;"",FT!E89,"")</f>
        <v>2 [35.384488]</v>
      </c>
      <c r="J89">
        <f>IF(FT!B89&lt;&gt;"",FT!C89,"")</f>
        <v>35.384500000000003</v>
      </c>
    </row>
    <row r="90" spans="1:10">
      <c r="A90" s="61">
        <f t="shared" si="10"/>
        <v>88</v>
      </c>
      <c r="B90" s="61">
        <f t="shared" si="8"/>
        <v>1.6981308235294119</v>
      </c>
      <c r="C90" s="61">
        <f>FH!A90*1</f>
        <v>85808</v>
      </c>
      <c r="D90" s="61">
        <f>FH!B90*1</f>
        <v>85808</v>
      </c>
      <c r="E90">
        <f t="shared" si="11"/>
        <v>88</v>
      </c>
      <c r="F90" s="61">
        <f>IF(FT!A90&lt;&gt;"",FT!A90*10,"")</f>
        <v>4.8140999999999998</v>
      </c>
      <c r="G90" s="61">
        <f>IF(FT!B90&lt;&gt;"",FT!B90*100,"")</f>
        <v>32.786700000000003</v>
      </c>
      <c r="H90" s="61">
        <f t="shared" si="9"/>
        <v>1</v>
      </c>
      <c r="I90" t="str">
        <f>IF(FT!B90&lt;&gt;"",FT!E90,"")</f>
        <v>2 [35.796318]</v>
      </c>
      <c r="J90">
        <f>IF(FT!B90&lt;&gt;"",FT!C90,"")</f>
        <v>35.796300000000002</v>
      </c>
    </row>
    <row r="91" spans="1:10">
      <c r="A91" s="61">
        <f t="shared" si="10"/>
        <v>89</v>
      </c>
      <c r="B91" s="61">
        <f t="shared" si="8"/>
        <v>1.7174277647058824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4.8148</v>
      </c>
      <c r="G91" s="61">
        <f>IF(FT!B91&lt;&gt;"",FT!B91*100,"")</f>
        <v>32.668999999999997</v>
      </c>
      <c r="H91" s="61">
        <f t="shared" si="9"/>
        <v>1</v>
      </c>
      <c r="I91" t="str">
        <f>IF(FT!B91&lt;&gt;"",FT!E91,"")</f>
        <v>2 [36.200189]</v>
      </c>
      <c r="J91">
        <f>IF(FT!B91&lt;&gt;"",FT!C91,"")</f>
        <v>36.200200000000002</v>
      </c>
    </row>
    <row r="92" spans="1:10">
      <c r="A92" s="61">
        <f t="shared" si="10"/>
        <v>90</v>
      </c>
      <c r="B92" s="61">
        <f t="shared" si="8"/>
        <v>1.7367247058823532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4.8184100000000001</v>
      </c>
      <c r="G92" s="61">
        <f>IF(FT!B92&lt;&gt;"",FT!B92*100,"")</f>
        <v>32.488099999999996</v>
      </c>
      <c r="H92" s="61">
        <f t="shared" si="9"/>
        <v>1</v>
      </c>
      <c r="I92" t="str">
        <f>IF(FT!B92&lt;&gt;"",FT!E92,"")</f>
        <v>2 [36.604057]</v>
      </c>
      <c r="J92">
        <f>IF(FT!B92&lt;&gt;"",FT!C92,"")</f>
        <v>36.604100000000003</v>
      </c>
    </row>
    <row r="93" spans="1:10">
      <c r="A93" s="61">
        <f t="shared" si="10"/>
        <v>91</v>
      </c>
      <c r="B93" s="61">
        <f t="shared" si="8"/>
        <v>1.7560216470588237</v>
      </c>
      <c r="C93" s="61">
        <f>FH!A93*1</f>
        <v>95120</v>
      </c>
      <c r="D93" s="61">
        <f>FH!B93*1</f>
        <v>95120</v>
      </c>
      <c r="E93">
        <f t="shared" si="11"/>
        <v>91</v>
      </c>
      <c r="F93" s="61">
        <f>IF(FT!A93&lt;&gt;"",FT!A93*10,"")</f>
        <v>4.8237300000000003</v>
      </c>
      <c r="G93" s="61">
        <f>IF(FT!B93&lt;&gt;"",FT!B93*100,"")</f>
        <v>32.355499999999999</v>
      </c>
      <c r="H93" s="61">
        <f t="shared" si="9"/>
        <v>1</v>
      </c>
      <c r="I93" t="str">
        <f>IF(FT!B93&lt;&gt;"",FT!E93,"")</f>
        <v>2 [37.010054]</v>
      </c>
      <c r="J93">
        <f>IF(FT!B93&lt;&gt;"",FT!C93,"")</f>
        <v>37.010100000000001</v>
      </c>
    </row>
    <row r="94" spans="1:10">
      <c r="A94" s="61">
        <f t="shared" si="10"/>
        <v>92</v>
      </c>
      <c r="B94" s="61">
        <f t="shared" si="8"/>
        <v>1.7753185882352942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4.8310599999999999</v>
      </c>
      <c r="G94" s="61">
        <f>IF(FT!B94&lt;&gt;"",FT!B94*100,"")</f>
        <v>32.226799999999997</v>
      </c>
      <c r="H94" s="61">
        <f t="shared" si="9"/>
        <v>1</v>
      </c>
      <c r="I94" t="str">
        <f>IF(FT!B94&lt;&gt;"",FT!E94,"")</f>
        <v>2 [37.414691]</v>
      </c>
      <c r="J94">
        <f>IF(FT!B94&lt;&gt;"",FT!C94,"")</f>
        <v>37.414700000000003</v>
      </c>
    </row>
    <row r="95" spans="1:10">
      <c r="A95" s="61">
        <f t="shared" si="10"/>
        <v>93</v>
      </c>
      <c r="B95" s="61">
        <f t="shared" si="8"/>
        <v>1.7946155294117647</v>
      </c>
      <c r="C95" s="61">
        <f>FH!A95*1</f>
        <v>101028</v>
      </c>
      <c r="D95" s="61">
        <f>FH!B95*1</f>
        <v>101028</v>
      </c>
      <c r="E95">
        <f t="shared" si="11"/>
        <v>93</v>
      </c>
      <c r="F95" s="61">
        <f>IF(FT!A95&lt;&gt;"",FT!A95*10,"")</f>
        <v>4.8411200000000001</v>
      </c>
      <c r="G95" s="61">
        <f>IF(FT!B95&lt;&gt;"",FT!B95*100,"")</f>
        <v>32.059599999999996</v>
      </c>
      <c r="H95" s="61">
        <f t="shared" si="9"/>
        <v>1</v>
      </c>
      <c r="I95" t="str">
        <f>IF(FT!B95&lt;&gt;"",FT!E95,"")</f>
        <v>2 [37.825872]</v>
      </c>
      <c r="J95">
        <f>IF(FT!B95&lt;&gt;"",FT!C95,"")</f>
        <v>37.825899999999997</v>
      </c>
    </row>
    <row r="96" spans="1:10">
      <c r="A96" s="61">
        <f t="shared" si="10"/>
        <v>94</v>
      </c>
      <c r="B96" s="61">
        <f t="shared" si="8"/>
        <v>1.8139124705882355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4.8499499999999998</v>
      </c>
      <c r="G96" s="61">
        <f>IF(FT!B96&lt;&gt;"",FT!B96*100,"")</f>
        <v>31.903500000000001</v>
      </c>
      <c r="H96" s="61">
        <f t="shared" si="9"/>
        <v>1</v>
      </c>
      <c r="I96" t="str">
        <f>IF(FT!B96&lt;&gt;"",FT!E96,"")</f>
        <v>2 [38.228781]</v>
      </c>
      <c r="J96">
        <f>IF(FT!B96&lt;&gt;"",FT!C96,"")</f>
        <v>38.2288</v>
      </c>
    </row>
    <row r="97" spans="1:10">
      <c r="A97" s="61">
        <f t="shared" si="10"/>
        <v>95</v>
      </c>
      <c r="B97" s="61">
        <f t="shared" si="8"/>
        <v>1.833209411764706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4.8561100000000001</v>
      </c>
      <c r="G97" s="61">
        <f>IF(FT!B97&lt;&gt;"",FT!B97*100,"")</f>
        <v>31.9056</v>
      </c>
      <c r="H97" s="61">
        <f t="shared" si="9"/>
        <v>1</v>
      </c>
      <c r="I97" t="str">
        <f>IF(FT!B97&lt;&gt;"",FT!E97,"")</f>
        <v>2 [38.637717]</v>
      </c>
      <c r="J97">
        <f>IF(FT!B97&lt;&gt;"",FT!C97,"")</f>
        <v>38.637700000000002</v>
      </c>
    </row>
    <row r="98" spans="1:10">
      <c r="A98" s="61">
        <f t="shared" si="10"/>
        <v>96</v>
      </c>
      <c r="B98" s="61">
        <f t="shared" si="8"/>
        <v>1.8525063529411765</v>
      </c>
      <c r="C98" s="61">
        <f>FH!A98*1</f>
        <v>101182</v>
      </c>
      <c r="D98" s="61">
        <f>FH!B98*1</f>
        <v>101182</v>
      </c>
      <c r="E98">
        <f t="shared" si="11"/>
        <v>96</v>
      </c>
      <c r="F98" s="61">
        <f>IF(FT!A98&lt;&gt;"",FT!A98*10,"")</f>
        <v>4.86172</v>
      </c>
      <c r="G98" s="61">
        <f>IF(FT!B98&lt;&gt;"",FT!B98*100,"")</f>
        <v>31.970199999999998</v>
      </c>
      <c r="H98" s="61">
        <f t="shared" si="9"/>
        <v>1</v>
      </c>
      <c r="I98" t="str">
        <f>IF(FT!B98&lt;&gt;"",FT!E98,"")</f>
        <v>2 [39.042599]</v>
      </c>
      <c r="J98">
        <f>IF(FT!B98&lt;&gt;"",FT!C98,"")</f>
        <v>39.0426</v>
      </c>
    </row>
    <row r="99" spans="1:10">
      <c r="A99" s="61">
        <f t="shared" si="10"/>
        <v>97</v>
      </c>
      <c r="B99" s="61">
        <f t="shared" si="8"/>
        <v>1.871803294117647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4.8693100000000005</v>
      </c>
      <c r="G99" s="61">
        <f>IF(FT!B99&lt;&gt;"",FT!B99*100,"")</f>
        <v>32.030799999999999</v>
      </c>
      <c r="H99" s="61">
        <f t="shared" si="9"/>
        <v>1</v>
      </c>
      <c r="I99" t="str">
        <f>IF(FT!B99&lt;&gt;"",FT!E99,"")</f>
        <v>2 [39.446660]</v>
      </c>
      <c r="J99">
        <f>IF(FT!B99&lt;&gt;"",FT!C99,"")</f>
        <v>39.4467</v>
      </c>
    </row>
    <row r="100" spans="1:10">
      <c r="A100" s="61">
        <f t="shared" si="10"/>
        <v>98</v>
      </c>
      <c r="B100" s="61">
        <f t="shared" si="8"/>
        <v>1.8911002352941177</v>
      </c>
      <c r="C100" s="61">
        <f>FH!A100*1</f>
        <v>108746</v>
      </c>
      <c r="D100" s="61">
        <f>FH!B100*1</f>
        <v>108746</v>
      </c>
      <c r="E100">
        <f t="shared" si="11"/>
        <v>98</v>
      </c>
      <c r="F100" s="61">
        <f>IF(FT!A100&lt;&gt;"",FT!A100*10,"")</f>
        <v>4.8738700000000001</v>
      </c>
      <c r="G100" s="61">
        <f>IF(FT!B100&lt;&gt;"",FT!B100*100,"")</f>
        <v>32.158900000000003</v>
      </c>
      <c r="H100" s="61">
        <f t="shared" si="9"/>
        <v>1</v>
      </c>
      <c r="I100" t="str">
        <f>IF(FT!B100&lt;&gt;"",FT!E100,"")</f>
        <v>2 [39.853292]</v>
      </c>
      <c r="J100">
        <f>IF(FT!B100&lt;&gt;"",FT!C100,"")</f>
        <v>39.853299999999997</v>
      </c>
    </row>
    <row r="101" spans="1:10">
      <c r="A101" s="61">
        <f t="shared" si="10"/>
        <v>99</v>
      </c>
      <c r="B101" s="61">
        <f t="shared" si="8"/>
        <v>1.9103971764705883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4.8809399999999998</v>
      </c>
      <c r="G101" s="61">
        <f>IF(FT!B101&lt;&gt;"",FT!B101*100,"")</f>
        <v>32.2316</v>
      </c>
      <c r="H101" s="61">
        <f t="shared" si="9"/>
        <v>1</v>
      </c>
      <c r="I101" t="str">
        <f>IF(FT!B101&lt;&gt;"",FT!E101,"")</f>
        <v>2 [40.264353]</v>
      </c>
      <c r="J101">
        <f>IF(FT!B101&lt;&gt;"",FT!C101,"")</f>
        <v>40.264400000000002</v>
      </c>
    </row>
    <row r="102" spans="1:10">
      <c r="A102" s="61">
        <f t="shared" si="10"/>
        <v>100</v>
      </c>
      <c r="B102" s="61">
        <f t="shared" si="8"/>
        <v>1.9296941176470588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4.8861799999999995</v>
      </c>
      <c r="G102" s="61">
        <f>IF(FT!B102&lt;&gt;"",FT!B102*100,"")</f>
        <v>32.329700000000003</v>
      </c>
      <c r="H102" s="61">
        <f t="shared" si="9"/>
        <v>1</v>
      </c>
      <c r="I102" t="str">
        <f>IF(FT!B102&lt;&gt;"",FT!E102,"")</f>
        <v>2 [40.668198]</v>
      </c>
      <c r="J102">
        <f>IF(FT!B102&lt;&gt;"",FT!C102,"")</f>
        <v>40.668199999999999</v>
      </c>
    </row>
    <row r="103" spans="1:10">
      <c r="A103" s="61">
        <f t="shared" si="10"/>
        <v>101</v>
      </c>
      <c r="B103" s="61">
        <f t="shared" si="8"/>
        <v>1.9489910588235293</v>
      </c>
      <c r="C103" s="61">
        <f>FH!A103*1</f>
        <v>107714</v>
      </c>
      <c r="D103" s="61">
        <f>FH!B103*1</f>
        <v>107714</v>
      </c>
      <c r="E103">
        <f t="shared" si="11"/>
        <v>101</v>
      </c>
      <c r="F103" s="61">
        <f>IF(FT!A103&lt;&gt;"",FT!A103*10,"")</f>
        <v>4.8900800000000002</v>
      </c>
      <c r="G103" s="61">
        <f>IF(FT!B103&lt;&gt;"",FT!B103*100,"")</f>
        <v>32.429099999999998</v>
      </c>
      <c r="H103" s="61">
        <f t="shared" si="9"/>
        <v>1</v>
      </c>
      <c r="I103" t="str">
        <f>IF(FT!B103&lt;&gt;"",FT!E103,"")</f>
        <v>2 [41.072324]</v>
      </c>
      <c r="J103">
        <f>IF(FT!B103&lt;&gt;"",FT!C103,"")</f>
        <v>41.072299999999998</v>
      </c>
    </row>
    <row r="104" spans="1:10">
      <c r="A104" s="61">
        <f t="shared" si="10"/>
        <v>102</v>
      </c>
      <c r="B104" s="61">
        <f t="shared" si="8"/>
        <v>1.9682880000000003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4.8947400000000005</v>
      </c>
      <c r="G104" s="61">
        <f>IF(FT!B104&lt;&gt;"",FT!B104*100,"")</f>
        <v>32.517000000000003</v>
      </c>
      <c r="H104" s="61">
        <f t="shared" si="9"/>
        <v>1</v>
      </c>
      <c r="I104" t="str">
        <f>IF(FT!B104&lt;&gt;"",FT!E104,"")</f>
        <v>2 [41.481218]</v>
      </c>
      <c r="J104">
        <f>IF(FT!B104&lt;&gt;"",FT!C104,"")</f>
        <v>41.481200000000001</v>
      </c>
    </row>
    <row r="105" spans="1:10">
      <c r="A105" s="61">
        <f t="shared" si="10"/>
        <v>103</v>
      </c>
      <c r="B105" s="61">
        <f t="shared" si="8"/>
        <v>1.9875849411764708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4.90198</v>
      </c>
      <c r="G105" s="61">
        <f>IF(FT!B105&lt;&gt;"",FT!B105*100,"")</f>
        <v>32.554000000000002</v>
      </c>
      <c r="H105" s="61">
        <f t="shared" si="9"/>
        <v>1</v>
      </c>
      <c r="I105" t="str">
        <f>IF(FT!B105&lt;&gt;"",FT!E105,"")</f>
        <v>2 [41.889005]</v>
      </c>
      <c r="J105">
        <f>IF(FT!B105&lt;&gt;"",FT!C105,"")</f>
        <v>41.889000000000003</v>
      </c>
    </row>
    <row r="106" spans="1:10">
      <c r="A106" s="61">
        <f t="shared" si="10"/>
        <v>104</v>
      </c>
      <c r="B106" s="61">
        <f t="shared" si="8"/>
        <v>2.0068818823529413</v>
      </c>
      <c r="C106" s="61">
        <f>FH!A106*1</f>
        <v>105695</v>
      </c>
      <c r="D106" s="61">
        <f>FH!B106*1</f>
        <v>105695</v>
      </c>
      <c r="E106">
        <f t="shared" si="11"/>
        <v>104</v>
      </c>
      <c r="F106" s="61">
        <f>IF(FT!A106&lt;&gt;"",FT!A106*10,"")</f>
        <v>4.9117800000000003</v>
      </c>
      <c r="G106" s="61">
        <f>IF(FT!B106&lt;&gt;"",FT!B106*100,"")</f>
        <v>32.573599999999999</v>
      </c>
      <c r="H106" s="61">
        <f t="shared" si="9"/>
        <v>1</v>
      </c>
      <c r="I106" t="str">
        <f>IF(FT!B106&lt;&gt;"",FT!E106,"")</f>
        <v>2 [42.294882]</v>
      </c>
      <c r="J106">
        <f>IF(FT!B106&lt;&gt;"",FT!C106,"")</f>
        <v>42.294899999999998</v>
      </c>
    </row>
    <row r="107" spans="1:10">
      <c r="A107" s="61">
        <f t="shared" si="10"/>
        <v>105</v>
      </c>
      <c r="B107" s="61">
        <f t="shared" si="8"/>
        <v>2.0261788235294116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4.92197</v>
      </c>
      <c r="G107" s="61">
        <f>IF(FT!B107&lt;&gt;"",FT!B107*100,"")</f>
        <v>32.569099999999999</v>
      </c>
      <c r="H107" s="61">
        <f t="shared" si="9"/>
        <v>1</v>
      </c>
      <c r="I107" t="str">
        <f>IF(FT!B107&lt;&gt;"",FT!E107,"")</f>
        <v>2 [42.699738]</v>
      </c>
      <c r="J107">
        <f>IF(FT!B107&lt;&gt;"",FT!C107,"")</f>
        <v>42.6997</v>
      </c>
    </row>
    <row r="108" spans="1:10">
      <c r="A108" s="61">
        <f t="shared" si="10"/>
        <v>106</v>
      </c>
      <c r="B108" s="61">
        <f t="shared" si="8"/>
        <v>2.0454757647058823</v>
      </c>
      <c r="C108" s="61">
        <f>FH!A108*1</f>
        <v>118925</v>
      </c>
      <c r="D108" s="61">
        <f>FH!B108*1</f>
        <v>118925</v>
      </c>
      <c r="E108">
        <f t="shared" si="11"/>
        <v>106</v>
      </c>
      <c r="F108" s="61">
        <f>IF(FT!A108&lt;&gt;"",FT!A108*10,"")</f>
        <v>4.9323899999999998</v>
      </c>
      <c r="G108" s="61">
        <f>IF(FT!B108&lt;&gt;"",FT!B108*100,"")</f>
        <v>32.522099999999995</v>
      </c>
      <c r="H108" s="61">
        <f t="shared" si="9"/>
        <v>1</v>
      </c>
      <c r="I108" t="str">
        <f>IF(FT!B108&lt;&gt;"",FT!E108,"")</f>
        <v>2 [43.102717]</v>
      </c>
      <c r="J108">
        <f>IF(FT!B108&lt;&gt;"",FT!C108,"")</f>
        <v>43.102699999999999</v>
      </c>
    </row>
    <row r="109" spans="1:10">
      <c r="A109" s="61">
        <f t="shared" si="10"/>
        <v>107</v>
      </c>
      <c r="B109" s="61">
        <f t="shared" si="8"/>
        <v>2.0647727058823531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4.94428</v>
      </c>
      <c r="G109" s="61">
        <f>IF(FT!B109&lt;&gt;"",FT!B109*100,"")</f>
        <v>32.447600000000001</v>
      </c>
      <c r="H109" s="61">
        <f t="shared" si="9"/>
        <v>1</v>
      </c>
      <c r="I109" t="str">
        <f>IF(FT!B109&lt;&gt;"",FT!E109,"")</f>
        <v>2 [43.512734]</v>
      </c>
      <c r="J109">
        <f>IF(FT!B109&lt;&gt;"",FT!C109,"")</f>
        <v>43.512700000000002</v>
      </c>
    </row>
    <row r="110" spans="1:10">
      <c r="A110" s="61">
        <f t="shared" si="10"/>
        <v>108</v>
      </c>
      <c r="B110" s="61">
        <f t="shared" si="8"/>
        <v>2.0840696470588238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4.9583700000000004</v>
      </c>
      <c r="G110" s="61">
        <f>IF(FT!B110&lt;&gt;"",FT!B110*100,"")</f>
        <v>32.344200000000001</v>
      </c>
      <c r="H110" s="61">
        <f t="shared" si="9"/>
        <v>1</v>
      </c>
      <c r="I110" t="str">
        <f>IF(FT!B110&lt;&gt;"",FT!E110,"")</f>
        <v>2 [43.916638]</v>
      </c>
      <c r="J110">
        <f>IF(FT!B110&lt;&gt;"",FT!C110,"")</f>
        <v>43.916600000000003</v>
      </c>
    </row>
    <row r="111" spans="1:10">
      <c r="A111" s="61">
        <f t="shared" si="10"/>
        <v>109</v>
      </c>
      <c r="B111" s="61">
        <f t="shared" si="8"/>
        <v>2.1033665882352941</v>
      </c>
      <c r="C111" s="61">
        <f>FH!A111*1</f>
        <v>127616</v>
      </c>
      <c r="D111" s="61">
        <f>FH!B111*1</f>
        <v>127616</v>
      </c>
      <c r="E111">
        <f t="shared" si="11"/>
        <v>109</v>
      </c>
      <c r="F111" s="61">
        <f>IF(FT!A111&lt;&gt;"",FT!A111*10,"")</f>
        <v>4.9731899999999998</v>
      </c>
      <c r="G111" s="61">
        <f>IF(FT!B111&lt;&gt;"",FT!B111*100,"")</f>
        <v>32.243400000000001</v>
      </c>
      <c r="H111" s="61">
        <f t="shared" si="9"/>
        <v>1</v>
      </c>
      <c r="I111" t="str">
        <f>IF(FT!B111&lt;&gt;"",FT!E111,"")</f>
        <v>2 [44.322324]</v>
      </c>
      <c r="J111">
        <f>IF(FT!B111&lt;&gt;"",FT!C111,"")</f>
        <v>44.322299999999998</v>
      </c>
    </row>
    <row r="112" spans="1:10">
      <c r="A112" s="61">
        <f t="shared" si="10"/>
        <v>110</v>
      </c>
      <c r="B112" s="61">
        <f t="shared" si="8"/>
        <v>2.1226635294117648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4.9819599999999999</v>
      </c>
      <c r="G112" s="61">
        <f>IF(FT!B112&lt;&gt;"",FT!B112*100,"")</f>
        <v>32.163699999999999</v>
      </c>
      <c r="H112" s="61">
        <f t="shared" si="9"/>
        <v>1</v>
      </c>
      <c r="I112" t="str">
        <f>IF(FT!B112&lt;&gt;"",FT!E112,"")</f>
        <v>2 [44.728458]</v>
      </c>
      <c r="J112">
        <f>IF(FT!B112&lt;&gt;"",FT!C112,"")</f>
        <v>44.728499999999997</v>
      </c>
    </row>
    <row r="113" spans="1:10">
      <c r="A113" s="61">
        <f t="shared" si="10"/>
        <v>111</v>
      </c>
      <c r="B113" s="61">
        <f t="shared" si="8"/>
        <v>2.1419604705882356</v>
      </c>
      <c r="C113" s="61">
        <f>FH!A113*1</f>
        <v>138103</v>
      </c>
      <c r="D113" s="61">
        <f>FH!B113*1</f>
        <v>138103</v>
      </c>
      <c r="E113">
        <f t="shared" si="11"/>
        <v>111</v>
      </c>
      <c r="F113" s="61">
        <f>IF(FT!A113&lt;&gt;"",FT!A113*10,"")</f>
        <v>4.9885200000000003</v>
      </c>
      <c r="G113" s="61">
        <f>IF(FT!B113&lt;&gt;"",FT!B113*100,"")</f>
        <v>32.127899999999997</v>
      </c>
      <c r="H113" s="61">
        <f t="shared" si="9"/>
        <v>1</v>
      </c>
      <c r="I113" t="str">
        <f>IF(FT!B113&lt;&gt;"",FT!E113,"")</f>
        <v>2 [45.138341]</v>
      </c>
      <c r="J113">
        <f>IF(FT!B113&lt;&gt;"",FT!C113,"")</f>
        <v>45.138300000000001</v>
      </c>
    </row>
    <row r="114" spans="1:10">
      <c r="A114" s="61">
        <f t="shared" si="10"/>
        <v>112</v>
      </c>
      <c r="B114" s="61">
        <f t="shared" si="8"/>
        <v>2.1612574117647059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4.9943</v>
      </c>
      <c r="G114" s="61">
        <f>IF(FT!B114&lt;&gt;"",FT!B114*100,"")</f>
        <v>32.162300000000002</v>
      </c>
      <c r="H114" s="61">
        <f t="shared" si="9"/>
        <v>1</v>
      </c>
      <c r="I114" t="str">
        <f>IF(FT!B114&lt;&gt;"",FT!E114,"")</f>
        <v>2 [45.539259]</v>
      </c>
      <c r="J114">
        <f>IF(FT!B114&lt;&gt;"",FT!C114,"")</f>
        <v>45.539299999999997</v>
      </c>
    </row>
    <row r="115" spans="1:10">
      <c r="A115" s="61">
        <f t="shared" si="10"/>
        <v>113</v>
      </c>
      <c r="B115" s="61">
        <f t="shared" si="8"/>
        <v>2.1805543529411766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5.0002500000000003</v>
      </c>
      <c r="G115" s="61">
        <f>IF(FT!B115&lt;&gt;"",FT!B115*100,"")</f>
        <v>32.222000000000001</v>
      </c>
      <c r="H115" s="61">
        <f t="shared" si="9"/>
        <v>1</v>
      </c>
      <c r="I115" t="str">
        <f>IF(FT!B115&lt;&gt;"",FT!E115,"")</f>
        <v>2 [45.950112]</v>
      </c>
      <c r="J115">
        <f>IF(FT!B115&lt;&gt;"",FT!C115,"")</f>
        <v>45.950099999999999</v>
      </c>
    </row>
    <row r="116" spans="1:10">
      <c r="A116" s="61">
        <f t="shared" si="10"/>
        <v>114</v>
      </c>
      <c r="B116" s="61">
        <f t="shared" si="8"/>
        <v>2.1998512941176473</v>
      </c>
      <c r="C116" s="61">
        <f>FH!A116*1</f>
        <v>147204</v>
      </c>
      <c r="D116" s="61">
        <f>FH!B116*1</f>
        <v>147204</v>
      </c>
      <c r="E116">
        <f t="shared" si="11"/>
        <v>114</v>
      </c>
      <c r="F116" s="61">
        <f>IF(FT!A116&lt;&gt;"",FT!A116*10,"")</f>
        <v>5.0068800000000007</v>
      </c>
      <c r="G116" s="61">
        <f>IF(FT!B116&lt;&gt;"",FT!B116*100,"")</f>
        <v>32.269599999999997</v>
      </c>
      <c r="H116" s="61">
        <f t="shared" si="9"/>
        <v>1</v>
      </c>
      <c r="I116" t="str">
        <f>IF(FT!B116&lt;&gt;"",FT!E116,"")</f>
        <v>2 [46.353027]</v>
      </c>
      <c r="J116">
        <f>IF(FT!B116&lt;&gt;"",FT!C116,"")</f>
        <v>46.353000000000002</v>
      </c>
    </row>
    <row r="117" spans="1:10">
      <c r="A117" s="61">
        <f t="shared" si="10"/>
        <v>115</v>
      </c>
      <c r="B117" s="61">
        <f t="shared" si="8"/>
        <v>2.2191482352941176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5.01126</v>
      </c>
      <c r="G117" s="61">
        <f>IF(FT!B117&lt;&gt;"",FT!B117*100,"")</f>
        <v>32.331199999999995</v>
      </c>
      <c r="H117" s="61">
        <f t="shared" si="9"/>
        <v>1</v>
      </c>
      <c r="I117" t="str">
        <f>IF(FT!B117&lt;&gt;"",FT!E117,"")</f>
        <v>2 [46.759068]</v>
      </c>
      <c r="J117">
        <f>IF(FT!B117&lt;&gt;"",FT!C117,"")</f>
        <v>46.759099999999997</v>
      </c>
    </row>
    <row r="118" spans="1:10">
      <c r="A118" s="61">
        <f t="shared" si="10"/>
        <v>116</v>
      </c>
      <c r="B118" s="61">
        <f t="shared" si="8"/>
        <v>2.2384451764705884</v>
      </c>
      <c r="C118" s="61">
        <f>FH!A118*1</f>
        <v>155563</v>
      </c>
      <c r="D118" s="61">
        <f>FH!B118*1</f>
        <v>155563</v>
      </c>
      <c r="E118">
        <f t="shared" si="11"/>
        <v>116</v>
      </c>
      <c r="F118" s="61">
        <f>IF(FT!A118&lt;&gt;"",FT!A118*10,"")</f>
        <v>5.0162800000000001</v>
      </c>
      <c r="G118" s="61">
        <f>IF(FT!B118&lt;&gt;"",FT!B118*100,"")</f>
        <v>32.3444</v>
      </c>
      <c r="H118" s="61">
        <f t="shared" si="9"/>
        <v>1</v>
      </c>
      <c r="I118" t="str">
        <f>IF(FT!B118&lt;&gt;"",FT!E118,"")</f>
        <v>2 [47.170268]</v>
      </c>
      <c r="J118">
        <f>IF(FT!B118&lt;&gt;"",FT!C118,"")</f>
        <v>47.170299999999997</v>
      </c>
    </row>
    <row r="119" spans="1:10">
      <c r="A119" s="61">
        <f t="shared" si="10"/>
        <v>117</v>
      </c>
      <c r="B119" s="61">
        <f t="shared" si="8"/>
        <v>2.2577421176470587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5.01912</v>
      </c>
      <c r="G119" s="61">
        <f>IF(FT!B119&lt;&gt;"",FT!B119*100,"")</f>
        <v>32.348300000000002</v>
      </c>
      <c r="H119" s="61">
        <f t="shared" si="9"/>
        <v>1</v>
      </c>
      <c r="I119" t="str">
        <f>IF(FT!B119&lt;&gt;"",FT!E119,"")</f>
        <v>2 [47.575873]</v>
      </c>
      <c r="J119">
        <f>IF(FT!B119&lt;&gt;"",FT!C119,"")</f>
        <v>47.575899999999997</v>
      </c>
    </row>
    <row r="120" spans="1:10">
      <c r="A120" s="61">
        <f t="shared" si="10"/>
        <v>118</v>
      </c>
      <c r="B120" s="61">
        <f t="shared" si="8"/>
        <v>2.2770390588235294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5.0208600000000008</v>
      </c>
      <c r="G120" s="61">
        <f>IF(FT!B120&lt;&gt;"",FT!B120*100,"")</f>
        <v>32.391100000000002</v>
      </c>
      <c r="H120" s="61">
        <f t="shared" si="9"/>
        <v>1</v>
      </c>
      <c r="I120" t="str">
        <f>IF(FT!B120&lt;&gt;"",FT!E120,"")</f>
        <v>2 [47.981636]</v>
      </c>
      <c r="J120">
        <f>IF(FT!B120&lt;&gt;"",FT!C120,"")</f>
        <v>47.9816</v>
      </c>
    </row>
    <row r="121" spans="1:10">
      <c r="A121" s="61">
        <f t="shared" si="10"/>
        <v>119</v>
      </c>
      <c r="B121" s="61">
        <f t="shared" si="8"/>
        <v>2.2963360000000002</v>
      </c>
      <c r="C121" s="61">
        <f>FH!A121*1</f>
        <v>167052</v>
      </c>
      <c r="D121" s="61">
        <f>FH!B121*1</f>
        <v>167052</v>
      </c>
      <c r="E121">
        <f t="shared" si="11"/>
        <v>119</v>
      </c>
      <c r="F121" s="61">
        <f>IF(FT!A121&lt;&gt;"",FT!A121*10,"")</f>
        <v>5.0229800000000004</v>
      </c>
      <c r="G121" s="61">
        <f>IF(FT!B121&lt;&gt;"",FT!B121*100,"")</f>
        <v>32.401200000000003</v>
      </c>
      <c r="H121" s="61">
        <f t="shared" si="9"/>
        <v>1</v>
      </c>
      <c r="I121" t="str">
        <f>IF(FT!B121&lt;&gt;"",FT!E121,"")</f>
        <v>2 [48.384557]</v>
      </c>
      <c r="J121">
        <f>IF(FT!B121&lt;&gt;"",FT!C121,"")</f>
        <v>48.384599999999999</v>
      </c>
    </row>
    <row r="122" spans="1:10">
      <c r="A122" s="61">
        <f t="shared" si="10"/>
        <v>120</v>
      </c>
      <c r="B122" s="61">
        <f t="shared" si="8"/>
        <v>2.3156329411764704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5.0258599999999998</v>
      </c>
      <c r="G122" s="61">
        <f>IF(FT!B122&lt;&gt;"",FT!B122*100,"")</f>
        <v>32.2973</v>
      </c>
      <c r="H122" s="61">
        <f t="shared" si="9"/>
        <v>1</v>
      </c>
      <c r="I122" t="str">
        <f>IF(FT!B122&lt;&gt;"",FT!E122,"")</f>
        <v>2 [48.793618]</v>
      </c>
      <c r="J122">
        <f>IF(FT!B122&lt;&gt;"",FT!C122,"")</f>
        <v>48.793599999999998</v>
      </c>
    </row>
    <row r="123" spans="1:10">
      <c r="A123" s="61">
        <f t="shared" si="10"/>
        <v>121</v>
      </c>
      <c r="B123" s="61">
        <f t="shared" si="8"/>
        <v>2.3349298823529412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5.0278100000000006</v>
      </c>
      <c r="G123" s="61">
        <f>IF(FT!B123&lt;&gt;"",FT!B123*100,"")</f>
        <v>32.1892</v>
      </c>
      <c r="H123" s="61">
        <f t="shared" si="9"/>
        <v>1</v>
      </c>
      <c r="I123" t="str">
        <f>IF(FT!B123&lt;&gt;"",FT!E123,"")</f>
        <v>2 [49.198437]</v>
      </c>
      <c r="J123">
        <f>IF(FT!B123&lt;&gt;"",FT!C123,"")</f>
        <v>49.198399999999999</v>
      </c>
    </row>
    <row r="124" spans="1:10">
      <c r="A124" s="61">
        <f t="shared" si="10"/>
        <v>122</v>
      </c>
      <c r="B124" s="61">
        <f t="shared" si="8"/>
        <v>2.3542268235294119</v>
      </c>
      <c r="C124" s="61">
        <f>FH!A124*1</f>
        <v>176015</v>
      </c>
      <c r="D124" s="61">
        <f>FH!B124*1</f>
        <v>176015</v>
      </c>
      <c r="E124">
        <f t="shared" si="11"/>
        <v>122</v>
      </c>
      <c r="F124" s="61">
        <f>IF(FT!A124&lt;&gt;"",FT!A124*10,"")</f>
        <v>5.0258599999999998</v>
      </c>
      <c r="G124" s="61">
        <f>IF(FT!B124&lt;&gt;"",FT!B124*100,"")</f>
        <v>32.1143</v>
      </c>
      <c r="H124" s="61">
        <f t="shared" si="9"/>
        <v>1</v>
      </c>
      <c r="I124" t="str">
        <f>IF(FT!B124&lt;&gt;"",FT!E124,"")</f>
        <v>2 [49.606381]</v>
      </c>
      <c r="J124">
        <f>IF(FT!B124&lt;&gt;"",FT!C124,"")</f>
        <v>49.606400000000001</v>
      </c>
    </row>
    <row r="125" spans="1:10">
      <c r="A125" s="61">
        <f t="shared" si="10"/>
        <v>123</v>
      </c>
      <c r="B125" s="61">
        <f t="shared" si="8"/>
        <v>2.3735237647058827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5.0234999999999994</v>
      </c>
      <c r="G125" s="61">
        <f>IF(FT!B125&lt;&gt;"",FT!B125*100,"")</f>
        <v>32.027699999999996</v>
      </c>
      <c r="H125" s="61">
        <f t="shared" si="9"/>
        <v>1</v>
      </c>
      <c r="I125" t="str">
        <f>IF(FT!B125&lt;&gt;"",FT!E125,"")</f>
        <v>2 [50.012148]</v>
      </c>
      <c r="J125">
        <f>IF(FT!B125&lt;&gt;"",FT!C125,"")</f>
        <v>50.012099999999997</v>
      </c>
    </row>
    <row r="126" spans="1:10">
      <c r="A126" s="61">
        <f t="shared" si="10"/>
        <v>124</v>
      </c>
      <c r="B126" s="61">
        <f t="shared" si="8"/>
        <v>2.392820705882353</v>
      </c>
      <c r="C126" s="61">
        <f>FH!A126*1</f>
        <v>180905</v>
      </c>
      <c r="D126" s="61">
        <f>FH!B126*1</f>
        <v>180905</v>
      </c>
      <c r="E126">
        <f t="shared" si="11"/>
        <v>124</v>
      </c>
      <c r="F126" s="61">
        <f>IF(FT!A126&lt;&gt;"",FT!A126*10,"")</f>
        <v>5.0251299999999999</v>
      </c>
      <c r="G126" s="61">
        <f>IF(FT!B126&lt;&gt;"",FT!B126*100,"")</f>
        <v>31.937700000000003</v>
      </c>
      <c r="H126" s="61">
        <f t="shared" si="9"/>
        <v>1</v>
      </c>
      <c r="I126" t="str">
        <f>IF(FT!B126&lt;&gt;"",FT!E126,"")</f>
        <v>2 [50.416195]</v>
      </c>
      <c r="J126">
        <f>IF(FT!B126&lt;&gt;"",FT!C126,"")</f>
        <v>50.416200000000003</v>
      </c>
    </row>
    <row r="127" spans="1:10">
      <c r="A127" s="61">
        <f t="shared" si="10"/>
        <v>125</v>
      </c>
      <c r="B127" s="61">
        <f t="shared" si="8"/>
        <v>2.4121176470588237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5.0288399999999998</v>
      </c>
      <c r="G127" s="61">
        <f>IF(FT!B127&lt;&gt;"",FT!B127*100,"")</f>
        <v>31.844899999999999</v>
      </c>
      <c r="H127" s="61">
        <f t="shared" si="9"/>
        <v>1</v>
      </c>
      <c r="I127" t="str">
        <f>IF(FT!B127&lt;&gt;"",FT!E127,"")</f>
        <v>2 [50.824395]</v>
      </c>
      <c r="J127">
        <f>IF(FT!B127&lt;&gt;"",FT!C127,"")</f>
        <v>50.824399999999997</v>
      </c>
    </row>
    <row r="128" spans="1:10">
      <c r="A128" s="61">
        <f t="shared" si="10"/>
        <v>126</v>
      </c>
      <c r="B128" s="61">
        <f t="shared" si="8"/>
        <v>2.4314145882352944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5.0362600000000004</v>
      </c>
      <c r="G128" s="61">
        <f>IF(FT!B128&lt;&gt;"",FT!B128*100,"")</f>
        <v>31.784299999999998</v>
      </c>
      <c r="H128" s="61">
        <f t="shared" si="9"/>
        <v>1</v>
      </c>
      <c r="I128" t="str">
        <f>IF(FT!B128&lt;&gt;"",FT!E128,"")</f>
        <v>2 [51.230973]</v>
      </c>
      <c r="J128">
        <f>IF(FT!B128&lt;&gt;"",FT!C128,"")</f>
        <v>51.231000000000002</v>
      </c>
    </row>
    <row r="129" spans="1:10">
      <c r="A129" s="61">
        <f t="shared" si="10"/>
        <v>127</v>
      </c>
      <c r="B129" s="61">
        <f t="shared" si="8"/>
        <v>2.4507115294117647</v>
      </c>
      <c r="C129" s="61">
        <f>FH!A129*1</f>
        <v>189334</v>
      </c>
      <c r="D129" s="61">
        <f>FH!B129*1</f>
        <v>189334</v>
      </c>
      <c r="E129">
        <f t="shared" si="11"/>
        <v>127</v>
      </c>
      <c r="F129" s="61">
        <f>IF(FT!A129&lt;&gt;"",FT!A129*10,"")</f>
        <v>5.0424500000000005</v>
      </c>
      <c r="G129" s="61">
        <f>IF(FT!B129&lt;&gt;"",FT!B129*100,"")</f>
        <v>31.757800000000003</v>
      </c>
      <c r="H129" s="61">
        <f t="shared" si="9"/>
        <v>1</v>
      </c>
      <c r="I129" t="str">
        <f>IF(FT!B129&lt;&gt;"",FT!E129,"")</f>
        <v>2 [51.637907]</v>
      </c>
      <c r="J129">
        <f>IF(FT!B129&lt;&gt;"",FT!C129,"")</f>
        <v>51.637900000000002</v>
      </c>
    </row>
    <row r="130" spans="1:10">
      <c r="A130" s="61">
        <f t="shared" si="10"/>
        <v>128</v>
      </c>
      <c r="B130" s="61">
        <f t="shared" si="8"/>
        <v>2.4700084705882355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5.0464200000000003</v>
      </c>
      <c r="G130" s="61">
        <f>IF(FT!B130&lt;&gt;"",FT!B130*100,"")</f>
        <v>31.755299999999998</v>
      </c>
      <c r="H130" s="61">
        <f t="shared" si="9"/>
        <v>1</v>
      </c>
      <c r="I130" t="str">
        <f>IF(FT!B130&lt;&gt;"",FT!E130,"")</f>
        <v>2 [52.045959]</v>
      </c>
      <c r="J130">
        <f>IF(FT!B130&lt;&gt;"",FT!C130,"")</f>
        <v>52.045999999999999</v>
      </c>
    </row>
    <row r="131" spans="1:10">
      <c r="A131" s="61">
        <f t="shared" si="10"/>
        <v>129</v>
      </c>
      <c r="B131" s="61">
        <f t="shared" ref="B131:B194" si="12">A131/255*$L$2</f>
        <v>2.4893054117647058</v>
      </c>
      <c r="C131" s="61">
        <f>FH!A131*1</f>
        <v>206025</v>
      </c>
      <c r="D131" s="61">
        <f>FH!B131*1</f>
        <v>206025</v>
      </c>
      <c r="E131">
        <f t="shared" si="11"/>
        <v>129</v>
      </c>
      <c r="F131" s="61">
        <f>IF(FT!A131&lt;&gt;"",FT!A131*10,"")</f>
        <v>5.0486200000000006</v>
      </c>
      <c r="G131" s="61">
        <f>IF(FT!B131&lt;&gt;"",FT!B131*100,"")</f>
        <v>31.735200000000003</v>
      </c>
      <c r="H131" s="61">
        <f t="shared" ref="H131:H194" si="13">(IF(F131&lt;&gt;"",1,""))</f>
        <v>1</v>
      </c>
      <c r="I131" t="str">
        <f>IF(FT!B131&lt;&gt;"",FT!E131,"")</f>
        <v>2 [52.447772]</v>
      </c>
      <c r="J131">
        <f>IF(FT!B131&lt;&gt;"",FT!C131,"")</f>
        <v>52.447800000000001</v>
      </c>
    </row>
    <row r="132" spans="1:10">
      <c r="A132" s="61">
        <f t="shared" ref="A132:A195" si="14">A131+1</f>
        <v>130</v>
      </c>
      <c r="B132" s="61">
        <f t="shared" si="12"/>
        <v>2.5086023529411765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5.05</v>
      </c>
      <c r="G132" s="61">
        <f>IF(FT!B132&lt;&gt;"",FT!B132*100,"")</f>
        <v>31.709599999999998</v>
      </c>
      <c r="H132" s="61">
        <f t="shared" si="13"/>
        <v>1</v>
      </c>
      <c r="I132" t="str">
        <f>IF(FT!B132&lt;&gt;"",FT!E132,"")</f>
        <v>2 [52.854679]</v>
      </c>
      <c r="J132">
        <f>IF(FT!B132&lt;&gt;"",FT!C132,"")</f>
        <v>52.854700000000001</v>
      </c>
    </row>
    <row r="133" spans="1:10">
      <c r="A133" s="61">
        <f t="shared" si="14"/>
        <v>131</v>
      </c>
      <c r="B133" s="61">
        <f t="shared" si="12"/>
        <v>2.5278992941176468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5.0510999999999999</v>
      </c>
      <c r="G133" s="61">
        <f>IF(FT!B133&lt;&gt;"",FT!B133*100,"")</f>
        <v>31.694800000000001</v>
      </c>
      <c r="H133" s="61">
        <f t="shared" si="13"/>
        <v>1</v>
      </c>
      <c r="I133" t="str">
        <f>IF(FT!B133&lt;&gt;"",FT!E133,"")</f>
        <v>2 [53.262641]</v>
      </c>
      <c r="J133">
        <f>IF(FT!B133&lt;&gt;"",FT!C133,"")</f>
        <v>53.262599999999999</v>
      </c>
    </row>
    <row r="134" spans="1:10">
      <c r="A134" s="61">
        <f t="shared" si="14"/>
        <v>132</v>
      </c>
      <c r="B134" s="61">
        <f t="shared" si="12"/>
        <v>2.547196235294118</v>
      </c>
      <c r="C134" s="61">
        <f>FH!A134*1</f>
        <v>203733</v>
      </c>
      <c r="D134" s="61">
        <f>FH!B134*1</f>
        <v>203733</v>
      </c>
      <c r="E134">
        <f t="shared" si="15"/>
        <v>132</v>
      </c>
      <c r="F134" s="61">
        <f>IF(FT!A134&lt;&gt;"",FT!A134*10,"")</f>
        <v>5.0519099999999995</v>
      </c>
      <c r="G134" s="61">
        <f>IF(FT!B134&lt;&gt;"",FT!B134*100,"")</f>
        <v>31.707800000000002</v>
      </c>
      <c r="H134" s="61">
        <f t="shared" si="13"/>
        <v>1</v>
      </c>
      <c r="I134" t="str">
        <f>IF(FT!B134&lt;&gt;"",FT!E134,"")</f>
        <v>2 [53.672543]</v>
      </c>
      <c r="J134">
        <f>IF(FT!B134&lt;&gt;"",FT!C134,"")</f>
        <v>53.672499999999999</v>
      </c>
    </row>
    <row r="135" spans="1:10">
      <c r="A135" s="61">
        <f t="shared" si="14"/>
        <v>133</v>
      </c>
      <c r="B135" s="61">
        <f t="shared" si="12"/>
        <v>2.5664931764705887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5.0481400000000001</v>
      </c>
      <c r="G135" s="61">
        <f>IF(FT!B135&lt;&gt;"",FT!B135*100,"")</f>
        <v>31.770900000000001</v>
      </c>
      <c r="H135" s="61">
        <f t="shared" si="13"/>
        <v>1</v>
      </c>
      <c r="I135" t="str">
        <f>IF(FT!B135&lt;&gt;"",FT!E135,"")</f>
        <v>2 [54.072378]</v>
      </c>
      <c r="J135">
        <f>IF(FT!B135&lt;&gt;"",FT!C135,"")</f>
        <v>54.072400000000002</v>
      </c>
    </row>
    <row r="136" spans="1:10">
      <c r="A136" s="61">
        <f t="shared" si="14"/>
        <v>134</v>
      </c>
      <c r="B136" s="61">
        <f t="shared" si="12"/>
        <v>2.585790117647059</v>
      </c>
      <c r="C136" s="61">
        <f>FH!A136*1</f>
        <v>194006</v>
      </c>
      <c r="D136" s="61">
        <f>FH!B136*1</f>
        <v>194006</v>
      </c>
      <c r="E136">
        <f t="shared" si="15"/>
        <v>134</v>
      </c>
      <c r="F136" s="61">
        <f>IF(FT!A136&lt;&gt;"",FT!A136*10,"")</f>
        <v>5.04366</v>
      </c>
      <c r="G136" s="61">
        <f>IF(FT!B136&lt;&gt;"",FT!B136*100,"")</f>
        <v>31.843100000000003</v>
      </c>
      <c r="H136" s="61">
        <f t="shared" si="13"/>
        <v>1</v>
      </c>
      <c r="I136" t="str">
        <f>IF(FT!B136&lt;&gt;"",FT!E136,"")</f>
        <v>2 [54.479587]</v>
      </c>
      <c r="J136">
        <f>IF(FT!B136&lt;&gt;"",FT!C136,"")</f>
        <v>54.479599999999998</v>
      </c>
    </row>
    <row r="137" spans="1:10">
      <c r="A137" s="61">
        <f t="shared" si="14"/>
        <v>135</v>
      </c>
      <c r="B137" s="61">
        <f t="shared" si="12"/>
        <v>2.6050870588235298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5.0451100000000002</v>
      </c>
      <c r="G137" s="61">
        <f>IF(FT!B137&lt;&gt;"",FT!B137*100,"")</f>
        <v>31.9224</v>
      </c>
      <c r="H137" s="61">
        <f t="shared" si="13"/>
        <v>1</v>
      </c>
      <c r="I137" t="str">
        <f>IF(FT!B137&lt;&gt;"",FT!E137,"")</f>
        <v>2 [54.887587]</v>
      </c>
      <c r="J137">
        <f>IF(FT!B137&lt;&gt;"",FT!C137,"")</f>
        <v>54.887599999999999</v>
      </c>
    </row>
    <row r="138" spans="1:10">
      <c r="A138" s="61">
        <f t="shared" si="14"/>
        <v>136</v>
      </c>
      <c r="B138" s="61">
        <f t="shared" si="12"/>
        <v>2.6243840000000001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5.0488</v>
      </c>
      <c r="G138" s="61">
        <f>IF(FT!B138&lt;&gt;"",FT!B138*100,"")</f>
        <v>31.9559</v>
      </c>
      <c r="H138" s="61">
        <f t="shared" si="13"/>
        <v>1</v>
      </c>
      <c r="I138" t="str">
        <f>IF(FT!B138&lt;&gt;"",FT!E138,"")</f>
        <v>2 [55.291508]</v>
      </c>
      <c r="J138">
        <f>IF(FT!B138&lt;&gt;"",FT!C138,"")</f>
        <v>55.291499999999999</v>
      </c>
    </row>
    <row r="139" spans="1:10">
      <c r="A139" s="61">
        <f t="shared" si="14"/>
        <v>137</v>
      </c>
      <c r="B139" s="61">
        <f t="shared" si="12"/>
        <v>2.6436809411764708</v>
      </c>
      <c r="C139" s="61">
        <f>FH!A139*1</f>
        <v>190144</v>
      </c>
      <c r="D139" s="61">
        <f>FH!B139*1</f>
        <v>190144</v>
      </c>
      <c r="E139">
        <f t="shared" si="15"/>
        <v>137</v>
      </c>
      <c r="F139" s="61">
        <f>IF(FT!A139&lt;&gt;"",FT!A139*10,"")</f>
        <v>5.0520500000000004</v>
      </c>
      <c r="G139" s="61">
        <f>IF(FT!B139&lt;&gt;"",FT!B139*100,"")</f>
        <v>31.916</v>
      </c>
      <c r="H139" s="61">
        <f t="shared" si="13"/>
        <v>1</v>
      </c>
      <c r="I139" t="str">
        <f>IF(FT!B139&lt;&gt;"",FT!E139,"")</f>
        <v>2 [55.701033]</v>
      </c>
      <c r="J139">
        <f>IF(FT!B139&lt;&gt;"",FT!C139,"")</f>
        <v>55.701000000000001</v>
      </c>
    </row>
    <row r="140" spans="1:10">
      <c r="A140" s="61">
        <f t="shared" si="14"/>
        <v>138</v>
      </c>
      <c r="B140" s="61">
        <f t="shared" si="12"/>
        <v>2.6629778823529411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5.0551700000000004</v>
      </c>
      <c r="G140" s="61">
        <f>IF(FT!B140&lt;&gt;"",FT!B140*100,"")</f>
        <v>31.818099999999998</v>
      </c>
      <c r="H140" s="61">
        <f t="shared" si="13"/>
        <v>1</v>
      </c>
      <c r="I140" t="str">
        <f>IF(FT!B140&lt;&gt;"",FT!E140,"")</f>
        <v>2 [56.107195]</v>
      </c>
      <c r="J140">
        <f>IF(FT!B140&lt;&gt;"",FT!C140,"")</f>
        <v>56.107199999999999</v>
      </c>
    </row>
    <row r="141" spans="1:10">
      <c r="A141" s="61">
        <f t="shared" si="14"/>
        <v>139</v>
      </c>
      <c r="B141" s="61">
        <f t="shared" si="12"/>
        <v>2.6822748235294118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5.0493800000000002</v>
      </c>
      <c r="G141" s="61">
        <f>IF(FT!B141&lt;&gt;"",FT!B141*100,"")</f>
        <v>31.806600000000003</v>
      </c>
      <c r="H141" s="61">
        <f t="shared" si="13"/>
        <v>1</v>
      </c>
      <c r="I141" t="str">
        <f>IF(FT!B141&lt;&gt;"",FT!E141,"")</f>
        <v>2 [56.510902]</v>
      </c>
      <c r="J141">
        <f>IF(FT!B141&lt;&gt;"",FT!C141,"")</f>
        <v>56.510899999999999</v>
      </c>
    </row>
    <row r="142" spans="1:10">
      <c r="A142" s="61">
        <f t="shared" si="14"/>
        <v>140</v>
      </c>
      <c r="B142" s="61">
        <f t="shared" si="12"/>
        <v>2.7015717647058826</v>
      </c>
      <c r="C142" s="61">
        <f>FH!A142*1</f>
        <v>174324</v>
      </c>
      <c r="D142" s="61">
        <f>FH!B142*1</f>
        <v>174324</v>
      </c>
      <c r="E142">
        <f t="shared" si="15"/>
        <v>140</v>
      </c>
      <c r="F142" s="61">
        <f>IF(FT!A142&lt;&gt;"",FT!A142*10,"")</f>
        <v>5.0437399999999997</v>
      </c>
      <c r="G142" s="61">
        <f>IF(FT!B142&lt;&gt;"",FT!B142*100,"")</f>
        <v>31.7622</v>
      </c>
      <c r="H142" s="61">
        <f t="shared" si="13"/>
        <v>1</v>
      </c>
      <c r="I142" t="str">
        <f>IF(FT!B142&lt;&gt;"",FT!E142,"")</f>
        <v>2 [56.916427]</v>
      </c>
      <c r="J142">
        <f>IF(FT!B142&lt;&gt;"",FT!C142,"")</f>
        <v>56.916400000000003</v>
      </c>
    </row>
    <row r="143" spans="1:10">
      <c r="A143" s="61">
        <f t="shared" si="14"/>
        <v>141</v>
      </c>
      <c r="B143" s="61">
        <f t="shared" si="12"/>
        <v>2.7208687058823533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5.0359200000000008</v>
      </c>
      <c r="G143" s="61">
        <f>IF(FT!B143&lt;&gt;"",FT!B143*100,"")</f>
        <v>31.844000000000001</v>
      </c>
      <c r="H143" s="61">
        <f t="shared" si="13"/>
        <v>1</v>
      </c>
      <c r="I143" t="str">
        <f>IF(FT!B143&lt;&gt;"",FT!E143,"")</f>
        <v>2 [57.324008]</v>
      </c>
      <c r="J143">
        <f>IF(FT!B143&lt;&gt;"",FT!C143,"")</f>
        <v>57.323999999999998</v>
      </c>
    </row>
    <row r="144" spans="1:10">
      <c r="A144" s="61">
        <f t="shared" si="14"/>
        <v>142</v>
      </c>
      <c r="B144" s="61">
        <f t="shared" si="12"/>
        <v>2.7401656470588236</v>
      </c>
      <c r="C144" s="61">
        <f>FH!A144*1</f>
        <v>166456</v>
      </c>
      <c r="D144" s="61">
        <f>FH!B144*1</f>
        <v>166456</v>
      </c>
      <c r="E144">
        <f t="shared" si="15"/>
        <v>142</v>
      </c>
      <c r="F144" s="61">
        <f>IF(FT!A144&lt;&gt;"",FT!A144*10,"")</f>
        <v>5.0331000000000001</v>
      </c>
      <c r="G144" s="61">
        <f>IF(FT!B144&lt;&gt;"",FT!B144*100,"")</f>
        <v>31.909700000000001</v>
      </c>
      <c r="H144" s="61">
        <f t="shared" si="13"/>
        <v>1</v>
      </c>
      <c r="I144" t="str">
        <f>IF(FT!B144&lt;&gt;"",FT!E144,"")</f>
        <v>2 [57.726502]</v>
      </c>
      <c r="J144">
        <f>IF(FT!B144&lt;&gt;"",FT!C144,"")</f>
        <v>57.726500000000001</v>
      </c>
    </row>
    <row r="145" spans="1:10">
      <c r="A145" s="61">
        <f t="shared" si="14"/>
        <v>143</v>
      </c>
      <c r="B145" s="61">
        <f t="shared" si="12"/>
        <v>2.7594625882352943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5.0204499999999994</v>
      </c>
      <c r="G145" s="61">
        <f>IF(FT!B145&lt;&gt;"",FT!B145*100,"")</f>
        <v>31.919900000000002</v>
      </c>
      <c r="H145" s="61">
        <f t="shared" si="13"/>
        <v>1</v>
      </c>
      <c r="I145" t="str">
        <f>IF(FT!B145&lt;&gt;"",FT!E145,"")</f>
        <v>2 [58.137563]</v>
      </c>
      <c r="J145">
        <f>IF(FT!B145&lt;&gt;"",FT!C145,"")</f>
        <v>58.137599999999999</v>
      </c>
    </row>
    <row r="146" spans="1:10">
      <c r="A146" s="61">
        <f t="shared" si="14"/>
        <v>144</v>
      </c>
      <c r="B146" s="61">
        <f t="shared" si="12"/>
        <v>2.7787595294117646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5.0007999999999999</v>
      </c>
      <c r="G146" s="61">
        <f>IF(FT!B146&lt;&gt;"",FT!B146*100,"")</f>
        <v>32.040100000000002</v>
      </c>
      <c r="H146" s="61">
        <f t="shared" si="13"/>
        <v>1</v>
      </c>
      <c r="I146" t="str">
        <f>IF(FT!B146&lt;&gt;"",FT!E146,"")</f>
        <v>2 [58.542886]</v>
      </c>
      <c r="J146">
        <f>IF(FT!B146&lt;&gt;"",FT!C146,"")</f>
        <v>58.542900000000003</v>
      </c>
    </row>
    <row r="147" spans="1:10">
      <c r="A147" s="61">
        <f t="shared" si="14"/>
        <v>145</v>
      </c>
      <c r="B147" s="61">
        <f t="shared" si="12"/>
        <v>2.7980564705882354</v>
      </c>
      <c r="C147" s="61">
        <f>FH!A147*1</f>
        <v>151737</v>
      </c>
      <c r="D147" s="61">
        <f>FH!B147*1</f>
        <v>151737</v>
      </c>
      <c r="E147">
        <f t="shared" si="15"/>
        <v>145</v>
      </c>
      <c r="F147" s="61">
        <f>IF(FT!A147&lt;&gt;"",FT!A147*10,"")</f>
        <v>4.9709500000000002</v>
      </c>
      <c r="G147" s="61">
        <f>IF(FT!B147&lt;&gt;"",FT!B147*100,"")</f>
        <v>32.337600000000002</v>
      </c>
      <c r="H147" s="61">
        <f t="shared" si="13"/>
        <v>1</v>
      </c>
      <c r="I147" t="str">
        <f>IF(FT!B147&lt;&gt;"",FT!E147,"")</f>
        <v>2 [58.947337]</v>
      </c>
      <c r="J147">
        <f>IF(FT!B147&lt;&gt;"",FT!C147,"")</f>
        <v>58.947299999999998</v>
      </c>
    </row>
    <row r="148" spans="1:10">
      <c r="A148" s="61">
        <f t="shared" si="14"/>
        <v>146</v>
      </c>
      <c r="B148" s="61">
        <f t="shared" si="12"/>
        <v>2.8173534117647057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4.9375099999999996</v>
      </c>
      <c r="G148" s="61">
        <f>IF(FT!B148&lt;&gt;"",FT!B148*100,"")</f>
        <v>32.792500000000004</v>
      </c>
      <c r="H148" s="61">
        <f t="shared" si="13"/>
        <v>1</v>
      </c>
      <c r="I148" t="str">
        <f>IF(FT!B148&lt;&gt;"",FT!E148,"")</f>
        <v>2 [59.354888]</v>
      </c>
      <c r="J148">
        <f>IF(FT!B148&lt;&gt;"",FT!C148,"")</f>
        <v>59.354900000000001</v>
      </c>
    </row>
    <row r="149" spans="1:10">
      <c r="A149" s="61">
        <f t="shared" si="14"/>
        <v>147</v>
      </c>
      <c r="B149" s="61">
        <f t="shared" si="12"/>
        <v>2.8366503529411764</v>
      </c>
      <c r="C149" s="61">
        <f>FH!A149*1</f>
        <v>139957</v>
      </c>
      <c r="D149" s="61">
        <f>FH!B149*1</f>
        <v>139957</v>
      </c>
      <c r="E149">
        <f t="shared" si="15"/>
        <v>147</v>
      </c>
      <c r="F149" s="61">
        <f>IF(FT!A149&lt;&gt;"",FT!A149*10,"")</f>
        <v>4.9131299999999998</v>
      </c>
      <c r="G149" s="61">
        <f>IF(FT!B149&lt;&gt;"",FT!B149*100,"")</f>
        <v>32.909599999999998</v>
      </c>
      <c r="H149" s="61">
        <f t="shared" si="13"/>
        <v>1</v>
      </c>
      <c r="I149" t="str">
        <f>IF(FT!B149&lt;&gt;"",FT!E149,"")</f>
        <v>2 [59.762152]</v>
      </c>
      <c r="J149">
        <f>IF(FT!B149&lt;&gt;"",FT!C149,"")</f>
        <v>59.7622</v>
      </c>
    </row>
    <row r="150" spans="1:10">
      <c r="A150" s="61">
        <f t="shared" si="14"/>
        <v>148</v>
      </c>
      <c r="B150" s="61">
        <f t="shared" si="12"/>
        <v>2.8559472941176476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2.8752442352941179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2.8945411764705886</v>
      </c>
      <c r="C152" s="61">
        <f>FH!A152*1</f>
        <v>127832</v>
      </c>
      <c r="D152" s="61">
        <f>FH!B152*1</f>
        <v>127832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2.9138381176470589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2.9331350588235297</v>
      </c>
      <c r="C154" s="61">
        <f>FH!A154*1</f>
        <v>116915</v>
      </c>
      <c r="D154" s="61">
        <f>FH!B154*1</f>
        <v>116915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2.9524319999999999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2.9717289411764707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2.991025882352941</v>
      </c>
      <c r="C157" s="61">
        <f>FH!A157*1</f>
        <v>100729</v>
      </c>
      <c r="D157" s="61">
        <f>FH!B157*1</f>
        <v>100729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3.0103228235294122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3.0296197647058825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3.0489167058823532</v>
      </c>
      <c r="C160" s="61">
        <f>FH!A160*1</f>
        <v>94761</v>
      </c>
      <c r="D160" s="61">
        <f>FH!B160*1</f>
        <v>94761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3.0682136470588235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3.0875105882352942</v>
      </c>
      <c r="C162" s="61">
        <f>FH!A162*1</f>
        <v>86211</v>
      </c>
      <c r="D162" s="61">
        <f>FH!B162*1</f>
        <v>86211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3.1068075294117645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3.1261044705882353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3.1454014117647056</v>
      </c>
      <c r="C165" s="61">
        <f>FH!A165*1</f>
        <v>80526</v>
      </c>
      <c r="D165" s="61">
        <f>FH!B165*1</f>
        <v>80526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3.1646983529411767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3.1839952941176475</v>
      </c>
      <c r="C167" s="61">
        <f>FH!A167*1</f>
        <v>66720</v>
      </c>
      <c r="D167" s="61">
        <f>FH!B167*1</f>
        <v>66720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3.2032922352941178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3.2225891764705885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3.2418861176470588</v>
      </c>
      <c r="C170" s="61">
        <f>FH!A170*1</f>
        <v>63651</v>
      </c>
      <c r="D170" s="61">
        <f>FH!B170*1</f>
        <v>63651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3.2611830588235295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3.2804799999999998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3.2997769411764706</v>
      </c>
      <c r="C173" s="61">
        <f>FH!A173*1</f>
        <v>59417</v>
      </c>
      <c r="D173" s="61">
        <f>FH!B173*1</f>
        <v>59417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3.3190738823529418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3.3383708235294121</v>
      </c>
      <c r="C175" s="61">
        <f>FH!A175*1</f>
        <v>53038</v>
      </c>
      <c r="D175" s="61">
        <f>FH!B175*1</f>
        <v>53038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3.3576677647058828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3.3769647058823531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3.3962616470588238</v>
      </c>
      <c r="C178" s="61">
        <f>FH!A178*1</f>
        <v>44871</v>
      </c>
      <c r="D178" s="61">
        <f>FH!B178*1</f>
        <v>44871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3.4155585882352941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3.4348555294117649</v>
      </c>
      <c r="C180" s="61">
        <f>FH!A180*1</f>
        <v>43149</v>
      </c>
      <c r="D180" s="61">
        <f>FH!B180*1</f>
        <v>43149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3.4541524705882352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3.4734494117647063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3.4927463529411766</v>
      </c>
      <c r="C183" s="61">
        <f>FH!A183*1</f>
        <v>38995</v>
      </c>
      <c r="D183" s="61">
        <f>FH!B183*1</f>
        <v>38995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3.5120432941176474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3.5313402352941177</v>
      </c>
      <c r="C185" s="61">
        <f>FH!A185*1</f>
        <v>34778</v>
      </c>
      <c r="D185" s="61">
        <f>FH!B185*1</f>
        <v>34778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3.5506371764705884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3.5699341176470587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3.5892310588235294</v>
      </c>
      <c r="C188" s="61">
        <f>FH!A188*1</f>
        <v>25740</v>
      </c>
      <c r="D188" s="61">
        <f>FH!B188*1</f>
        <v>25740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3.6085279999999997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3.6278249411764709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3.6471218823529417</v>
      </c>
      <c r="C191" s="61">
        <f>FH!A191*1</f>
        <v>18261</v>
      </c>
      <c r="D191" s="61">
        <f>FH!B191*1</f>
        <v>18261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3.666418823529412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3.6857157647058827</v>
      </c>
      <c r="C193" s="61">
        <f>FH!A193*1</f>
        <v>12382</v>
      </c>
      <c r="D193" s="61">
        <f>FH!B193*1</f>
        <v>12382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3.705012705882353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3.7243096470588237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3.743606588235294</v>
      </c>
      <c r="C196" s="61">
        <f>FH!A196*1</f>
        <v>8464</v>
      </c>
      <c r="D196" s="61">
        <f>FH!B196*1</f>
        <v>8464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3.7629035294117648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3.7822004705882355</v>
      </c>
      <c r="C198" s="61">
        <f>FH!A198*1</f>
        <v>4108</v>
      </c>
      <c r="D198" s="61">
        <f>FH!B198*1</f>
        <v>4108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3.8014974117647062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3.8207943529411765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3.8400912941176473</v>
      </c>
      <c r="C201" s="61">
        <f>FH!A201*1</f>
        <v>3411</v>
      </c>
      <c r="D201" s="61">
        <f>FH!B201*1</f>
        <v>3411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3.8593882352941176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3.8786851764705883</v>
      </c>
      <c r="C203" s="61">
        <f>FH!A203*1</f>
        <v>3026</v>
      </c>
      <c r="D203" s="61">
        <f>FH!B203*1</f>
        <v>3026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3.8979821176470586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3.9172790588235293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3.9365760000000005</v>
      </c>
      <c r="C206" s="61">
        <f>FH!A206*1</f>
        <v>2537</v>
      </c>
      <c r="D206" s="61">
        <f>FH!B206*1</f>
        <v>2537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3.9558729411764708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3.9751698823529416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3.9944668235294118</v>
      </c>
      <c r="C209" s="61">
        <f>FH!A209*1</f>
        <v>2072</v>
      </c>
      <c r="D209" s="61">
        <f>FH!B209*1</f>
        <v>2072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4.0137637647058826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4.0330607058823533</v>
      </c>
      <c r="C211" s="61">
        <f>FH!A211*1</f>
        <v>153</v>
      </c>
      <c r="D211" s="61">
        <f>FH!B211*1</f>
        <v>153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4.0523576470588232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4.0716545882352939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4.0909515294117647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4.1102484705882354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4.1295454117647061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4.1488423529411769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4.1681392941176476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4.1874362352941175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4.2067331764705882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4.2260301176470589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4.2453270588235297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4.2646240000000004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4.2839209411764712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4.303217882352941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4.3225148235294117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4.3418117647058825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4.3611087058823532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4.3804056470588231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4.3997025882352947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4.4189995294117654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4.4382964705882353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4.457593411764706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4.4768903529411768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4.4961872941176475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4.5154842352941174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4.5347811764705881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4.5540781176470588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4.5733750588235296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4.5926720000000003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4.611968941176471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4.6312658823529409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4.6505628235294116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4.6698597647058824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4.6891567058823531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4.7084536470588239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4.7277505882352946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4.7470475294117653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4.7663444705882352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4.7856414117647059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4.8049383529411767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4.8242352941176474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4.8435322352941172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4.8628291764705889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4.8821261176470587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4.9014230588235295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4.9207200000000002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51.478499999999997</v>
      </c>
      <c r="C5" s="66">
        <v>9.9227000000000007</v>
      </c>
      <c r="D5" s="66">
        <v>19.275400000000001</v>
      </c>
      <c r="E5" s="66">
        <v>20</v>
      </c>
      <c r="F5" s="66">
        <v>15.7896</v>
      </c>
      <c r="G5" s="66">
        <v>50</v>
      </c>
      <c r="H5" s="66">
        <v>57.363500000000002</v>
      </c>
    </row>
    <row r="6" spans="1:8">
      <c r="A6" s="58" t="s">
        <v>303</v>
      </c>
      <c r="B6" s="66">
        <v>31.283799999999999</v>
      </c>
      <c r="C6" s="66">
        <v>1.8197700000000001</v>
      </c>
      <c r="D6" s="66">
        <v>5.81698</v>
      </c>
      <c r="E6" s="66">
        <v>20</v>
      </c>
      <c r="F6" s="66">
        <v>24.954699999999999</v>
      </c>
      <c r="G6" s="66">
        <v>40</v>
      </c>
      <c r="H6" s="66">
        <v>33.648699999999998</v>
      </c>
    </row>
    <row r="7" spans="1:8">
      <c r="A7" s="58" t="s">
        <v>304</v>
      </c>
      <c r="B7" s="66">
        <v>15.6746</v>
      </c>
      <c r="C7" s="66">
        <v>4.8141800000000003</v>
      </c>
      <c r="D7" s="66">
        <v>30.7133</v>
      </c>
      <c r="E7" s="66">
        <v>15</v>
      </c>
      <c r="F7" s="66">
        <v>3.7533400000000001</v>
      </c>
      <c r="G7" s="66">
        <v>40</v>
      </c>
      <c r="H7" s="66">
        <v>35.796199999999999</v>
      </c>
    </row>
    <row r="8" spans="1:8">
      <c r="A8" s="58" t="s">
        <v>305</v>
      </c>
      <c r="B8" s="66">
        <v>32.698700000000002</v>
      </c>
      <c r="C8" s="66">
        <v>4.22567</v>
      </c>
      <c r="D8" s="66">
        <v>12.923</v>
      </c>
      <c r="E8" s="66">
        <v>20</v>
      </c>
      <c r="F8" s="66">
        <v>15.6564</v>
      </c>
      <c r="G8" s="66">
        <v>50</v>
      </c>
      <c r="H8" s="66">
        <v>37.148600000000002</v>
      </c>
    </row>
    <row r="9" spans="1:8">
      <c r="A9" s="58" t="s">
        <v>306</v>
      </c>
      <c r="B9" s="66">
        <v>62.2712</v>
      </c>
      <c r="C9" s="66">
        <v>5.4701500000000003</v>
      </c>
      <c r="D9" s="66">
        <v>8.7843900000000001</v>
      </c>
      <c r="E9" s="66">
        <v>50</v>
      </c>
      <c r="F9" s="66">
        <v>49.271900000000002</v>
      </c>
      <c r="G9" s="66">
        <v>100</v>
      </c>
      <c r="H9" s="66">
        <v>76.739400000000003</v>
      </c>
    </row>
    <row r="10" spans="1:8">
      <c r="A10" s="58" t="s">
        <v>307</v>
      </c>
      <c r="B10" s="66">
        <v>63.883000000000003</v>
      </c>
      <c r="C10" s="66">
        <v>6.6206399999999999</v>
      </c>
      <c r="D10" s="66">
        <v>10.3637</v>
      </c>
      <c r="E10" s="66">
        <v>40</v>
      </c>
      <c r="F10" s="66">
        <v>58.5075</v>
      </c>
      <c r="G10" s="66">
        <v>100</v>
      </c>
      <c r="H10" s="66">
        <v>81.418700000000001</v>
      </c>
    </row>
    <row r="11" spans="1:8">
      <c r="A11" s="58" t="s">
        <v>308</v>
      </c>
      <c r="B11" s="66">
        <v>33.939300000000003</v>
      </c>
      <c r="C11" s="66">
        <v>7.6617199999999999</v>
      </c>
      <c r="D11" s="66">
        <v>22.5748</v>
      </c>
      <c r="E11" s="66">
        <v>10</v>
      </c>
      <c r="F11" s="66">
        <v>9.7354599999999998</v>
      </c>
      <c r="G11" s="66">
        <v>50</v>
      </c>
      <c r="H11" s="66">
        <v>37.500599999999999</v>
      </c>
    </row>
    <row r="12" spans="1:8">
      <c r="A12" s="58" t="s">
        <v>309</v>
      </c>
      <c r="B12" s="66">
        <v>63.299700000000001</v>
      </c>
      <c r="C12" s="66">
        <v>5.0655900000000003</v>
      </c>
      <c r="D12" s="66">
        <v>8.0025499999999994</v>
      </c>
      <c r="E12" s="66">
        <v>50</v>
      </c>
      <c r="F12" s="66">
        <v>54.572899999999997</v>
      </c>
      <c r="G12" s="66">
        <v>100</v>
      </c>
      <c r="H12" s="66">
        <v>78.435199999999995</v>
      </c>
    </row>
    <row r="13" spans="1:8">
      <c r="A13" s="58" t="s">
        <v>310</v>
      </c>
      <c r="B13" s="66">
        <v>20.0318</v>
      </c>
      <c r="C13" s="66">
        <v>3.4785599999999999</v>
      </c>
      <c r="D13" s="66">
        <v>17.365200000000002</v>
      </c>
      <c r="E13" s="66">
        <v>10</v>
      </c>
      <c r="F13" s="66">
        <v>14.270899999999999</v>
      </c>
      <c r="G13" s="66">
        <v>25</v>
      </c>
      <c r="H13" s="66">
        <v>29.946000000000002</v>
      </c>
    </row>
    <row r="14" spans="1:8">
      <c r="A14" s="58" t="s">
        <v>311</v>
      </c>
      <c r="B14" s="66">
        <v>34.785600000000002</v>
      </c>
      <c r="C14" s="66">
        <v>12.7766</v>
      </c>
      <c r="D14" s="66">
        <v>36.729599999999998</v>
      </c>
      <c r="E14" s="66">
        <v>10</v>
      </c>
      <c r="F14" s="66">
        <v>2.7052700000000001</v>
      </c>
      <c r="G14" s="66">
        <v>50</v>
      </c>
      <c r="H14" s="66">
        <v>40.947499999999998</v>
      </c>
    </row>
    <row r="15" spans="1:8">
      <c r="A15" s="58" t="s">
        <v>312</v>
      </c>
      <c r="B15" s="66">
        <v>1.9390500000000001E-2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5.3671299999999998E-2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17.254899999999999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0.40226899999999999</v>
      </c>
      <c r="C18" s="66">
        <v>8.5166099999999995E-2</v>
      </c>
      <c r="D18" s="66">
        <v>0.21171400000000001</v>
      </c>
      <c r="E18" s="66">
        <v>0</v>
      </c>
      <c r="F18" s="66">
        <v>0.31710300000000002</v>
      </c>
      <c r="G18" s="66">
        <v>0</v>
      </c>
      <c r="H18" s="66">
        <v>0.48743500000000001</v>
      </c>
    </row>
    <row r="19" spans="1:8">
      <c r="A19" s="58" t="s">
        <v>316</v>
      </c>
      <c r="B19" s="66">
        <v>0.42821399999999998</v>
      </c>
      <c r="C19" s="66">
        <v>6.0566799999999997E-2</v>
      </c>
      <c r="D19" s="66">
        <v>0.14144000000000001</v>
      </c>
      <c r="E19" s="66">
        <v>0</v>
      </c>
      <c r="F19" s="66">
        <v>0.367647</v>
      </c>
      <c r="G19" s="66">
        <v>0</v>
      </c>
      <c r="H19" s="66">
        <v>0.48878100000000002</v>
      </c>
    </row>
    <row r="20" spans="1:8">
      <c r="A20" s="58" t="s">
        <v>317</v>
      </c>
      <c r="B20" s="66">
        <v>1.2906000000000001E-2</v>
      </c>
      <c r="C20" s="66">
        <v>8.9554999999999999E-3</v>
      </c>
      <c r="D20" s="66">
        <v>0.69390300000000005</v>
      </c>
      <c r="E20" s="66">
        <v>0</v>
      </c>
      <c r="F20" s="66">
        <v>8.3315200000000002E-3</v>
      </c>
      <c r="G20" s="66">
        <v>0</v>
      </c>
      <c r="H20" s="66">
        <v>0.101254</v>
      </c>
    </row>
    <row r="21" spans="1:8">
      <c r="A21" s="58" t="s">
        <v>318</v>
      </c>
      <c r="B21" s="66">
        <v>0.12182999999999999</v>
      </c>
      <c r="C21" s="66">
        <v>0.15181600000000001</v>
      </c>
      <c r="D21" s="66">
        <v>1.2461199999999999</v>
      </c>
      <c r="E21" s="66">
        <v>0</v>
      </c>
      <c r="F21" s="66">
        <v>1.4853099999999999E-2</v>
      </c>
      <c r="G21" s="66">
        <v>0</v>
      </c>
      <c r="H21" s="66">
        <v>0.81928199999999995</v>
      </c>
    </row>
    <row r="22" spans="1:8">
      <c r="A22" s="58" t="s">
        <v>319</v>
      </c>
      <c r="B22" s="66">
        <v>39.630899999999997</v>
      </c>
      <c r="C22" s="66">
        <v>9.1774000000000004</v>
      </c>
      <c r="D22" s="66">
        <v>0.231572</v>
      </c>
      <c r="E22" s="66">
        <v>0</v>
      </c>
      <c r="F22" s="66">
        <v>20.711099999999998</v>
      </c>
      <c r="G22" s="66">
        <v>0</v>
      </c>
      <c r="H22" s="66">
        <v>67.538700000000006</v>
      </c>
    </row>
    <row r="23" spans="1:8">
      <c r="A23" s="58" t="s">
        <v>320</v>
      </c>
      <c r="B23" s="66">
        <v>21.7578</v>
      </c>
      <c r="C23" s="66">
        <v>3.2735699999999999</v>
      </c>
      <c r="D23" s="66">
        <v>0.15045500000000001</v>
      </c>
      <c r="E23" s="66">
        <v>0</v>
      </c>
      <c r="F23" s="66">
        <v>13.221</v>
      </c>
      <c r="G23" s="66">
        <v>0</v>
      </c>
      <c r="H23" s="66">
        <v>24.9024</v>
      </c>
    </row>
    <row r="24" spans="1:8">
      <c r="A24" s="58" t="s">
        <v>321</v>
      </c>
      <c r="B24" s="66">
        <v>1.39036E-2</v>
      </c>
      <c r="C24" s="66">
        <v>6.4389399999999998E-3</v>
      </c>
      <c r="D24" s="66">
        <v>0.463115</v>
      </c>
      <c r="E24" s="66">
        <v>0</v>
      </c>
      <c r="F24" s="66">
        <v>9.7298200000000001E-3</v>
      </c>
      <c r="G24" s="66">
        <v>0</v>
      </c>
      <c r="H24" s="66">
        <v>5.0231600000000001E-2</v>
      </c>
    </row>
    <row r="25" spans="1:8">
      <c r="A25" s="58" t="s">
        <v>322</v>
      </c>
      <c r="B25" s="66">
        <v>0.17389399999999999</v>
      </c>
      <c r="C25" s="66">
        <v>8.3229200000000003E-2</v>
      </c>
      <c r="D25" s="66">
        <v>0.47861999999999999</v>
      </c>
      <c r="E25" s="66">
        <v>0</v>
      </c>
      <c r="F25" s="66">
        <v>3.6478400000000001E-2</v>
      </c>
      <c r="G25" s="66">
        <v>0</v>
      </c>
      <c r="H25" s="66">
        <v>0.56651499999999999</v>
      </c>
    </row>
    <row r="26" spans="1:8">
      <c r="A26" s="58" t="s">
        <v>323</v>
      </c>
      <c r="B26" s="66">
        <v>2.1123299999999999E-3</v>
      </c>
      <c r="C26" s="66">
        <v>1.41475E-3</v>
      </c>
      <c r="D26" s="66">
        <v>0.66975799999999996</v>
      </c>
      <c r="E26" s="66">
        <v>0</v>
      </c>
      <c r="F26" s="66">
        <v>1.2276800000000001E-3</v>
      </c>
      <c r="G26" s="66">
        <v>0</v>
      </c>
      <c r="H26" s="66">
        <v>1.3806499999999999E-2</v>
      </c>
    </row>
    <row r="27" spans="1:8">
      <c r="A27" s="58" t="s">
        <v>324</v>
      </c>
      <c r="B27" s="196">
        <v>-1.64128E-5</v>
      </c>
      <c r="C27" s="66">
        <v>6.7163399999999995E-4</v>
      </c>
      <c r="D27" s="66">
        <v>-40.921300000000002</v>
      </c>
      <c r="E27" s="66">
        <v>0</v>
      </c>
      <c r="F27" s="66">
        <v>-4.1163299999999996E-3</v>
      </c>
      <c r="G27" s="66">
        <v>0</v>
      </c>
      <c r="H27" s="66">
        <v>6.9885800000000003E-3</v>
      </c>
    </row>
    <row r="28" spans="1:8">
      <c r="A28" s="58" t="s">
        <v>325</v>
      </c>
      <c r="B28" s="66">
        <v>1.7635100000000001E-2</v>
      </c>
      <c r="C28" s="66">
        <v>1.2701199999999999E-2</v>
      </c>
      <c r="D28" s="66">
        <v>0.720221</v>
      </c>
      <c r="E28" s="66">
        <v>0</v>
      </c>
      <c r="F28" s="66">
        <v>2.9329400000000002E-3</v>
      </c>
      <c r="G28" s="66">
        <v>0</v>
      </c>
      <c r="H28" s="66">
        <v>5.8870400000000003E-2</v>
      </c>
    </row>
    <row r="29" spans="1:8">
      <c r="A29" s="58" t="s">
        <v>326</v>
      </c>
      <c r="B29" s="66">
        <v>72.996300000000005</v>
      </c>
      <c r="C29" s="66">
        <v>7.8822599999999996</v>
      </c>
      <c r="D29" s="66">
        <v>0.10798199999999999</v>
      </c>
      <c r="E29" s="66">
        <v>0</v>
      </c>
      <c r="F29" s="66">
        <v>54.885599999999997</v>
      </c>
      <c r="G29" s="66">
        <v>0</v>
      </c>
      <c r="H29" s="66">
        <v>95.7166</v>
      </c>
    </row>
    <row r="30" spans="1:8">
      <c r="A30" s="58" t="s">
        <v>327</v>
      </c>
      <c r="B30" s="66">
        <v>32.556399999999996</v>
      </c>
      <c r="C30" s="66">
        <v>6.2410500000000004</v>
      </c>
      <c r="D30" s="66">
        <v>0.19169900000000001</v>
      </c>
      <c r="E30" s="66">
        <v>0</v>
      </c>
      <c r="F30" s="66">
        <v>13.977</v>
      </c>
      <c r="G30" s="66">
        <v>0</v>
      </c>
      <c r="H30" s="66">
        <v>36.965699999999998</v>
      </c>
    </row>
    <row r="31" spans="1:8">
      <c r="A31" s="58" t="s">
        <v>328</v>
      </c>
      <c r="B31" s="66">
        <v>126.474</v>
      </c>
      <c r="C31" s="66">
        <v>24.505299999999998</v>
      </c>
      <c r="D31" s="66">
        <v>0.19375700000000001</v>
      </c>
      <c r="E31" s="66">
        <v>0</v>
      </c>
      <c r="F31" s="66">
        <v>57.045400000000001</v>
      </c>
      <c r="G31" s="66">
        <v>0</v>
      </c>
      <c r="H31" s="66">
        <v>150.678</v>
      </c>
    </row>
    <row r="32" spans="1:8">
      <c r="A32" s="58" t="s">
        <v>329</v>
      </c>
      <c r="B32" s="66">
        <v>0.156746</v>
      </c>
      <c r="C32" s="66">
        <v>4.8141799999999998E-2</v>
      </c>
      <c r="D32" s="66">
        <v>0.30713299999999999</v>
      </c>
      <c r="E32" s="66">
        <v>0.15</v>
      </c>
      <c r="F32" s="66">
        <v>3.7533400000000001E-2</v>
      </c>
      <c r="G32" s="66">
        <v>0.4</v>
      </c>
      <c r="H32" s="66">
        <v>0.357962</v>
      </c>
    </row>
    <row r="33" spans="1:8">
      <c r="A33" s="58" t="s">
        <v>330</v>
      </c>
      <c r="B33" s="66">
        <v>0.38499299999999997</v>
      </c>
      <c r="C33" s="66">
        <v>1.9223299999999999E-2</v>
      </c>
      <c r="D33" s="66">
        <v>4.9931499999999997E-2</v>
      </c>
      <c r="E33" s="66">
        <v>0</v>
      </c>
      <c r="F33" s="66">
        <v>0.34298400000000001</v>
      </c>
      <c r="G33" s="66">
        <v>0</v>
      </c>
      <c r="H33" s="66">
        <v>0.426537</v>
      </c>
    </row>
    <row r="34" spans="1:8">
      <c r="A34" s="58" t="s">
        <v>331</v>
      </c>
      <c r="B34" s="66">
        <v>0.200318</v>
      </c>
      <c r="C34" s="66">
        <v>3.47856E-2</v>
      </c>
      <c r="D34" s="66">
        <v>0.173652</v>
      </c>
      <c r="E34" s="66">
        <v>0.1</v>
      </c>
      <c r="F34" s="66">
        <v>0.142709</v>
      </c>
      <c r="G34" s="66">
        <v>0.25</v>
      </c>
      <c r="H34" s="66">
        <v>0.29946</v>
      </c>
    </row>
    <row r="35" spans="1:8">
      <c r="A35" s="58" t="s">
        <v>332</v>
      </c>
      <c r="B35" s="66">
        <v>8.0999799999999997E-2</v>
      </c>
      <c r="C35" s="66">
        <v>2.04797E-2</v>
      </c>
      <c r="D35" s="66">
        <v>0.25283699999999998</v>
      </c>
      <c r="E35" s="66">
        <v>0</v>
      </c>
      <c r="F35" s="66">
        <v>2.019E-2</v>
      </c>
      <c r="G35" s="66">
        <v>0</v>
      </c>
      <c r="H35" s="66">
        <v>0.15426000000000001</v>
      </c>
    </row>
    <row r="36" spans="1:8">
      <c r="A36" s="58" t="s">
        <v>333</v>
      </c>
      <c r="B36" s="66">
        <v>0.18291499999999999</v>
      </c>
      <c r="C36" s="66">
        <v>9.6360399999999999E-2</v>
      </c>
      <c r="D36" s="66">
        <v>0.52680300000000002</v>
      </c>
      <c r="E36" s="66">
        <v>0</v>
      </c>
      <c r="F36" s="66">
        <v>3.5914500000000002E-2</v>
      </c>
      <c r="G36" s="66">
        <v>0</v>
      </c>
      <c r="H36" s="66">
        <v>0.47098400000000001</v>
      </c>
    </row>
    <row r="37" spans="1:8">
      <c r="A37" s="58" t="s">
        <v>334</v>
      </c>
      <c r="B37" s="66">
        <v>0.347856</v>
      </c>
      <c r="C37" s="66">
        <v>0.12776599999999999</v>
      </c>
      <c r="D37" s="66">
        <v>0.36729600000000001</v>
      </c>
      <c r="E37" s="66">
        <v>0.1</v>
      </c>
      <c r="F37" s="66">
        <v>2.7052699999999999E-2</v>
      </c>
      <c r="G37" s="66">
        <v>0.5</v>
      </c>
      <c r="H37" s="66">
        <v>0.40947499999999998</v>
      </c>
    </row>
    <row r="38" spans="1:8">
      <c r="A38" s="58" t="s">
        <v>335</v>
      </c>
      <c r="B38" s="66">
        <v>25.588799999999999</v>
      </c>
      <c r="C38" s="66">
        <v>29.644400000000001</v>
      </c>
      <c r="D38" s="66">
        <v>1.15849</v>
      </c>
      <c r="E38" s="66">
        <v>0</v>
      </c>
      <c r="F38" s="66">
        <v>-50.3371</v>
      </c>
      <c r="G38" s="66">
        <v>0</v>
      </c>
      <c r="H38" s="66">
        <v>132.45599999999999</v>
      </c>
    </row>
    <row r="39" spans="1:8">
      <c r="A39" s="58" t="s">
        <v>336</v>
      </c>
      <c r="B39" s="66">
        <v>9.0316799999999997</v>
      </c>
      <c r="C39" s="66">
        <v>5.9089900000000002</v>
      </c>
      <c r="D39" s="66">
        <v>0.65425100000000003</v>
      </c>
      <c r="E39" s="66">
        <v>0</v>
      </c>
      <c r="F39" s="66">
        <v>-13.0229</v>
      </c>
      <c r="G39" s="66">
        <v>0</v>
      </c>
      <c r="H39" s="66">
        <v>26.148900000000001</v>
      </c>
    </row>
    <row r="40" spans="1:8">
      <c r="A40" s="58" t="s">
        <v>337</v>
      </c>
      <c r="B40" s="66">
        <v>5.7839499999999999</v>
      </c>
      <c r="C40" s="66">
        <v>1.2379599999999999</v>
      </c>
      <c r="D40" s="66">
        <v>0.214033</v>
      </c>
      <c r="E40" s="66">
        <v>0</v>
      </c>
      <c r="F40" s="66">
        <v>2.2970600000000001</v>
      </c>
      <c r="G40" s="66">
        <v>0</v>
      </c>
      <c r="H40" s="66">
        <v>7.2856500000000004</v>
      </c>
    </row>
    <row r="41" spans="1:8">
      <c r="A41" s="58" t="s">
        <v>338</v>
      </c>
      <c r="B41" s="66">
        <v>0.206457</v>
      </c>
      <c r="C41" s="66">
        <v>0.19000900000000001</v>
      </c>
      <c r="D41" s="66">
        <v>0.92033200000000004</v>
      </c>
      <c r="E41" s="66">
        <v>0</v>
      </c>
      <c r="F41" s="66">
        <v>-0.74358999999999997</v>
      </c>
      <c r="G41" s="66">
        <v>0</v>
      </c>
      <c r="H41" s="66">
        <v>0.77391299999999996</v>
      </c>
    </row>
    <row r="42" spans="1:8">
      <c r="A42" s="58" t="s">
        <v>339</v>
      </c>
      <c r="B42" s="66">
        <v>0.15127199999999999</v>
      </c>
      <c r="C42" s="66">
        <v>0.100495</v>
      </c>
      <c r="D42" s="66">
        <v>0.66433299999999995</v>
      </c>
      <c r="E42" s="66">
        <v>0</v>
      </c>
      <c r="F42" s="66">
        <v>-0.18939</v>
      </c>
      <c r="G42" s="66">
        <v>0</v>
      </c>
      <c r="H42" s="66">
        <v>0.34887000000000001</v>
      </c>
    </row>
    <row r="43" spans="1:8">
      <c r="A43" s="58" t="s">
        <v>340</v>
      </c>
      <c r="B43" s="66">
        <v>0.13115299999999999</v>
      </c>
      <c r="C43" s="66">
        <v>2.6547899999999999E-2</v>
      </c>
      <c r="D43" s="66">
        <v>0.20241999999999999</v>
      </c>
      <c r="E43" s="66">
        <v>0</v>
      </c>
      <c r="F43" s="66">
        <v>7.0672499999999999E-2</v>
      </c>
      <c r="G43" s="66">
        <v>0</v>
      </c>
      <c r="H43" s="66">
        <v>0.1847</v>
      </c>
    </row>
    <row r="44" spans="1:8">
      <c r="A44" s="58" t="s">
        <v>341</v>
      </c>
      <c r="B44" s="66">
        <v>16.731999999999999</v>
      </c>
      <c r="C44" s="66">
        <v>8.4122000000000003</v>
      </c>
      <c r="D44" s="66">
        <v>0.50276299999999996</v>
      </c>
      <c r="E44" s="66">
        <v>0</v>
      </c>
      <c r="F44" s="66">
        <v>1.1566700000000001</v>
      </c>
      <c r="G44" s="66">
        <v>0</v>
      </c>
      <c r="H44" s="66">
        <v>33.3277</v>
      </c>
    </row>
    <row r="45" spans="1:8">
      <c r="A45" s="58" t="s">
        <v>342</v>
      </c>
      <c r="B45" s="66">
        <v>58.067399999999999</v>
      </c>
      <c r="C45" s="66">
        <v>4.13802</v>
      </c>
      <c r="D45" s="66">
        <v>7.1262300000000001E-2</v>
      </c>
      <c r="E45" s="66">
        <v>0</v>
      </c>
      <c r="F45" s="66">
        <v>47.371000000000002</v>
      </c>
      <c r="G45" s="66">
        <v>0</v>
      </c>
      <c r="H45" s="66">
        <v>66.760900000000007</v>
      </c>
    </row>
    <row r="46" spans="1:8">
      <c r="A46" s="58" t="s">
        <v>343</v>
      </c>
      <c r="B46" s="66">
        <v>39.817</v>
      </c>
      <c r="C46" s="66">
        <v>7.8598400000000002</v>
      </c>
      <c r="D46" s="66">
        <v>0.19739899999999999</v>
      </c>
      <c r="E46" s="66">
        <v>0</v>
      </c>
      <c r="F46" s="66">
        <v>12.338800000000001</v>
      </c>
      <c r="G46" s="66">
        <v>0</v>
      </c>
      <c r="H46" s="66">
        <v>43.3752</v>
      </c>
    </row>
    <row r="47" spans="1:8">
      <c r="A47" s="58" t="s">
        <v>344</v>
      </c>
      <c r="B47" s="66">
        <v>1.1188800000000001</v>
      </c>
      <c r="C47" s="66">
        <v>0.34275499999999998</v>
      </c>
      <c r="D47" s="66">
        <v>0.30633700000000003</v>
      </c>
      <c r="E47" s="66">
        <v>0</v>
      </c>
      <c r="F47" s="66">
        <v>0.42685899999999999</v>
      </c>
      <c r="G47" s="66">
        <v>0</v>
      </c>
      <c r="H47" s="66">
        <v>2.2809499999999998</v>
      </c>
    </row>
    <row r="48" spans="1:8">
      <c r="A48" s="58" t="s">
        <v>345</v>
      </c>
      <c r="B48" s="66">
        <v>1.2528600000000001</v>
      </c>
      <c r="C48" s="66">
        <v>0.10463</v>
      </c>
      <c r="D48" s="66">
        <v>8.3512699999999995E-2</v>
      </c>
      <c r="E48" s="66">
        <v>0</v>
      </c>
      <c r="F48" s="66">
        <v>1.04372</v>
      </c>
      <c r="G48" s="66">
        <v>0</v>
      </c>
      <c r="H48" s="66">
        <v>1.5130699999999999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4.8856999999999999</v>
      </c>
      <c r="C5" s="66">
        <f>'M2'!C5-'M1'!C5</f>
        <v>-9.8051900000000014</v>
      </c>
      <c r="D5" s="66">
        <f>'M2'!D5-'M1'!D5</f>
        <v>-20.838700000000003</v>
      </c>
      <c r="E5" s="66">
        <f>'M2'!E5-'M1'!E5</f>
        <v>0</v>
      </c>
      <c r="F5" s="66">
        <f>'M2'!F5-'M1'!F5</f>
        <v>32.855899999999998</v>
      </c>
      <c r="G5" s="66">
        <f>'M2'!G5-'M1'!G5</f>
        <v>0</v>
      </c>
      <c r="H5" s="66">
        <f>'M2'!H5-'M1'!H5</f>
        <v>0.47390000000000043</v>
      </c>
    </row>
    <row r="6" spans="1:8">
      <c r="A6" s="66" t="s">
        <v>244</v>
      </c>
      <c r="B6" s="66">
        <f>'M2'!B6-'M1'!B6</f>
        <v>2.4097999999999971</v>
      </c>
      <c r="C6" s="66">
        <f>'M2'!C6-'M1'!C6</f>
        <v>-0.97787299999999999</v>
      </c>
      <c r="D6" s="66">
        <f>'M2'!D6-'M1'!D6</f>
        <v>-3.53877</v>
      </c>
      <c r="E6" s="66">
        <f>'M2'!E6-'M1'!E6</f>
        <v>0</v>
      </c>
      <c r="F6" s="66">
        <f>'M2'!F6-'M1'!F6</f>
        <v>5.2835000000000001</v>
      </c>
      <c r="G6" s="66">
        <f>'M2'!G6-'M1'!G6</f>
        <v>0</v>
      </c>
      <c r="H6" s="66">
        <f>'M2'!H6-'M1'!H6</f>
        <v>1.3147999999999982</v>
      </c>
    </row>
    <row r="7" spans="1:8">
      <c r="A7" s="66" t="s">
        <v>245</v>
      </c>
      <c r="B7" s="66">
        <f>'M2'!B7-'M1'!B7</f>
        <v>-3.3206999999999987</v>
      </c>
      <c r="C7" s="66">
        <f>'M2'!C7-'M1'!C7</f>
        <v>-1.30037</v>
      </c>
      <c r="D7" s="66">
        <f>'M2'!D7-'M1'!D7</f>
        <v>-2.157</v>
      </c>
      <c r="E7" s="66">
        <f>'M2'!E7-'M1'!E7</f>
        <v>0</v>
      </c>
      <c r="F7" s="66">
        <f>'M2'!F7-'M1'!F7</f>
        <v>3.96034</v>
      </c>
      <c r="G7" s="66">
        <f>'M2'!G7-'M1'!G7</f>
        <v>0</v>
      </c>
      <c r="H7" s="66">
        <f>'M2'!H7-'M1'!H7</f>
        <v>-7.4457999999999984</v>
      </c>
    </row>
    <row r="8" spans="1:8">
      <c r="A8" s="66" t="s">
        <v>246</v>
      </c>
      <c r="B8" s="66">
        <f>'M2'!B8-'M1'!B8</f>
        <v>2.4223000000000035</v>
      </c>
      <c r="C8" s="66">
        <f>'M2'!C8-'M1'!C8</f>
        <v>-3.5247299999999999</v>
      </c>
      <c r="D8" s="66">
        <f>'M2'!D8-'M1'!D8</f>
        <v>-11.781610000000001</v>
      </c>
      <c r="E8" s="66">
        <f>'M2'!E8-'M1'!E8</f>
        <v>0</v>
      </c>
      <c r="F8" s="66">
        <f>'M2'!F8-'M1'!F8</f>
        <v>15.253100000000002</v>
      </c>
      <c r="G8" s="66">
        <f>'M2'!G8-'M1'!G8</f>
        <v>0</v>
      </c>
      <c r="H8" s="66">
        <f>'M2'!H8-'M1'!H8</f>
        <v>2.3248000000000033</v>
      </c>
    </row>
    <row r="9" spans="1:8">
      <c r="A9" s="66" t="s">
        <v>247</v>
      </c>
      <c r="B9" s="66">
        <f>'M2'!B9-'M1'!B9</f>
        <v>1.3111000000000033</v>
      </c>
      <c r="C9" s="66">
        <f>'M2'!C9-'M1'!C9</f>
        <v>-2.6501900000000003</v>
      </c>
      <c r="D9" s="66">
        <f>'M2'!D9-'M1'!D9</f>
        <v>-4.4502499999999996</v>
      </c>
      <c r="E9" s="66">
        <f>'M2'!E9-'M1'!E9</f>
        <v>0</v>
      </c>
      <c r="F9" s="66">
        <f>'M2'!F9-'M1'!F9</f>
        <v>3.7005999999999943</v>
      </c>
      <c r="G9" s="66">
        <f>'M2'!G9-'M1'!G9</f>
        <v>0</v>
      </c>
      <c r="H9" s="66">
        <f>'M2'!H9-'M1'!H9</f>
        <v>-1.5028000000000077</v>
      </c>
    </row>
    <row r="10" spans="1:8">
      <c r="A10" s="66" t="s">
        <v>248</v>
      </c>
      <c r="B10" s="66">
        <f>'M2'!B10-'M1'!B10</f>
        <v>-7.9752999999999972</v>
      </c>
      <c r="C10" s="66">
        <f>'M2'!C10-'M1'!C10</f>
        <v>-7.0002699999999995</v>
      </c>
      <c r="D10" s="66">
        <f>'M2'!D10-'M1'!D10</f>
        <v>-9.5782899999999991</v>
      </c>
      <c r="E10" s="66">
        <f>'M2'!E10-'M1'!E10</f>
        <v>0</v>
      </c>
      <c r="F10" s="66">
        <f>'M2'!F10-'M1'!F10</f>
        <v>2.6015999999999977</v>
      </c>
      <c r="G10" s="66">
        <f>'M2'!G10-'M1'!G10</f>
        <v>0</v>
      </c>
      <c r="H10" s="66">
        <f>'M2'!H10-'M1'!H10</f>
        <v>-14.886200000000002</v>
      </c>
    </row>
    <row r="11" spans="1:8">
      <c r="A11" s="66" t="s">
        <v>249</v>
      </c>
      <c r="B11" s="66">
        <f>'M2'!B11-'M1'!B11</f>
        <v>6.3342999999999954</v>
      </c>
      <c r="C11" s="66">
        <f>'M2'!C11-'M1'!C11</f>
        <v>-6.8912599999999999</v>
      </c>
      <c r="D11" s="66">
        <f>'M2'!D11-'M1'!D11</f>
        <v>-23.76041</v>
      </c>
      <c r="E11" s="66">
        <f>'M2'!E11-'M1'!E11</f>
        <v>0</v>
      </c>
      <c r="F11" s="66">
        <f>'M2'!F11-'M1'!F11</f>
        <v>23.999739999999999</v>
      </c>
      <c r="G11" s="66">
        <f>'M2'!G11-'M1'!G11</f>
        <v>0</v>
      </c>
      <c r="H11" s="66">
        <f>'M2'!H11-'M1'!H11</f>
        <v>2.4371999999999971</v>
      </c>
    </row>
    <row r="12" spans="1:8">
      <c r="A12" s="66" t="s">
        <v>250</v>
      </c>
      <c r="B12" s="66">
        <f>'M2'!B12-'M1'!B12</f>
        <v>-2.2509999999999977</v>
      </c>
      <c r="C12" s="66">
        <f>'M2'!C12-'M1'!C12</f>
        <v>-4.4658700000000007</v>
      </c>
      <c r="D12" s="66">
        <f>'M2'!D12-'M1'!D12</f>
        <v>-6.7253999999999996</v>
      </c>
      <c r="E12" s="66">
        <f>'M2'!E12-'M1'!E12</f>
        <v>0</v>
      </c>
      <c r="F12" s="66">
        <f>'M2'!F12-'M1'!F12</f>
        <v>3.0343000000000018</v>
      </c>
      <c r="G12" s="66">
        <f>'M2'!G12-'M1'!G12</f>
        <v>0</v>
      </c>
      <c r="H12" s="66">
        <f>'M2'!H12-'M1'!H12</f>
        <v>-9.0502999999999929</v>
      </c>
    </row>
    <row r="13" spans="1:8">
      <c r="A13" s="66" t="s">
        <v>251</v>
      </c>
      <c r="B13" s="66">
        <f>'M2'!B13-'M1'!B13</f>
        <v>3.8140000000000001</v>
      </c>
      <c r="C13" s="66">
        <f>'M2'!C13-'M1'!C13</f>
        <v>-1.0861400000000003</v>
      </c>
      <c r="D13" s="66">
        <f>'M2'!D13-'M1'!D13</f>
        <v>-8.8527999999999984</v>
      </c>
      <c r="E13" s="66">
        <f>'M2'!E13-'M1'!E13</f>
        <v>0</v>
      </c>
      <c r="F13" s="66">
        <f>'M2'!F13-'M1'!F13</f>
        <v>1.7983999999999991</v>
      </c>
      <c r="G13" s="66">
        <f>'M2'!G13-'M1'!G13</f>
        <v>0</v>
      </c>
      <c r="H13" s="66">
        <f>'M2'!H13-'M1'!H13</f>
        <v>-1.7225999999999999</v>
      </c>
    </row>
    <row r="14" spans="1:8">
      <c r="A14" s="66" t="s">
        <v>252</v>
      </c>
      <c r="B14" s="66">
        <f>'M2'!B14-'M1'!B14</f>
        <v>-10.8614</v>
      </c>
      <c r="C14" s="66">
        <f>'M2'!C14-'M1'!C14</f>
        <v>2.8692999999999991</v>
      </c>
      <c r="D14" s="66">
        <f>'M2'!D14-'M1'!D14</f>
        <v>22.5106</v>
      </c>
      <c r="E14" s="66">
        <f>'M2'!E14-'M1'!E14</f>
        <v>0</v>
      </c>
      <c r="F14" s="66">
        <f>'M2'!F14-'M1'!F14</f>
        <v>0.33762999999999987</v>
      </c>
      <c r="G14" s="66">
        <f>'M2'!G14-'M1'!G14</f>
        <v>0</v>
      </c>
      <c r="H14" s="66">
        <f>'M2'!H14-'M1'!H14</f>
        <v>1.9908999999999963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-1.1190000000000366E-3</v>
      </c>
      <c r="C18" s="66">
        <f>'M2'!C18-'M1'!C18</f>
        <v>8.5166099999999995E-2</v>
      </c>
      <c r="D18" s="66">
        <f>'M2'!D18-'M1'!D18</f>
        <v>0.21171400000000001</v>
      </c>
      <c r="E18" s="66">
        <f>'M2'!E18-'M1'!E18</f>
        <v>0</v>
      </c>
      <c r="F18" s="66">
        <f>'M2'!F18-'M1'!F18</f>
        <v>0.31710300000000002</v>
      </c>
      <c r="G18" s="66">
        <f>'M2'!G18-'M1'!G18</f>
        <v>0</v>
      </c>
      <c r="H18" s="66">
        <f>'M2'!H18-'M1'!H18</f>
        <v>0.48743500000000001</v>
      </c>
    </row>
    <row r="19" spans="1:8">
      <c r="A19" s="66" t="s">
        <v>256</v>
      </c>
      <c r="B19" s="66">
        <f>'M2'!B19-'M1'!B19</f>
        <v>4.7370999999999996E-2</v>
      </c>
      <c r="C19" s="66">
        <f>'M2'!C19-'M1'!C19</f>
        <v>6.0566799999999997E-2</v>
      </c>
      <c r="D19" s="66">
        <f>'M2'!D19-'M1'!D19</f>
        <v>0.14144000000000001</v>
      </c>
      <c r="E19" s="66">
        <f>'M2'!E19-'M1'!E19</f>
        <v>0</v>
      </c>
      <c r="F19" s="66">
        <f>'M2'!F19-'M1'!F19</f>
        <v>0.367647</v>
      </c>
      <c r="G19" s="66">
        <f>'M2'!G19-'M1'!G19</f>
        <v>0</v>
      </c>
      <c r="H19" s="66">
        <f>'M2'!H19-'M1'!H19</f>
        <v>0.48878100000000002</v>
      </c>
    </row>
    <row r="20" spans="1:8">
      <c r="A20" s="66" t="s">
        <v>63</v>
      </c>
      <c r="B20" s="66">
        <f>'M2'!B20-'M1'!B20</f>
        <v>9.0509999999999896E-4</v>
      </c>
      <c r="C20" s="66">
        <f>'M2'!C20-'M1'!C20</f>
        <v>2.9590599999999995E-3</v>
      </c>
      <c r="D20" s="66">
        <f>'M2'!D20-'M1'!D20</f>
        <v>0.18069299999999999</v>
      </c>
      <c r="E20" s="66">
        <f>'M2'!E20-'M1'!E20</f>
        <v>0</v>
      </c>
      <c r="F20" s="66">
        <f>'M2'!F20-'M1'!F20</f>
        <v>-6.8759999999999308E-5</v>
      </c>
      <c r="G20" s="66">
        <f>'M2'!G20-'M1'!G20</f>
        <v>0</v>
      </c>
      <c r="H20" s="66">
        <f>'M2'!H20-'M1'!H20</f>
        <v>3.0291100000000001E-2</v>
      </c>
    </row>
    <row r="21" spans="1:8">
      <c r="A21" s="66" t="s">
        <v>64</v>
      </c>
      <c r="B21" s="66">
        <f>'M2'!B21-'M1'!B21</f>
        <v>2.7246999999999993E-2</v>
      </c>
      <c r="C21" s="66">
        <f>'M2'!C21-'M1'!C21</f>
        <v>3.0229000000000006E-2</v>
      </c>
      <c r="D21" s="66">
        <f>'M2'!D21-'M1'!D21</f>
        <v>-4.4219999999999926E-2</v>
      </c>
      <c r="E21" s="66">
        <f>'M2'!E21-'M1'!E21</f>
        <v>0</v>
      </c>
      <c r="F21" s="66">
        <f>'M2'!F21-'M1'!F21</f>
        <v>-7.2350000000000018E-4</v>
      </c>
      <c r="G21" s="66">
        <f>'M2'!G21-'M1'!G21</f>
        <v>0</v>
      </c>
      <c r="H21" s="66">
        <f>'M2'!H21-'M1'!H21</f>
        <v>0.17845899999999992</v>
      </c>
    </row>
    <row r="22" spans="1:8">
      <c r="A22" s="66" t="s">
        <v>65</v>
      </c>
      <c r="B22" s="66">
        <f>'M2'!B22-'M1'!B22</f>
        <v>2.7835999999999999</v>
      </c>
      <c r="C22" s="66">
        <f>'M2'!C22-'M1'!C22</f>
        <v>-1.3027599999999993</v>
      </c>
      <c r="D22" s="66">
        <f>'M2'!D22-'M1'!D22</f>
        <v>-4.9369999999999997E-2</v>
      </c>
      <c r="E22" s="66">
        <f>'M2'!E22-'M1'!E22</f>
        <v>0</v>
      </c>
      <c r="F22" s="66">
        <f>'M2'!F22-'M1'!F22</f>
        <v>5.5221000000000018</v>
      </c>
      <c r="G22" s="66">
        <f>'M2'!G22-'M1'!G22</f>
        <v>0</v>
      </c>
      <c r="H22" s="66">
        <f>'M2'!H22-'M1'!H22</f>
        <v>-3.1903000000000077</v>
      </c>
    </row>
    <row r="23" spans="1:8">
      <c r="A23" s="66" t="s">
        <v>66</v>
      </c>
      <c r="B23" s="66">
        <f>'M2'!B23-'M1'!B23</f>
        <v>4.7900999999999989</v>
      </c>
      <c r="C23" s="66">
        <f>'M2'!C23-'M1'!C23</f>
        <v>-1.904928</v>
      </c>
      <c r="D23" s="66">
        <f>'M2'!D23-'M1'!D23</f>
        <v>-0.11018600000000001</v>
      </c>
      <c r="E23" s="66">
        <f>'M2'!E23-'M1'!E23</f>
        <v>0</v>
      </c>
      <c r="F23" s="66">
        <f>'M2'!F23-'M1'!F23</f>
        <v>8.3714000000000013</v>
      </c>
      <c r="G23" s="66">
        <f>'M2'!G23-'M1'!G23</f>
        <v>0</v>
      </c>
      <c r="H23" s="66">
        <f>'M2'!H23-'M1'!H23</f>
        <v>2.3261000000000003</v>
      </c>
    </row>
    <row r="24" spans="1:8">
      <c r="A24" s="66" t="s">
        <v>67</v>
      </c>
      <c r="B24" s="66">
        <f>'M2'!B24-'M1'!B24</f>
        <v>9.5079999999999991E-4</v>
      </c>
      <c r="C24" s="66">
        <f>'M2'!C24-'M1'!C24</f>
        <v>2.0710699999999995E-3</v>
      </c>
      <c r="D24" s="66">
        <f>'M2'!D24-'M1'!D24</f>
        <v>0.118286</v>
      </c>
      <c r="E24" s="66">
        <f>'M2'!E24-'M1'!E24</f>
        <v>0</v>
      </c>
      <c r="F24" s="66">
        <f>'M2'!F24-'M1'!F24</f>
        <v>1.8010000000000595E-5</v>
      </c>
      <c r="G24" s="66">
        <f>'M2'!G24-'M1'!G24</f>
        <v>0</v>
      </c>
      <c r="H24" s="66">
        <f>'M2'!H24-'M1'!H24</f>
        <v>8.4446999999999994E-3</v>
      </c>
    </row>
    <row r="25" spans="1:8">
      <c r="A25" s="66" t="s">
        <v>68</v>
      </c>
      <c r="B25" s="66">
        <f>'M2'!B25-'M1'!B25</f>
        <v>3.4007999999999983E-2</v>
      </c>
      <c r="C25" s="66">
        <f>'M2'!C25-'M1'!C25</f>
        <v>-1.8975900000000004E-2</v>
      </c>
      <c r="D25" s="66">
        <f>'M2'!D25-'M1'!D25</f>
        <v>-0.20947699999999997</v>
      </c>
      <c r="E25" s="66">
        <f>'M2'!E25-'M1'!E25</f>
        <v>0</v>
      </c>
      <c r="F25" s="66">
        <f>'M2'!F25-'M1'!F25</f>
        <v>3.9413700000000003E-2</v>
      </c>
      <c r="G25" s="66">
        <f>'M2'!G25-'M1'!G25</f>
        <v>0</v>
      </c>
      <c r="H25" s="66">
        <f>'M2'!H25-'M1'!H25</f>
        <v>-0.17541299999999999</v>
      </c>
    </row>
    <row r="26" spans="1:8">
      <c r="A26" s="66" t="s">
        <v>69</v>
      </c>
      <c r="B26" s="66">
        <f>'M2'!B26-'M1'!B26</f>
        <v>2.3141999999999998E-4</v>
      </c>
      <c r="C26" s="66">
        <f>'M2'!C26-'M1'!C26</f>
        <v>4.1473999999999981E-4</v>
      </c>
      <c r="D26" s="66">
        <f>'M2'!D26-'M1'!D26</f>
        <v>0.12416100000000008</v>
      </c>
      <c r="E26" s="66">
        <f>'M2'!E26-'M1'!E26</f>
        <v>0</v>
      </c>
      <c r="F26" s="66">
        <f>'M2'!F26-'M1'!F26</f>
        <v>1.6409999999999906E-5</v>
      </c>
      <c r="G26" s="66">
        <f>'M2'!G26-'M1'!G26</f>
        <v>0</v>
      </c>
      <c r="H26" s="66">
        <f>'M2'!H26-'M1'!H26</f>
        <v>4.3001999999999988E-3</v>
      </c>
    </row>
    <row r="27" spans="1:8">
      <c r="A27" s="66" t="s">
        <v>70</v>
      </c>
      <c r="B27" s="66">
        <f>'M2'!B27-'M1'!B27</f>
        <v>-2.6260599999999997E-5</v>
      </c>
      <c r="C27" s="66">
        <f>'M2'!C27-'M1'!C27</f>
        <v>1.5988899999999997E-4</v>
      </c>
      <c r="D27" s="66">
        <f>'M2'!D27-'M1'!D27</f>
        <v>153.52610000000001</v>
      </c>
      <c r="E27" s="66">
        <f>'M2'!E27-'M1'!E27</f>
        <v>0</v>
      </c>
      <c r="F27" s="66">
        <f>'M2'!F27-'M1'!F27</f>
        <v>-6.5600000000000727E-6</v>
      </c>
      <c r="G27" s="66">
        <f>'M2'!G27-'M1'!G27</f>
        <v>0</v>
      </c>
      <c r="H27" s="66">
        <f>'M2'!H27-'M1'!H27</f>
        <v>2.1894700000000007E-3</v>
      </c>
    </row>
    <row r="28" spans="1:8">
      <c r="A28" s="66" t="s">
        <v>71</v>
      </c>
      <c r="B28" s="66">
        <f>'M2'!B28-'M1'!B28</f>
        <v>3.0387000000000018E-3</v>
      </c>
      <c r="C28" s="66">
        <f>'M2'!C28-'M1'!C28</f>
        <v>1.5718999999999993E-3</v>
      </c>
      <c r="D28" s="66">
        <f>'M2'!D28-'M1'!D28</f>
        <v>-3.9406000000000052E-2</v>
      </c>
      <c r="E28" s="66">
        <f>'M2'!E28-'M1'!E28</f>
        <v>0</v>
      </c>
      <c r="F28" s="66">
        <f>'M2'!F28-'M1'!F28</f>
        <v>-4.8503000000000001E-4</v>
      </c>
      <c r="G28" s="66">
        <f>'M2'!G28-'M1'!G28</f>
        <v>0</v>
      </c>
      <c r="H28" s="66">
        <f>'M2'!H28-'M1'!H28</f>
        <v>3.1022000000000063E-3</v>
      </c>
    </row>
    <row r="29" spans="1:8">
      <c r="A29" s="66" t="s">
        <v>72</v>
      </c>
      <c r="B29" s="66">
        <f>'M2'!B29-'M1'!B29</f>
        <v>-2.5320000000000107</v>
      </c>
      <c r="C29" s="66">
        <f>'M2'!C29-'M1'!C29</f>
        <v>-1.0938299999999987</v>
      </c>
      <c r="D29" s="66">
        <f>'M2'!D29-'M1'!D29</f>
        <v>-1.1227000000000001E-2</v>
      </c>
      <c r="E29" s="66">
        <f>'M2'!E29-'M1'!E29</f>
        <v>0</v>
      </c>
      <c r="F29" s="66">
        <f>'M2'!F29-'M1'!F29</f>
        <v>3.1219000000000037</v>
      </c>
      <c r="G29" s="66">
        <f>'M2'!G29-'M1'!G29</f>
        <v>0</v>
      </c>
      <c r="H29" s="66">
        <f>'M2'!H29-'M1'!H29</f>
        <v>7.5769999999999982</v>
      </c>
    </row>
    <row r="30" spans="1:8">
      <c r="A30" s="66" t="s">
        <v>73</v>
      </c>
      <c r="B30" s="66">
        <f>'M2'!B30-'M1'!B30</f>
        <v>6.7096000000000018</v>
      </c>
      <c r="C30" s="66">
        <f>'M2'!C30-'M1'!C30</f>
        <v>-4.62296</v>
      </c>
      <c r="D30" s="66">
        <f>'M2'!D30-'M1'!D30</f>
        <v>-0.17573860000000002</v>
      </c>
      <c r="E30" s="66">
        <f>'M2'!E30-'M1'!E30</f>
        <v>0</v>
      </c>
      <c r="F30" s="66">
        <f>'M2'!F30-'M1'!F30</f>
        <v>17.687799999999999</v>
      </c>
      <c r="G30" s="66">
        <f>'M2'!G30-'M1'!G30</f>
        <v>0</v>
      </c>
      <c r="H30" s="66">
        <f>'M2'!H30-'M1'!H30</f>
        <v>3.0069000000000017</v>
      </c>
    </row>
    <row r="31" spans="1:8">
      <c r="A31" s="66" t="s">
        <v>74</v>
      </c>
      <c r="B31" s="66">
        <f>'M2'!B31-'M1'!B31</f>
        <v>24.498999999999995</v>
      </c>
      <c r="C31" s="66">
        <f>'M2'!C31-'M1'!C31</f>
        <v>-17.916699999999999</v>
      </c>
      <c r="D31" s="66">
        <f>'M2'!D31-'M1'!D31</f>
        <v>-0.18017420000000001</v>
      </c>
      <c r="E31" s="66">
        <f>'M2'!E31-'M1'!E31</f>
        <v>0</v>
      </c>
      <c r="F31" s="66">
        <f>'M2'!F31-'M1'!F31</f>
        <v>61.979600000000005</v>
      </c>
      <c r="G31" s="66">
        <f>'M2'!G31-'M1'!G31</f>
        <v>0</v>
      </c>
      <c r="H31" s="66">
        <f>'M2'!H31-'M1'!H31</f>
        <v>12.716000000000008</v>
      </c>
    </row>
    <row r="32" spans="1:8">
      <c r="A32" s="66" t="s">
        <v>75</v>
      </c>
      <c r="B32" s="66">
        <f>'M2'!B32-'M1'!B32</f>
        <v>-3.3206999999999987E-2</v>
      </c>
      <c r="C32" s="66">
        <f>'M2'!C32-'M1'!C32</f>
        <v>-1.30037E-2</v>
      </c>
      <c r="D32" s="66">
        <f>'M2'!D32-'M1'!D32</f>
        <v>-2.1569999999999978E-2</v>
      </c>
      <c r="E32" s="66">
        <f>'M2'!E32-'M1'!E32</f>
        <v>0</v>
      </c>
      <c r="F32" s="66">
        <f>'M2'!F32-'M1'!F32</f>
        <v>3.9603400000000004E-2</v>
      </c>
      <c r="G32" s="66">
        <f>'M2'!G32-'M1'!G32</f>
        <v>0</v>
      </c>
      <c r="H32" s="66">
        <f>'M2'!H32-'M1'!H32</f>
        <v>-7.4458000000000024E-2</v>
      </c>
    </row>
    <row r="33" spans="1:8">
      <c r="A33" s="66" t="s">
        <v>76</v>
      </c>
      <c r="B33" s="66">
        <f>'M2'!B33-'M1'!B33</f>
        <v>1.9220000000000015E-2</v>
      </c>
      <c r="C33" s="66">
        <f>'M2'!C33-'M1'!C33</f>
        <v>-7.0049999999999991E-3</v>
      </c>
      <c r="D33" s="66">
        <f>'M2'!D33-'M1'!D33</f>
        <v>-2.0486799999999999E-2</v>
      </c>
      <c r="E33" s="66">
        <f>'M2'!E33-'M1'!E33</f>
        <v>0</v>
      </c>
      <c r="F33" s="66">
        <f>'M2'!F33-'M1'!F33</f>
        <v>1.8270999999999982E-2</v>
      </c>
      <c r="G33" s="66">
        <f>'M2'!G33-'M1'!G33</f>
        <v>0</v>
      </c>
      <c r="H33" s="66">
        <f>'M2'!H33-'M1'!H33</f>
        <v>-8.8320000000000065E-3</v>
      </c>
    </row>
    <row r="34" spans="1:8">
      <c r="A34" s="66" t="s">
        <v>77</v>
      </c>
      <c r="B34" s="66">
        <f>'M2'!B34-'M1'!B34</f>
        <v>3.8140000000000007E-2</v>
      </c>
      <c r="C34" s="66">
        <f>'M2'!C34-'M1'!C34</f>
        <v>-1.08614E-2</v>
      </c>
      <c r="D34" s="66">
        <f>'M2'!D34-'M1'!D34</f>
        <v>-8.8527999999999996E-2</v>
      </c>
      <c r="E34" s="66">
        <f>'M2'!E34-'M1'!E34</f>
        <v>0</v>
      </c>
      <c r="F34" s="66">
        <f>'M2'!F34-'M1'!F34</f>
        <v>1.7984E-2</v>
      </c>
      <c r="G34" s="66">
        <f>'M2'!G34-'M1'!G34</f>
        <v>0</v>
      </c>
      <c r="H34" s="66">
        <f>'M2'!H34-'M1'!H34</f>
        <v>-1.7226000000000019E-2</v>
      </c>
    </row>
    <row r="35" spans="1:8">
      <c r="A35" s="66" t="s">
        <v>78</v>
      </c>
      <c r="B35" s="66">
        <f>'M2'!B35-'M1'!B35</f>
        <v>4.1775000000000007E-3</v>
      </c>
      <c r="C35" s="66">
        <f>'M2'!C35-'M1'!C35</f>
        <v>-7.0009999999999864E-4</v>
      </c>
      <c r="D35" s="66">
        <f>'M2'!D35-'M1'!D35</f>
        <v>-2.1470999999999962E-2</v>
      </c>
      <c r="E35" s="66">
        <f>'M2'!E35-'M1'!E35</f>
        <v>0</v>
      </c>
      <c r="F35" s="66">
        <f>'M2'!F35-'M1'!F35</f>
        <v>1.8498300000000002E-2</v>
      </c>
      <c r="G35" s="66">
        <f>'M2'!G35-'M1'!G35</f>
        <v>0</v>
      </c>
      <c r="H35" s="66">
        <f>'M2'!H35-'M1'!H35</f>
        <v>4.4280000000000153E-3</v>
      </c>
    </row>
    <row r="36" spans="1:8">
      <c r="A36" s="66" t="s">
        <v>79</v>
      </c>
      <c r="B36" s="66">
        <f>'M2'!B36-'M1'!B36</f>
        <v>2.1780999999999995E-2</v>
      </c>
      <c r="C36" s="66">
        <f>'M2'!C36-'M1'!C36</f>
        <v>-1.2416999999999984E-3</v>
      </c>
      <c r="D36" s="66">
        <f>'M2'!D36-'M1'!D36</f>
        <v>-7.1825000000000028E-2</v>
      </c>
      <c r="E36" s="66">
        <f>'M2'!E36-'M1'!E36</f>
        <v>0</v>
      </c>
      <c r="F36" s="66">
        <f>'M2'!F36-'M1'!F36</f>
        <v>6.9449999999999998E-3</v>
      </c>
      <c r="G36" s="66">
        <f>'M2'!G36-'M1'!G36</f>
        <v>0</v>
      </c>
      <c r="H36" s="66">
        <f>'M2'!H36-'M1'!H36</f>
        <v>-3.7480000000000291E-3</v>
      </c>
    </row>
    <row r="37" spans="1:8">
      <c r="A37" s="66" t="s">
        <v>80</v>
      </c>
      <c r="B37" s="66">
        <f>'M2'!B37-'M1'!B37</f>
        <v>-0.10861399999999999</v>
      </c>
      <c r="C37" s="66">
        <f>'M2'!C37-'M1'!C37</f>
        <v>2.8692999999999982E-2</v>
      </c>
      <c r="D37" s="66">
        <f>'M2'!D37-'M1'!D37</f>
        <v>0.22510600000000003</v>
      </c>
      <c r="E37" s="66">
        <f>'M2'!E37-'M1'!E37</f>
        <v>0</v>
      </c>
      <c r="F37" s="66">
        <f>'M2'!F37-'M1'!F37</f>
        <v>3.3763000000000022E-3</v>
      </c>
      <c r="G37" s="66">
        <f>'M2'!G37-'M1'!G37</f>
        <v>0</v>
      </c>
      <c r="H37" s="66">
        <f>'M2'!H37-'M1'!H37</f>
        <v>1.9908999999999955E-2</v>
      </c>
    </row>
    <row r="38" spans="1:8">
      <c r="A38" s="66" t="s">
        <v>81</v>
      </c>
      <c r="B38" s="66">
        <f>'M2'!B38-'M1'!B38</f>
        <v>0.1205999999999996</v>
      </c>
      <c r="C38" s="66">
        <f>'M2'!C38-'M1'!C38</f>
        <v>4.3708000000000027</v>
      </c>
      <c r="D38" s="66">
        <f>'M2'!D38-'M1'!D38</f>
        <v>0.16498999999999997</v>
      </c>
      <c r="E38" s="66">
        <f>'M2'!E38-'M1'!E38</f>
        <v>0</v>
      </c>
      <c r="F38" s="66">
        <f>'M2'!F38-'M1'!F38</f>
        <v>3.9838000000000022</v>
      </c>
      <c r="G38" s="66">
        <f>'M2'!G38-'M1'!G38</f>
        <v>0</v>
      </c>
      <c r="H38" s="66">
        <f>'M2'!H38-'M1'!H38</f>
        <v>36.515699999999995</v>
      </c>
    </row>
    <row r="39" spans="1:8">
      <c r="A39" s="66" t="s">
        <v>82</v>
      </c>
      <c r="B39" s="66">
        <f>'M2'!B39-'M1'!B39</f>
        <v>-0.56940999999999953</v>
      </c>
      <c r="C39" s="66">
        <f>'M2'!C39-'M1'!C39</f>
        <v>-0.6161500000000002</v>
      </c>
      <c r="D39" s="66">
        <f>'M2'!D39-'M1'!D39</f>
        <v>-2.6985999999999954E-2</v>
      </c>
      <c r="E39" s="66">
        <f>'M2'!E39-'M1'!E39</f>
        <v>0</v>
      </c>
      <c r="F39" s="66">
        <f>'M2'!F39-'M1'!F39</f>
        <v>1.9334000000000007</v>
      </c>
      <c r="G39" s="66">
        <f>'M2'!G39-'M1'!G39</f>
        <v>0</v>
      </c>
      <c r="H39" s="66">
        <f>'M2'!H39-'M1'!H39</f>
        <v>-4.2577999999999996</v>
      </c>
    </row>
    <row r="40" spans="1:8">
      <c r="A40" s="66" t="s">
        <v>83</v>
      </c>
      <c r="B40" s="66">
        <f>'M2'!B40-'M1'!B40</f>
        <v>2.01694</v>
      </c>
      <c r="C40" s="66">
        <f>'M2'!C40-'M1'!C40</f>
        <v>-0.41835999999999995</v>
      </c>
      <c r="D40" s="66">
        <f>'M2'!D40-'M1'!D40</f>
        <v>-0.130278</v>
      </c>
      <c r="E40" s="66">
        <f>'M2'!E40-'M1'!E40</f>
        <v>0</v>
      </c>
      <c r="F40" s="66">
        <f>'M2'!F40-'M1'!F40</f>
        <v>2.5050099999999995</v>
      </c>
      <c r="G40" s="66">
        <f>'M2'!G40-'M1'!G40</f>
        <v>0</v>
      </c>
      <c r="H40" s="66">
        <f>'M2'!H40-'M1'!H40</f>
        <v>0.1351400000000007</v>
      </c>
    </row>
    <row r="41" spans="1:8">
      <c r="A41" s="66" t="s">
        <v>84</v>
      </c>
      <c r="B41" s="66">
        <f>'M2'!B41-'M1'!B41</f>
        <v>-2.1936000000000011E-2</v>
      </c>
      <c r="C41" s="66">
        <f>'M2'!C41-'M1'!C41</f>
        <v>2.8083999999999998E-2</v>
      </c>
      <c r="D41" s="66">
        <f>'M2'!D41-'M1'!D41</f>
        <v>0.23002100000000003</v>
      </c>
      <c r="E41" s="66">
        <f>'M2'!E41-'M1'!E41</f>
        <v>0</v>
      </c>
      <c r="F41" s="66">
        <f>'M2'!F41-'M1'!F41</f>
        <v>-0.36525999999999997</v>
      </c>
      <c r="G41" s="66">
        <f>'M2'!G41-'M1'!G41</f>
        <v>0</v>
      </c>
      <c r="H41" s="66">
        <f>'M2'!H41-'M1'!H41</f>
        <v>0.10149900000000001</v>
      </c>
    </row>
    <row r="42" spans="1:8">
      <c r="A42" s="66" t="s">
        <v>85</v>
      </c>
      <c r="B42" s="66">
        <f>'M2'!B42-'M1'!B42</f>
        <v>-3.0091000000000007E-2</v>
      </c>
      <c r="C42" s="66">
        <f>'M2'!C42-'M1'!C42</f>
        <v>-3.1930000000000014E-3</v>
      </c>
      <c r="D42" s="66">
        <f>'M2'!D42-'M1'!D42</f>
        <v>0.11083900000000002</v>
      </c>
      <c r="E42" s="66">
        <f>'M2'!E42-'M1'!E42</f>
        <v>0</v>
      </c>
      <c r="F42" s="66">
        <f>'M2'!F42-'M1'!F42</f>
        <v>8.2100000000001616E-4</v>
      </c>
      <c r="G42" s="66">
        <f>'M2'!G42-'M1'!G42</f>
        <v>0</v>
      </c>
      <c r="H42" s="66">
        <f>'M2'!H42-'M1'!H42</f>
        <v>1.5931000000000028E-2</v>
      </c>
    </row>
    <row r="43" spans="1:8">
      <c r="A43" s="66" t="s">
        <v>86</v>
      </c>
      <c r="B43" s="66">
        <f>'M2'!B43-'M1'!B43</f>
        <v>3.5819999999999991E-2</v>
      </c>
      <c r="C43" s="66">
        <f>'M2'!C43-'M1'!C43</f>
        <v>-8.9025000000000007E-3</v>
      </c>
      <c r="D43" s="66">
        <f>'M2'!D43-'M1'!D43</f>
        <v>-0.134105</v>
      </c>
      <c r="E43" s="66">
        <f>'M2'!E43-'M1'!E43</f>
        <v>0</v>
      </c>
      <c r="F43" s="66">
        <f>'M2'!F43-'M1'!F43</f>
        <v>8.1346000000000057E-3</v>
      </c>
      <c r="G43" s="66">
        <f>'M2'!G43-'M1'!G43</f>
        <v>0</v>
      </c>
      <c r="H43" s="66">
        <f>'M2'!H43-'M1'!H43</f>
        <v>-3.5151000000000016E-2</v>
      </c>
    </row>
    <row r="44" spans="1:8">
      <c r="A44" s="66" t="s">
        <v>87</v>
      </c>
      <c r="B44" s="66">
        <f>'M2'!B44-'M1'!B44</f>
        <v>2.9981000000000009</v>
      </c>
      <c r="C44" s="66">
        <f>'M2'!C44-'M1'!C44</f>
        <v>-2.3878300000000001</v>
      </c>
      <c r="D44" s="66">
        <f>'M2'!D44-'M1'!D44</f>
        <v>-0.23329100000000003</v>
      </c>
      <c r="E44" s="66">
        <f>'M2'!E44-'M1'!E44</f>
        <v>0</v>
      </c>
      <c r="F44" s="66">
        <f>'M2'!F44-'M1'!F44</f>
        <v>3.5447199999999999</v>
      </c>
      <c r="G44" s="66">
        <f>'M2'!G44-'M1'!G44</f>
        <v>0</v>
      </c>
      <c r="H44" s="66">
        <f>'M2'!H44-'M1'!H44</f>
        <v>1.3398000000000003</v>
      </c>
    </row>
    <row r="45" spans="1:8">
      <c r="A45" s="66" t="s">
        <v>88</v>
      </c>
      <c r="B45" s="66">
        <f>'M2'!B45-'M1'!B45</f>
        <v>-2.372799999999998</v>
      </c>
      <c r="C45" s="66">
        <f>'M2'!C45-'M1'!C45</f>
        <v>-0.25626999999999978</v>
      </c>
      <c r="D45" s="66">
        <f>'M2'!D45-'M1'!D45</f>
        <v>-1.5775999999999984E-3</v>
      </c>
      <c r="E45" s="66">
        <f>'M2'!E45-'M1'!E45</f>
        <v>0</v>
      </c>
      <c r="F45" s="66">
        <f>'M2'!F45-'M1'!F45</f>
        <v>-1.7414999999999949</v>
      </c>
      <c r="G45" s="66">
        <f>'M2'!G45-'M1'!G45</f>
        <v>0</v>
      </c>
      <c r="H45" s="66">
        <f>'M2'!H45-'M1'!H45</f>
        <v>-0.50150000000000716</v>
      </c>
    </row>
    <row r="46" spans="1:8">
      <c r="A46" s="66" t="s">
        <v>89</v>
      </c>
      <c r="B46" s="66">
        <f>'M2'!B46-'M1'!B46</f>
        <v>5.7670999999999992</v>
      </c>
      <c r="C46" s="66">
        <f>'M2'!C46-'M1'!C46</f>
        <v>-7.6806269999999994</v>
      </c>
      <c r="D46" s="66">
        <f>'M2'!D46-'M1'!D46</f>
        <v>-0.22045209999999998</v>
      </c>
      <c r="E46" s="66">
        <f>'M2'!E46-'M1'!E46</f>
        <v>0</v>
      </c>
      <c r="F46" s="66">
        <f>'M2'!F46-'M1'!F46</f>
        <v>27.111800000000002</v>
      </c>
      <c r="G46" s="66">
        <f>'M2'!G46-'M1'!G46</f>
        <v>0</v>
      </c>
      <c r="H46" s="66">
        <f>'M2'!H46-'M1'!H46</f>
        <v>2.9896000000000029</v>
      </c>
    </row>
    <row r="47" spans="1:8">
      <c r="A47" s="66" t="s">
        <v>90</v>
      </c>
      <c r="B47" s="66">
        <f>'M2'!B47-'M1'!B47</f>
        <v>0.13583000000000012</v>
      </c>
      <c r="C47" s="66">
        <f>'M2'!C47-'M1'!C47</f>
        <v>-3.1398999999999955E-2</v>
      </c>
      <c r="D47" s="66">
        <f>'M2'!D47-'M1'!D47</f>
        <v>-6.3875000000000015E-2</v>
      </c>
      <c r="E47" s="66">
        <f>'M2'!E47-'M1'!E47</f>
        <v>0</v>
      </c>
      <c r="F47" s="66">
        <f>'M2'!F47-'M1'!F47</f>
        <v>0.13043099999999996</v>
      </c>
      <c r="G47" s="66">
        <f>'M2'!G47-'M1'!G47</f>
        <v>0</v>
      </c>
      <c r="H47" s="66">
        <f>'M2'!H47-'M1'!H47</f>
        <v>5.8149999999999924E-2</v>
      </c>
    </row>
    <row r="48" spans="1:8">
      <c r="A48" s="66" t="s">
        <v>91</v>
      </c>
      <c r="B48" s="66">
        <f>'M2'!B48-'M1'!B48</f>
        <v>2.2240000000000038E-2</v>
      </c>
      <c r="C48" s="66">
        <f>'M2'!C48-'M1'!C48</f>
        <v>-1.2420300000000009E-2</v>
      </c>
      <c r="D48" s="66">
        <f>'M2'!D48-'M1'!D48</f>
        <v>-1.1387700000000001E-2</v>
      </c>
      <c r="E48" s="66">
        <f>'M2'!E48-'M1'!E48</f>
        <v>0</v>
      </c>
      <c r="F48" s="66">
        <f>'M2'!F48-'M1'!F48</f>
        <v>6.4790000000000125E-2</v>
      </c>
      <c r="G48" s="66">
        <f>'M2'!G48-'M1'!G48</f>
        <v>0</v>
      </c>
      <c r="H48" s="66">
        <f>'M2'!H48-'M1'!H48</f>
        <v>5.101E-2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47.765000000000001</v>
      </c>
      <c r="C5" s="66">
        <v>11.404400000000001</v>
      </c>
      <c r="D5" s="66">
        <v>23.876100000000001</v>
      </c>
      <c r="E5" s="66">
        <v>20</v>
      </c>
      <c r="F5" s="66">
        <v>15.7896</v>
      </c>
      <c r="G5" s="66">
        <v>50</v>
      </c>
      <c r="H5" s="66">
        <v>56.889600000000002</v>
      </c>
    </row>
    <row r="6" spans="1:8">
      <c r="A6" s="66" t="s">
        <v>358</v>
      </c>
      <c r="B6" s="66">
        <v>29.365100000000002</v>
      </c>
      <c r="C6" s="66">
        <v>1.78596</v>
      </c>
      <c r="D6" s="66">
        <v>6.0819299999999998</v>
      </c>
      <c r="E6" s="66">
        <v>20</v>
      </c>
      <c r="F6" s="66">
        <v>24.954699999999999</v>
      </c>
      <c r="G6" s="66">
        <v>40</v>
      </c>
      <c r="H6" s="66">
        <v>32.3339</v>
      </c>
    </row>
    <row r="7" spans="1:8">
      <c r="A7" s="66" t="s">
        <v>359</v>
      </c>
      <c r="B7" s="66">
        <v>17.761099999999999</v>
      </c>
      <c r="C7" s="66">
        <v>5.2891300000000001</v>
      </c>
      <c r="D7" s="66">
        <v>29.779199999999999</v>
      </c>
      <c r="E7" s="66">
        <v>15</v>
      </c>
      <c r="F7" s="66">
        <v>3.7533400000000001</v>
      </c>
      <c r="G7" s="66">
        <v>40</v>
      </c>
      <c r="H7" s="66">
        <v>35.796199999999999</v>
      </c>
    </row>
    <row r="8" spans="1:8">
      <c r="A8" s="66" t="s">
        <v>360</v>
      </c>
      <c r="B8" s="66">
        <v>30.803599999999999</v>
      </c>
      <c r="C8" s="66">
        <v>4.9572599999999998</v>
      </c>
      <c r="D8" s="66">
        <v>16.0931</v>
      </c>
      <c r="E8" s="66">
        <v>20</v>
      </c>
      <c r="F8" s="66">
        <v>15.6564</v>
      </c>
      <c r="G8" s="66">
        <v>50</v>
      </c>
      <c r="H8" s="66">
        <v>34.823799999999999</v>
      </c>
    </row>
    <row r="9" spans="1:8">
      <c r="A9" s="66" t="s">
        <v>361</v>
      </c>
      <c r="B9" s="66">
        <v>61.411799999999999</v>
      </c>
      <c r="C9" s="66">
        <v>6.6089200000000003</v>
      </c>
      <c r="D9" s="66">
        <v>10.761699999999999</v>
      </c>
      <c r="E9" s="66">
        <v>50</v>
      </c>
      <c r="F9" s="66">
        <v>49.271900000000002</v>
      </c>
      <c r="G9" s="66">
        <v>100</v>
      </c>
      <c r="H9" s="66">
        <v>76.739400000000003</v>
      </c>
    </row>
    <row r="10" spans="1:8">
      <c r="A10" s="66" t="s">
        <v>362</v>
      </c>
      <c r="B10" s="66">
        <v>71.494399999999999</v>
      </c>
      <c r="C10" s="66">
        <v>8.2131699999999999</v>
      </c>
      <c r="D10" s="66">
        <v>11.4878</v>
      </c>
      <c r="E10" s="66">
        <v>40</v>
      </c>
      <c r="F10" s="66">
        <v>58.5075</v>
      </c>
      <c r="G10" s="66">
        <v>100</v>
      </c>
      <c r="H10" s="66">
        <v>81.418700000000001</v>
      </c>
    </row>
    <row r="11" spans="1:8">
      <c r="A11" s="66" t="s">
        <v>363</v>
      </c>
      <c r="B11" s="66">
        <v>29.792100000000001</v>
      </c>
      <c r="C11" s="66">
        <v>7.9604900000000001</v>
      </c>
      <c r="D11" s="66">
        <v>26.720099999999999</v>
      </c>
      <c r="E11" s="66">
        <v>10</v>
      </c>
      <c r="F11" s="66">
        <v>9.7354599999999998</v>
      </c>
      <c r="G11" s="66">
        <v>50</v>
      </c>
      <c r="H11" s="66">
        <v>35.063400000000001</v>
      </c>
    </row>
    <row r="12" spans="1:8">
      <c r="A12" s="66" t="s">
        <v>364</v>
      </c>
      <c r="B12" s="66">
        <v>65.272099999999995</v>
      </c>
      <c r="C12" s="66">
        <v>6.5954800000000002</v>
      </c>
      <c r="D12" s="66">
        <v>10.1046</v>
      </c>
      <c r="E12" s="66">
        <v>50</v>
      </c>
      <c r="F12" s="66">
        <v>54.572899999999997</v>
      </c>
      <c r="G12" s="66">
        <v>100</v>
      </c>
      <c r="H12" s="66">
        <v>78.435199999999995</v>
      </c>
    </row>
    <row r="13" spans="1:8">
      <c r="A13" s="66" t="s">
        <v>365</v>
      </c>
      <c r="B13" s="66">
        <v>17.671900000000001</v>
      </c>
      <c r="C13" s="66">
        <v>3.7806700000000002</v>
      </c>
      <c r="D13" s="66">
        <v>21.393699999999999</v>
      </c>
      <c r="E13" s="66">
        <v>10</v>
      </c>
      <c r="F13" s="66">
        <v>14.270899999999999</v>
      </c>
      <c r="G13" s="66">
        <v>25</v>
      </c>
      <c r="H13" s="66">
        <v>29.946000000000002</v>
      </c>
    </row>
    <row r="14" spans="1:8">
      <c r="A14" s="66" t="s">
        <v>366</v>
      </c>
      <c r="B14" s="66">
        <v>37.806699999999999</v>
      </c>
      <c r="C14" s="66">
        <v>11.125500000000001</v>
      </c>
      <c r="D14" s="66">
        <v>29.427299999999999</v>
      </c>
      <c r="E14" s="66">
        <v>10</v>
      </c>
      <c r="F14" s="66">
        <v>2.7052700000000001</v>
      </c>
      <c r="G14" s="66">
        <v>50</v>
      </c>
      <c r="H14" s="66">
        <v>38.956600000000002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0.40338800000000002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0.38084299999999999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1.2548800000000001E-2</v>
      </c>
      <c r="C20" s="66">
        <v>7.3217400000000002E-3</v>
      </c>
      <c r="D20" s="66">
        <v>0.58346100000000001</v>
      </c>
      <c r="E20" s="66">
        <v>0</v>
      </c>
      <c r="F20" s="66">
        <v>8.4002799999999996E-3</v>
      </c>
      <c r="G20" s="66">
        <v>0</v>
      </c>
      <c r="H20" s="66">
        <v>7.0962899999999995E-2</v>
      </c>
    </row>
    <row r="21" spans="1:8">
      <c r="A21" s="66" t="s">
        <v>373</v>
      </c>
      <c r="B21" s="66">
        <v>0.10243099999999999</v>
      </c>
      <c r="C21" s="66">
        <v>0.13519999999999999</v>
      </c>
      <c r="D21" s="66">
        <v>1.3199099999999999</v>
      </c>
      <c r="E21" s="66">
        <v>0</v>
      </c>
      <c r="F21" s="66">
        <v>1.5576599999999999E-2</v>
      </c>
      <c r="G21" s="66">
        <v>0</v>
      </c>
      <c r="H21" s="66">
        <v>0.64082300000000003</v>
      </c>
    </row>
    <row r="22" spans="1:8">
      <c r="A22" s="66" t="s">
        <v>374</v>
      </c>
      <c r="B22" s="66">
        <v>37.941600000000001</v>
      </c>
      <c r="C22" s="66">
        <v>9.6480599999999992</v>
      </c>
      <c r="D22" s="66">
        <v>0.25428699999999999</v>
      </c>
      <c r="E22" s="66">
        <v>0</v>
      </c>
      <c r="F22" s="66">
        <v>20.711099999999998</v>
      </c>
      <c r="G22" s="66">
        <v>0</v>
      </c>
      <c r="H22" s="66">
        <v>67.538700000000006</v>
      </c>
    </row>
    <row r="23" spans="1:8">
      <c r="A23" s="66" t="s">
        <v>375</v>
      </c>
      <c r="B23" s="66">
        <v>18.458500000000001</v>
      </c>
      <c r="C23" s="66">
        <v>2.53078</v>
      </c>
      <c r="D23" s="66">
        <v>0.13710600000000001</v>
      </c>
      <c r="E23" s="66">
        <v>0</v>
      </c>
      <c r="F23" s="66">
        <v>13.221</v>
      </c>
      <c r="G23" s="66">
        <v>0</v>
      </c>
      <c r="H23" s="66">
        <v>22.5763</v>
      </c>
    </row>
    <row r="24" spans="1:8">
      <c r="A24" s="66" t="s">
        <v>376</v>
      </c>
      <c r="B24" s="66">
        <v>1.33965E-2</v>
      </c>
      <c r="C24" s="66">
        <v>5.2694400000000002E-3</v>
      </c>
      <c r="D24" s="66">
        <v>0.393343</v>
      </c>
      <c r="E24" s="66">
        <v>0</v>
      </c>
      <c r="F24" s="66">
        <v>9.7298200000000001E-3</v>
      </c>
      <c r="G24" s="66">
        <v>0</v>
      </c>
      <c r="H24" s="66">
        <v>4.1786900000000002E-2</v>
      </c>
    </row>
    <row r="25" spans="1:8">
      <c r="A25" s="66" t="s">
        <v>377</v>
      </c>
      <c r="B25" s="66">
        <v>0.152785</v>
      </c>
      <c r="C25" s="66">
        <v>9.0538400000000005E-2</v>
      </c>
      <c r="D25" s="66">
        <v>0.59258699999999997</v>
      </c>
      <c r="E25" s="66">
        <v>0</v>
      </c>
      <c r="F25" s="66">
        <v>3.6478400000000001E-2</v>
      </c>
      <c r="G25" s="66">
        <v>0</v>
      </c>
      <c r="H25" s="66">
        <v>0.56651499999999999</v>
      </c>
    </row>
    <row r="26" spans="1:8">
      <c r="A26" s="66" t="s">
        <v>378</v>
      </c>
      <c r="B26" s="66">
        <v>2.0089299999999999E-3</v>
      </c>
      <c r="C26" s="66">
        <v>1.1855800000000001E-3</v>
      </c>
      <c r="D26" s="66">
        <v>0.59015399999999996</v>
      </c>
      <c r="E26" s="66">
        <v>0</v>
      </c>
      <c r="F26" s="66">
        <v>1.2276800000000001E-3</v>
      </c>
      <c r="G26" s="66">
        <v>0</v>
      </c>
      <c r="H26" s="66">
        <v>9.5063000000000005E-3</v>
      </c>
    </row>
    <row r="27" spans="1:8">
      <c r="A27" s="66" t="s">
        <v>379</v>
      </c>
      <c r="B27" s="196">
        <v>-3.2824999999999999E-6</v>
      </c>
      <c r="C27" s="66">
        <v>5.8692800000000002E-4</v>
      </c>
      <c r="D27" s="66">
        <v>-178.80500000000001</v>
      </c>
      <c r="E27" s="66">
        <v>0</v>
      </c>
      <c r="F27" s="66">
        <v>-4.1097699999999996E-3</v>
      </c>
      <c r="G27" s="66">
        <v>0</v>
      </c>
      <c r="H27" s="66">
        <v>4.7991099999999997E-3</v>
      </c>
    </row>
    <row r="28" spans="1:8">
      <c r="A28" s="66" t="s">
        <v>380</v>
      </c>
      <c r="B28" s="66">
        <v>1.55941E-2</v>
      </c>
      <c r="C28" s="66">
        <v>1.1834600000000001E-2</v>
      </c>
      <c r="D28" s="66">
        <v>0.75891500000000001</v>
      </c>
      <c r="E28" s="66">
        <v>0</v>
      </c>
      <c r="F28" s="66">
        <v>3.4179700000000002E-3</v>
      </c>
      <c r="G28" s="66">
        <v>0</v>
      </c>
      <c r="H28" s="66">
        <v>5.5768199999999997E-2</v>
      </c>
    </row>
    <row r="29" spans="1:8">
      <c r="A29" s="66" t="s">
        <v>381</v>
      </c>
      <c r="B29" s="66">
        <v>74.508700000000005</v>
      </c>
      <c r="C29" s="66">
        <v>8.4087599999999991</v>
      </c>
      <c r="D29" s="66">
        <v>0.112856</v>
      </c>
      <c r="E29" s="66">
        <v>0</v>
      </c>
      <c r="F29" s="66">
        <v>54.885599999999997</v>
      </c>
      <c r="G29" s="66">
        <v>0</v>
      </c>
      <c r="H29" s="66">
        <v>88.139600000000002</v>
      </c>
    </row>
    <row r="30" spans="1:8">
      <c r="A30" s="66" t="s">
        <v>382</v>
      </c>
      <c r="B30" s="66">
        <v>27.454599999999999</v>
      </c>
      <c r="C30" s="66">
        <v>5.6509</v>
      </c>
      <c r="D30" s="66">
        <v>0.20582700000000001</v>
      </c>
      <c r="E30" s="66">
        <v>0</v>
      </c>
      <c r="F30" s="66">
        <v>13.977</v>
      </c>
      <c r="G30" s="66">
        <v>0</v>
      </c>
      <c r="H30" s="66">
        <v>33.958799999999997</v>
      </c>
    </row>
    <row r="31" spans="1:8">
      <c r="A31" s="66" t="s">
        <v>383</v>
      </c>
      <c r="B31" s="66">
        <v>107.14400000000001</v>
      </c>
      <c r="C31" s="66">
        <v>25.374099999999999</v>
      </c>
      <c r="D31" s="66">
        <v>0.23682300000000001</v>
      </c>
      <c r="E31" s="66">
        <v>0</v>
      </c>
      <c r="F31" s="66">
        <v>57.045400000000001</v>
      </c>
      <c r="G31" s="66">
        <v>0</v>
      </c>
      <c r="H31" s="66">
        <v>137.96199999999999</v>
      </c>
    </row>
    <row r="32" spans="1:8">
      <c r="A32" s="66" t="s">
        <v>384</v>
      </c>
      <c r="B32" s="66">
        <v>0.17761099999999999</v>
      </c>
      <c r="C32" s="66">
        <v>5.2891300000000002E-2</v>
      </c>
      <c r="D32" s="66">
        <v>0.297792</v>
      </c>
      <c r="E32" s="66">
        <v>0.15</v>
      </c>
      <c r="F32" s="66">
        <v>3.7533400000000001E-2</v>
      </c>
      <c r="G32" s="66">
        <v>0.4</v>
      </c>
      <c r="H32" s="66">
        <v>0.357962</v>
      </c>
    </row>
    <row r="33" spans="1:8">
      <c r="A33" s="66" t="s">
        <v>385</v>
      </c>
      <c r="B33" s="66">
        <v>0.37472899999999998</v>
      </c>
      <c r="C33" s="66">
        <v>2.0778399999999999E-2</v>
      </c>
      <c r="D33" s="66">
        <v>5.5449199999999997E-2</v>
      </c>
      <c r="E33" s="66">
        <v>0</v>
      </c>
      <c r="F33" s="66">
        <v>0.34298400000000001</v>
      </c>
      <c r="G33" s="66">
        <v>0</v>
      </c>
      <c r="H33" s="66">
        <v>0.426537</v>
      </c>
    </row>
    <row r="34" spans="1:8">
      <c r="A34" s="66" t="s">
        <v>386</v>
      </c>
      <c r="B34" s="66">
        <v>0.17671899999999999</v>
      </c>
      <c r="C34" s="66">
        <v>3.7806699999999999E-2</v>
      </c>
      <c r="D34" s="66">
        <v>0.21393699999999999</v>
      </c>
      <c r="E34" s="66">
        <v>0.1</v>
      </c>
      <c r="F34" s="66">
        <v>0.142709</v>
      </c>
      <c r="G34" s="66">
        <v>0.25</v>
      </c>
      <c r="H34" s="66">
        <v>0.29946</v>
      </c>
    </row>
    <row r="35" spans="1:8">
      <c r="A35" s="66" t="s">
        <v>387</v>
      </c>
      <c r="B35" s="66">
        <v>7.8855300000000003E-2</v>
      </c>
      <c r="C35" s="66">
        <v>2.0438399999999999E-2</v>
      </c>
      <c r="D35" s="66">
        <v>0.25918799999999997</v>
      </c>
      <c r="E35" s="66">
        <v>0</v>
      </c>
      <c r="F35" s="66">
        <v>2.019E-2</v>
      </c>
      <c r="G35" s="66">
        <v>0</v>
      </c>
      <c r="H35" s="66">
        <v>0.14983199999999999</v>
      </c>
    </row>
    <row r="36" spans="1:8">
      <c r="A36" s="66" t="s">
        <v>388</v>
      </c>
      <c r="B36" s="66">
        <v>0.169104</v>
      </c>
      <c r="C36" s="66">
        <v>9.6803E-2</v>
      </c>
      <c r="D36" s="66">
        <v>0.57244700000000004</v>
      </c>
      <c r="E36" s="66">
        <v>0</v>
      </c>
      <c r="F36" s="66">
        <v>3.5914500000000002E-2</v>
      </c>
      <c r="G36" s="66">
        <v>0</v>
      </c>
      <c r="H36" s="66">
        <v>0.47098400000000001</v>
      </c>
    </row>
    <row r="37" spans="1:8">
      <c r="A37" s="66" t="s">
        <v>389</v>
      </c>
      <c r="B37" s="66">
        <v>0.37806699999999999</v>
      </c>
      <c r="C37" s="66">
        <v>0.11125500000000001</v>
      </c>
      <c r="D37" s="66">
        <v>0.29427300000000001</v>
      </c>
      <c r="E37" s="66">
        <v>0.1</v>
      </c>
      <c r="F37" s="66">
        <v>2.7052699999999999E-2</v>
      </c>
      <c r="G37" s="66">
        <v>0.5</v>
      </c>
      <c r="H37" s="66">
        <v>0.38956600000000002</v>
      </c>
    </row>
    <row r="38" spans="1:8">
      <c r="A38" s="66" t="s">
        <v>390</v>
      </c>
      <c r="B38" s="66">
        <v>25.588799999999999</v>
      </c>
      <c r="C38" s="66">
        <v>27.375499999999999</v>
      </c>
      <c r="D38" s="66">
        <v>1.06982</v>
      </c>
      <c r="E38" s="66">
        <v>0</v>
      </c>
      <c r="F38" s="66">
        <v>-50.3371</v>
      </c>
      <c r="G38" s="66">
        <v>0</v>
      </c>
      <c r="H38" s="66">
        <v>95.940299999999993</v>
      </c>
    </row>
    <row r="39" spans="1:8">
      <c r="A39" s="66" t="s">
        <v>391</v>
      </c>
      <c r="B39" s="66">
        <v>9.2715099999999993</v>
      </c>
      <c r="C39" s="66">
        <v>6.20885</v>
      </c>
      <c r="D39" s="66">
        <v>0.66966999999999999</v>
      </c>
      <c r="E39" s="66">
        <v>0</v>
      </c>
      <c r="F39" s="66">
        <v>-13.0229</v>
      </c>
      <c r="G39" s="66">
        <v>0</v>
      </c>
      <c r="H39" s="66">
        <v>26.148900000000001</v>
      </c>
    </row>
    <row r="40" spans="1:8">
      <c r="A40" s="66" t="s">
        <v>392</v>
      </c>
      <c r="B40" s="66">
        <v>4.6793300000000002</v>
      </c>
      <c r="C40" s="66">
        <v>1.0533399999999999</v>
      </c>
      <c r="D40" s="66">
        <v>0.225104</v>
      </c>
      <c r="E40" s="66">
        <v>0</v>
      </c>
      <c r="F40" s="66">
        <v>2.2970600000000001</v>
      </c>
      <c r="G40" s="66">
        <v>0</v>
      </c>
      <c r="H40" s="66">
        <v>7.1505099999999997</v>
      </c>
    </row>
    <row r="41" spans="1:8">
      <c r="A41" s="66" t="s">
        <v>393</v>
      </c>
      <c r="B41" s="66">
        <v>0.219997</v>
      </c>
      <c r="C41" s="66">
        <v>0.17524100000000001</v>
      </c>
      <c r="D41" s="66">
        <v>0.79655900000000002</v>
      </c>
      <c r="E41" s="66">
        <v>0</v>
      </c>
      <c r="F41" s="66">
        <v>-0.37833</v>
      </c>
      <c r="G41" s="66">
        <v>0</v>
      </c>
      <c r="H41" s="66">
        <v>0.67241399999999996</v>
      </c>
    </row>
    <row r="42" spans="1:8">
      <c r="A42" s="66" t="s">
        <v>394</v>
      </c>
      <c r="B42" s="66">
        <v>0.16694400000000001</v>
      </c>
      <c r="C42" s="66">
        <v>0.101867</v>
      </c>
      <c r="D42" s="66">
        <v>0.61018499999999998</v>
      </c>
      <c r="E42" s="66">
        <v>0</v>
      </c>
      <c r="F42" s="66">
        <v>-0.18939</v>
      </c>
      <c r="G42" s="66">
        <v>0</v>
      </c>
      <c r="H42" s="66">
        <v>0.33293899999999998</v>
      </c>
    </row>
    <row r="43" spans="1:8">
      <c r="A43" s="66" t="s">
        <v>395</v>
      </c>
      <c r="B43" s="66">
        <v>0.103826</v>
      </c>
      <c r="C43" s="66">
        <v>2.8477700000000002E-2</v>
      </c>
      <c r="D43" s="66">
        <v>0.274283</v>
      </c>
      <c r="E43" s="66">
        <v>0</v>
      </c>
      <c r="F43" s="66">
        <v>7.0672499999999999E-2</v>
      </c>
      <c r="G43" s="66">
        <v>0</v>
      </c>
      <c r="H43" s="66">
        <v>0.1847</v>
      </c>
    </row>
    <row r="44" spans="1:8">
      <c r="A44" s="66" t="s">
        <v>396</v>
      </c>
      <c r="B44" s="66">
        <v>15.082599999999999</v>
      </c>
      <c r="C44" s="66">
        <v>9.2072099999999999</v>
      </c>
      <c r="D44" s="66">
        <v>0.61045400000000005</v>
      </c>
      <c r="E44" s="66">
        <v>0</v>
      </c>
      <c r="F44" s="66">
        <v>1.1566700000000001</v>
      </c>
      <c r="G44" s="66">
        <v>0</v>
      </c>
      <c r="H44" s="66">
        <v>31.9879</v>
      </c>
    </row>
    <row r="45" spans="1:8">
      <c r="A45" s="66" t="s">
        <v>397</v>
      </c>
      <c r="B45" s="66">
        <v>59.261099999999999</v>
      </c>
      <c r="C45" s="66">
        <v>4.1589999999999998</v>
      </c>
      <c r="D45" s="66">
        <v>7.0180999999999993E-2</v>
      </c>
      <c r="E45" s="66">
        <v>0</v>
      </c>
      <c r="F45" s="66">
        <v>49.112499999999997</v>
      </c>
      <c r="G45" s="66">
        <v>0</v>
      </c>
      <c r="H45" s="66">
        <v>66.760900000000007</v>
      </c>
    </row>
    <row r="46" spans="1:8">
      <c r="A46" s="66" t="s">
        <v>398</v>
      </c>
      <c r="B46" s="66">
        <v>35.364800000000002</v>
      </c>
      <c r="C46" s="66">
        <v>8.5053599999999996</v>
      </c>
      <c r="D46" s="66">
        <v>0.24050299999999999</v>
      </c>
      <c r="E46" s="66">
        <v>0</v>
      </c>
      <c r="F46" s="66">
        <v>12.338800000000001</v>
      </c>
      <c r="G46" s="66">
        <v>0</v>
      </c>
      <c r="H46" s="66">
        <v>40.385599999999997</v>
      </c>
    </row>
    <row r="47" spans="1:8">
      <c r="A47" s="66" t="s">
        <v>399</v>
      </c>
      <c r="B47" s="66">
        <v>1.0616099999999999</v>
      </c>
      <c r="C47" s="66">
        <v>0.35238999999999998</v>
      </c>
      <c r="D47" s="66">
        <v>0.33194000000000001</v>
      </c>
      <c r="E47" s="66">
        <v>0</v>
      </c>
      <c r="F47" s="66">
        <v>0.42685899999999999</v>
      </c>
      <c r="G47" s="66">
        <v>0</v>
      </c>
      <c r="H47" s="66">
        <v>2.2227999999999999</v>
      </c>
    </row>
    <row r="48" spans="1:8">
      <c r="A48" s="66" t="s">
        <v>400</v>
      </c>
      <c r="B48" s="66">
        <v>1.24031</v>
      </c>
      <c r="C48" s="66">
        <v>0.109157</v>
      </c>
      <c r="D48" s="66">
        <v>8.8007799999999997E-2</v>
      </c>
      <c r="E48" s="66">
        <v>0</v>
      </c>
      <c r="F48" s="66">
        <v>1.04372</v>
      </c>
      <c r="G48" s="66">
        <v>0</v>
      </c>
      <c r="H48" s="66">
        <v>1.4620599999999999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401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52.650700000000001</v>
      </c>
      <c r="C5" s="66">
        <v>1.59921</v>
      </c>
      <c r="D5" s="66">
        <v>3.0373999999999999</v>
      </c>
      <c r="E5" s="66">
        <v>20</v>
      </c>
      <c r="F5" s="66">
        <v>48.645499999999998</v>
      </c>
      <c r="G5" s="66">
        <v>50</v>
      </c>
      <c r="H5" s="66">
        <v>57.363500000000002</v>
      </c>
    </row>
    <row r="6" spans="1:8">
      <c r="A6" s="66" t="s">
        <v>358</v>
      </c>
      <c r="B6" s="66">
        <v>31.774899999999999</v>
      </c>
      <c r="C6" s="66">
        <v>0.808087</v>
      </c>
      <c r="D6" s="66">
        <v>2.5431599999999999</v>
      </c>
      <c r="E6" s="66">
        <v>20</v>
      </c>
      <c r="F6" s="66">
        <v>30.238199999999999</v>
      </c>
      <c r="G6" s="66">
        <v>40</v>
      </c>
      <c r="H6" s="66">
        <v>33.648699999999998</v>
      </c>
    </row>
    <row r="7" spans="1:8">
      <c r="A7" s="66" t="s">
        <v>359</v>
      </c>
      <c r="B7" s="66">
        <v>14.4404</v>
      </c>
      <c r="C7" s="66">
        <v>3.9887600000000001</v>
      </c>
      <c r="D7" s="66">
        <v>27.622199999999999</v>
      </c>
      <c r="E7" s="66">
        <v>15</v>
      </c>
      <c r="F7" s="66">
        <v>7.7136800000000001</v>
      </c>
      <c r="G7" s="66">
        <v>40</v>
      </c>
      <c r="H7" s="66">
        <v>28.3504</v>
      </c>
    </row>
    <row r="8" spans="1:8">
      <c r="A8" s="66" t="s">
        <v>360</v>
      </c>
      <c r="B8" s="66">
        <v>33.225900000000003</v>
      </c>
      <c r="C8" s="66">
        <v>1.4325300000000001</v>
      </c>
      <c r="D8" s="66">
        <v>4.31149</v>
      </c>
      <c r="E8" s="66">
        <v>20</v>
      </c>
      <c r="F8" s="66">
        <v>30.909500000000001</v>
      </c>
      <c r="G8" s="66">
        <v>50</v>
      </c>
      <c r="H8" s="66">
        <v>37.148600000000002</v>
      </c>
    </row>
    <row r="9" spans="1:8">
      <c r="A9" s="66" t="s">
        <v>361</v>
      </c>
      <c r="B9" s="66">
        <v>62.722900000000003</v>
      </c>
      <c r="C9" s="66">
        <v>3.9587300000000001</v>
      </c>
      <c r="D9" s="66">
        <v>6.3114499999999998</v>
      </c>
      <c r="E9" s="66">
        <v>50</v>
      </c>
      <c r="F9" s="66">
        <v>52.972499999999997</v>
      </c>
      <c r="G9" s="66">
        <v>100</v>
      </c>
      <c r="H9" s="66">
        <v>75.236599999999996</v>
      </c>
    </row>
    <row r="10" spans="1:8">
      <c r="A10" s="66" t="s">
        <v>362</v>
      </c>
      <c r="B10" s="66">
        <v>63.519100000000002</v>
      </c>
      <c r="C10" s="66">
        <v>1.2129000000000001</v>
      </c>
      <c r="D10" s="66">
        <v>1.90951</v>
      </c>
      <c r="E10" s="66">
        <v>40</v>
      </c>
      <c r="F10" s="66">
        <v>61.109099999999998</v>
      </c>
      <c r="G10" s="66">
        <v>100</v>
      </c>
      <c r="H10" s="66">
        <v>66.532499999999999</v>
      </c>
    </row>
    <row r="11" spans="1:8">
      <c r="A11" s="66" t="s">
        <v>363</v>
      </c>
      <c r="B11" s="66">
        <v>36.126399999999997</v>
      </c>
      <c r="C11" s="66">
        <v>1.0692299999999999</v>
      </c>
      <c r="D11" s="66">
        <v>2.9596900000000002</v>
      </c>
      <c r="E11" s="66">
        <v>10</v>
      </c>
      <c r="F11" s="66">
        <v>33.735199999999999</v>
      </c>
      <c r="G11" s="66">
        <v>50</v>
      </c>
      <c r="H11" s="66">
        <v>37.500599999999999</v>
      </c>
    </row>
    <row r="12" spans="1:8">
      <c r="A12" s="66" t="s">
        <v>364</v>
      </c>
      <c r="B12" s="66">
        <v>63.021099999999997</v>
      </c>
      <c r="C12" s="66">
        <v>2.12961</v>
      </c>
      <c r="D12" s="66">
        <v>3.3792</v>
      </c>
      <c r="E12" s="66">
        <v>50</v>
      </c>
      <c r="F12" s="66">
        <v>57.607199999999999</v>
      </c>
      <c r="G12" s="66">
        <v>100</v>
      </c>
      <c r="H12" s="66">
        <v>69.384900000000002</v>
      </c>
    </row>
    <row r="13" spans="1:8">
      <c r="A13" s="66" t="s">
        <v>365</v>
      </c>
      <c r="B13" s="66">
        <v>21.485900000000001</v>
      </c>
      <c r="C13" s="66">
        <v>2.6945299999999999</v>
      </c>
      <c r="D13" s="66">
        <v>12.540900000000001</v>
      </c>
      <c r="E13" s="66">
        <v>10</v>
      </c>
      <c r="F13" s="66">
        <v>16.069299999999998</v>
      </c>
      <c r="G13" s="66">
        <v>25</v>
      </c>
      <c r="H13" s="66">
        <v>28.223400000000002</v>
      </c>
    </row>
    <row r="14" spans="1:8">
      <c r="A14" s="66" t="s">
        <v>366</v>
      </c>
      <c r="B14" s="66">
        <v>26.9453</v>
      </c>
      <c r="C14" s="66">
        <v>13.9948</v>
      </c>
      <c r="D14" s="66">
        <v>51.937899999999999</v>
      </c>
      <c r="E14" s="66">
        <v>10</v>
      </c>
      <c r="F14" s="66">
        <v>3.0428999999999999</v>
      </c>
      <c r="G14" s="66">
        <v>50</v>
      </c>
      <c r="H14" s="66">
        <v>40.947499999999998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0.40226899999999999</v>
      </c>
      <c r="C18" s="66">
        <v>8.5166099999999995E-2</v>
      </c>
      <c r="D18" s="66">
        <v>0.21171400000000001</v>
      </c>
      <c r="E18" s="66">
        <v>0</v>
      </c>
      <c r="F18" s="66">
        <v>0.31710300000000002</v>
      </c>
      <c r="G18" s="66">
        <v>0</v>
      </c>
      <c r="H18" s="66">
        <v>0.48743500000000001</v>
      </c>
    </row>
    <row r="19" spans="1:8">
      <c r="A19" s="66" t="s">
        <v>371</v>
      </c>
      <c r="B19" s="66">
        <v>0.42821399999999998</v>
      </c>
      <c r="C19" s="66">
        <v>6.0566799999999997E-2</v>
      </c>
      <c r="D19" s="66">
        <v>0.14144000000000001</v>
      </c>
      <c r="E19" s="66">
        <v>0</v>
      </c>
      <c r="F19" s="66">
        <v>0.367647</v>
      </c>
      <c r="G19" s="66">
        <v>0</v>
      </c>
      <c r="H19" s="66">
        <v>0.48878100000000002</v>
      </c>
    </row>
    <row r="20" spans="1:8">
      <c r="A20" s="66" t="s">
        <v>372</v>
      </c>
      <c r="B20" s="66">
        <v>1.34539E-2</v>
      </c>
      <c r="C20" s="66">
        <v>1.02808E-2</v>
      </c>
      <c r="D20" s="66">
        <v>0.764154</v>
      </c>
      <c r="E20" s="66">
        <v>0</v>
      </c>
      <c r="F20" s="66">
        <v>8.3315200000000002E-3</v>
      </c>
      <c r="G20" s="66">
        <v>0</v>
      </c>
      <c r="H20" s="66">
        <v>0.101254</v>
      </c>
    </row>
    <row r="21" spans="1:8">
      <c r="A21" s="66" t="s">
        <v>373</v>
      </c>
      <c r="B21" s="66">
        <v>0.12967799999999999</v>
      </c>
      <c r="C21" s="66">
        <v>0.16542899999999999</v>
      </c>
      <c r="D21" s="66">
        <v>1.27569</v>
      </c>
      <c r="E21" s="66">
        <v>0</v>
      </c>
      <c r="F21" s="66">
        <v>1.4853099999999999E-2</v>
      </c>
      <c r="G21" s="66">
        <v>0</v>
      </c>
      <c r="H21" s="66">
        <v>0.81928199999999995</v>
      </c>
    </row>
    <row r="22" spans="1:8">
      <c r="A22" s="66" t="s">
        <v>374</v>
      </c>
      <c r="B22" s="66">
        <v>40.725200000000001</v>
      </c>
      <c r="C22" s="66">
        <v>8.3452999999999999</v>
      </c>
      <c r="D22" s="66">
        <v>0.20491699999999999</v>
      </c>
      <c r="E22" s="66">
        <v>0</v>
      </c>
      <c r="F22" s="66">
        <v>26.2332</v>
      </c>
      <c r="G22" s="66">
        <v>0</v>
      </c>
      <c r="H22" s="66">
        <v>64.348399999999998</v>
      </c>
    </row>
    <row r="23" spans="1:8">
      <c r="A23" s="66" t="s">
        <v>375</v>
      </c>
      <c r="B23" s="66">
        <v>23.2486</v>
      </c>
      <c r="C23" s="66">
        <v>0.62585199999999996</v>
      </c>
      <c r="D23" s="66">
        <v>2.6919999999999999E-2</v>
      </c>
      <c r="E23" s="66">
        <v>0</v>
      </c>
      <c r="F23" s="66">
        <v>21.592400000000001</v>
      </c>
      <c r="G23" s="66">
        <v>0</v>
      </c>
      <c r="H23" s="66">
        <v>24.9024</v>
      </c>
    </row>
    <row r="24" spans="1:8">
      <c r="A24" s="66" t="s">
        <v>376</v>
      </c>
      <c r="B24" s="66">
        <v>1.43473E-2</v>
      </c>
      <c r="C24" s="66">
        <v>7.3405099999999997E-3</v>
      </c>
      <c r="D24" s="66">
        <v>0.511629</v>
      </c>
      <c r="E24" s="66">
        <v>0</v>
      </c>
      <c r="F24" s="66">
        <v>9.7478300000000007E-3</v>
      </c>
      <c r="G24" s="66">
        <v>0</v>
      </c>
      <c r="H24" s="66">
        <v>5.0231600000000001E-2</v>
      </c>
    </row>
    <row r="25" spans="1:8">
      <c r="A25" s="66" t="s">
        <v>377</v>
      </c>
      <c r="B25" s="66">
        <v>0.18679299999999999</v>
      </c>
      <c r="C25" s="66">
        <v>7.1562500000000001E-2</v>
      </c>
      <c r="D25" s="66">
        <v>0.38311000000000001</v>
      </c>
      <c r="E25" s="66">
        <v>0</v>
      </c>
      <c r="F25" s="66">
        <v>7.5892100000000004E-2</v>
      </c>
      <c r="G25" s="66">
        <v>0</v>
      </c>
      <c r="H25" s="66">
        <v>0.39110200000000001</v>
      </c>
    </row>
    <row r="26" spans="1:8">
      <c r="A26" s="66" t="s">
        <v>378</v>
      </c>
      <c r="B26" s="66">
        <v>2.2403499999999999E-3</v>
      </c>
      <c r="C26" s="66">
        <v>1.6003199999999999E-3</v>
      </c>
      <c r="D26" s="66">
        <v>0.71431500000000003</v>
      </c>
      <c r="E26" s="66">
        <v>0</v>
      </c>
      <c r="F26" s="66">
        <v>1.24409E-3</v>
      </c>
      <c r="G26" s="66">
        <v>0</v>
      </c>
      <c r="H26" s="66">
        <v>1.3806499999999999E-2</v>
      </c>
    </row>
    <row r="27" spans="1:8">
      <c r="A27" s="66" t="s">
        <v>379</v>
      </c>
      <c r="B27" s="196">
        <v>-2.9543099999999998E-5</v>
      </c>
      <c r="C27" s="66">
        <v>7.4681699999999999E-4</v>
      </c>
      <c r="D27" s="66">
        <v>-25.2789</v>
      </c>
      <c r="E27" s="66">
        <v>0</v>
      </c>
      <c r="F27" s="66">
        <v>-4.1163299999999996E-3</v>
      </c>
      <c r="G27" s="66">
        <v>0</v>
      </c>
      <c r="H27" s="66">
        <v>6.9885800000000003E-3</v>
      </c>
    </row>
    <row r="28" spans="1:8">
      <c r="A28" s="66" t="s">
        <v>380</v>
      </c>
      <c r="B28" s="66">
        <v>1.8632800000000001E-2</v>
      </c>
      <c r="C28" s="66">
        <v>1.34065E-2</v>
      </c>
      <c r="D28" s="66">
        <v>0.71950899999999995</v>
      </c>
      <c r="E28" s="66">
        <v>0</v>
      </c>
      <c r="F28" s="66">
        <v>2.9329400000000002E-3</v>
      </c>
      <c r="G28" s="66">
        <v>0</v>
      </c>
      <c r="H28" s="66">
        <v>5.8870400000000003E-2</v>
      </c>
    </row>
    <row r="29" spans="1:8">
      <c r="A29" s="66" t="s">
        <v>381</v>
      </c>
      <c r="B29" s="66">
        <v>71.976699999999994</v>
      </c>
      <c r="C29" s="66">
        <v>7.3149300000000004</v>
      </c>
      <c r="D29" s="66">
        <v>0.101629</v>
      </c>
      <c r="E29" s="66">
        <v>0</v>
      </c>
      <c r="F29" s="66">
        <v>58.0075</v>
      </c>
      <c r="G29" s="66">
        <v>0</v>
      </c>
      <c r="H29" s="66">
        <v>95.7166</v>
      </c>
    </row>
    <row r="30" spans="1:8">
      <c r="A30" s="66" t="s">
        <v>382</v>
      </c>
      <c r="B30" s="66">
        <v>34.164200000000001</v>
      </c>
      <c r="C30" s="66">
        <v>1.0279400000000001</v>
      </c>
      <c r="D30" s="66">
        <v>3.0088400000000001E-2</v>
      </c>
      <c r="E30" s="66">
        <v>0</v>
      </c>
      <c r="F30" s="66">
        <v>31.6648</v>
      </c>
      <c r="G30" s="66">
        <v>0</v>
      </c>
      <c r="H30" s="66">
        <v>36.965699999999998</v>
      </c>
    </row>
    <row r="31" spans="1:8">
      <c r="A31" s="66" t="s">
        <v>383</v>
      </c>
      <c r="B31" s="66">
        <v>131.643</v>
      </c>
      <c r="C31" s="66">
        <v>7.4573999999999998</v>
      </c>
      <c r="D31" s="66">
        <v>5.6648799999999999E-2</v>
      </c>
      <c r="E31" s="66">
        <v>0</v>
      </c>
      <c r="F31" s="66">
        <v>119.02500000000001</v>
      </c>
      <c r="G31" s="66">
        <v>0</v>
      </c>
      <c r="H31" s="66">
        <v>150.678</v>
      </c>
    </row>
    <row r="32" spans="1:8">
      <c r="A32" s="66" t="s">
        <v>384</v>
      </c>
      <c r="B32" s="66">
        <v>0.144404</v>
      </c>
      <c r="C32" s="66">
        <v>3.9887600000000002E-2</v>
      </c>
      <c r="D32" s="66">
        <v>0.27622200000000002</v>
      </c>
      <c r="E32" s="66">
        <v>0.15</v>
      </c>
      <c r="F32" s="66">
        <v>7.7136800000000005E-2</v>
      </c>
      <c r="G32" s="66">
        <v>0.4</v>
      </c>
      <c r="H32" s="66">
        <v>0.28350399999999998</v>
      </c>
    </row>
    <row r="33" spans="1:8">
      <c r="A33" s="66" t="s">
        <v>385</v>
      </c>
      <c r="B33" s="66">
        <v>0.39394899999999999</v>
      </c>
      <c r="C33" s="66">
        <v>1.37734E-2</v>
      </c>
      <c r="D33" s="66">
        <v>3.4962399999999998E-2</v>
      </c>
      <c r="E33" s="66">
        <v>0</v>
      </c>
      <c r="F33" s="66">
        <v>0.36125499999999999</v>
      </c>
      <c r="G33" s="66">
        <v>0</v>
      </c>
      <c r="H33" s="66">
        <v>0.41770499999999999</v>
      </c>
    </row>
    <row r="34" spans="1:8">
      <c r="A34" s="66" t="s">
        <v>386</v>
      </c>
      <c r="B34" s="66">
        <v>0.21485899999999999</v>
      </c>
      <c r="C34" s="66">
        <v>2.6945299999999998E-2</v>
      </c>
      <c r="D34" s="66">
        <v>0.12540899999999999</v>
      </c>
      <c r="E34" s="66">
        <v>0.1</v>
      </c>
      <c r="F34" s="66">
        <v>0.160693</v>
      </c>
      <c r="G34" s="66">
        <v>0.25</v>
      </c>
      <c r="H34" s="66">
        <v>0.28223399999999998</v>
      </c>
    </row>
    <row r="35" spans="1:8">
      <c r="A35" s="66" t="s">
        <v>387</v>
      </c>
      <c r="B35" s="66">
        <v>8.3032800000000004E-2</v>
      </c>
      <c r="C35" s="66">
        <v>1.97383E-2</v>
      </c>
      <c r="D35" s="66">
        <v>0.23771700000000001</v>
      </c>
      <c r="E35" s="66">
        <v>0</v>
      </c>
      <c r="F35" s="66">
        <v>3.8688300000000002E-2</v>
      </c>
      <c r="G35" s="66">
        <v>0</v>
      </c>
      <c r="H35" s="66">
        <v>0.15426000000000001</v>
      </c>
    </row>
    <row r="36" spans="1:8">
      <c r="A36" s="66" t="s">
        <v>388</v>
      </c>
      <c r="B36" s="66">
        <v>0.190885</v>
      </c>
      <c r="C36" s="66">
        <v>9.5561300000000002E-2</v>
      </c>
      <c r="D36" s="66">
        <v>0.50062200000000001</v>
      </c>
      <c r="E36" s="66">
        <v>0</v>
      </c>
      <c r="F36" s="66">
        <v>4.2859500000000002E-2</v>
      </c>
      <c r="G36" s="66">
        <v>0</v>
      </c>
      <c r="H36" s="66">
        <v>0.46723599999999998</v>
      </c>
    </row>
    <row r="37" spans="1:8">
      <c r="A37" s="66" t="s">
        <v>389</v>
      </c>
      <c r="B37" s="66">
        <v>0.269453</v>
      </c>
      <c r="C37" s="66">
        <v>0.13994799999999999</v>
      </c>
      <c r="D37" s="66">
        <v>0.51937900000000004</v>
      </c>
      <c r="E37" s="66">
        <v>0.1</v>
      </c>
      <c r="F37" s="66">
        <v>3.0429000000000001E-2</v>
      </c>
      <c r="G37" s="66">
        <v>0.5</v>
      </c>
      <c r="H37" s="66">
        <v>0.40947499999999998</v>
      </c>
    </row>
    <row r="38" spans="1:8">
      <c r="A38" s="66" t="s">
        <v>390</v>
      </c>
      <c r="B38" s="66">
        <v>25.709399999999999</v>
      </c>
      <c r="C38" s="66">
        <v>31.746300000000002</v>
      </c>
      <c r="D38" s="66">
        <v>1.23481</v>
      </c>
      <c r="E38" s="66">
        <v>0</v>
      </c>
      <c r="F38" s="66">
        <v>-46.353299999999997</v>
      </c>
      <c r="G38" s="66">
        <v>0</v>
      </c>
      <c r="H38" s="66">
        <v>132.45599999999999</v>
      </c>
    </row>
    <row r="39" spans="1:8">
      <c r="A39" s="66" t="s">
        <v>391</v>
      </c>
      <c r="B39" s="66">
        <v>8.7020999999999997</v>
      </c>
      <c r="C39" s="66">
        <v>5.5926999999999998</v>
      </c>
      <c r="D39" s="66">
        <v>0.64268400000000003</v>
      </c>
      <c r="E39" s="66">
        <v>0</v>
      </c>
      <c r="F39" s="66">
        <v>-11.089499999999999</v>
      </c>
      <c r="G39" s="66">
        <v>0</v>
      </c>
      <c r="H39" s="66">
        <v>21.891100000000002</v>
      </c>
    </row>
    <row r="40" spans="1:8">
      <c r="A40" s="66" t="s">
        <v>392</v>
      </c>
      <c r="B40" s="66">
        <v>6.6962700000000002</v>
      </c>
      <c r="C40" s="66">
        <v>0.63497999999999999</v>
      </c>
      <c r="D40" s="66">
        <v>9.4825999999999994E-2</v>
      </c>
      <c r="E40" s="66">
        <v>0</v>
      </c>
      <c r="F40" s="66">
        <v>4.8020699999999996</v>
      </c>
      <c r="G40" s="66">
        <v>0</v>
      </c>
      <c r="H40" s="66">
        <v>7.2856500000000004</v>
      </c>
    </row>
    <row r="41" spans="1:8">
      <c r="A41" s="66" t="s">
        <v>393</v>
      </c>
      <c r="B41" s="66">
        <v>0.19806099999999999</v>
      </c>
      <c r="C41" s="66">
        <v>0.20332500000000001</v>
      </c>
      <c r="D41" s="66">
        <v>1.02658</v>
      </c>
      <c r="E41" s="66">
        <v>0</v>
      </c>
      <c r="F41" s="66">
        <v>-0.74358999999999997</v>
      </c>
      <c r="G41" s="66">
        <v>0</v>
      </c>
      <c r="H41" s="66">
        <v>0.77391299999999996</v>
      </c>
    </row>
    <row r="42" spans="1:8">
      <c r="A42" s="66" t="s">
        <v>394</v>
      </c>
      <c r="B42" s="66">
        <v>0.136853</v>
      </c>
      <c r="C42" s="66">
        <v>9.8673999999999998E-2</v>
      </c>
      <c r="D42" s="66">
        <v>0.721024</v>
      </c>
      <c r="E42" s="66">
        <v>0</v>
      </c>
      <c r="F42" s="66">
        <v>-0.18856899999999999</v>
      </c>
      <c r="G42" s="66">
        <v>0</v>
      </c>
      <c r="H42" s="66">
        <v>0.34887000000000001</v>
      </c>
    </row>
    <row r="43" spans="1:8">
      <c r="A43" s="66" t="s">
        <v>395</v>
      </c>
      <c r="B43" s="66">
        <v>0.13964599999999999</v>
      </c>
      <c r="C43" s="66">
        <v>1.9575200000000001E-2</v>
      </c>
      <c r="D43" s="66">
        <v>0.140178</v>
      </c>
      <c r="E43" s="66">
        <v>0</v>
      </c>
      <c r="F43" s="66">
        <v>7.8807100000000005E-2</v>
      </c>
      <c r="G43" s="66">
        <v>0</v>
      </c>
      <c r="H43" s="66">
        <v>0.14954899999999999</v>
      </c>
    </row>
    <row r="44" spans="1:8">
      <c r="A44" s="66" t="s">
        <v>396</v>
      </c>
      <c r="B44" s="66">
        <v>18.0807</v>
      </c>
      <c r="C44" s="66">
        <v>6.8193799999999998</v>
      </c>
      <c r="D44" s="66">
        <v>0.37716300000000003</v>
      </c>
      <c r="E44" s="66">
        <v>0</v>
      </c>
      <c r="F44" s="66">
        <v>4.70139</v>
      </c>
      <c r="G44" s="66">
        <v>0</v>
      </c>
      <c r="H44" s="66">
        <v>33.3277</v>
      </c>
    </row>
    <row r="45" spans="1:8">
      <c r="A45" s="66" t="s">
        <v>397</v>
      </c>
      <c r="B45" s="66">
        <v>56.888300000000001</v>
      </c>
      <c r="C45" s="66">
        <v>3.90273</v>
      </c>
      <c r="D45" s="66">
        <v>6.8603399999999995E-2</v>
      </c>
      <c r="E45" s="66">
        <v>0</v>
      </c>
      <c r="F45" s="66">
        <v>47.371000000000002</v>
      </c>
      <c r="G45" s="66">
        <v>0</v>
      </c>
      <c r="H45" s="66">
        <v>66.259399999999999</v>
      </c>
    </row>
    <row r="46" spans="1:8">
      <c r="A46" s="66" t="s">
        <v>398</v>
      </c>
      <c r="B46" s="66">
        <v>41.131900000000002</v>
      </c>
      <c r="C46" s="66">
        <v>0.82473300000000005</v>
      </c>
      <c r="D46" s="66">
        <v>2.00509E-2</v>
      </c>
      <c r="E46" s="66">
        <v>0</v>
      </c>
      <c r="F46" s="66">
        <v>39.450600000000001</v>
      </c>
      <c r="G46" s="66">
        <v>0</v>
      </c>
      <c r="H46" s="66">
        <v>43.3752</v>
      </c>
    </row>
    <row r="47" spans="1:8">
      <c r="A47" s="66" t="s">
        <v>399</v>
      </c>
      <c r="B47" s="66">
        <v>1.1974400000000001</v>
      </c>
      <c r="C47" s="66">
        <v>0.32099100000000003</v>
      </c>
      <c r="D47" s="66">
        <v>0.268065</v>
      </c>
      <c r="E47" s="66">
        <v>0</v>
      </c>
      <c r="F47" s="66">
        <v>0.55728999999999995</v>
      </c>
      <c r="G47" s="66">
        <v>0</v>
      </c>
      <c r="H47" s="66">
        <v>2.2809499999999998</v>
      </c>
    </row>
    <row r="48" spans="1:8">
      <c r="A48" s="66" t="s">
        <v>400</v>
      </c>
      <c r="B48" s="66">
        <v>1.2625500000000001</v>
      </c>
      <c r="C48" s="66">
        <v>9.6736699999999995E-2</v>
      </c>
      <c r="D48" s="66">
        <v>7.6620099999999997E-2</v>
      </c>
      <c r="E48" s="66">
        <v>0</v>
      </c>
      <c r="F48" s="66">
        <v>1.1085100000000001</v>
      </c>
      <c r="G48" s="66">
        <v>0</v>
      </c>
      <c r="H48" s="66">
        <v>1.5130699999999999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402</v>
      </c>
      <c r="B1" s="60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114.03960297616716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2.200615510419158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0.74563947193309121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4704</v>
      </c>
      <c r="B8" s="66">
        <v>4704</v>
      </c>
      <c r="D8">
        <f t="shared" si="0"/>
        <v>2.2832180560611575E-2</v>
      </c>
      <c r="E8">
        <f t="shared" si="0"/>
        <v>2.2832180560611575E-2</v>
      </c>
      <c r="G8">
        <f t="shared" ca="1" si="1"/>
        <v>6</v>
      </c>
      <c r="H8">
        <f t="shared" ca="1" si="2"/>
        <v>0.13699308336366944</v>
      </c>
      <c r="I8">
        <f t="shared" ca="1" si="3"/>
        <v>266.50990188622632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2561</v>
      </c>
      <c r="B10" s="66">
        <v>2561</v>
      </c>
      <c r="D10">
        <f t="shared" si="0"/>
        <v>1.2430530275452009E-2</v>
      </c>
      <c r="E10">
        <f t="shared" si="0"/>
        <v>1.2430530275452009E-2</v>
      </c>
      <c r="G10">
        <f t="shared" ca="1" si="1"/>
        <v>8</v>
      </c>
      <c r="H10">
        <f t="shared" ca="1" si="2"/>
        <v>9.9444242203616071E-2</v>
      </c>
      <c r="I10">
        <f t="shared" ca="1" si="3"/>
        <v>139.77382230174896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3274</v>
      </c>
      <c r="B13" s="66">
        <v>3274</v>
      </c>
      <c r="D13">
        <f t="shared" si="0"/>
        <v>1.5891275330663753E-2</v>
      </c>
      <c r="E13">
        <f t="shared" si="0"/>
        <v>1.5891275330663753E-2</v>
      </c>
      <c r="G13">
        <f t="shared" ca="1" si="1"/>
        <v>11</v>
      </c>
      <c r="H13">
        <f t="shared" ca="1" si="2"/>
        <v>0.1748040286373013</v>
      </c>
      <c r="I13">
        <f t="shared" ca="1" si="3"/>
        <v>168.72020931724632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3105</v>
      </c>
      <c r="B15" s="66">
        <v>3105</v>
      </c>
      <c r="D15">
        <f t="shared" si="0"/>
        <v>1.5070986530760829E-2</v>
      </c>
      <c r="E15">
        <f t="shared" si="0"/>
        <v>1.5070986530760829E-2</v>
      </c>
      <c r="G15">
        <f t="shared" ca="1" si="1"/>
        <v>13</v>
      </c>
      <c r="H15">
        <f t="shared" ca="1" si="2"/>
        <v>0.19592282489989077</v>
      </c>
      <c r="I15">
        <f t="shared" ca="1" si="3"/>
        <v>153.85972213348145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3415</v>
      </c>
      <c r="B18" s="66">
        <v>3415</v>
      </c>
      <c r="D18">
        <f t="shared" si="0"/>
        <v>1.6575658293896373E-2</v>
      </c>
      <c r="E18">
        <f t="shared" si="0"/>
        <v>1.6575658293896373E-2</v>
      </c>
      <c r="G18">
        <f t="shared" ca="1" si="1"/>
        <v>16</v>
      </c>
      <c r="H18">
        <f t="shared" ca="1" si="2"/>
        <v>0.26521053270234196</v>
      </c>
      <c r="I18">
        <f t="shared" ca="1" si="3"/>
        <v>159.32131155024445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5431</v>
      </c>
      <c r="B21" s="66">
        <v>5431</v>
      </c>
      <c r="D21">
        <f t="shared" si="0"/>
        <v>2.6360878534158475E-2</v>
      </c>
      <c r="E21">
        <f t="shared" si="0"/>
        <v>2.6360878534158475E-2</v>
      </c>
      <c r="G21">
        <f t="shared" ca="1" si="1"/>
        <v>19</v>
      </c>
      <c r="H21">
        <f t="shared" ca="1" si="2"/>
        <v>0.50085669214901107</v>
      </c>
      <c r="I21">
        <f t="shared" ca="1" si="3"/>
        <v>238.10532427149272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11927</v>
      </c>
      <c r="B23" s="66">
        <v>11927</v>
      </c>
      <c r="D23">
        <f t="shared" si="0"/>
        <v>5.7891032641669699E-2</v>
      </c>
      <c r="E23">
        <f t="shared" si="0"/>
        <v>5.7891032641669699E-2</v>
      </c>
      <c r="G23">
        <f t="shared" ca="1" si="1"/>
        <v>21</v>
      </c>
      <c r="H23">
        <f t="shared" ca="1" si="2"/>
        <v>1.2157116854750636</v>
      </c>
      <c r="I23">
        <f t="shared" ca="1" si="3"/>
        <v>501.12606635044523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15194</v>
      </c>
      <c r="B26" s="66">
        <v>15194</v>
      </c>
      <c r="D26">
        <f t="shared" si="0"/>
        <v>7.3748331513165871E-2</v>
      </c>
      <c r="E26">
        <f t="shared" si="0"/>
        <v>7.3748331513165871E-2</v>
      </c>
      <c r="G26">
        <f t="shared" ca="1" si="1"/>
        <v>24</v>
      </c>
      <c r="H26">
        <f t="shared" ca="1" si="2"/>
        <v>1.7699599563159809</v>
      </c>
      <c r="I26">
        <f t="shared" ca="1" si="3"/>
        <v>597.8873185379623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25176</v>
      </c>
      <c r="B28" s="66">
        <v>25176</v>
      </c>
      <c r="D28">
        <f t="shared" si="0"/>
        <v>0.12219876228613033</v>
      </c>
      <c r="E28">
        <f t="shared" si="0"/>
        <v>0.12219876228613033</v>
      </c>
      <c r="G28">
        <f t="shared" ca="1" si="1"/>
        <v>26</v>
      </c>
      <c r="H28">
        <f t="shared" ca="1" si="2"/>
        <v>3.1771678194393886</v>
      </c>
      <c r="I28">
        <f t="shared" ca="1" si="3"/>
        <v>947.1591473018126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30804</v>
      </c>
      <c r="B31" s="66">
        <v>30804</v>
      </c>
      <c r="D31">
        <f t="shared" si="0"/>
        <v>0.14951583545686203</v>
      </c>
      <c r="E31">
        <f t="shared" si="0"/>
        <v>0.14951583545686203</v>
      </c>
      <c r="G31">
        <f t="shared" ca="1" si="1"/>
        <v>29</v>
      </c>
      <c r="H31">
        <f t="shared" ca="1" si="2"/>
        <v>4.3359592282489992</v>
      </c>
      <c r="I31">
        <f t="shared" ca="1" si="3"/>
        <v>1081.2587619274207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33334</v>
      </c>
      <c r="B33" s="66">
        <v>33334</v>
      </c>
      <c r="D33">
        <f t="shared" si="0"/>
        <v>0.16179589855600049</v>
      </c>
      <c r="E33">
        <f t="shared" si="0"/>
        <v>0.16179589855600049</v>
      </c>
      <c r="G33">
        <f t="shared" ca="1" si="1"/>
        <v>31</v>
      </c>
      <c r="H33">
        <f t="shared" ca="1" si="2"/>
        <v>5.0156728552360148</v>
      </c>
      <c r="I33">
        <f t="shared" ca="1" si="3"/>
        <v>1115.6758603652822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36372</v>
      </c>
      <c r="B36" s="66">
        <v>36372</v>
      </c>
      <c r="D36">
        <f t="shared" si="0"/>
        <v>0.17654168183472879</v>
      </c>
      <c r="E36">
        <f t="shared" si="0"/>
        <v>0.17654168183472879</v>
      </c>
      <c r="G36">
        <f t="shared" ca="1" si="1"/>
        <v>34</v>
      </c>
      <c r="H36">
        <f t="shared" ca="1" si="2"/>
        <v>6.0024171823807793</v>
      </c>
      <c r="I36">
        <f t="shared" ca="1" si="3"/>
        <v>1130.9856927923965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43819</v>
      </c>
      <c r="B39" s="66">
        <v>43819</v>
      </c>
      <c r="D39">
        <f t="shared" si="0"/>
        <v>0.21268778060914936</v>
      </c>
      <c r="E39">
        <f t="shared" si="0"/>
        <v>0.21268778060914936</v>
      </c>
      <c r="G39">
        <f t="shared" ca="1" si="1"/>
        <v>37</v>
      </c>
      <c r="H39">
        <f t="shared" ca="1" si="2"/>
        <v>7.8694478825385268</v>
      </c>
      <c r="I39">
        <f t="shared" ca="1" si="3"/>
        <v>1262.3233374526542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46598</v>
      </c>
      <c r="B41" s="66">
        <v>46598</v>
      </c>
      <c r="D41">
        <f t="shared" si="0"/>
        <v>0.22617643489867734</v>
      </c>
      <c r="E41">
        <f t="shared" si="0"/>
        <v>0.22617643489867734</v>
      </c>
      <c r="G41">
        <f t="shared" ca="1" si="1"/>
        <v>39</v>
      </c>
      <c r="H41">
        <f t="shared" ca="1" si="2"/>
        <v>8.8208809610484167</v>
      </c>
      <c r="I41">
        <f t="shared" ca="1" si="3"/>
        <v>1273.5863900333427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53000</v>
      </c>
      <c r="B44" s="66">
        <v>53000</v>
      </c>
      <c r="D44">
        <f t="shared" si="0"/>
        <v>0.25725033369736683</v>
      </c>
      <c r="E44">
        <f t="shared" si="0"/>
        <v>0.25725033369736683</v>
      </c>
      <c r="G44">
        <f t="shared" ca="1" si="1"/>
        <v>42</v>
      </c>
      <c r="H44">
        <f t="shared" ca="1" si="2"/>
        <v>10.804514015289406</v>
      </c>
      <c r="I44">
        <f t="shared" ca="1" si="3"/>
        <v>1335.0531879096275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58376</v>
      </c>
      <c r="B46" s="66">
        <v>58376</v>
      </c>
      <c r="D46">
        <f t="shared" si="0"/>
        <v>0.28334425433806576</v>
      </c>
      <c r="E46">
        <f t="shared" si="0"/>
        <v>0.28334425433806576</v>
      </c>
      <c r="G46">
        <f t="shared" ca="1" si="1"/>
        <v>44</v>
      </c>
      <c r="H46">
        <f t="shared" ca="1" si="2"/>
        <v>12.467147190874893</v>
      </c>
      <c r="I46">
        <f t="shared" ca="1" si="3"/>
        <v>1389.9582692576696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63998</v>
      </c>
      <c r="B49" s="66">
        <v>63998</v>
      </c>
      <c r="D49">
        <f t="shared" si="0"/>
        <v>0.31063220482951098</v>
      </c>
      <c r="E49">
        <f t="shared" si="0"/>
        <v>0.31063220482951098</v>
      </c>
      <c r="G49">
        <f t="shared" ca="1" si="1"/>
        <v>47</v>
      </c>
      <c r="H49">
        <f t="shared" ca="1" si="2"/>
        <v>14.599713626987016</v>
      </c>
      <c r="I49">
        <f t="shared" ca="1" si="3"/>
        <v>1396.0769172877142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60048</v>
      </c>
      <c r="B51" s="66">
        <v>60048</v>
      </c>
      <c r="D51">
        <f t="shared" si="0"/>
        <v>0.29145977429923553</v>
      </c>
      <c r="E51">
        <f t="shared" si="0"/>
        <v>0.29145977429923553</v>
      </c>
      <c r="G51">
        <f t="shared" ca="1" si="1"/>
        <v>49</v>
      </c>
      <c r="H51">
        <f t="shared" ca="1" si="2"/>
        <v>14.281528940662541</v>
      </c>
      <c r="I51">
        <f t="shared" ca="1" si="3"/>
        <v>1232.9185512229167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61657</v>
      </c>
      <c r="B54" s="66">
        <v>61657</v>
      </c>
      <c r="D54">
        <f t="shared" si="0"/>
        <v>0.2992695061278971</v>
      </c>
      <c r="E54">
        <f t="shared" si="0"/>
        <v>0.2992695061278971</v>
      </c>
      <c r="G54">
        <f t="shared" ca="1" si="1"/>
        <v>52</v>
      </c>
      <c r="H54">
        <f t="shared" ca="1" si="2"/>
        <v>15.562014318650649</v>
      </c>
      <c r="I54">
        <f t="shared" ca="1" si="3"/>
        <v>1151.8620943553731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64842</v>
      </c>
      <c r="B57" s="66">
        <v>64842</v>
      </c>
      <c r="D57">
        <f t="shared" si="0"/>
        <v>0.31472879504914453</v>
      </c>
      <c r="E57">
        <f t="shared" si="0"/>
        <v>0.31472879504914453</v>
      </c>
      <c r="G57">
        <f t="shared" ca="1" si="1"/>
        <v>55</v>
      </c>
      <c r="H57">
        <f t="shared" ca="1" si="2"/>
        <v>17.310083727702949</v>
      </c>
      <c r="I57">
        <f t="shared" ca="1" si="3"/>
        <v>1097.0422044277627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61951</v>
      </c>
      <c r="B59" s="66">
        <v>61951</v>
      </c>
      <c r="D59">
        <f t="shared" si="0"/>
        <v>0.30069651741293535</v>
      </c>
      <c r="E59">
        <f t="shared" si="0"/>
        <v>0.30069651741293535</v>
      </c>
      <c r="G59">
        <f t="shared" ca="1" si="1"/>
        <v>57</v>
      </c>
      <c r="H59">
        <f t="shared" ca="1" si="2"/>
        <v>17.139701492537316</v>
      </c>
      <c r="I59">
        <f t="shared" ca="1" si="3"/>
        <v>978.32102306520062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59989</v>
      </c>
      <c r="B62" s="66">
        <v>59989</v>
      </c>
      <c r="D62">
        <f t="shared" si="0"/>
        <v>0.29117340128625169</v>
      </c>
      <c r="E62">
        <f t="shared" si="0"/>
        <v>0.29117340128625169</v>
      </c>
      <c r="G62">
        <f t="shared" ca="1" si="1"/>
        <v>60</v>
      </c>
      <c r="H62">
        <f t="shared" ca="1" si="2"/>
        <v>17.4704040771751</v>
      </c>
      <c r="I62">
        <f t="shared" ca="1" si="3"/>
        <v>850.30747881916488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61442</v>
      </c>
      <c r="B64" s="66">
        <v>61442</v>
      </c>
      <c r="D64">
        <f t="shared" si="0"/>
        <v>0.29822594345346437</v>
      </c>
      <c r="E64">
        <f t="shared" si="0"/>
        <v>0.29822594345346437</v>
      </c>
      <c r="G64">
        <f t="shared" ca="1" si="1"/>
        <v>62</v>
      </c>
      <c r="H64">
        <f t="shared" ca="1" si="2"/>
        <v>18.49000849411479</v>
      </c>
      <c r="I64">
        <f t="shared" ca="1" si="3"/>
        <v>807.63172486728706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67800</v>
      </c>
      <c r="B67" s="66">
        <v>67800</v>
      </c>
      <c r="D67">
        <f t="shared" ref="D67:E130" si="4">IFERROR( A67/MAX(A$2:A$257), 0 )</f>
        <v>0.32908627593738626</v>
      </c>
      <c r="E67">
        <f t="shared" si="4"/>
        <v>0.32908627593738626</v>
      </c>
      <c r="G67">
        <f t="shared" ref="G67:G130" ca="1" si="5">CELL("row",D67)-2</f>
        <v>65</v>
      </c>
      <c r="H67">
        <f t="shared" ref="H67:H130" ca="1" si="6">D67*G67</f>
        <v>21.390607935930106</v>
      </c>
      <c r="I67">
        <f t="shared" ref="I67:I130" ca="1" si="7">D67*((G67-$L$1)^2)</f>
        <v>791.41387866557443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69944</v>
      </c>
      <c r="B69" s="66">
        <v>69944</v>
      </c>
      <c r="D69">
        <f t="shared" si="4"/>
        <v>0.33949278000242689</v>
      </c>
      <c r="E69">
        <f t="shared" si="4"/>
        <v>0.33949278000242689</v>
      </c>
      <c r="G69">
        <f t="shared" ca="1" si="5"/>
        <v>67</v>
      </c>
      <c r="H69">
        <f t="shared" ca="1" si="6"/>
        <v>22.746016260162602</v>
      </c>
      <c r="I69">
        <f t="shared" ca="1" si="7"/>
        <v>751.20390638506831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70814</v>
      </c>
      <c r="B72" s="66">
        <v>70814</v>
      </c>
      <c r="D72">
        <f t="shared" si="4"/>
        <v>0.34371556849896856</v>
      </c>
      <c r="E72">
        <f t="shared" si="4"/>
        <v>0.34371556849896856</v>
      </c>
      <c r="G72">
        <f t="shared" ca="1" si="5"/>
        <v>70</v>
      </c>
      <c r="H72">
        <f t="shared" ca="1" si="6"/>
        <v>24.060089794927798</v>
      </c>
      <c r="I72">
        <f t="shared" ca="1" si="7"/>
        <v>666.6317497291742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68943</v>
      </c>
      <c r="B75" s="66">
        <v>68943</v>
      </c>
      <c r="D75">
        <f t="shared" si="4"/>
        <v>0.33463414634146343</v>
      </c>
      <c r="E75">
        <f t="shared" si="4"/>
        <v>0.33463414634146343</v>
      </c>
      <c r="G75">
        <f t="shared" ca="1" si="5"/>
        <v>73</v>
      </c>
      <c r="H75">
        <f t="shared" ca="1" si="6"/>
        <v>24.428292682926831</v>
      </c>
      <c r="I75">
        <f t="shared" ca="1" si="7"/>
        <v>563.60723050479021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71372</v>
      </c>
      <c r="B77" s="66">
        <v>71372</v>
      </c>
      <c r="D77">
        <f t="shared" si="4"/>
        <v>0.34642397767261257</v>
      </c>
      <c r="E77">
        <f t="shared" si="4"/>
        <v>0.34642397767261257</v>
      </c>
      <c r="G77">
        <f t="shared" ca="1" si="5"/>
        <v>75</v>
      </c>
      <c r="H77">
        <f t="shared" ca="1" si="6"/>
        <v>25.981798325445943</v>
      </c>
      <c r="I77">
        <f t="shared" ca="1" si="7"/>
        <v>527.98152817138509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74410</v>
      </c>
      <c r="B80" s="66">
        <v>74410</v>
      </c>
      <c r="D80">
        <f t="shared" si="4"/>
        <v>0.36116976095134085</v>
      </c>
      <c r="E80">
        <f t="shared" si="4"/>
        <v>0.36116976095134085</v>
      </c>
      <c r="G80">
        <f t="shared" ca="1" si="5"/>
        <v>78</v>
      </c>
      <c r="H80">
        <f t="shared" ca="1" si="6"/>
        <v>28.171241354204586</v>
      </c>
      <c r="I80">
        <f t="shared" ca="1" si="7"/>
        <v>469.10642126538386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72745</v>
      </c>
      <c r="B82" s="66">
        <v>72745</v>
      </c>
      <c r="D82">
        <f t="shared" si="4"/>
        <v>0.35308821744933866</v>
      </c>
      <c r="E82">
        <f t="shared" si="4"/>
        <v>0.35308821744933866</v>
      </c>
      <c r="G82">
        <f t="shared" ca="1" si="5"/>
        <v>80</v>
      </c>
      <c r="H82">
        <f t="shared" ca="1" si="6"/>
        <v>28.247057395947092</v>
      </c>
      <c r="I82">
        <f t="shared" ca="1" si="7"/>
        <v>409.12140056320243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75095</v>
      </c>
      <c r="B85" s="66">
        <v>75095</v>
      </c>
      <c r="D85">
        <f t="shared" si="4"/>
        <v>0.36449460016988228</v>
      </c>
      <c r="E85">
        <f t="shared" si="4"/>
        <v>0.36449460016988228</v>
      </c>
      <c r="G85">
        <f t="shared" ca="1" si="5"/>
        <v>83</v>
      </c>
      <c r="H85">
        <f t="shared" ca="1" si="6"/>
        <v>30.253051814100228</v>
      </c>
      <c r="I85">
        <f t="shared" ca="1" si="7"/>
        <v>351.17485683477059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79804</v>
      </c>
      <c r="B88" s="66">
        <v>79804</v>
      </c>
      <c r="D88">
        <f t="shared" si="4"/>
        <v>0.3873510496298993</v>
      </c>
      <c r="E88">
        <f t="shared" si="4"/>
        <v>0.3873510496298993</v>
      </c>
      <c r="G88">
        <f t="shared" ca="1" si="5"/>
        <v>86</v>
      </c>
      <c r="H88">
        <f t="shared" ca="1" si="6"/>
        <v>33.312190268171342</v>
      </c>
      <c r="I88">
        <f t="shared" ca="1" si="7"/>
        <v>304.54288467523168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85808</v>
      </c>
      <c r="B90" s="66">
        <v>85808</v>
      </c>
      <c r="D90">
        <f t="shared" si="4"/>
        <v>0.41649314403591797</v>
      </c>
      <c r="E90">
        <f t="shared" si="4"/>
        <v>0.41649314403591797</v>
      </c>
      <c r="G90">
        <f t="shared" ca="1" si="5"/>
        <v>88</v>
      </c>
      <c r="H90">
        <f t="shared" ca="1" si="6"/>
        <v>36.651396675160782</v>
      </c>
      <c r="I90">
        <f t="shared" ca="1" si="7"/>
        <v>282.40772573331168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95120</v>
      </c>
      <c r="B93" s="66">
        <v>95120</v>
      </c>
      <c r="D93">
        <f t="shared" si="4"/>
        <v>0.46169154228855719</v>
      </c>
      <c r="E93">
        <f t="shared" si="4"/>
        <v>0.46169154228855719</v>
      </c>
      <c r="G93">
        <f t="shared" ca="1" si="5"/>
        <v>91</v>
      </c>
      <c r="H93">
        <f t="shared" ca="1" si="6"/>
        <v>42.013930348258704</v>
      </c>
      <c r="I93">
        <f t="shared" ca="1" si="7"/>
        <v>245.07663050639457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101028</v>
      </c>
      <c r="B95" s="66">
        <v>101028</v>
      </c>
      <c r="D95">
        <f t="shared" si="4"/>
        <v>0.490367673825992</v>
      </c>
      <c r="E95">
        <f t="shared" si="4"/>
        <v>0.490367673825992</v>
      </c>
      <c r="G95">
        <f t="shared" ca="1" si="5"/>
        <v>93</v>
      </c>
      <c r="H95">
        <f t="shared" ca="1" si="6"/>
        <v>45.604193665817256</v>
      </c>
      <c r="I95">
        <f t="shared" ca="1" si="7"/>
        <v>217.06855405841037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101182</v>
      </c>
      <c r="B98" s="66">
        <v>101182</v>
      </c>
      <c r="D98">
        <f t="shared" si="4"/>
        <v>0.49111515592767868</v>
      </c>
      <c r="E98">
        <f t="shared" si="4"/>
        <v>0.49111515592767868</v>
      </c>
      <c r="G98">
        <f t="shared" ca="1" si="5"/>
        <v>96</v>
      </c>
      <c r="H98">
        <f t="shared" ca="1" si="6"/>
        <v>47.147054969057152</v>
      </c>
      <c r="I98">
        <f t="shared" ca="1" si="7"/>
        <v>159.82226716883636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108746</v>
      </c>
      <c r="B100" s="66">
        <v>108746</v>
      </c>
      <c r="D100">
        <f t="shared" si="4"/>
        <v>0.52782914694818595</v>
      </c>
      <c r="E100">
        <f t="shared" si="4"/>
        <v>0.52782914694818595</v>
      </c>
      <c r="G100">
        <f t="shared" ca="1" si="5"/>
        <v>98</v>
      </c>
      <c r="H100">
        <f t="shared" ca="1" si="6"/>
        <v>51.727256400922222</v>
      </c>
      <c r="I100">
        <f t="shared" ca="1" si="7"/>
        <v>135.79400482777274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107714</v>
      </c>
      <c r="B103" s="66">
        <v>107714</v>
      </c>
      <c r="D103">
        <f t="shared" si="4"/>
        <v>0.52282004611090882</v>
      </c>
      <c r="E103">
        <f t="shared" si="4"/>
        <v>0.52282004611090882</v>
      </c>
      <c r="G103">
        <f t="shared" ca="1" si="5"/>
        <v>101</v>
      </c>
      <c r="H103">
        <f t="shared" ca="1" si="6"/>
        <v>52.804824657201792</v>
      </c>
      <c r="I103">
        <f t="shared" ca="1" si="7"/>
        <v>88.895743756938856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105695</v>
      </c>
      <c r="B106" s="66">
        <v>105695</v>
      </c>
      <c r="D106">
        <f t="shared" si="4"/>
        <v>0.51302026453100347</v>
      </c>
      <c r="E106">
        <f t="shared" si="4"/>
        <v>0.51302026453100347</v>
      </c>
      <c r="G106">
        <f t="shared" ca="1" si="5"/>
        <v>104</v>
      </c>
      <c r="H106">
        <f t="shared" ca="1" si="6"/>
        <v>53.354107511224363</v>
      </c>
      <c r="I106">
        <f t="shared" ca="1" si="7"/>
        <v>51.709173658078001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118925</v>
      </c>
      <c r="B108" s="66">
        <v>118925</v>
      </c>
      <c r="D108">
        <f t="shared" si="4"/>
        <v>0.57723577235772361</v>
      </c>
      <c r="E108">
        <f t="shared" si="4"/>
        <v>0.57723577235772361</v>
      </c>
      <c r="G108">
        <f t="shared" ca="1" si="5"/>
        <v>106</v>
      </c>
      <c r="H108">
        <f t="shared" ca="1" si="6"/>
        <v>61.1869918699187</v>
      </c>
      <c r="I108">
        <f t="shared" ca="1" si="7"/>
        <v>37.309758837578094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127616</v>
      </c>
      <c r="B111" s="66">
        <v>127616</v>
      </c>
      <c r="D111">
        <f t="shared" si="4"/>
        <v>0.61941997330421061</v>
      </c>
      <c r="E111">
        <f t="shared" si="4"/>
        <v>0.61941997330421061</v>
      </c>
      <c r="G111">
        <f t="shared" ca="1" si="5"/>
        <v>109</v>
      </c>
      <c r="H111">
        <f t="shared" ca="1" si="6"/>
        <v>67.516777090158953</v>
      </c>
      <c r="I111">
        <f t="shared" ca="1" si="7"/>
        <v>15.731779572643376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138103</v>
      </c>
      <c r="B113" s="66">
        <v>138103</v>
      </c>
      <c r="D113">
        <f t="shared" si="4"/>
        <v>0.67032156291712175</v>
      </c>
      <c r="E113">
        <f t="shared" si="4"/>
        <v>0.67032156291712175</v>
      </c>
      <c r="G113">
        <f t="shared" ca="1" si="5"/>
        <v>111</v>
      </c>
      <c r="H113">
        <f t="shared" ca="1" si="6"/>
        <v>74.405693483800519</v>
      </c>
      <c r="I113">
        <f t="shared" ca="1" si="7"/>
        <v>6.1932257690085084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147204</v>
      </c>
      <c r="B116" s="66">
        <v>147204</v>
      </c>
      <c r="D116">
        <f t="shared" si="4"/>
        <v>0.71449581361485259</v>
      </c>
      <c r="E116">
        <f t="shared" si="4"/>
        <v>0.71449581361485259</v>
      </c>
      <c r="G116">
        <f t="shared" ca="1" si="5"/>
        <v>114</v>
      </c>
      <c r="H116">
        <f t="shared" ca="1" si="6"/>
        <v>81.452522752093202</v>
      </c>
      <c r="I116">
        <f t="shared" ca="1" si="7"/>
        <v>1.1206121769578932E-3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155563</v>
      </c>
      <c r="B118" s="66">
        <v>155563</v>
      </c>
      <c r="D118">
        <f t="shared" si="4"/>
        <v>0.75506855964082031</v>
      </c>
      <c r="E118">
        <f t="shared" si="4"/>
        <v>0.75506855964082031</v>
      </c>
      <c r="G118">
        <f t="shared" ca="1" si="5"/>
        <v>116</v>
      </c>
      <c r="H118">
        <f t="shared" ca="1" si="6"/>
        <v>87.587952918335162</v>
      </c>
      <c r="I118">
        <f t="shared" ca="1" si="7"/>
        <v>2.9018466361733992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167052</v>
      </c>
      <c r="B121" s="66">
        <v>167052</v>
      </c>
      <c r="D121">
        <f t="shared" si="4"/>
        <v>0.81083363669457587</v>
      </c>
      <c r="E121">
        <f t="shared" si="4"/>
        <v>0.81083363669457587</v>
      </c>
      <c r="G121">
        <f t="shared" ca="1" si="5"/>
        <v>119</v>
      </c>
      <c r="H121">
        <f t="shared" ca="1" si="6"/>
        <v>96.489202766654529</v>
      </c>
      <c r="I121">
        <f t="shared" ca="1" si="7"/>
        <v>19.950998373475404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176015</v>
      </c>
      <c r="B124" s="66">
        <v>176015</v>
      </c>
      <c r="D124">
        <f t="shared" si="4"/>
        <v>0.8543380657687174</v>
      </c>
      <c r="E124">
        <f t="shared" si="4"/>
        <v>0.8543380657687174</v>
      </c>
      <c r="G124">
        <f t="shared" ca="1" si="5"/>
        <v>122</v>
      </c>
      <c r="H124">
        <f t="shared" ca="1" si="6"/>
        <v>104.22924402378352</v>
      </c>
      <c r="I124">
        <f t="shared" ca="1" si="7"/>
        <v>54.137626868447434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180905</v>
      </c>
      <c r="B126" s="66">
        <v>180905</v>
      </c>
      <c r="D126">
        <f t="shared" si="4"/>
        <v>0.87807304938721031</v>
      </c>
      <c r="E126">
        <f t="shared" si="4"/>
        <v>0.87807304938721031</v>
      </c>
      <c r="G126">
        <f t="shared" ca="1" si="5"/>
        <v>124</v>
      </c>
      <c r="H126">
        <f t="shared" ca="1" si="6"/>
        <v>108.88105812401407</v>
      </c>
      <c r="I126">
        <f t="shared" ca="1" si="7"/>
        <v>87.113195983776535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189334</v>
      </c>
      <c r="B129" s="66">
        <v>189334</v>
      </c>
      <c r="D129">
        <f t="shared" si="4"/>
        <v>0.91898556000485376</v>
      </c>
      <c r="E129">
        <f t="shared" si="4"/>
        <v>0.91898556000485376</v>
      </c>
      <c r="G129">
        <f t="shared" ca="1" si="5"/>
        <v>127</v>
      </c>
      <c r="H129">
        <f t="shared" ca="1" si="6"/>
        <v>116.71116612061643</v>
      </c>
      <c r="I129">
        <f t="shared" ca="1" si="7"/>
        <v>154.3637423298388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206025</v>
      </c>
      <c r="B131" s="66">
        <v>206025</v>
      </c>
      <c r="D131">
        <f t="shared" ref="D131:E194" si="8">IFERROR( A131/MAX(A$2:A$257), 0 )</f>
        <v>1</v>
      </c>
      <c r="E131">
        <f t="shared" si="8"/>
        <v>1</v>
      </c>
      <c r="G131">
        <f t="shared" ref="G131:G194" ca="1" si="9">CELL("row",D131)-2</f>
        <v>129</v>
      </c>
      <c r="H131">
        <f t="shared" ref="H131:H194" ca="1" si="10">D131*G131</f>
        <v>129</v>
      </c>
      <c r="I131">
        <f t="shared" ref="I131:I194" ca="1" si="11">D131*((G131-$L$1)^2)</f>
        <v>223.81347911070651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203733</v>
      </c>
      <c r="B134" s="66">
        <v>203733</v>
      </c>
      <c r="D134">
        <f t="shared" si="8"/>
        <v>0.98887513651255921</v>
      </c>
      <c r="E134">
        <f t="shared" si="8"/>
        <v>0.98887513651255921</v>
      </c>
      <c r="G134">
        <f t="shared" ca="1" si="9"/>
        <v>132</v>
      </c>
      <c r="H134">
        <f t="shared" ca="1" si="10"/>
        <v>130.53151801965782</v>
      </c>
      <c r="I134">
        <f t="shared" ca="1" si="11"/>
        <v>318.98724883291243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194006</v>
      </c>
      <c r="B136" s="66">
        <v>194006</v>
      </c>
      <c r="D136">
        <f t="shared" si="8"/>
        <v>0.94166241960927077</v>
      </c>
      <c r="E136">
        <f t="shared" si="8"/>
        <v>0.94166241960927077</v>
      </c>
      <c r="G136">
        <f t="shared" ca="1" si="9"/>
        <v>134</v>
      </c>
      <c r="H136">
        <f t="shared" ca="1" si="10"/>
        <v>126.18276422764228</v>
      </c>
      <c r="I136">
        <f t="shared" ca="1" si="11"/>
        <v>375.17473936856629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190144</v>
      </c>
      <c r="B139" s="66">
        <v>190144</v>
      </c>
      <c r="D139">
        <f t="shared" si="8"/>
        <v>0.92291712170853046</v>
      </c>
      <c r="E139">
        <f t="shared" si="8"/>
        <v>0.92291712170853046</v>
      </c>
      <c r="G139">
        <f t="shared" ca="1" si="9"/>
        <v>137</v>
      </c>
      <c r="H139">
        <f t="shared" ca="1" si="10"/>
        <v>126.43964567406867</v>
      </c>
      <c r="I139">
        <f t="shared" ca="1" si="11"/>
        <v>486.54329270341418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174324</v>
      </c>
      <c r="B142" s="66">
        <v>174324</v>
      </c>
      <c r="D142">
        <f t="shared" si="8"/>
        <v>0.84613032398980703</v>
      </c>
      <c r="E142">
        <f t="shared" si="8"/>
        <v>0.84613032398980703</v>
      </c>
      <c r="G142">
        <f t="shared" ca="1" si="9"/>
        <v>140</v>
      </c>
      <c r="H142">
        <f t="shared" ca="1" si="10"/>
        <v>118.45824535857298</v>
      </c>
      <c r="I142">
        <f t="shared" ca="1" si="11"/>
        <v>570.24294357341489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166456</v>
      </c>
      <c r="B144" s="66">
        <v>166456</v>
      </c>
      <c r="D144">
        <f t="shared" si="8"/>
        <v>0.80794078388545076</v>
      </c>
      <c r="E144">
        <f t="shared" si="8"/>
        <v>0.80794078388545076</v>
      </c>
      <c r="G144">
        <f t="shared" ca="1" si="9"/>
        <v>142</v>
      </c>
      <c r="H144">
        <f t="shared" ca="1" si="10"/>
        <v>114.727591311734</v>
      </c>
      <c r="I144">
        <f t="shared" ca="1" si="11"/>
        <v>631.6350175989752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151737</v>
      </c>
      <c r="B147" s="66">
        <v>151737</v>
      </c>
      <c r="D147">
        <f t="shared" si="8"/>
        <v>0.73649799781579905</v>
      </c>
      <c r="E147">
        <f t="shared" si="8"/>
        <v>0.73649799781579905</v>
      </c>
      <c r="G147">
        <f t="shared" ca="1" si="9"/>
        <v>145</v>
      </c>
      <c r="H147">
        <f t="shared" ca="1" si="10"/>
        <v>106.79220968329086</v>
      </c>
      <c r="I147">
        <f t="shared" ca="1" si="11"/>
        <v>705.9673452367025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139957</v>
      </c>
      <c r="B149" s="66">
        <v>139957</v>
      </c>
      <c r="D149">
        <f t="shared" si="8"/>
        <v>0.67932047081664848</v>
      </c>
      <c r="E149">
        <f t="shared" si="8"/>
        <v>0.67932047081664848</v>
      </c>
      <c r="G149">
        <f t="shared" ca="1" si="9"/>
        <v>147</v>
      </c>
      <c r="H149">
        <f t="shared" ca="1" si="10"/>
        <v>99.860109210047327</v>
      </c>
      <c r="I149">
        <f t="shared" ca="1" si="11"/>
        <v>738.00545274321928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127832</v>
      </c>
      <c r="B152" s="66">
        <v>127832</v>
      </c>
      <c r="D152">
        <f t="shared" si="8"/>
        <v>0.62046838975852447</v>
      </c>
      <c r="E152">
        <f t="shared" si="8"/>
        <v>0.62046838975852447</v>
      </c>
      <c r="G152">
        <f t="shared" ca="1" si="9"/>
        <v>150</v>
      </c>
      <c r="H152">
        <f t="shared" ca="1" si="10"/>
        <v>93.070258463778671</v>
      </c>
      <c r="I152">
        <f t="shared" ca="1" si="11"/>
        <v>802.35879383766553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116915</v>
      </c>
      <c r="B154" s="66">
        <v>116915</v>
      </c>
      <c r="D154">
        <f t="shared" si="8"/>
        <v>0.56747967479674799</v>
      </c>
      <c r="E154">
        <f t="shared" si="8"/>
        <v>0.56747967479674799</v>
      </c>
      <c r="G154">
        <f t="shared" ca="1" si="9"/>
        <v>152</v>
      </c>
      <c r="H154">
        <f t="shared" ca="1" si="10"/>
        <v>86.256910569105699</v>
      </c>
      <c r="I154">
        <f t="shared" ca="1" si="11"/>
        <v>817.7335252524374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100729</v>
      </c>
      <c r="B157" s="66">
        <v>100729</v>
      </c>
      <c r="D157">
        <f t="shared" si="8"/>
        <v>0.48891639364154837</v>
      </c>
      <c r="E157">
        <f t="shared" si="8"/>
        <v>0.48891639364154837</v>
      </c>
      <c r="G157">
        <f t="shared" ca="1" si="9"/>
        <v>155</v>
      </c>
      <c r="H157">
        <f t="shared" ca="1" si="10"/>
        <v>75.782041014439997</v>
      </c>
      <c r="I157">
        <f t="shared" ca="1" si="11"/>
        <v>820.28149589444274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94761</v>
      </c>
      <c r="B160" s="66">
        <v>94761</v>
      </c>
      <c r="D160">
        <f t="shared" si="8"/>
        <v>0.45994903531124864</v>
      </c>
      <c r="E160">
        <f t="shared" si="8"/>
        <v>0.45994903531124864</v>
      </c>
      <c r="G160">
        <f t="shared" ca="1" si="9"/>
        <v>158</v>
      </c>
      <c r="H160">
        <f t="shared" ca="1" si="10"/>
        <v>72.671947579177285</v>
      </c>
      <c r="I160">
        <f t="shared" ca="1" si="11"/>
        <v>888.85910288452499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86211</v>
      </c>
      <c r="B162" s="66">
        <v>86211</v>
      </c>
      <c r="D162">
        <f t="shared" si="8"/>
        <v>0.41844921732799417</v>
      </c>
      <c r="E162">
        <f t="shared" si="8"/>
        <v>0.41844921732799417</v>
      </c>
      <c r="G162">
        <f t="shared" ca="1" si="9"/>
        <v>160</v>
      </c>
      <c r="H162">
        <f t="shared" ca="1" si="10"/>
        <v>66.951874772479073</v>
      </c>
      <c r="I162">
        <f t="shared" ca="1" si="11"/>
        <v>883.91459139694507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80526</v>
      </c>
      <c r="B165" s="66">
        <v>80526</v>
      </c>
      <c r="D165">
        <f t="shared" si="8"/>
        <v>0.39085547870404075</v>
      </c>
      <c r="E165">
        <f t="shared" si="8"/>
        <v>0.39085547870404075</v>
      </c>
      <c r="G165">
        <f t="shared" ca="1" si="9"/>
        <v>163</v>
      </c>
      <c r="H165">
        <f t="shared" ca="1" si="10"/>
        <v>63.709443028758642</v>
      </c>
      <c r="I165">
        <f t="shared" ca="1" si="11"/>
        <v>936.92767144408617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66720</v>
      </c>
      <c r="B167" s="66">
        <v>66720</v>
      </c>
      <c r="D167">
        <f t="shared" si="8"/>
        <v>0.32384419366581724</v>
      </c>
      <c r="E167">
        <f t="shared" si="8"/>
        <v>0.32384419366581724</v>
      </c>
      <c r="G167">
        <f t="shared" ca="1" si="9"/>
        <v>165</v>
      </c>
      <c r="H167">
        <f t="shared" ca="1" si="10"/>
        <v>53.434291954859845</v>
      </c>
      <c r="I167">
        <f t="shared" ca="1" si="11"/>
        <v>841.01108586450903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63651</v>
      </c>
      <c r="B170" s="66">
        <v>63651</v>
      </c>
      <c r="D170">
        <f t="shared" si="8"/>
        <v>0.3089479432107754</v>
      </c>
      <c r="E170">
        <f t="shared" si="8"/>
        <v>0.3089479432107754</v>
      </c>
      <c r="G170">
        <f t="shared" ca="1" si="9"/>
        <v>168</v>
      </c>
      <c r="H170">
        <f t="shared" ca="1" si="10"/>
        <v>51.90325445941027</v>
      </c>
      <c r="I170">
        <f t="shared" ca="1" si="11"/>
        <v>899.57127908781138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59417</v>
      </c>
      <c r="B173" s="66">
        <v>59417</v>
      </c>
      <c r="D173">
        <f t="shared" si="8"/>
        <v>0.28839703919427256</v>
      </c>
      <c r="E173">
        <f t="shared" si="8"/>
        <v>0.28839703919427256</v>
      </c>
      <c r="G173">
        <f t="shared" ca="1" si="9"/>
        <v>171</v>
      </c>
      <c r="H173">
        <f t="shared" ca="1" si="10"/>
        <v>49.315893702220606</v>
      </c>
      <c r="I173">
        <f t="shared" ca="1" si="11"/>
        <v>935.70039522090633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53038</v>
      </c>
      <c r="B175" s="66">
        <v>53038</v>
      </c>
      <c r="D175">
        <f t="shared" si="8"/>
        <v>0.25743477733284797</v>
      </c>
      <c r="E175">
        <f t="shared" si="8"/>
        <v>0.25743477733284797</v>
      </c>
      <c r="G175">
        <f t="shared" ca="1" si="9"/>
        <v>173</v>
      </c>
      <c r="H175">
        <f t="shared" ca="1" si="10"/>
        <v>44.536216478582702</v>
      </c>
      <c r="I175">
        <f t="shared" ca="1" si="11"/>
        <v>894.92783201979239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44871</v>
      </c>
      <c r="B178" s="66">
        <v>44871</v>
      </c>
      <c r="D178">
        <f t="shared" si="8"/>
        <v>0.21779395704404805</v>
      </c>
      <c r="E178">
        <f t="shared" si="8"/>
        <v>0.21779395704404805</v>
      </c>
      <c r="G178">
        <f t="shared" ca="1" si="9"/>
        <v>176</v>
      </c>
      <c r="H178">
        <f t="shared" ca="1" si="10"/>
        <v>38.331736439752454</v>
      </c>
      <c r="I178">
        <f t="shared" ca="1" si="11"/>
        <v>836.13077664205036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43149</v>
      </c>
      <c r="B180" s="66">
        <v>43149</v>
      </c>
      <c r="D180">
        <f t="shared" si="8"/>
        <v>0.20943574808882418</v>
      </c>
      <c r="E180">
        <f t="shared" si="8"/>
        <v>0.20943574808882418</v>
      </c>
      <c r="G180">
        <f t="shared" ca="1" si="9"/>
        <v>178</v>
      </c>
      <c r="H180">
        <f t="shared" ca="1" si="10"/>
        <v>37.279563159810706</v>
      </c>
      <c r="I180">
        <f t="shared" ca="1" si="11"/>
        <v>856.78748494562058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38995</v>
      </c>
      <c r="B183" s="66">
        <v>38995</v>
      </c>
      <c r="D183">
        <f t="shared" si="8"/>
        <v>0.18927314646280791</v>
      </c>
      <c r="E183">
        <f t="shared" si="8"/>
        <v>0.18927314646280791</v>
      </c>
      <c r="G183">
        <f t="shared" ca="1" si="9"/>
        <v>181</v>
      </c>
      <c r="H183">
        <f t="shared" ca="1" si="10"/>
        <v>34.25843950976823</v>
      </c>
      <c r="I183">
        <f t="shared" ca="1" si="11"/>
        <v>848.64301681900554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34778</v>
      </c>
      <c r="B185" s="66">
        <v>34778</v>
      </c>
      <c r="D185">
        <f t="shared" si="8"/>
        <v>0.16880475670428347</v>
      </c>
      <c r="E185">
        <f t="shared" si="8"/>
        <v>0.16880475670428347</v>
      </c>
      <c r="G185">
        <f t="shared" ca="1" si="9"/>
        <v>183</v>
      </c>
      <c r="H185">
        <f t="shared" ca="1" si="10"/>
        <v>30.891270476883875</v>
      </c>
      <c r="I185">
        <f t="shared" ca="1" si="11"/>
        <v>802.75715785733223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25740</v>
      </c>
      <c r="B188" s="66">
        <v>25740</v>
      </c>
      <c r="D188">
        <f t="shared" si="8"/>
        <v>0.12493629413906079</v>
      </c>
      <c r="E188">
        <f t="shared" si="8"/>
        <v>0.12493629413906079</v>
      </c>
      <c r="G188">
        <f t="shared" ca="1" si="9"/>
        <v>186</v>
      </c>
      <c r="H188">
        <f t="shared" ca="1" si="10"/>
        <v>23.238150709865309</v>
      </c>
      <c r="I188">
        <f t="shared" ca="1" si="11"/>
        <v>646.95745449903518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18261</v>
      </c>
      <c r="B191" s="66">
        <v>18261</v>
      </c>
      <c r="D191">
        <f t="shared" si="8"/>
        <v>8.8634874408445571E-2</v>
      </c>
      <c r="E191">
        <f t="shared" si="8"/>
        <v>8.8634874408445571E-2</v>
      </c>
      <c r="G191">
        <f t="shared" ca="1" si="9"/>
        <v>189</v>
      </c>
      <c r="H191">
        <f t="shared" ca="1" si="10"/>
        <v>16.751991263196214</v>
      </c>
      <c r="I191">
        <f t="shared" ca="1" si="11"/>
        <v>498.04477683924756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12382</v>
      </c>
      <c r="B193" s="66">
        <v>12382</v>
      </c>
      <c r="D193">
        <f t="shared" si="8"/>
        <v>6.0099502487562191E-2</v>
      </c>
      <c r="E193">
        <f t="shared" si="8"/>
        <v>6.0099502487562191E-2</v>
      </c>
      <c r="G193">
        <f t="shared" ca="1" si="9"/>
        <v>191</v>
      </c>
      <c r="H193">
        <f t="shared" ca="1" si="10"/>
        <v>11.479004975124379</v>
      </c>
      <c r="I193">
        <f t="shared" ca="1" si="11"/>
        <v>355.96350615719911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8464</v>
      </c>
      <c r="B196" s="66">
        <v>8464</v>
      </c>
      <c r="D196">
        <f t="shared" si="12"/>
        <v>4.1082392913481376E-2</v>
      </c>
      <c r="E196">
        <f t="shared" si="12"/>
        <v>4.1082392913481376E-2</v>
      </c>
      <c r="G196">
        <f t="shared" ca="1" si="13"/>
        <v>194</v>
      </c>
      <c r="H196">
        <f t="shared" ca="1" si="14"/>
        <v>7.969984225215387</v>
      </c>
      <c r="I196">
        <f t="shared" ca="1" si="15"/>
        <v>262.66706147533927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4108</v>
      </c>
      <c r="B198" s="66">
        <v>4108</v>
      </c>
      <c r="D198">
        <f t="shared" si="12"/>
        <v>1.993932775148647E-2</v>
      </c>
      <c r="E198">
        <f t="shared" si="12"/>
        <v>1.993932775148647E-2</v>
      </c>
      <c r="G198">
        <f t="shared" ca="1" si="13"/>
        <v>196</v>
      </c>
      <c r="H198">
        <f t="shared" ca="1" si="14"/>
        <v>3.908108239291348</v>
      </c>
      <c r="I198">
        <f t="shared" ca="1" si="15"/>
        <v>133.94256737138741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3411</v>
      </c>
      <c r="B201" s="66">
        <v>3411</v>
      </c>
      <c r="D201">
        <f t="shared" si="12"/>
        <v>1.6556243174372043E-2</v>
      </c>
      <c r="E201">
        <f t="shared" si="12"/>
        <v>1.6556243174372043E-2</v>
      </c>
      <c r="G201">
        <f t="shared" ca="1" si="13"/>
        <v>199</v>
      </c>
      <c r="H201">
        <f t="shared" ca="1" si="14"/>
        <v>3.2946923917000364</v>
      </c>
      <c r="I201">
        <f t="shared" ca="1" si="15"/>
        <v>119.50741789592406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3026</v>
      </c>
      <c r="B203" s="66">
        <v>3026</v>
      </c>
      <c r="D203">
        <f t="shared" si="12"/>
        <v>1.4687537920155321E-2</v>
      </c>
      <c r="E203">
        <f t="shared" si="12"/>
        <v>1.4687537920155321E-2</v>
      </c>
      <c r="G203">
        <f t="shared" ca="1" si="13"/>
        <v>201</v>
      </c>
      <c r="H203">
        <f t="shared" ca="1" si="14"/>
        <v>2.9521951219512195</v>
      </c>
      <c r="I203">
        <f t="shared" ca="1" si="15"/>
        <v>111.06878693625538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2537</v>
      </c>
      <c r="B206" s="66">
        <v>2537</v>
      </c>
      <c r="D206">
        <f t="shared" si="12"/>
        <v>1.231403955830603E-2</v>
      </c>
      <c r="E206">
        <f t="shared" si="12"/>
        <v>1.231403955830603E-2</v>
      </c>
      <c r="G206">
        <f t="shared" ca="1" si="13"/>
        <v>204</v>
      </c>
      <c r="H206">
        <f t="shared" ca="1" si="14"/>
        <v>2.5120640698944303</v>
      </c>
      <c r="I206">
        <f t="shared" ca="1" si="15"/>
        <v>99.655958664838963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2072</v>
      </c>
      <c r="B209" s="66">
        <v>2072</v>
      </c>
      <c r="D209">
        <f t="shared" si="12"/>
        <v>1.0057031913602719E-2</v>
      </c>
      <c r="E209">
        <f t="shared" si="12"/>
        <v>1.0057031913602719E-2</v>
      </c>
      <c r="G209">
        <f t="shared" ca="1" si="13"/>
        <v>207</v>
      </c>
      <c r="H209">
        <f t="shared" ca="1" si="14"/>
        <v>2.0818056061157626</v>
      </c>
      <c r="I209">
        <f t="shared" ca="1" si="15"/>
        <v>86.909203152651003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153</v>
      </c>
      <c r="B211" s="66">
        <v>153</v>
      </c>
      <c r="D211">
        <f t="shared" si="12"/>
        <v>7.4262832180560609E-4</v>
      </c>
      <c r="E211">
        <f t="shared" si="12"/>
        <v>7.4262832180560609E-4</v>
      </c>
      <c r="G211">
        <f t="shared" ca="1" si="13"/>
        <v>209</v>
      </c>
      <c r="H211">
        <f t="shared" ca="1" si="14"/>
        <v>0.15520931925737166</v>
      </c>
      <c r="I211">
        <f t="shared" ca="1" si="15"/>
        <v>6.6966338136020678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97.944174836981858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1.8900229804071897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0.73285602111059645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3255</v>
      </c>
      <c r="B8" s="66">
        <v>3255</v>
      </c>
      <c r="D8">
        <f t="shared" si="0"/>
        <v>4.2062958751163029</v>
      </c>
      <c r="E8">
        <f t="shared" si="1"/>
        <v>4.2062958751163029</v>
      </c>
      <c r="G8">
        <f t="shared" ca="1" si="2"/>
        <v>6</v>
      </c>
      <c r="H8">
        <f t="shared" ca="1" si="3"/>
        <v>25.237775250697815</v>
      </c>
      <c r="I8">
        <f t="shared" ca="1" si="4"/>
        <v>35558.895039550946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1818</v>
      </c>
      <c r="B10" s="66">
        <v>1818</v>
      </c>
      <c r="D10">
        <f t="shared" si="0"/>
        <v>2.3493228574382301</v>
      </c>
      <c r="E10">
        <f t="shared" si="1"/>
        <v>2.3493228574382301</v>
      </c>
      <c r="G10">
        <f t="shared" ca="1" si="2"/>
        <v>8</v>
      </c>
      <c r="H10">
        <f t="shared" ca="1" si="3"/>
        <v>18.794582859505841</v>
      </c>
      <c r="I10">
        <f t="shared" ca="1" si="4"/>
        <v>19005.915227124351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2745</v>
      </c>
      <c r="B13" s="66">
        <v>2745</v>
      </c>
      <c r="D13">
        <f t="shared" si="0"/>
        <v>3.5472449085082189</v>
      </c>
      <c r="E13">
        <f t="shared" si="1"/>
        <v>3.5472449085082189</v>
      </c>
      <c r="G13">
        <f t="shared" ca="1" si="2"/>
        <v>11</v>
      </c>
      <c r="H13">
        <f t="shared" ca="1" si="3"/>
        <v>39.019693993590408</v>
      </c>
      <c r="I13">
        <f t="shared" ca="1" si="4"/>
        <v>26814.65132590674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1644</v>
      </c>
      <c r="B15" s="66">
        <v>1644</v>
      </c>
      <c r="D15">
        <f t="shared" si="0"/>
        <v>2.1244701747131192</v>
      </c>
      <c r="E15">
        <f t="shared" si="1"/>
        <v>2.1244701747131192</v>
      </c>
      <c r="G15">
        <f t="shared" ca="1" si="2"/>
        <v>13</v>
      </c>
      <c r="H15">
        <f t="shared" ca="1" si="3"/>
        <v>27.618112271270547</v>
      </c>
      <c r="I15">
        <f t="shared" ca="1" si="4"/>
        <v>15329.141821153677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2851</v>
      </c>
      <c r="B18" s="66">
        <v>2851</v>
      </c>
      <c r="D18">
        <f t="shared" si="0"/>
        <v>3.6842241290189186</v>
      </c>
      <c r="E18">
        <f t="shared" si="1"/>
        <v>3.6842241290189186</v>
      </c>
      <c r="G18">
        <f t="shared" ca="1" si="2"/>
        <v>16</v>
      </c>
      <c r="H18">
        <f t="shared" ca="1" si="3"/>
        <v>58.947586064302698</v>
      </c>
      <c r="I18">
        <f t="shared" ca="1" si="4"/>
        <v>24739.004249553123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4785</v>
      </c>
      <c r="B21" s="66">
        <v>4785</v>
      </c>
      <c r="D21">
        <f t="shared" si="0"/>
        <v>6.1834487749405564</v>
      </c>
      <c r="E21">
        <f t="shared" si="1"/>
        <v>6.1834487749405564</v>
      </c>
      <c r="G21">
        <f t="shared" ca="1" si="2"/>
        <v>19</v>
      </c>
      <c r="H21">
        <f t="shared" ca="1" si="3"/>
        <v>117.48552672387058</v>
      </c>
      <c r="I21">
        <f t="shared" ca="1" si="4"/>
        <v>38536.382733137376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9503</v>
      </c>
      <c r="B23" s="66">
        <v>9503</v>
      </c>
      <c r="D23">
        <f t="shared" si="0"/>
        <v>12.280316344463971</v>
      </c>
      <c r="E23">
        <f t="shared" si="1"/>
        <v>12.280316344463971</v>
      </c>
      <c r="G23">
        <f t="shared" ca="1" si="2"/>
        <v>21</v>
      </c>
      <c r="H23">
        <f t="shared" ca="1" si="3"/>
        <v>257.88664323374337</v>
      </c>
      <c r="I23">
        <f t="shared" ca="1" si="4"/>
        <v>72704.45907538035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12313</v>
      </c>
      <c r="B26" s="66">
        <v>12313</v>
      </c>
      <c r="D26">
        <f t="shared" si="0"/>
        <v>15.91155794479479</v>
      </c>
      <c r="E26">
        <f t="shared" si="1"/>
        <v>15.91155794479479</v>
      </c>
      <c r="G26">
        <f t="shared" ca="1" si="2"/>
        <v>24</v>
      </c>
      <c r="H26">
        <f t="shared" ca="1" si="3"/>
        <v>381.87739067507493</v>
      </c>
      <c r="I26">
        <f t="shared" ca="1" si="4"/>
        <v>87000.277626463518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20789</v>
      </c>
      <c r="B28" s="66">
        <v>20789</v>
      </c>
      <c r="D28">
        <f t="shared" si="0"/>
        <v>26.864726558461697</v>
      </c>
      <c r="E28">
        <f t="shared" si="1"/>
        <v>26.864726558461697</v>
      </c>
      <c r="G28">
        <f t="shared" ca="1" si="2"/>
        <v>26</v>
      </c>
      <c r="H28">
        <f t="shared" ca="1" si="3"/>
        <v>698.48289052000416</v>
      </c>
      <c r="I28">
        <f t="shared" ca="1" si="4"/>
        <v>139050.8654071138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21629</v>
      </c>
      <c r="B31" s="66">
        <v>21629</v>
      </c>
      <c r="D31">
        <f t="shared" si="0"/>
        <v>27.950222268169131</v>
      </c>
      <c r="E31">
        <f t="shared" si="1"/>
        <v>27.950222268169131</v>
      </c>
      <c r="G31">
        <f t="shared" ca="1" si="2"/>
        <v>29</v>
      </c>
      <c r="H31">
        <f t="shared" ca="1" si="3"/>
        <v>810.55644577690487</v>
      </c>
      <c r="I31">
        <f t="shared" ca="1" si="4"/>
        <v>132855.77037558769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24357</v>
      </c>
      <c r="B33" s="66">
        <v>24357</v>
      </c>
      <c r="D33">
        <f t="shared" si="0"/>
        <v>31.475498811123746</v>
      </c>
      <c r="E33">
        <f t="shared" si="1"/>
        <v>31.475498811123746</v>
      </c>
      <c r="G33">
        <f t="shared" ca="1" si="2"/>
        <v>31</v>
      </c>
      <c r="H33">
        <f t="shared" ca="1" si="3"/>
        <v>975.7404631448361</v>
      </c>
      <c r="I33">
        <f t="shared" ca="1" si="4"/>
        <v>141058.15752471989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27225</v>
      </c>
      <c r="B36" s="66">
        <v>27225</v>
      </c>
      <c r="D36">
        <f t="shared" si="0"/>
        <v>35.181691305696269</v>
      </c>
      <c r="E36">
        <f t="shared" si="1"/>
        <v>35.181691305696269</v>
      </c>
      <c r="G36">
        <f t="shared" ca="1" si="2"/>
        <v>34</v>
      </c>
      <c r="H36">
        <f t="shared" ca="1" si="3"/>
        <v>1196.1775043936732</v>
      </c>
      <c r="I36">
        <f t="shared" ca="1" si="4"/>
        <v>143852.922202566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31675</v>
      </c>
      <c r="B39" s="66">
        <v>31675</v>
      </c>
      <c r="D39">
        <f t="shared" si="0"/>
        <v>40.93223405355112</v>
      </c>
      <c r="E39">
        <f t="shared" si="1"/>
        <v>40.93223405355112</v>
      </c>
      <c r="G39">
        <f t="shared" ca="1" si="2"/>
        <v>37</v>
      </c>
      <c r="H39">
        <f t="shared" ca="1" si="3"/>
        <v>1514.4926599813914</v>
      </c>
      <c r="I39">
        <f t="shared" ca="1" si="4"/>
        <v>152030.19454255066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34138</v>
      </c>
      <c r="B41" s="66">
        <v>34138</v>
      </c>
      <c r="D41">
        <f t="shared" si="0"/>
        <v>44.115062545228987</v>
      </c>
      <c r="E41">
        <f t="shared" si="1"/>
        <v>44.115062545228987</v>
      </c>
      <c r="G41">
        <f t="shared" ca="1" si="2"/>
        <v>39</v>
      </c>
      <c r="H41">
        <f t="shared" ca="1" si="3"/>
        <v>1720.4874392639306</v>
      </c>
      <c r="I41">
        <f t="shared" ca="1" si="4"/>
        <v>153274.06799641612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40145</v>
      </c>
      <c r="B44" s="66">
        <v>40145</v>
      </c>
      <c r="D44">
        <f t="shared" si="0"/>
        <v>51.877649126434406</v>
      </c>
      <c r="E44">
        <f t="shared" si="1"/>
        <v>51.877649126434406</v>
      </c>
      <c r="G44">
        <f t="shared" ca="1" si="2"/>
        <v>42</v>
      </c>
      <c r="H44">
        <f t="shared" ca="1" si="3"/>
        <v>2178.8612633102452</v>
      </c>
      <c r="I44">
        <f t="shared" ca="1" si="4"/>
        <v>162364.10857395513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41756</v>
      </c>
      <c r="B46" s="66">
        <v>41756</v>
      </c>
      <c r="D46">
        <f t="shared" si="0"/>
        <v>53.959474826837592</v>
      </c>
      <c r="E46">
        <f t="shared" si="1"/>
        <v>53.959474826837592</v>
      </c>
      <c r="G46">
        <f t="shared" ca="1" si="2"/>
        <v>44</v>
      </c>
      <c r="H46">
        <f t="shared" ca="1" si="3"/>
        <v>2374.216892380854</v>
      </c>
      <c r="I46">
        <f t="shared" ca="1" si="4"/>
        <v>157020.66873731359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44665</v>
      </c>
      <c r="B49" s="66">
        <v>44665</v>
      </c>
      <c r="D49">
        <f t="shared" si="0"/>
        <v>57.71864985009821</v>
      </c>
      <c r="E49">
        <f t="shared" si="1"/>
        <v>57.71864985009821</v>
      </c>
      <c r="G49">
        <f t="shared" ca="1" si="2"/>
        <v>47</v>
      </c>
      <c r="H49">
        <f t="shared" ca="1" si="3"/>
        <v>2712.7765429546157</v>
      </c>
      <c r="I49">
        <f t="shared" ca="1" si="4"/>
        <v>149797.72852754299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43504</v>
      </c>
      <c r="B51" s="66">
        <v>43504</v>
      </c>
      <c r="D51">
        <f t="shared" si="0"/>
        <v>56.218339708466864</v>
      </c>
      <c r="E51">
        <f t="shared" si="1"/>
        <v>56.218339708466864</v>
      </c>
      <c r="G51">
        <f t="shared" ca="1" si="2"/>
        <v>49</v>
      </c>
      <c r="H51">
        <f t="shared" ca="1" si="3"/>
        <v>2754.6986457148764</v>
      </c>
      <c r="I51">
        <f t="shared" ca="1" si="4"/>
        <v>134672.84583968195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45512</v>
      </c>
      <c r="B54" s="66">
        <v>45512</v>
      </c>
      <c r="D54">
        <f t="shared" si="0"/>
        <v>58.813191357386543</v>
      </c>
      <c r="E54">
        <f t="shared" si="1"/>
        <v>58.813191357386543</v>
      </c>
      <c r="G54">
        <f t="shared" ca="1" si="2"/>
        <v>52</v>
      </c>
      <c r="H54">
        <f t="shared" ca="1" si="3"/>
        <v>3058.2859505841002</v>
      </c>
      <c r="I54">
        <f t="shared" ca="1" si="4"/>
        <v>124146.83664897791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48041</v>
      </c>
      <c r="B57" s="66">
        <v>48041</v>
      </c>
      <c r="D57">
        <f t="shared" si="0"/>
        <v>62.081308797684272</v>
      </c>
      <c r="E57">
        <f t="shared" si="1"/>
        <v>62.081308797684272</v>
      </c>
      <c r="G57">
        <f t="shared" ca="1" si="2"/>
        <v>55</v>
      </c>
      <c r="H57">
        <f t="shared" ca="1" si="3"/>
        <v>3414.4719838726351</v>
      </c>
      <c r="I57">
        <f t="shared" ca="1" si="4"/>
        <v>114490.48331031525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47993</v>
      </c>
      <c r="B59" s="66">
        <v>47993</v>
      </c>
      <c r="D59">
        <f t="shared" si="0"/>
        <v>62.019280471415279</v>
      </c>
      <c r="E59">
        <f t="shared" si="1"/>
        <v>62.019280471415279</v>
      </c>
      <c r="G59">
        <f t="shared" ca="1" si="2"/>
        <v>57</v>
      </c>
      <c r="H59">
        <f t="shared" ca="1" si="3"/>
        <v>3535.0989868706711</v>
      </c>
      <c r="I59">
        <f t="shared" ca="1" si="4"/>
        <v>103970.70036407096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44980</v>
      </c>
      <c r="B62" s="66">
        <v>44980</v>
      </c>
      <c r="D62">
        <f t="shared" si="0"/>
        <v>58.1257107412385</v>
      </c>
      <c r="E62">
        <f t="shared" si="1"/>
        <v>58.1257107412385</v>
      </c>
      <c r="G62">
        <f t="shared" ca="1" si="2"/>
        <v>60</v>
      </c>
      <c r="H62">
        <f t="shared" ca="1" si="3"/>
        <v>3487.5426444743098</v>
      </c>
      <c r="I62">
        <f t="shared" ca="1" si="4"/>
        <v>83687.096783048095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45007</v>
      </c>
      <c r="B64" s="66">
        <v>45007</v>
      </c>
      <c r="D64">
        <f t="shared" si="0"/>
        <v>58.160601674764813</v>
      </c>
      <c r="E64">
        <f t="shared" si="1"/>
        <v>58.160601674764813</v>
      </c>
      <c r="G64">
        <f t="shared" ca="1" si="2"/>
        <v>62</v>
      </c>
      <c r="H64">
        <f t="shared" ca="1" si="3"/>
        <v>3605.9573038354183</v>
      </c>
      <c r="I64">
        <f t="shared" ca="1" si="4"/>
        <v>75142.549620013669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46691</v>
      </c>
      <c r="B67" s="66">
        <v>46691</v>
      </c>
      <c r="D67">
        <f t="shared" ref="D67:D130" si="5">IFERROR( 100*A67/MAX(A$2:A$257), 0 )</f>
        <v>60.336762121368757</v>
      </c>
      <c r="E67">
        <f t="shared" ref="E67:E130" si="6">IFERROR( 100*B67/MAX(B$2:B$257), 0 )</f>
        <v>60.336762121368757</v>
      </c>
      <c r="G67">
        <f t="shared" ref="G67:G130" ca="1" si="7">CELL("row",D67)-2</f>
        <v>65</v>
      </c>
      <c r="H67">
        <f t="shared" ref="H67:H130" ca="1" si="8">D67*G67</f>
        <v>3921.8895378889692</v>
      </c>
      <c r="I67">
        <f t="shared" ref="I67:I130" ca="1" si="9">D67*((G67-$L$1)^2)</f>
        <v>65484.613554228847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46798</v>
      </c>
      <c r="B69" s="66">
        <v>46798</v>
      </c>
      <c r="D69">
        <f t="shared" si="5"/>
        <v>60.475033598676731</v>
      </c>
      <c r="E69">
        <f t="shared" si="6"/>
        <v>60.475033598676731</v>
      </c>
      <c r="G69">
        <f t="shared" ca="1" si="7"/>
        <v>67</v>
      </c>
      <c r="H69">
        <f t="shared" ca="1" si="8"/>
        <v>4051.827251111341</v>
      </c>
      <c r="I69">
        <f t="shared" ca="1" si="9"/>
        <v>57907.381981907027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46806</v>
      </c>
      <c r="B72" s="66">
        <v>46806</v>
      </c>
      <c r="D72">
        <f t="shared" si="5"/>
        <v>60.485371653054898</v>
      </c>
      <c r="E72">
        <f t="shared" si="6"/>
        <v>60.485371653054898</v>
      </c>
      <c r="G72">
        <f t="shared" ca="1" si="7"/>
        <v>70</v>
      </c>
      <c r="H72">
        <f t="shared" ca="1" si="8"/>
        <v>4233.9760157138426</v>
      </c>
      <c r="I72">
        <f t="shared" ca="1" si="9"/>
        <v>47231.629954526812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44931</v>
      </c>
      <c r="B75" s="66">
        <v>44931</v>
      </c>
      <c r="D75">
        <f t="shared" si="5"/>
        <v>58.062390158172235</v>
      </c>
      <c r="E75">
        <f t="shared" si="6"/>
        <v>58.062390158172235</v>
      </c>
      <c r="G75">
        <f t="shared" ca="1" si="7"/>
        <v>73</v>
      </c>
      <c r="H75">
        <f t="shared" ca="1" si="8"/>
        <v>4238.5544815465728</v>
      </c>
      <c r="I75">
        <f t="shared" ca="1" si="9"/>
        <v>36127.107677535139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44674</v>
      </c>
      <c r="B77" s="66">
        <v>44674</v>
      </c>
      <c r="D77">
        <f t="shared" si="5"/>
        <v>57.730280161273647</v>
      </c>
      <c r="E77">
        <f t="shared" si="6"/>
        <v>57.730280161273647</v>
      </c>
      <c r="G77">
        <f t="shared" ca="1" si="7"/>
        <v>75</v>
      </c>
      <c r="H77">
        <f t="shared" ca="1" si="8"/>
        <v>4329.7710120955235</v>
      </c>
      <c r="I77">
        <f t="shared" ca="1" si="9"/>
        <v>30391.249212927629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45689</v>
      </c>
      <c r="B80" s="66">
        <v>45689</v>
      </c>
      <c r="D80">
        <f t="shared" si="5"/>
        <v>59.041920810503463</v>
      </c>
      <c r="E80">
        <f t="shared" si="6"/>
        <v>59.041920810503463</v>
      </c>
      <c r="G80">
        <f t="shared" ca="1" si="7"/>
        <v>78</v>
      </c>
      <c r="H80">
        <f t="shared" ca="1" si="8"/>
        <v>4605.2698232192697</v>
      </c>
      <c r="I80">
        <f t="shared" ca="1" si="9"/>
        <v>23485.111331160158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43613</v>
      </c>
      <c r="B82" s="66">
        <v>43613</v>
      </c>
      <c r="D82">
        <f t="shared" si="5"/>
        <v>56.35919569936938</v>
      </c>
      <c r="E82">
        <f t="shared" si="6"/>
        <v>56.35919569936938</v>
      </c>
      <c r="G82">
        <f t="shared" ca="1" si="7"/>
        <v>80</v>
      </c>
      <c r="H82">
        <f t="shared" ca="1" si="8"/>
        <v>4508.7356559495502</v>
      </c>
      <c r="I82">
        <f t="shared" ca="1" si="9"/>
        <v>18147.289640795359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47120</v>
      </c>
      <c r="B85" s="66">
        <v>47120</v>
      </c>
      <c r="D85">
        <f t="shared" si="5"/>
        <v>60.89114028739791</v>
      </c>
      <c r="E85">
        <f t="shared" si="6"/>
        <v>60.89114028739791</v>
      </c>
      <c r="G85">
        <f t="shared" ca="1" si="7"/>
        <v>83</v>
      </c>
      <c r="H85">
        <f t="shared" ca="1" si="8"/>
        <v>5053.9646438540267</v>
      </c>
      <c r="I85">
        <f t="shared" ca="1" si="9"/>
        <v>13598.718593800057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50344</v>
      </c>
      <c r="B88" s="66">
        <v>50344</v>
      </c>
      <c r="D88">
        <f t="shared" si="5"/>
        <v>65.057376201798817</v>
      </c>
      <c r="E88">
        <f t="shared" si="6"/>
        <v>65.057376201798817</v>
      </c>
      <c r="G88">
        <f t="shared" ca="1" si="7"/>
        <v>86</v>
      </c>
      <c r="H88">
        <f t="shared" ca="1" si="8"/>
        <v>5594.934353354698</v>
      </c>
      <c r="I88">
        <f t="shared" ca="1" si="9"/>
        <v>9281.3007938747651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51534</v>
      </c>
      <c r="B90" s="66">
        <v>51534</v>
      </c>
      <c r="D90">
        <f t="shared" si="5"/>
        <v>66.595161790551018</v>
      </c>
      <c r="E90">
        <f t="shared" si="6"/>
        <v>66.595161790551018</v>
      </c>
      <c r="G90">
        <f t="shared" ca="1" si="7"/>
        <v>88</v>
      </c>
      <c r="H90">
        <f t="shared" ca="1" si="8"/>
        <v>5860.3742375684897</v>
      </c>
      <c r="I90">
        <f t="shared" ca="1" si="9"/>
        <v>6585.3700042053406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53116</v>
      </c>
      <c r="B93" s="66">
        <v>53116</v>
      </c>
      <c r="D93">
        <f t="shared" si="5"/>
        <v>68.639512043833349</v>
      </c>
      <c r="E93">
        <f t="shared" si="6"/>
        <v>68.639512043833349</v>
      </c>
      <c r="G93">
        <f t="shared" ca="1" si="7"/>
        <v>91</v>
      </c>
      <c r="H93">
        <f t="shared" ca="1" si="8"/>
        <v>6246.1955959888346</v>
      </c>
      <c r="I93">
        <f t="shared" ca="1" si="9"/>
        <v>3309.9046343839027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54841</v>
      </c>
      <c r="B95" s="66">
        <v>54841</v>
      </c>
      <c r="D95">
        <f t="shared" si="5"/>
        <v>70.868655019125399</v>
      </c>
      <c r="E95">
        <f t="shared" si="6"/>
        <v>70.868655019125399</v>
      </c>
      <c r="G95">
        <f t="shared" ca="1" si="7"/>
        <v>93</v>
      </c>
      <c r="H95">
        <f t="shared" ca="1" si="8"/>
        <v>6590.7849167786617</v>
      </c>
      <c r="I95">
        <f t="shared" ca="1" si="9"/>
        <v>1732.3746918216784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51766</v>
      </c>
      <c r="B98" s="66">
        <v>51766</v>
      </c>
      <c r="D98">
        <f t="shared" si="5"/>
        <v>66.894965367517827</v>
      </c>
      <c r="E98">
        <f t="shared" si="6"/>
        <v>66.894965367517827</v>
      </c>
      <c r="G98">
        <f t="shared" ca="1" si="7"/>
        <v>96</v>
      </c>
      <c r="H98">
        <f t="shared" ca="1" si="8"/>
        <v>6421.9166752817109</v>
      </c>
      <c r="I98">
        <f t="shared" ca="1" si="9"/>
        <v>252.85064681941785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53791</v>
      </c>
      <c r="B100" s="66">
        <v>53791</v>
      </c>
      <c r="D100">
        <f t="shared" si="5"/>
        <v>69.511785381991103</v>
      </c>
      <c r="E100">
        <f t="shared" si="6"/>
        <v>69.511785381991103</v>
      </c>
      <c r="G100">
        <f t="shared" ca="1" si="7"/>
        <v>98</v>
      </c>
      <c r="H100">
        <f t="shared" ca="1" si="8"/>
        <v>6812.1549674351281</v>
      </c>
      <c r="I100">
        <f t="shared" ca="1" si="9"/>
        <v>0.21662992194701552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50377</v>
      </c>
      <c r="B103" s="66">
        <v>50377</v>
      </c>
      <c r="D103">
        <f t="shared" si="5"/>
        <v>65.100020676108755</v>
      </c>
      <c r="E103">
        <f t="shared" si="6"/>
        <v>65.100020676108755</v>
      </c>
      <c r="G103">
        <f t="shared" ca="1" si="7"/>
        <v>101</v>
      </c>
      <c r="H103">
        <f t="shared" ca="1" si="8"/>
        <v>6575.1020882869843</v>
      </c>
      <c r="I103">
        <f t="shared" ca="1" si="9"/>
        <v>607.90838256835661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49011</v>
      </c>
      <c r="B106" s="66">
        <v>49011</v>
      </c>
      <c r="D106">
        <f t="shared" si="5"/>
        <v>63.334797891036906</v>
      </c>
      <c r="E106">
        <f t="shared" si="6"/>
        <v>63.334797891036906</v>
      </c>
      <c r="G106">
        <f t="shared" ca="1" si="7"/>
        <v>104</v>
      </c>
      <c r="H106">
        <f t="shared" ca="1" si="8"/>
        <v>6586.8189806678383</v>
      </c>
      <c r="I106">
        <f t="shared" ca="1" si="9"/>
        <v>2322.6782087377192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55625</v>
      </c>
      <c r="B108" s="66">
        <v>55625</v>
      </c>
      <c r="D108">
        <f t="shared" si="5"/>
        <v>71.881784348185676</v>
      </c>
      <c r="E108">
        <f t="shared" si="6"/>
        <v>71.881784348185676</v>
      </c>
      <c r="G108">
        <f t="shared" ca="1" si="7"/>
        <v>106</v>
      </c>
      <c r="H108">
        <f t="shared" ca="1" si="8"/>
        <v>7619.4691409076813</v>
      </c>
      <c r="I108">
        <f t="shared" ca="1" si="9"/>
        <v>4664.8632114546845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55033</v>
      </c>
      <c r="B111" s="66">
        <v>55033</v>
      </c>
      <c r="D111">
        <f t="shared" si="5"/>
        <v>71.116768324201388</v>
      </c>
      <c r="E111">
        <f t="shared" si="6"/>
        <v>71.116768324201388</v>
      </c>
      <c r="G111">
        <f t="shared" ca="1" si="7"/>
        <v>109</v>
      </c>
      <c r="H111">
        <f t="shared" ca="1" si="8"/>
        <v>7751.7277473379509</v>
      </c>
      <c r="I111">
        <f t="shared" ca="1" si="9"/>
        <v>8692.6929130680037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54998</v>
      </c>
      <c r="B113" s="66">
        <v>54998</v>
      </c>
      <c r="D113">
        <f t="shared" si="5"/>
        <v>71.071539336296908</v>
      </c>
      <c r="E113">
        <f t="shared" si="6"/>
        <v>71.071539336296908</v>
      </c>
      <c r="G113">
        <f t="shared" ca="1" si="7"/>
        <v>111</v>
      </c>
      <c r="H113">
        <f t="shared" ca="1" si="8"/>
        <v>7888.9408663289569</v>
      </c>
      <c r="I113">
        <f t="shared" ca="1" si="9"/>
        <v>12114.46872565388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54575</v>
      </c>
      <c r="B116" s="66">
        <v>54575</v>
      </c>
      <c r="D116">
        <f t="shared" si="5"/>
        <v>70.52491471105138</v>
      </c>
      <c r="E116">
        <f t="shared" si="6"/>
        <v>70.52491471105138</v>
      </c>
      <c r="G116">
        <f t="shared" ca="1" si="7"/>
        <v>114</v>
      </c>
      <c r="H116">
        <f t="shared" ca="1" si="8"/>
        <v>8039.8402770598577</v>
      </c>
      <c r="I116">
        <f t="shared" ca="1" si="9"/>
        <v>18180.584028855526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59269</v>
      </c>
      <c r="B118" s="66">
        <v>59269</v>
      </c>
      <c r="D118">
        <f t="shared" si="5"/>
        <v>76.590768117440291</v>
      </c>
      <c r="E118">
        <f t="shared" si="6"/>
        <v>76.590768117440291</v>
      </c>
      <c r="G118">
        <f t="shared" ca="1" si="7"/>
        <v>116</v>
      </c>
      <c r="H118">
        <f t="shared" ca="1" si="8"/>
        <v>8884.5291016230731</v>
      </c>
      <c r="I118">
        <f t="shared" ca="1" si="9"/>
        <v>24969.572477430305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66903</v>
      </c>
      <c r="B121" s="66">
        <v>66903</v>
      </c>
      <c r="D121">
        <f t="shared" si="5"/>
        <v>86.455856507805237</v>
      </c>
      <c r="E121">
        <f t="shared" si="6"/>
        <v>86.455856507805237</v>
      </c>
      <c r="G121">
        <f t="shared" ca="1" si="7"/>
        <v>119</v>
      </c>
      <c r="H121">
        <f t="shared" ca="1" si="8"/>
        <v>10288.246924428824</v>
      </c>
      <c r="I121">
        <f t="shared" ca="1" si="9"/>
        <v>38330.011471098318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64665</v>
      </c>
      <c r="B124" s="66">
        <v>64665</v>
      </c>
      <c r="D124">
        <f t="shared" si="5"/>
        <v>83.563785795513283</v>
      </c>
      <c r="E124">
        <f t="shared" si="6"/>
        <v>83.563785795513283</v>
      </c>
      <c r="G124">
        <f t="shared" ca="1" si="7"/>
        <v>122</v>
      </c>
      <c r="H124">
        <f t="shared" ca="1" si="8"/>
        <v>10194.781867052621</v>
      </c>
      <c r="I124">
        <f t="shared" ca="1" si="9"/>
        <v>48356.919214771267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66919</v>
      </c>
      <c r="B126" s="66">
        <v>66919</v>
      </c>
      <c r="D126">
        <f t="shared" si="5"/>
        <v>86.476532616561556</v>
      </c>
      <c r="E126">
        <f t="shared" si="6"/>
        <v>86.476532616561556</v>
      </c>
      <c r="G126">
        <f t="shared" ca="1" si="7"/>
        <v>124</v>
      </c>
      <c r="H126">
        <f t="shared" ca="1" si="8"/>
        <v>10723.090044453633</v>
      </c>
      <c r="I126">
        <f t="shared" ca="1" si="9"/>
        <v>58709.439008073445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73602</v>
      </c>
      <c r="B129" s="66">
        <v>73602</v>
      </c>
      <c r="D129">
        <f t="shared" si="5"/>
        <v>95.112684792722007</v>
      </c>
      <c r="E129">
        <f t="shared" si="6"/>
        <v>95.112684792722007</v>
      </c>
      <c r="G129">
        <f t="shared" ca="1" si="7"/>
        <v>127</v>
      </c>
      <c r="H129">
        <f t="shared" ca="1" si="8"/>
        <v>12079.310968675694</v>
      </c>
      <c r="I129">
        <f t="shared" ca="1" si="9"/>
        <v>80298.025830245577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77384</v>
      </c>
      <c r="B131" s="66">
        <v>77384</v>
      </c>
      <c r="D131">
        <f t="shared" ref="D131:D194" si="10">IFERROR( 100*A131/MAX(A$2:A$257), 0 )</f>
        <v>100</v>
      </c>
      <c r="E131">
        <f t="shared" ref="E131:E194" si="11">IFERROR( 100*B131/MAX(B$2:B$257), 0 )</f>
        <v>100</v>
      </c>
      <c r="G131">
        <f t="shared" ref="G131:G194" ca="1" si="12">CELL("row",D131)-2</f>
        <v>129</v>
      </c>
      <c r="H131">
        <f t="shared" ref="H131:H194" ca="1" si="13">D131*G131</f>
        <v>12900</v>
      </c>
      <c r="I131">
        <f t="shared" ref="I131:I194" ca="1" si="14">D131*((G131-$L$1)^2)</f>
        <v>96446.427655595078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68415</v>
      </c>
      <c r="B134" s="66">
        <v>68415</v>
      </c>
      <c r="D134">
        <f t="shared" si="10"/>
        <v>88.409748785278609</v>
      </c>
      <c r="E134">
        <f t="shared" si="11"/>
        <v>88.409748785278609</v>
      </c>
      <c r="G134">
        <f t="shared" ca="1" si="12"/>
        <v>132</v>
      </c>
      <c r="H134">
        <f t="shared" ca="1" si="13"/>
        <v>11670.086839656777</v>
      </c>
      <c r="I134">
        <f t="shared" ca="1" si="14"/>
        <v>102537.55834764639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67624</v>
      </c>
      <c r="B136" s="66">
        <v>67624</v>
      </c>
      <c r="D136">
        <f t="shared" si="10"/>
        <v>87.38757365863745</v>
      </c>
      <c r="E136">
        <f t="shared" si="11"/>
        <v>87.38757365863745</v>
      </c>
      <c r="G136">
        <f t="shared" ca="1" si="12"/>
        <v>134</v>
      </c>
      <c r="H136">
        <f t="shared" ca="1" si="13"/>
        <v>11709.934870257419</v>
      </c>
      <c r="I136">
        <f t="shared" ca="1" si="14"/>
        <v>113605.81443975371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66633</v>
      </c>
      <c r="B139" s="66">
        <v>66633</v>
      </c>
      <c r="D139">
        <f t="shared" si="10"/>
        <v>86.106947172542121</v>
      </c>
      <c r="E139">
        <f t="shared" si="11"/>
        <v>86.106947172542121</v>
      </c>
      <c r="G139">
        <f t="shared" ca="1" si="12"/>
        <v>137</v>
      </c>
      <c r="H139">
        <f t="shared" ca="1" si="13"/>
        <v>11796.65176263827</v>
      </c>
      <c r="I139">
        <f t="shared" ca="1" si="14"/>
        <v>131343.87587763733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55861</v>
      </c>
      <c r="B142" s="66">
        <v>55861</v>
      </c>
      <c r="D142">
        <f t="shared" si="10"/>
        <v>72.186756952341568</v>
      </c>
      <c r="E142">
        <f t="shared" si="11"/>
        <v>72.186756952341568</v>
      </c>
      <c r="G142">
        <f t="shared" ca="1" si="12"/>
        <v>140</v>
      </c>
      <c r="H142">
        <f t="shared" ca="1" si="13"/>
        <v>10106.145973327819</v>
      </c>
      <c r="I142">
        <f t="shared" ca="1" si="14"/>
        <v>127676.17057813218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51719</v>
      </c>
      <c r="B144" s="66">
        <v>51719</v>
      </c>
      <c r="D144">
        <f t="shared" si="10"/>
        <v>66.834229298046111</v>
      </c>
      <c r="E144">
        <f t="shared" si="11"/>
        <v>66.834229298046111</v>
      </c>
      <c r="G144">
        <f t="shared" ca="1" si="12"/>
        <v>142</v>
      </c>
      <c r="H144">
        <f t="shared" ca="1" si="13"/>
        <v>9490.4605603225482</v>
      </c>
      <c r="I144">
        <f t="shared" ca="1" si="14"/>
        <v>129719.60700009916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45156</v>
      </c>
      <c r="B147" s="66">
        <v>45156</v>
      </c>
      <c r="D147">
        <f t="shared" si="10"/>
        <v>58.353147937558148</v>
      </c>
      <c r="E147">
        <f t="shared" si="11"/>
        <v>58.353147937558148</v>
      </c>
      <c r="G147">
        <f t="shared" ca="1" si="12"/>
        <v>145</v>
      </c>
      <c r="H147">
        <f t="shared" ca="1" si="13"/>
        <v>8461.2064509459324</v>
      </c>
      <c r="I147">
        <f t="shared" ca="1" si="14"/>
        <v>129208.4976043115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39453</v>
      </c>
      <c r="B149" s="66">
        <v>39453</v>
      </c>
      <c r="D149">
        <f t="shared" si="10"/>
        <v>50.98340742272304</v>
      </c>
      <c r="E149">
        <f t="shared" si="11"/>
        <v>50.98340742272304</v>
      </c>
      <c r="G149">
        <f t="shared" ca="1" si="12"/>
        <v>147</v>
      </c>
      <c r="H149">
        <f t="shared" ca="1" si="13"/>
        <v>7494.5608911402869</v>
      </c>
      <c r="I149">
        <f t="shared" ca="1" si="14"/>
        <v>122690.24349813643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38646</v>
      </c>
      <c r="B152" s="66">
        <v>38646</v>
      </c>
      <c r="D152">
        <f t="shared" si="10"/>
        <v>49.940556187325548</v>
      </c>
      <c r="E152">
        <f t="shared" si="11"/>
        <v>49.940556187325548</v>
      </c>
      <c r="G152">
        <f t="shared" ca="1" si="12"/>
        <v>150</v>
      </c>
      <c r="H152">
        <f t="shared" ca="1" si="13"/>
        <v>7491.083428098832</v>
      </c>
      <c r="I152">
        <f t="shared" ca="1" si="14"/>
        <v>135329.3652955149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35035</v>
      </c>
      <c r="B154" s="66">
        <v>35035</v>
      </c>
      <c r="D154">
        <f t="shared" si="10"/>
        <v>45.274216892380856</v>
      </c>
      <c r="E154">
        <f t="shared" si="11"/>
        <v>45.274216892380856</v>
      </c>
      <c r="G154">
        <f t="shared" ca="1" si="12"/>
        <v>152</v>
      </c>
      <c r="H154">
        <f t="shared" ca="1" si="13"/>
        <v>6881.6809676418898</v>
      </c>
      <c r="I154">
        <f t="shared" ca="1" si="14"/>
        <v>132292.72113112453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28167</v>
      </c>
      <c r="B157" s="66">
        <v>28167</v>
      </c>
      <c r="D157">
        <f t="shared" si="10"/>
        <v>36.398997208725319</v>
      </c>
      <c r="E157">
        <f t="shared" si="11"/>
        <v>36.398997208725319</v>
      </c>
      <c r="G157">
        <f t="shared" ca="1" si="12"/>
        <v>155</v>
      </c>
      <c r="H157">
        <f t="shared" ca="1" si="13"/>
        <v>5641.8445673524247</v>
      </c>
      <c r="I157">
        <f t="shared" ca="1" si="14"/>
        <v>118492.10108138832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26216</v>
      </c>
      <c r="B160" s="66">
        <v>26216</v>
      </c>
      <c r="D160">
        <f t="shared" si="10"/>
        <v>33.877804197250079</v>
      </c>
      <c r="E160">
        <f t="shared" si="11"/>
        <v>33.877804197250079</v>
      </c>
      <c r="G160">
        <f t="shared" ca="1" si="12"/>
        <v>158</v>
      </c>
      <c r="H160">
        <f t="shared" ca="1" si="13"/>
        <v>5352.6930631655123</v>
      </c>
      <c r="I160">
        <f t="shared" ca="1" si="14"/>
        <v>122187.14876158438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20265</v>
      </c>
      <c r="B162" s="66">
        <v>20265</v>
      </c>
      <c r="D162">
        <f t="shared" si="10"/>
        <v>26.187583996691824</v>
      </c>
      <c r="E162">
        <f t="shared" si="11"/>
        <v>26.187583996691824</v>
      </c>
      <c r="G162">
        <f t="shared" ca="1" si="12"/>
        <v>160</v>
      </c>
      <c r="H162">
        <f t="shared" ca="1" si="13"/>
        <v>4190.013439470692</v>
      </c>
      <c r="I162">
        <f t="shared" ca="1" si="14"/>
        <v>100846.43333761144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17116</v>
      </c>
      <c r="B165" s="66">
        <v>17116</v>
      </c>
      <c r="D165">
        <f t="shared" si="10"/>
        <v>22.11826734208622</v>
      </c>
      <c r="E165">
        <f t="shared" si="11"/>
        <v>22.11826734208622</v>
      </c>
      <c r="G165">
        <f t="shared" ca="1" si="12"/>
        <v>163</v>
      </c>
      <c r="H165">
        <f t="shared" ca="1" si="13"/>
        <v>3605.2775767600538</v>
      </c>
      <c r="I165">
        <f t="shared" ca="1" si="14"/>
        <v>93610.266715169171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12638</v>
      </c>
      <c r="B167" s="66">
        <v>12638</v>
      </c>
      <c r="D167">
        <f t="shared" si="10"/>
        <v>16.331541403907785</v>
      </c>
      <c r="E167">
        <f t="shared" si="11"/>
        <v>16.331541403907785</v>
      </c>
      <c r="G167">
        <f t="shared" ca="1" si="12"/>
        <v>165</v>
      </c>
      <c r="H167">
        <f t="shared" ca="1" si="13"/>
        <v>2694.7043316447844</v>
      </c>
      <c r="I167">
        <f t="shared" ca="1" si="14"/>
        <v>73434.50952735731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11901</v>
      </c>
      <c r="B170" s="66">
        <v>11901</v>
      </c>
      <c r="D170">
        <f t="shared" si="10"/>
        <v>15.37914814431924</v>
      </c>
      <c r="E170">
        <f t="shared" si="11"/>
        <v>15.37914814431924</v>
      </c>
      <c r="G170">
        <f t="shared" ca="1" si="12"/>
        <v>168</v>
      </c>
      <c r="H170">
        <f t="shared" ca="1" si="13"/>
        <v>2583.6968882456322</v>
      </c>
      <c r="I170">
        <f t="shared" ca="1" si="14"/>
        <v>75478.069918805602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8653</v>
      </c>
      <c r="B173" s="66">
        <v>8653</v>
      </c>
      <c r="D173">
        <f t="shared" si="10"/>
        <v>11.181898066783832</v>
      </c>
      <c r="E173">
        <f t="shared" si="11"/>
        <v>11.181898066783832</v>
      </c>
      <c r="G173">
        <f t="shared" ca="1" si="12"/>
        <v>171</v>
      </c>
      <c r="H173">
        <f t="shared" ca="1" si="13"/>
        <v>1912.1045694200352</v>
      </c>
      <c r="I173">
        <f t="shared" ca="1" si="14"/>
        <v>59679.507412938983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5853</v>
      </c>
      <c r="B175" s="66">
        <v>5853</v>
      </c>
      <c r="D175">
        <f t="shared" si="10"/>
        <v>7.5635790344257208</v>
      </c>
      <c r="E175">
        <f t="shared" si="11"/>
        <v>7.5635790344257208</v>
      </c>
      <c r="G175">
        <f t="shared" ca="1" si="12"/>
        <v>173</v>
      </c>
      <c r="H175">
        <f t="shared" ca="1" si="13"/>
        <v>1308.4991729556498</v>
      </c>
      <c r="I175">
        <f t="shared" ca="1" si="14"/>
        <v>42608.491345041293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4517</v>
      </c>
      <c r="B178" s="66">
        <v>4517</v>
      </c>
      <c r="D178">
        <f t="shared" si="10"/>
        <v>5.8371239532719938</v>
      </c>
      <c r="E178">
        <f t="shared" si="11"/>
        <v>5.8371239532719938</v>
      </c>
      <c r="G178">
        <f t="shared" ca="1" si="12"/>
        <v>176</v>
      </c>
      <c r="H178">
        <f t="shared" ca="1" si="13"/>
        <v>1027.333815775871</v>
      </c>
      <c r="I178">
        <f t="shared" ca="1" si="14"/>
        <v>35563.914232619667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2805</v>
      </c>
      <c r="B180" s="66">
        <v>2805</v>
      </c>
      <c r="D180">
        <f t="shared" si="10"/>
        <v>3.6247803163444638</v>
      </c>
      <c r="E180">
        <f t="shared" si="11"/>
        <v>3.6247803163444638</v>
      </c>
      <c r="G180">
        <f t="shared" ca="1" si="12"/>
        <v>178</v>
      </c>
      <c r="H180">
        <f t="shared" ca="1" si="13"/>
        <v>645.21089630931453</v>
      </c>
      <c r="I180">
        <f t="shared" ca="1" si="14"/>
        <v>23230.981953377312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1625</v>
      </c>
      <c r="B183" s="66">
        <v>1625</v>
      </c>
      <c r="D183">
        <f t="shared" si="10"/>
        <v>2.0999172955649748</v>
      </c>
      <c r="E183">
        <f t="shared" si="11"/>
        <v>2.0999172955649748</v>
      </c>
      <c r="G183">
        <f t="shared" ca="1" si="12"/>
        <v>181</v>
      </c>
      <c r="H183">
        <f t="shared" ca="1" si="13"/>
        <v>380.08503049726045</v>
      </c>
      <c r="I183">
        <f t="shared" ca="1" si="14"/>
        <v>14485.796678839923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303</v>
      </c>
      <c r="B185" s="66">
        <v>303</v>
      </c>
      <c r="D185">
        <f t="shared" si="10"/>
        <v>0.39155380957303837</v>
      </c>
      <c r="E185">
        <f t="shared" si="11"/>
        <v>0.39155380957303837</v>
      </c>
      <c r="G185">
        <f t="shared" ca="1" si="12"/>
        <v>183</v>
      </c>
      <c r="H185">
        <f t="shared" ca="1" si="13"/>
        <v>71.65434715186602</v>
      </c>
      <c r="I185">
        <f t="shared" ca="1" si="14"/>
        <v>2832.6934488150764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28</v>
      </c>
      <c r="B188" s="66">
        <v>28</v>
      </c>
      <c r="D188">
        <f t="shared" si="10"/>
        <v>3.6183190323581103E-2</v>
      </c>
      <c r="E188">
        <f t="shared" si="11"/>
        <v>3.6183190323581103E-2</v>
      </c>
      <c r="G188">
        <f t="shared" ca="1" si="12"/>
        <v>186</v>
      </c>
      <c r="H188">
        <f t="shared" ca="1" si="13"/>
        <v>6.7300734001860851</v>
      </c>
      <c r="I188">
        <f t="shared" ca="1" si="14"/>
        <v>280.55824674857922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126.15697592009536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2.4344437433314967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0.66481361784903492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1493</v>
      </c>
      <c r="B8" s="66">
        <v>1493</v>
      </c>
      <c r="D8">
        <f t="shared" si="0"/>
        <v>1.0898446624620415</v>
      </c>
      <c r="E8">
        <f t="shared" si="1"/>
        <v>1.0898446624620415</v>
      </c>
      <c r="G8">
        <f t="shared" ca="1" si="2"/>
        <v>6</v>
      </c>
      <c r="H8">
        <f t="shared" ca="1" si="3"/>
        <v>6.5390679747722489</v>
      </c>
      <c r="I8">
        <f t="shared" ca="1" si="4"/>
        <v>15734.84904327094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755</v>
      </c>
      <c r="B10" s="66">
        <v>755</v>
      </c>
      <c r="D10">
        <f t="shared" si="0"/>
        <v>0.55112707311375841</v>
      </c>
      <c r="E10">
        <f t="shared" si="1"/>
        <v>0.55112707311375841</v>
      </c>
      <c r="G10">
        <f t="shared" ca="1" si="2"/>
        <v>8</v>
      </c>
      <c r="H10">
        <f t="shared" ca="1" si="3"/>
        <v>4.4090165849100673</v>
      </c>
      <c r="I10">
        <f t="shared" ca="1" si="4"/>
        <v>7694.324174936788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529</v>
      </c>
      <c r="B13" s="66">
        <v>529</v>
      </c>
      <c r="D13">
        <f t="shared" si="0"/>
        <v>0.38615393599626258</v>
      </c>
      <c r="E13">
        <f t="shared" si="1"/>
        <v>0.38615393599626258</v>
      </c>
      <c r="G13">
        <f t="shared" ca="1" si="2"/>
        <v>11</v>
      </c>
      <c r="H13">
        <f t="shared" ca="1" si="3"/>
        <v>4.2476932959588884</v>
      </c>
      <c r="I13">
        <f t="shared" ca="1" si="4"/>
        <v>5120.837198901756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1479</v>
      </c>
      <c r="B15" s="66">
        <v>1479</v>
      </c>
      <c r="D15">
        <f t="shared" si="0"/>
        <v>1.079625087596356</v>
      </c>
      <c r="E15">
        <f t="shared" si="1"/>
        <v>1.079625087596356</v>
      </c>
      <c r="G15">
        <f t="shared" ca="1" si="2"/>
        <v>13</v>
      </c>
      <c r="H15">
        <f t="shared" ca="1" si="3"/>
        <v>14.035126138752627</v>
      </c>
      <c r="I15">
        <f t="shared" ca="1" si="4"/>
        <v>13824.060729009403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586</v>
      </c>
      <c r="B18" s="66">
        <v>586</v>
      </c>
      <c r="D18">
        <f t="shared" si="0"/>
        <v>0.42776220509226814</v>
      </c>
      <c r="E18">
        <f t="shared" si="1"/>
        <v>0.42776220509226814</v>
      </c>
      <c r="G18">
        <f t="shared" ca="1" si="2"/>
        <v>16</v>
      </c>
      <c r="H18">
        <f t="shared" ca="1" si="3"/>
        <v>6.8441952814762903</v>
      </c>
      <c r="I18">
        <f t="shared" ca="1" si="4"/>
        <v>5190.7058627527413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684</v>
      </c>
      <c r="B21" s="66">
        <v>684</v>
      </c>
      <c r="D21">
        <f t="shared" si="0"/>
        <v>0.49929922915206726</v>
      </c>
      <c r="E21">
        <f t="shared" si="1"/>
        <v>0.49929922915206726</v>
      </c>
      <c r="G21">
        <f t="shared" ca="1" si="2"/>
        <v>19</v>
      </c>
      <c r="H21">
        <f t="shared" ca="1" si="3"/>
        <v>9.4866853538892784</v>
      </c>
      <c r="I21">
        <f t="shared" ca="1" si="4"/>
        <v>5733.2620605761576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2424</v>
      </c>
      <c r="B23" s="66">
        <v>2424</v>
      </c>
      <c r="D23">
        <f t="shared" si="0"/>
        <v>1.7694463910301332</v>
      </c>
      <c r="E23">
        <f t="shared" si="1"/>
        <v>1.7694463910301332</v>
      </c>
      <c r="G23">
        <f t="shared" ca="1" si="2"/>
        <v>21</v>
      </c>
      <c r="H23">
        <f t="shared" ca="1" si="3"/>
        <v>37.158374211632797</v>
      </c>
      <c r="I23">
        <f t="shared" ca="1" si="4"/>
        <v>19566.519762624583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2901</v>
      </c>
      <c r="B26" s="66">
        <v>2901</v>
      </c>
      <c r="D26">
        <f t="shared" si="0"/>
        <v>2.1176419060967064</v>
      </c>
      <c r="E26">
        <f t="shared" si="1"/>
        <v>2.1176419060967064</v>
      </c>
      <c r="G26">
        <f t="shared" ca="1" si="2"/>
        <v>24</v>
      </c>
      <c r="H26">
        <f t="shared" ca="1" si="3"/>
        <v>50.823405746320958</v>
      </c>
      <c r="I26">
        <f t="shared" ca="1" si="4"/>
        <v>22099.812005249998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4473</v>
      </c>
      <c r="B28" s="66">
        <v>4473</v>
      </c>
      <c r="D28">
        <f t="shared" si="0"/>
        <v>3.2651541695865451</v>
      </c>
      <c r="E28">
        <f t="shared" si="1"/>
        <v>3.2651541695865451</v>
      </c>
      <c r="G28">
        <f t="shared" ca="1" si="2"/>
        <v>26</v>
      </c>
      <c r="H28">
        <f t="shared" ca="1" si="3"/>
        <v>84.894008409250176</v>
      </c>
      <c r="I28">
        <f t="shared" ca="1" si="4"/>
        <v>32754.132269969159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9333</v>
      </c>
      <c r="B31" s="66">
        <v>9333</v>
      </c>
      <c r="D31">
        <f t="shared" si="0"/>
        <v>6.8128065872459702</v>
      </c>
      <c r="E31">
        <f t="shared" si="1"/>
        <v>6.8128065872459702</v>
      </c>
      <c r="G31">
        <f t="shared" ca="1" si="2"/>
        <v>29</v>
      </c>
      <c r="H31">
        <f t="shared" ca="1" si="3"/>
        <v>197.57139103013313</v>
      </c>
      <c r="I31">
        <f t="shared" ca="1" si="4"/>
        <v>64309.337693756759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9057</v>
      </c>
      <c r="B33" s="66">
        <v>9057</v>
      </c>
      <c r="D33">
        <f t="shared" si="0"/>
        <v>6.6113349684653118</v>
      </c>
      <c r="E33">
        <f t="shared" si="1"/>
        <v>6.6113349684653118</v>
      </c>
      <c r="G33">
        <f t="shared" ca="1" si="2"/>
        <v>31</v>
      </c>
      <c r="H33">
        <f t="shared" ca="1" si="3"/>
        <v>204.95138402242466</v>
      </c>
      <c r="I33">
        <f t="shared" ca="1" si="4"/>
        <v>59864.646877259365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9215</v>
      </c>
      <c r="B36" s="66">
        <v>9215</v>
      </c>
      <c r="D36">
        <f t="shared" si="0"/>
        <v>6.7266701705209062</v>
      </c>
      <c r="E36">
        <f t="shared" si="1"/>
        <v>6.7266701705209062</v>
      </c>
      <c r="G36">
        <f t="shared" ca="1" si="2"/>
        <v>34</v>
      </c>
      <c r="H36">
        <f t="shared" ca="1" si="3"/>
        <v>228.70678579771081</v>
      </c>
      <c r="I36">
        <f t="shared" ca="1" si="4"/>
        <v>57128.992322136903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12300</v>
      </c>
      <c r="B39" s="66">
        <v>12300</v>
      </c>
      <c r="D39">
        <f t="shared" si="0"/>
        <v>8.9786264891380512</v>
      </c>
      <c r="E39">
        <f t="shared" si="1"/>
        <v>8.9786264891380512</v>
      </c>
      <c r="G39">
        <f t="shared" ca="1" si="2"/>
        <v>37</v>
      </c>
      <c r="H39">
        <f t="shared" ca="1" si="3"/>
        <v>332.20918009810788</v>
      </c>
      <c r="I39">
        <f t="shared" ca="1" si="4"/>
        <v>71370.7998782137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12597</v>
      </c>
      <c r="B41" s="66">
        <v>12597</v>
      </c>
      <c r="D41">
        <f t="shared" si="0"/>
        <v>9.1954274702172398</v>
      </c>
      <c r="E41">
        <f t="shared" si="1"/>
        <v>9.1954274702172398</v>
      </c>
      <c r="G41">
        <f t="shared" ca="1" si="2"/>
        <v>39</v>
      </c>
      <c r="H41">
        <f t="shared" ca="1" si="3"/>
        <v>358.62167133847237</v>
      </c>
      <c r="I41">
        <f t="shared" ca="1" si="4"/>
        <v>69851.579270322385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13104</v>
      </c>
      <c r="B44" s="66">
        <v>13104</v>
      </c>
      <c r="D44">
        <f t="shared" si="0"/>
        <v>9.5655220742817093</v>
      </c>
      <c r="E44">
        <f t="shared" si="1"/>
        <v>9.5655220742817093</v>
      </c>
      <c r="G44">
        <f t="shared" ca="1" si="2"/>
        <v>42</v>
      </c>
      <c r="H44">
        <f t="shared" ca="1" si="3"/>
        <v>401.75192711983181</v>
      </c>
      <c r="I44">
        <f t="shared" ca="1" si="4"/>
        <v>67746.820978004005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16800</v>
      </c>
      <c r="B46" s="66">
        <v>16800</v>
      </c>
      <c r="D46">
        <f t="shared" si="0"/>
        <v>12.263489838822705</v>
      </c>
      <c r="E46">
        <f t="shared" si="1"/>
        <v>12.263489838822705</v>
      </c>
      <c r="G46">
        <f t="shared" ca="1" si="2"/>
        <v>44</v>
      </c>
      <c r="H46">
        <f t="shared" ca="1" si="3"/>
        <v>539.59355290819906</v>
      </c>
      <c r="I46">
        <f t="shared" ca="1" si="4"/>
        <v>82775.719772855475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19613</v>
      </c>
      <c r="B49" s="66">
        <v>19613</v>
      </c>
      <c r="D49">
        <f t="shared" si="0"/>
        <v>14.316894417192245</v>
      </c>
      <c r="E49">
        <f t="shared" si="1"/>
        <v>14.316894417192245</v>
      </c>
      <c r="G49">
        <f t="shared" ca="1" si="2"/>
        <v>47</v>
      </c>
      <c r="H49">
        <f t="shared" ca="1" si="3"/>
        <v>672.89403760803555</v>
      </c>
      <c r="I49">
        <f t="shared" ca="1" si="4"/>
        <v>89707.181259083678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16914</v>
      </c>
      <c r="B51" s="66">
        <v>16914</v>
      </c>
      <c r="D51">
        <f t="shared" si="0"/>
        <v>12.346706377014716</v>
      </c>
      <c r="E51">
        <f t="shared" si="1"/>
        <v>12.346706377014716</v>
      </c>
      <c r="G51">
        <f t="shared" ca="1" si="2"/>
        <v>49</v>
      </c>
      <c r="H51">
        <f t="shared" ca="1" si="3"/>
        <v>604.9886124737211</v>
      </c>
      <c r="I51">
        <f t="shared" ca="1" si="4"/>
        <v>73502.399231364921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16307</v>
      </c>
      <c r="B54" s="66">
        <v>16307</v>
      </c>
      <c r="D54">
        <f t="shared" si="0"/>
        <v>11.903614809623919</v>
      </c>
      <c r="E54">
        <f t="shared" si="1"/>
        <v>11.903614809623919</v>
      </c>
      <c r="G54">
        <f t="shared" ca="1" si="2"/>
        <v>52</v>
      </c>
      <c r="H54">
        <f t="shared" ca="1" si="3"/>
        <v>618.98797010044382</v>
      </c>
      <c r="I54">
        <f t="shared" ca="1" si="4"/>
        <v>65461.037991010446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17113</v>
      </c>
      <c r="B57" s="66">
        <v>17113</v>
      </c>
      <c r="D57">
        <f t="shared" si="0"/>
        <v>12.491970334034104</v>
      </c>
      <c r="E57">
        <f t="shared" si="1"/>
        <v>12.491970334034104</v>
      </c>
      <c r="G57">
        <f t="shared" ca="1" si="2"/>
        <v>55</v>
      </c>
      <c r="H57">
        <f t="shared" ca="1" si="3"/>
        <v>687.05836837187576</v>
      </c>
      <c r="I57">
        <f t="shared" ca="1" si="4"/>
        <v>63250.783546249448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14359</v>
      </c>
      <c r="B59" s="66">
        <v>14359</v>
      </c>
      <c r="D59">
        <f t="shared" si="0"/>
        <v>10.481633964027097</v>
      </c>
      <c r="E59">
        <f t="shared" si="1"/>
        <v>10.481633964027097</v>
      </c>
      <c r="G59">
        <f t="shared" ca="1" si="2"/>
        <v>57</v>
      </c>
      <c r="H59">
        <f t="shared" ca="1" si="3"/>
        <v>597.4531359495445</v>
      </c>
      <c r="I59">
        <f t="shared" ca="1" si="4"/>
        <v>50130.377835995707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15165</v>
      </c>
      <c r="B62" s="66">
        <v>15165</v>
      </c>
      <c r="D62">
        <f t="shared" si="0"/>
        <v>11.069989488437281</v>
      </c>
      <c r="E62">
        <f t="shared" si="1"/>
        <v>11.069989488437281</v>
      </c>
      <c r="G62">
        <f t="shared" ca="1" si="2"/>
        <v>60</v>
      </c>
      <c r="H62">
        <f t="shared" ca="1" si="3"/>
        <v>664.19936930623692</v>
      </c>
      <c r="I62">
        <f t="shared" ca="1" si="4"/>
        <v>48450.526267780864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16718</v>
      </c>
      <c r="B64" s="66">
        <v>16718</v>
      </c>
      <c r="D64">
        <f t="shared" si="0"/>
        <v>12.203632328895118</v>
      </c>
      <c r="E64">
        <f t="shared" si="1"/>
        <v>12.203632328895118</v>
      </c>
      <c r="G64">
        <f t="shared" ca="1" si="2"/>
        <v>62</v>
      </c>
      <c r="H64">
        <f t="shared" ca="1" si="3"/>
        <v>756.62520439149728</v>
      </c>
      <c r="I64">
        <f t="shared" ca="1" si="4"/>
        <v>50231.585315128723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21320</v>
      </c>
      <c r="B67" s="66">
        <v>21320</v>
      </c>
      <c r="D67">
        <f t="shared" ref="D67:D130" si="5">IFERROR(100*A67/MAX(A$2:A$257), 0 )</f>
        <v>15.562952581172624</v>
      </c>
      <c r="E67">
        <f t="shared" ref="E67:E130" si="6">IFERROR(100*B67/MAX(B$2:B$257), 0 )</f>
        <v>15.562952581172624</v>
      </c>
      <c r="G67">
        <f t="shared" ref="G67:G130" ca="1" si="7">CELL("row",D67)-2</f>
        <v>65</v>
      </c>
      <c r="H67">
        <f t="shared" ref="H67:H130" ca="1" si="8">D67*G67</f>
        <v>1011.5919177762205</v>
      </c>
      <c r="I67">
        <f t="shared" ref="I67:I130" ca="1" si="9">D67*((G67-$L$1)^2)</f>
        <v>58208.177121798915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23459</v>
      </c>
      <c r="B69" s="66">
        <v>23459</v>
      </c>
      <c r="D69">
        <f t="shared" si="5"/>
        <v>17.124357626722727</v>
      </c>
      <c r="E69">
        <f t="shared" si="6"/>
        <v>17.124357626722727</v>
      </c>
      <c r="G69">
        <f t="shared" ca="1" si="7"/>
        <v>67</v>
      </c>
      <c r="H69">
        <f t="shared" ca="1" si="8"/>
        <v>1147.3319609904227</v>
      </c>
      <c r="I69">
        <f t="shared" ca="1" si="9"/>
        <v>59927.508059194704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24396</v>
      </c>
      <c r="B72" s="66">
        <v>24396</v>
      </c>
      <c r="D72">
        <f t="shared" si="5"/>
        <v>17.808339173090399</v>
      </c>
      <c r="E72">
        <f t="shared" si="6"/>
        <v>17.808339173090399</v>
      </c>
      <c r="G72">
        <f t="shared" ca="1" si="7"/>
        <v>70</v>
      </c>
      <c r="H72">
        <f t="shared" ca="1" si="8"/>
        <v>1246.583742116328</v>
      </c>
      <c r="I72">
        <f t="shared" ca="1" si="9"/>
        <v>56160.484277755044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24225</v>
      </c>
      <c r="B75" s="66">
        <v>24225</v>
      </c>
      <c r="D75">
        <f t="shared" si="5"/>
        <v>17.683514365802381</v>
      </c>
      <c r="E75">
        <f t="shared" si="6"/>
        <v>17.683514365802381</v>
      </c>
      <c r="G75">
        <f t="shared" ca="1" si="7"/>
        <v>73</v>
      </c>
      <c r="H75">
        <f t="shared" ca="1" si="8"/>
        <v>1290.8965487035739</v>
      </c>
      <c r="I75">
        <f t="shared" ca="1" si="9"/>
        <v>49967.671510225788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27201</v>
      </c>
      <c r="B77" s="66">
        <v>27201</v>
      </c>
      <c r="D77">
        <f t="shared" si="5"/>
        <v>19.855903994393834</v>
      </c>
      <c r="E77">
        <f t="shared" si="6"/>
        <v>19.855903994393834</v>
      </c>
      <c r="G77">
        <f t="shared" ca="1" si="7"/>
        <v>75</v>
      </c>
      <c r="H77">
        <f t="shared" ca="1" si="8"/>
        <v>1489.1927995795377</v>
      </c>
      <c r="I77">
        <f t="shared" ca="1" si="9"/>
        <v>51963.619244957365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29096</v>
      </c>
      <c r="B80" s="66">
        <v>29096</v>
      </c>
      <c r="D80">
        <f t="shared" si="5"/>
        <v>21.239196449427705</v>
      </c>
      <c r="E80">
        <f t="shared" si="6"/>
        <v>21.239196449427705</v>
      </c>
      <c r="G80">
        <f t="shared" ca="1" si="7"/>
        <v>78</v>
      </c>
      <c r="H80">
        <f t="shared" ca="1" si="8"/>
        <v>1656.6573230553611</v>
      </c>
      <c r="I80">
        <f t="shared" ca="1" si="9"/>
        <v>49255.70005471012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29752</v>
      </c>
      <c r="B82" s="66">
        <v>29752</v>
      </c>
      <c r="D82">
        <f t="shared" si="5"/>
        <v>21.7180565288484</v>
      </c>
      <c r="E82">
        <f t="shared" si="6"/>
        <v>21.7180565288484</v>
      </c>
      <c r="G82">
        <f t="shared" ca="1" si="7"/>
        <v>80</v>
      </c>
      <c r="H82">
        <f t="shared" ca="1" si="8"/>
        <v>1737.4445223078719</v>
      </c>
      <c r="I82">
        <f t="shared" ca="1" si="9"/>
        <v>46269.590274598522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28412</v>
      </c>
      <c r="B85" s="66">
        <v>28412</v>
      </c>
      <c r="D85">
        <f t="shared" si="5"/>
        <v>20.739897220275637</v>
      </c>
      <c r="E85">
        <f t="shared" si="6"/>
        <v>20.739897220275637</v>
      </c>
      <c r="G85">
        <f t="shared" ca="1" si="7"/>
        <v>83</v>
      </c>
      <c r="H85">
        <f t="shared" ca="1" si="8"/>
        <v>1721.4114692828778</v>
      </c>
      <c r="I85">
        <f t="shared" ca="1" si="9"/>
        <v>38628.568163811928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29674</v>
      </c>
      <c r="B88" s="66">
        <v>29674</v>
      </c>
      <c r="D88">
        <f t="shared" si="5"/>
        <v>21.661118897453864</v>
      </c>
      <c r="E88">
        <f t="shared" si="6"/>
        <v>21.661118897453864</v>
      </c>
      <c r="G88">
        <f t="shared" ca="1" si="7"/>
        <v>86</v>
      </c>
      <c r="H88">
        <f t="shared" ca="1" si="8"/>
        <v>1862.8562251810324</v>
      </c>
      <c r="I88">
        <f t="shared" ca="1" si="9"/>
        <v>34930.345922614608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34689</v>
      </c>
      <c r="B90" s="66">
        <v>34689</v>
      </c>
      <c r="D90">
        <f t="shared" si="5"/>
        <v>25.321916608269095</v>
      </c>
      <c r="E90">
        <f t="shared" si="6"/>
        <v>25.321916608269095</v>
      </c>
      <c r="G90">
        <f t="shared" ca="1" si="7"/>
        <v>88</v>
      </c>
      <c r="H90">
        <f t="shared" ca="1" si="8"/>
        <v>2228.3286615276802</v>
      </c>
      <c r="I90">
        <f t="shared" ca="1" si="9"/>
        <v>36867.566318836689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42601</v>
      </c>
      <c r="B93" s="66">
        <v>42601</v>
      </c>
      <c r="D93">
        <f t="shared" si="5"/>
        <v>31.097436346647978</v>
      </c>
      <c r="E93">
        <f t="shared" si="6"/>
        <v>31.097436346647978</v>
      </c>
      <c r="G93">
        <f t="shared" ca="1" si="7"/>
        <v>91</v>
      </c>
      <c r="H93">
        <f t="shared" ca="1" si="8"/>
        <v>2829.8667075449662</v>
      </c>
      <c r="I93">
        <f t="shared" ca="1" si="9"/>
        <v>38436.834218058335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46632</v>
      </c>
      <c r="B95" s="66">
        <v>46632</v>
      </c>
      <c r="D95">
        <f t="shared" si="5"/>
        <v>34.039943938332165</v>
      </c>
      <c r="E95">
        <f t="shared" si="6"/>
        <v>34.039943938332165</v>
      </c>
      <c r="G95">
        <f t="shared" ca="1" si="7"/>
        <v>93</v>
      </c>
      <c r="H95">
        <f t="shared" ca="1" si="8"/>
        <v>3165.7147862648912</v>
      </c>
      <c r="I95">
        <f t="shared" ca="1" si="9"/>
        <v>37423.005542363659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49901</v>
      </c>
      <c r="B98" s="66">
        <v>49901</v>
      </c>
      <c r="D98">
        <f t="shared" si="5"/>
        <v>36.426214669469751</v>
      </c>
      <c r="E98">
        <f t="shared" si="6"/>
        <v>36.426214669469751</v>
      </c>
      <c r="G98">
        <f t="shared" ca="1" si="7"/>
        <v>96</v>
      </c>
      <c r="H98">
        <f t="shared" ca="1" si="8"/>
        <v>3496.9166082690963</v>
      </c>
      <c r="I98">
        <f t="shared" ca="1" si="9"/>
        <v>33127.57311068727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55886</v>
      </c>
      <c r="B100" s="66">
        <v>55886</v>
      </c>
      <c r="D100">
        <f t="shared" si="5"/>
        <v>40.795082924550336</v>
      </c>
      <c r="E100">
        <f t="shared" si="6"/>
        <v>40.795082924550336</v>
      </c>
      <c r="G100">
        <f t="shared" ca="1" si="7"/>
        <v>98</v>
      </c>
      <c r="H100">
        <f t="shared" ca="1" si="8"/>
        <v>3997.9181266059327</v>
      </c>
      <c r="I100">
        <f t="shared" ca="1" si="9"/>
        <v>32342.965620351912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58683</v>
      </c>
      <c r="B103" s="66">
        <v>58683</v>
      </c>
      <c r="D103">
        <f t="shared" si="5"/>
        <v>42.836807988787669</v>
      </c>
      <c r="E103">
        <f t="shared" si="6"/>
        <v>42.836807988787669</v>
      </c>
      <c r="G103">
        <f t="shared" ca="1" si="7"/>
        <v>101</v>
      </c>
      <c r="H103">
        <f t="shared" ca="1" si="8"/>
        <v>4326.5176068675546</v>
      </c>
      <c r="I103">
        <f t="shared" ca="1" si="9"/>
        <v>27110.277921003701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57711</v>
      </c>
      <c r="B106" s="66">
        <v>57711</v>
      </c>
      <c r="D106">
        <f t="shared" si="5"/>
        <v>42.127277505255783</v>
      </c>
      <c r="E106">
        <f t="shared" si="6"/>
        <v>42.127277505255783</v>
      </c>
      <c r="G106">
        <f t="shared" ca="1" si="7"/>
        <v>104</v>
      </c>
      <c r="H106">
        <f t="shared" ca="1" si="8"/>
        <v>4381.2368605466017</v>
      </c>
      <c r="I106">
        <f t="shared" ca="1" si="9"/>
        <v>20681.610987793323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64646</v>
      </c>
      <c r="B108" s="66">
        <v>64646</v>
      </c>
      <c r="D108">
        <f t="shared" si="5"/>
        <v>47.189616911936461</v>
      </c>
      <c r="E108">
        <f t="shared" si="6"/>
        <v>47.189616911936461</v>
      </c>
      <c r="G108">
        <f t="shared" ca="1" si="7"/>
        <v>106</v>
      </c>
      <c r="H108">
        <f t="shared" ca="1" si="8"/>
        <v>5002.0993926652645</v>
      </c>
      <c r="I108">
        <f t="shared" ca="1" si="9"/>
        <v>19173.314926212224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73684</v>
      </c>
      <c r="B111" s="66">
        <v>73684</v>
      </c>
      <c r="D111">
        <f t="shared" si="5"/>
        <v>53.78708245736977</v>
      </c>
      <c r="E111">
        <f t="shared" si="6"/>
        <v>53.78708245736977</v>
      </c>
      <c r="G111">
        <f t="shared" ca="1" si="7"/>
        <v>109</v>
      </c>
      <c r="H111">
        <f t="shared" ca="1" si="8"/>
        <v>5862.7919878533048</v>
      </c>
      <c r="I111">
        <f t="shared" ca="1" si="9"/>
        <v>15832.863631089256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84218</v>
      </c>
      <c r="B113" s="66">
        <v>84218</v>
      </c>
      <c r="D113">
        <f t="shared" si="5"/>
        <v>61.476582574164915</v>
      </c>
      <c r="E113">
        <f t="shared" si="6"/>
        <v>61.476582574164915</v>
      </c>
      <c r="G113">
        <f t="shared" ca="1" si="7"/>
        <v>111</v>
      </c>
      <c r="H113">
        <f t="shared" ca="1" si="8"/>
        <v>6823.9006657323052</v>
      </c>
      <c r="I113">
        <f t="shared" ca="1" si="9"/>
        <v>14123.256244093589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93342</v>
      </c>
      <c r="B116" s="66">
        <v>93342</v>
      </c>
      <c r="D116">
        <f t="shared" si="5"/>
        <v>68.136825508058863</v>
      </c>
      <c r="E116">
        <f t="shared" si="6"/>
        <v>68.136825508058863</v>
      </c>
      <c r="G116">
        <f t="shared" ca="1" si="7"/>
        <v>114</v>
      </c>
      <c r="H116">
        <f t="shared" ca="1" si="8"/>
        <v>7767.5981079187104</v>
      </c>
      <c r="I116">
        <f t="shared" ca="1" si="9"/>
        <v>10070.082043659373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97674</v>
      </c>
      <c r="B118" s="66">
        <v>97674</v>
      </c>
      <c r="D118">
        <f t="shared" si="5"/>
        <v>71.299053959355291</v>
      </c>
      <c r="E118">
        <f t="shared" si="6"/>
        <v>71.299053959355291</v>
      </c>
      <c r="G118">
        <f t="shared" ca="1" si="7"/>
        <v>116</v>
      </c>
      <c r="H118">
        <f t="shared" ca="1" si="8"/>
        <v>8270.690259285213</v>
      </c>
      <c r="I118">
        <f t="shared" ca="1" si="9"/>
        <v>7355.5069992033214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101491</v>
      </c>
      <c r="B121" s="66">
        <v>101491</v>
      </c>
      <c r="D121">
        <f t="shared" si="5"/>
        <v>74.085348049521144</v>
      </c>
      <c r="E121">
        <f t="shared" si="6"/>
        <v>74.085348049521144</v>
      </c>
      <c r="G121">
        <f t="shared" ca="1" si="7"/>
        <v>119</v>
      </c>
      <c r="H121">
        <f t="shared" ca="1" si="8"/>
        <v>8816.1564178930166</v>
      </c>
      <c r="I121">
        <f t="shared" ca="1" si="9"/>
        <v>3794.8222435068005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112626</v>
      </c>
      <c r="B124" s="66">
        <v>112626</v>
      </c>
      <c r="D124">
        <f t="shared" si="5"/>
        <v>82.213559915907496</v>
      </c>
      <c r="E124">
        <f t="shared" si="6"/>
        <v>82.213559915907496</v>
      </c>
      <c r="G124">
        <f t="shared" ca="1" si="7"/>
        <v>122</v>
      </c>
      <c r="H124">
        <f t="shared" ca="1" si="8"/>
        <v>10030.054309740715</v>
      </c>
      <c r="I124">
        <f t="shared" ca="1" si="9"/>
        <v>1420.6872128133459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115049</v>
      </c>
      <c r="B126" s="66">
        <v>115049</v>
      </c>
      <c r="D126">
        <f t="shared" si="5"/>
        <v>83.98227633730437</v>
      </c>
      <c r="E126">
        <f t="shared" si="6"/>
        <v>83.98227633730437</v>
      </c>
      <c r="G126">
        <f t="shared" ca="1" si="7"/>
        <v>124</v>
      </c>
      <c r="H126">
        <f t="shared" ca="1" si="8"/>
        <v>10413.802265825741</v>
      </c>
      <c r="I126">
        <f t="shared" ca="1" si="9"/>
        <v>390.73132992880306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117433</v>
      </c>
      <c r="B129" s="66">
        <v>117433</v>
      </c>
      <c r="D129">
        <f t="shared" si="5"/>
        <v>85.722523943003978</v>
      </c>
      <c r="E129">
        <f t="shared" si="6"/>
        <v>85.722523943003978</v>
      </c>
      <c r="G129">
        <f t="shared" ca="1" si="7"/>
        <v>127</v>
      </c>
      <c r="H129">
        <f t="shared" ca="1" si="8"/>
        <v>10886.760540761505</v>
      </c>
      <c r="I129">
        <f t="shared" ca="1" si="9"/>
        <v>60.92210619195761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130476</v>
      </c>
      <c r="B131" s="66">
        <v>130476</v>
      </c>
      <c r="D131">
        <f t="shared" ref="D131:D194" si="10">IFERROR(100*A131/MAX(A$2:A$257), 0 )</f>
        <v>95.243517869656628</v>
      </c>
      <c r="E131">
        <f t="shared" ref="E131:E194" si="11">IFERROR(100*B131/MAX(B$2:B$257), 0 )</f>
        <v>95.243517869656628</v>
      </c>
      <c r="G131">
        <f t="shared" ref="G131:G194" ca="1" si="12">CELL("row",D131)-2</f>
        <v>129</v>
      </c>
      <c r="H131">
        <f t="shared" ref="H131:H194" ca="1" si="13">D131*G131</f>
        <v>12286.413805185704</v>
      </c>
      <c r="I131">
        <f t="shared" ref="I131:I194" ca="1" si="14">D131*((G131-$L$1)^2)</f>
        <v>769.8329651050384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136992</v>
      </c>
      <c r="B134" s="66">
        <v>136992</v>
      </c>
      <c r="D134">
        <f t="shared" si="10"/>
        <v>100</v>
      </c>
      <c r="E134">
        <f t="shared" si="11"/>
        <v>100</v>
      </c>
      <c r="G134">
        <f t="shared" ca="1" si="12"/>
        <v>132</v>
      </c>
      <c r="H134">
        <f t="shared" ca="1" si="13"/>
        <v>13200</v>
      </c>
      <c r="I134">
        <f t="shared" ca="1" si="14"/>
        <v>3414.0930398345431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128153</v>
      </c>
      <c r="B136" s="66">
        <v>128153</v>
      </c>
      <c r="D136">
        <f t="shared" si="10"/>
        <v>93.547798411586072</v>
      </c>
      <c r="E136">
        <f t="shared" si="11"/>
        <v>93.547798411586072</v>
      </c>
      <c r="G136">
        <f t="shared" ca="1" si="12"/>
        <v>134</v>
      </c>
      <c r="H136">
        <f t="shared" ca="1" si="13"/>
        <v>12535.404987152533</v>
      </c>
      <c r="I136">
        <f t="shared" ca="1" si="14"/>
        <v>5754.4082230986023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124857</v>
      </c>
      <c r="B139" s="66">
        <v>124857</v>
      </c>
      <c r="D139">
        <f t="shared" si="10"/>
        <v>91.141818500350382</v>
      </c>
      <c r="E139">
        <f t="shared" si="11"/>
        <v>91.141818500350382</v>
      </c>
      <c r="G139">
        <f t="shared" ca="1" si="12"/>
        <v>137</v>
      </c>
      <c r="H139">
        <f t="shared" ca="1" si="13"/>
        <v>12486.429134548001</v>
      </c>
      <c r="I139">
        <f t="shared" ca="1" si="14"/>
        <v>10715.650346146307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119861</v>
      </c>
      <c r="B142" s="66">
        <v>119861</v>
      </c>
      <c r="D142">
        <f t="shared" si="10"/>
        <v>87.494890212567157</v>
      </c>
      <c r="E142">
        <f t="shared" si="11"/>
        <v>87.494890212567157</v>
      </c>
      <c r="G142">
        <f t="shared" ca="1" si="12"/>
        <v>140</v>
      </c>
      <c r="H142">
        <f t="shared" ca="1" si="13"/>
        <v>12249.284629759402</v>
      </c>
      <c r="I142">
        <f t="shared" ca="1" si="14"/>
        <v>16766.585936652707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116599</v>
      </c>
      <c r="B144" s="66">
        <v>116599</v>
      </c>
      <c r="D144">
        <f t="shared" si="10"/>
        <v>85.113729268862414</v>
      </c>
      <c r="E144">
        <f t="shared" si="11"/>
        <v>85.113729268862414</v>
      </c>
      <c r="G144">
        <f t="shared" ca="1" si="12"/>
        <v>142</v>
      </c>
      <c r="H144">
        <f t="shared" ca="1" si="13"/>
        <v>12086.149556178463</v>
      </c>
      <c r="I144">
        <f t="shared" ca="1" si="14"/>
        <v>21363.666226767033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108121</v>
      </c>
      <c r="B147" s="66">
        <v>108121</v>
      </c>
      <c r="D147">
        <f t="shared" si="10"/>
        <v>78.925046718056535</v>
      </c>
      <c r="E147">
        <f t="shared" si="11"/>
        <v>78.925046718056535</v>
      </c>
      <c r="G147">
        <f t="shared" ca="1" si="12"/>
        <v>145</v>
      </c>
      <c r="H147">
        <f t="shared" ca="1" si="13"/>
        <v>11444.131774118197</v>
      </c>
      <c r="I147">
        <f t="shared" ca="1" si="14"/>
        <v>28023.09208255016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101588</v>
      </c>
      <c r="B149" s="66">
        <v>101588</v>
      </c>
      <c r="D149">
        <f t="shared" si="10"/>
        <v>74.156155103947683</v>
      </c>
      <c r="E149">
        <f t="shared" si="11"/>
        <v>74.156155103947683</v>
      </c>
      <c r="G149">
        <f t="shared" ca="1" si="12"/>
        <v>147</v>
      </c>
      <c r="H149">
        <f t="shared" ca="1" si="13"/>
        <v>10900.954800280309</v>
      </c>
      <c r="I149">
        <f t="shared" ca="1" si="14"/>
        <v>32215.781026766301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90792</v>
      </c>
      <c r="B152" s="66">
        <v>90792</v>
      </c>
      <c r="D152">
        <f t="shared" si="10"/>
        <v>66.275402943237566</v>
      </c>
      <c r="E152">
        <f t="shared" si="11"/>
        <v>66.275402943237566</v>
      </c>
      <c r="G152">
        <f t="shared" ca="1" si="12"/>
        <v>150</v>
      </c>
      <c r="H152">
        <f t="shared" ca="1" si="13"/>
        <v>9941.3104414856352</v>
      </c>
      <c r="I152">
        <f t="shared" ca="1" si="14"/>
        <v>37676.890383514256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82622</v>
      </c>
      <c r="B154" s="66">
        <v>82622</v>
      </c>
      <c r="D154">
        <f t="shared" si="10"/>
        <v>60.311551039476761</v>
      </c>
      <c r="E154">
        <f t="shared" si="11"/>
        <v>60.311551039476761</v>
      </c>
      <c r="G154">
        <f t="shared" ca="1" si="12"/>
        <v>152</v>
      </c>
      <c r="H154">
        <f t="shared" ca="1" si="13"/>
        <v>9167.3557580004672</v>
      </c>
      <c r="I154">
        <f t="shared" ca="1" si="14"/>
        <v>40279.786682848149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73600</v>
      </c>
      <c r="B157" s="66">
        <v>73600</v>
      </c>
      <c r="D157">
        <f t="shared" si="10"/>
        <v>53.725765008175657</v>
      </c>
      <c r="E157">
        <f t="shared" si="11"/>
        <v>53.725765008175657</v>
      </c>
      <c r="G157">
        <f t="shared" ca="1" si="12"/>
        <v>155</v>
      </c>
      <c r="H157">
        <f t="shared" ca="1" si="13"/>
        <v>8327.4935762672267</v>
      </c>
      <c r="I157">
        <f t="shared" ca="1" si="14"/>
        <v>44695.540471154054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70969</v>
      </c>
      <c r="B160" s="66">
        <v>70969</v>
      </c>
      <c r="D160">
        <f t="shared" si="10"/>
        <v>51.805214903060033</v>
      </c>
      <c r="E160">
        <f t="shared" si="11"/>
        <v>51.805214903060033</v>
      </c>
      <c r="G160">
        <f t="shared" ca="1" si="12"/>
        <v>158</v>
      </c>
      <c r="H160">
        <f t="shared" ca="1" si="13"/>
        <v>8185.2239546834853</v>
      </c>
      <c r="I160">
        <f t="shared" ca="1" si="14"/>
        <v>52529.357654192427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66931</v>
      </c>
      <c r="B162" s="66">
        <v>66931</v>
      </c>
      <c r="D162">
        <f t="shared" si="10"/>
        <v>48.857597523943006</v>
      </c>
      <c r="E162">
        <f t="shared" si="11"/>
        <v>48.857597523943006</v>
      </c>
      <c r="G162">
        <f t="shared" ca="1" si="12"/>
        <v>160</v>
      </c>
      <c r="H162">
        <f t="shared" ca="1" si="13"/>
        <v>7817.2156038308813</v>
      </c>
      <c r="I162">
        <f t="shared" ca="1" si="14"/>
        <v>55959.062949113169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64121</v>
      </c>
      <c r="B165" s="66">
        <v>64121</v>
      </c>
      <c r="D165">
        <f t="shared" si="10"/>
        <v>46.806382854473256</v>
      </c>
      <c r="E165">
        <f t="shared" si="11"/>
        <v>46.806382854473256</v>
      </c>
      <c r="G165">
        <f t="shared" ca="1" si="12"/>
        <v>163</v>
      </c>
      <c r="H165">
        <f t="shared" ca="1" si="13"/>
        <v>7629.4404052791406</v>
      </c>
      <c r="I165">
        <f t="shared" ca="1" si="14"/>
        <v>63535.378353320892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54685</v>
      </c>
      <c r="B167" s="66">
        <v>54685</v>
      </c>
      <c r="D167">
        <f t="shared" si="10"/>
        <v>39.918389395001171</v>
      </c>
      <c r="E167">
        <f t="shared" si="11"/>
        <v>39.918389395001171</v>
      </c>
      <c r="G167">
        <f t="shared" ca="1" si="12"/>
        <v>165</v>
      </c>
      <c r="H167">
        <f t="shared" ca="1" si="13"/>
        <v>6586.5342501751929</v>
      </c>
      <c r="I167">
        <f t="shared" ca="1" si="14"/>
        <v>60228.088295861176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52297</v>
      </c>
      <c r="B170" s="66">
        <v>52297</v>
      </c>
      <c r="D170">
        <f t="shared" si="10"/>
        <v>38.175221910768514</v>
      </c>
      <c r="E170">
        <f t="shared" si="11"/>
        <v>38.175221910768514</v>
      </c>
      <c r="G170">
        <f t="shared" ca="1" si="12"/>
        <v>168</v>
      </c>
      <c r="H170">
        <f t="shared" ca="1" si="13"/>
        <v>6413.4372810091099</v>
      </c>
      <c r="I170">
        <f t="shared" ca="1" si="14"/>
        <v>66838.654533936235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51670</v>
      </c>
      <c r="B173" s="66">
        <v>51670</v>
      </c>
      <c r="D173">
        <f t="shared" si="10"/>
        <v>37.717530950712451</v>
      </c>
      <c r="E173">
        <f t="shared" si="11"/>
        <v>37.717530950712451</v>
      </c>
      <c r="G173">
        <f t="shared" ca="1" si="12"/>
        <v>171</v>
      </c>
      <c r="H173">
        <f t="shared" ca="1" si="13"/>
        <v>6449.6977925718293</v>
      </c>
      <c r="I173">
        <f t="shared" ca="1" si="14"/>
        <v>75846.062618225129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47749</v>
      </c>
      <c r="B175" s="66">
        <v>47749</v>
      </c>
      <c r="D175">
        <f t="shared" si="10"/>
        <v>34.855320018687223</v>
      </c>
      <c r="E175">
        <f t="shared" si="11"/>
        <v>34.855320018687223</v>
      </c>
      <c r="G175">
        <f t="shared" ca="1" si="12"/>
        <v>173</v>
      </c>
      <c r="H175">
        <f t="shared" ca="1" si="13"/>
        <v>6029.9703632328892</v>
      </c>
      <c r="I175">
        <f t="shared" ca="1" si="14"/>
        <v>76481.944889104954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40582</v>
      </c>
      <c r="B178" s="66">
        <v>40582</v>
      </c>
      <c r="D178">
        <f t="shared" si="10"/>
        <v>29.623627657089465</v>
      </c>
      <c r="E178">
        <f t="shared" si="11"/>
        <v>29.623627657089465</v>
      </c>
      <c r="G178">
        <f t="shared" ca="1" si="12"/>
        <v>176</v>
      </c>
      <c r="H178">
        <f t="shared" ca="1" si="13"/>
        <v>5213.7584676477454</v>
      </c>
      <c r="I178">
        <f t="shared" ca="1" si="14"/>
        <v>73594.779490748639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40681</v>
      </c>
      <c r="B180" s="66">
        <v>40681</v>
      </c>
      <c r="D180">
        <f t="shared" si="10"/>
        <v>29.695894650782527</v>
      </c>
      <c r="E180">
        <f t="shared" si="11"/>
        <v>29.695894650782527</v>
      </c>
      <c r="G180">
        <f t="shared" ca="1" si="12"/>
        <v>178</v>
      </c>
      <c r="H180">
        <f t="shared" ca="1" si="13"/>
        <v>5285.8692478392895</v>
      </c>
      <c r="I180">
        <f t="shared" ca="1" si="14"/>
        <v>79813.630685177486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37584</v>
      </c>
      <c r="B183" s="66">
        <v>37584</v>
      </c>
      <c r="D183">
        <f t="shared" si="10"/>
        <v>27.435178696566222</v>
      </c>
      <c r="E183">
        <f t="shared" si="11"/>
        <v>27.435178696566222</v>
      </c>
      <c r="G183">
        <f t="shared" ca="1" si="12"/>
        <v>181</v>
      </c>
      <c r="H183">
        <f t="shared" ca="1" si="13"/>
        <v>4965.7673440784865</v>
      </c>
      <c r="I183">
        <f t="shared" ca="1" si="14"/>
        <v>82518.35873333241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34610</v>
      </c>
      <c r="B185" s="66">
        <v>34610</v>
      </c>
      <c r="D185">
        <f t="shared" si="10"/>
        <v>25.2642490072413</v>
      </c>
      <c r="E185">
        <f t="shared" si="11"/>
        <v>25.2642490072413</v>
      </c>
      <c r="G185">
        <f t="shared" ca="1" si="12"/>
        <v>183</v>
      </c>
      <c r="H185">
        <f t="shared" ca="1" si="13"/>
        <v>4623.3575683251584</v>
      </c>
      <c r="I185">
        <f t="shared" ca="1" si="14"/>
        <v>81632.057396379125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25712</v>
      </c>
      <c r="B188" s="66">
        <v>25712</v>
      </c>
      <c r="D188">
        <f t="shared" si="10"/>
        <v>18.768979210464845</v>
      </c>
      <c r="E188">
        <f t="shared" si="11"/>
        <v>18.768979210464845</v>
      </c>
      <c r="G188">
        <f t="shared" ca="1" si="12"/>
        <v>186</v>
      </c>
      <c r="H188">
        <f t="shared" ca="1" si="13"/>
        <v>3491.0301331464611</v>
      </c>
      <c r="I188">
        <f t="shared" ca="1" si="14"/>
        <v>67215.23431864132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18261</v>
      </c>
      <c r="B191" s="66">
        <v>18261</v>
      </c>
      <c r="D191">
        <f t="shared" si="10"/>
        <v>13.329975473020323</v>
      </c>
      <c r="E191">
        <f t="shared" si="11"/>
        <v>13.329975473020323</v>
      </c>
      <c r="G191">
        <f t="shared" ca="1" si="12"/>
        <v>189</v>
      </c>
      <c r="H191">
        <f t="shared" ca="1" si="13"/>
        <v>2519.3653644008409</v>
      </c>
      <c r="I191">
        <f t="shared" ca="1" si="14"/>
        <v>52643.347991446208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12382</v>
      </c>
      <c r="B193" s="66">
        <v>12382</v>
      </c>
      <c r="D193">
        <f t="shared" si="10"/>
        <v>9.0384839990656385</v>
      </c>
      <c r="E193">
        <f t="shared" si="11"/>
        <v>9.0384839990656385</v>
      </c>
      <c r="G193">
        <f t="shared" ca="1" si="12"/>
        <v>191</v>
      </c>
      <c r="H193">
        <f t="shared" ca="1" si="13"/>
        <v>1726.3504438215371</v>
      </c>
      <c r="I193">
        <f t="shared" ca="1" si="14"/>
        <v>38003.370452846197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8464</v>
      </c>
      <c r="B196" s="66">
        <v>8464</v>
      </c>
      <c r="D196">
        <f t="shared" si="15"/>
        <v>6.1784629759402012</v>
      </c>
      <c r="E196">
        <f t="shared" si="16"/>
        <v>6.1784629759402012</v>
      </c>
      <c r="G196">
        <f t="shared" ca="1" si="17"/>
        <v>194</v>
      </c>
      <c r="H196">
        <f t="shared" ca="1" si="18"/>
        <v>1198.6218173323991</v>
      </c>
      <c r="I196">
        <f t="shared" ca="1" si="19"/>
        <v>28437.46273915148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4108</v>
      </c>
      <c r="B198" s="66">
        <v>4108</v>
      </c>
      <c r="D198">
        <f t="shared" si="15"/>
        <v>2.9987152534454569</v>
      </c>
      <c r="E198">
        <f t="shared" si="16"/>
        <v>2.9987152534454569</v>
      </c>
      <c r="G198">
        <f t="shared" ca="1" si="17"/>
        <v>196</v>
      </c>
      <c r="H198">
        <f t="shared" ca="1" si="18"/>
        <v>587.7481896753095</v>
      </c>
      <c r="I198">
        <f t="shared" ca="1" si="19"/>
        <v>14627.876982501301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3411</v>
      </c>
      <c r="B201" s="66">
        <v>3411</v>
      </c>
      <c r="D201">
        <f t="shared" si="15"/>
        <v>2.4899264190609669</v>
      </c>
      <c r="E201">
        <f t="shared" si="16"/>
        <v>2.4899264190609669</v>
      </c>
      <c r="G201">
        <f t="shared" ca="1" si="17"/>
        <v>199</v>
      </c>
      <c r="H201">
        <f t="shared" ca="1" si="18"/>
        <v>495.49535739313239</v>
      </c>
      <c r="I201">
        <f t="shared" ca="1" si="19"/>
        <v>13211.813902919213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3026</v>
      </c>
      <c r="B203" s="66">
        <v>3026</v>
      </c>
      <c r="D203">
        <f t="shared" si="15"/>
        <v>2.2088881102546134</v>
      </c>
      <c r="E203">
        <f t="shared" si="16"/>
        <v>2.2088881102546134</v>
      </c>
      <c r="G203">
        <f t="shared" ca="1" si="17"/>
        <v>201</v>
      </c>
      <c r="H203">
        <f t="shared" ca="1" si="18"/>
        <v>443.98651016117731</v>
      </c>
      <c r="I203">
        <f t="shared" ca="1" si="19"/>
        <v>12373.03871384067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2537</v>
      </c>
      <c r="B206" s="66">
        <v>2537</v>
      </c>
      <c r="D206">
        <f t="shared" si="15"/>
        <v>1.8519329595888812</v>
      </c>
      <c r="E206">
        <f t="shared" si="16"/>
        <v>1.8519329595888812</v>
      </c>
      <c r="G206">
        <f t="shared" ca="1" si="17"/>
        <v>204</v>
      </c>
      <c r="H206">
        <f t="shared" ca="1" si="18"/>
        <v>377.79432375613175</v>
      </c>
      <c r="I206">
        <f t="shared" ca="1" si="19"/>
        <v>11221.855175108039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2072</v>
      </c>
      <c r="B209" s="66">
        <v>2072</v>
      </c>
      <c r="D209">
        <f t="shared" si="15"/>
        <v>1.512497080121467</v>
      </c>
      <c r="E209">
        <f t="shared" si="16"/>
        <v>1.512497080121467</v>
      </c>
      <c r="G209">
        <f t="shared" ca="1" si="17"/>
        <v>207</v>
      </c>
      <c r="H209">
        <f t="shared" ca="1" si="18"/>
        <v>313.08689558514368</v>
      </c>
      <c r="I209">
        <f t="shared" ca="1" si="19"/>
        <v>9885.067662213658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153</v>
      </c>
      <c r="B211" s="66">
        <v>153</v>
      </c>
      <c r="D211">
        <f t="shared" si="15"/>
        <v>0.11168535388927821</v>
      </c>
      <c r="E211">
        <f t="shared" si="16"/>
        <v>0.11168535388927821</v>
      </c>
      <c r="G211">
        <f t="shared" ca="1" si="17"/>
        <v>209</v>
      </c>
      <c r="H211">
        <f t="shared" ca="1" si="18"/>
        <v>23.342238962859145</v>
      </c>
      <c r="I211">
        <f t="shared" ca="1" si="19"/>
        <v>766.49285777392834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404</v>
      </c>
      <c r="B1" s="68" t="s">
        <v>405</v>
      </c>
      <c r="C1" s="32" t="s">
        <v>406</v>
      </c>
      <c r="D1" s="32" t="s">
        <v>407</v>
      </c>
      <c r="E1" s="32" t="s">
        <v>408</v>
      </c>
    </row>
    <row r="2" spans="1:5">
      <c r="A2" s="68">
        <v>0.231402</v>
      </c>
      <c r="B2" s="68">
        <v>0.55649499999999996</v>
      </c>
      <c r="C2" s="68">
        <v>0</v>
      </c>
      <c r="D2" s="68">
        <v>1</v>
      </c>
      <c r="E2" s="68" t="s">
        <v>409</v>
      </c>
    </row>
    <row r="3" spans="1:5">
      <c r="A3" s="68">
        <v>0.23821100000000001</v>
      </c>
      <c r="B3" s="68">
        <v>0.54741200000000001</v>
      </c>
      <c r="C3" s="68">
        <v>0.39994099999999999</v>
      </c>
      <c r="D3" s="89">
        <v>1</v>
      </c>
      <c r="E3" s="68" t="s">
        <v>410</v>
      </c>
    </row>
    <row r="4" spans="1:5">
      <c r="A4" s="68">
        <v>0.24508199999999999</v>
      </c>
      <c r="B4" s="68">
        <v>0.53778099999999995</v>
      </c>
      <c r="C4" s="68">
        <v>0.81088199999999999</v>
      </c>
      <c r="D4" s="89">
        <v>1</v>
      </c>
      <c r="E4" s="68" t="s">
        <v>411</v>
      </c>
    </row>
    <row r="5" spans="1:5">
      <c r="A5" s="89">
        <v>0.25205699999999998</v>
      </c>
      <c r="B5" s="89">
        <v>0.52701299999999995</v>
      </c>
      <c r="C5" s="89">
        <v>1.21574</v>
      </c>
      <c r="D5" s="89">
        <v>1</v>
      </c>
      <c r="E5" s="68" t="s">
        <v>412</v>
      </c>
    </row>
    <row r="6" spans="1:5">
      <c r="A6" s="68">
        <v>0.258936</v>
      </c>
      <c r="B6" s="68">
        <v>0.51681299999999997</v>
      </c>
      <c r="C6" s="68">
        <v>1.6217699999999999</v>
      </c>
      <c r="D6" s="68">
        <v>1</v>
      </c>
      <c r="E6" s="68" t="s">
        <v>413</v>
      </c>
    </row>
    <row r="7" spans="1:5">
      <c r="A7" s="68">
        <v>0.26590900000000001</v>
      </c>
      <c r="B7" s="68">
        <v>0.50746899999999995</v>
      </c>
      <c r="C7" s="68">
        <v>2.0269599999999999</v>
      </c>
      <c r="D7" s="68">
        <v>1</v>
      </c>
      <c r="E7" s="68" t="s">
        <v>414</v>
      </c>
    </row>
    <row r="8" spans="1:5">
      <c r="A8" s="68">
        <v>0.27296599999999999</v>
      </c>
      <c r="B8" s="68">
        <v>0.49795899999999998</v>
      </c>
      <c r="C8" s="68">
        <v>2.4311099999999999</v>
      </c>
      <c r="D8" s="68">
        <v>1</v>
      </c>
      <c r="E8" s="68" t="s">
        <v>415</v>
      </c>
    </row>
    <row r="9" spans="1:5">
      <c r="A9" s="68">
        <v>0.28014299999999998</v>
      </c>
      <c r="B9" s="68">
        <v>0.48833599999999999</v>
      </c>
      <c r="C9" s="68">
        <v>2.8405200000000002</v>
      </c>
      <c r="D9" s="68">
        <v>1</v>
      </c>
      <c r="E9" s="68" t="s">
        <v>416</v>
      </c>
    </row>
    <row r="10" spans="1:5">
      <c r="A10" s="68">
        <v>0.28747200000000001</v>
      </c>
      <c r="B10" s="68">
        <v>0.47936200000000001</v>
      </c>
      <c r="C10" s="68">
        <v>3.2446999999999999</v>
      </c>
      <c r="D10" s="68">
        <v>1</v>
      </c>
      <c r="E10" s="68" t="s">
        <v>417</v>
      </c>
    </row>
    <row r="11" spans="1:5">
      <c r="A11" s="68">
        <v>0.29502499999999998</v>
      </c>
      <c r="B11" s="68">
        <v>0.46967500000000001</v>
      </c>
      <c r="C11" s="68">
        <v>3.6521599999999999</v>
      </c>
      <c r="D11" s="68">
        <v>1</v>
      </c>
      <c r="E11" s="68" t="s">
        <v>418</v>
      </c>
    </row>
    <row r="12" spans="1:5">
      <c r="A12" s="68">
        <v>0.30276599999999998</v>
      </c>
      <c r="B12" s="68">
        <v>0.45935900000000002</v>
      </c>
      <c r="C12" s="68">
        <v>4.0593199999999996</v>
      </c>
      <c r="D12" s="68">
        <v>1</v>
      </c>
      <c r="E12" s="68" t="s">
        <v>419</v>
      </c>
    </row>
    <row r="13" spans="1:5">
      <c r="A13" s="68">
        <v>0.31085200000000002</v>
      </c>
      <c r="B13" s="68">
        <v>0.44780300000000001</v>
      </c>
      <c r="C13" s="68">
        <v>4.4630099999999997</v>
      </c>
      <c r="D13" s="68">
        <v>1</v>
      </c>
      <c r="E13" s="68" t="s">
        <v>420</v>
      </c>
    </row>
    <row r="14" spans="1:5">
      <c r="A14" s="68">
        <v>0.319023</v>
      </c>
      <c r="B14" s="68">
        <v>0.43582700000000002</v>
      </c>
      <c r="C14" s="68">
        <v>4.8742099999999997</v>
      </c>
      <c r="D14" s="68">
        <v>1</v>
      </c>
      <c r="E14" s="68" t="s">
        <v>421</v>
      </c>
    </row>
    <row r="15" spans="1:5">
      <c r="A15" s="68">
        <v>0.32735900000000001</v>
      </c>
      <c r="B15" s="68">
        <v>0.42327700000000001</v>
      </c>
      <c r="C15" s="68">
        <v>5.2769599999999999</v>
      </c>
      <c r="D15" s="68">
        <v>1</v>
      </c>
      <c r="E15" s="68" t="s">
        <v>422</v>
      </c>
    </row>
    <row r="16" spans="1:5">
      <c r="A16" s="68">
        <v>0.33522200000000002</v>
      </c>
      <c r="B16" s="68">
        <v>0.41320699999999999</v>
      </c>
      <c r="C16" s="68">
        <v>5.6788400000000001</v>
      </c>
      <c r="D16" s="68">
        <v>1</v>
      </c>
      <c r="E16" s="68" t="s">
        <v>423</v>
      </c>
    </row>
    <row r="17" spans="1:5">
      <c r="A17" s="68">
        <v>0.34294599999999997</v>
      </c>
      <c r="B17" s="68">
        <v>0.40476699999999999</v>
      </c>
      <c r="C17" s="68">
        <v>6.0927300000000004</v>
      </c>
      <c r="D17" s="68">
        <v>1</v>
      </c>
      <c r="E17" s="68" t="s">
        <v>424</v>
      </c>
    </row>
    <row r="18" spans="1:5">
      <c r="A18" s="68">
        <v>0.35050399999999998</v>
      </c>
      <c r="B18" s="68">
        <v>0.397065</v>
      </c>
      <c r="C18" s="68">
        <v>6.4948199999999998</v>
      </c>
      <c r="D18" s="68">
        <v>1</v>
      </c>
      <c r="E18" s="68" t="s">
        <v>425</v>
      </c>
    </row>
    <row r="19" spans="1:5">
      <c r="A19" s="68">
        <v>0.35820200000000002</v>
      </c>
      <c r="B19" s="68">
        <v>0.38907700000000001</v>
      </c>
      <c r="C19" s="68">
        <v>6.9035799999999998</v>
      </c>
      <c r="D19" s="68">
        <v>1</v>
      </c>
      <c r="E19" s="68" t="s">
        <v>426</v>
      </c>
    </row>
    <row r="20" spans="1:5">
      <c r="A20" s="68">
        <v>0.36567</v>
      </c>
      <c r="B20" s="68">
        <v>0.382276</v>
      </c>
      <c r="C20" s="68">
        <v>7.30776</v>
      </c>
      <c r="D20" s="68">
        <v>1</v>
      </c>
      <c r="E20" s="68" t="s">
        <v>427</v>
      </c>
    </row>
    <row r="21" spans="1:5">
      <c r="A21" s="68">
        <v>0.37274600000000002</v>
      </c>
      <c r="B21" s="68">
        <v>0.37713600000000003</v>
      </c>
      <c r="C21" s="68">
        <v>7.7115799999999997</v>
      </c>
      <c r="D21" s="68">
        <v>1</v>
      </c>
      <c r="E21" s="68" t="s">
        <v>428</v>
      </c>
    </row>
    <row r="22" spans="1:5">
      <c r="A22" s="68">
        <v>0.37915500000000002</v>
      </c>
      <c r="B22" s="68">
        <v>0.37385499999999999</v>
      </c>
      <c r="C22" s="68">
        <v>8.1184100000000008</v>
      </c>
      <c r="D22" s="68">
        <v>1</v>
      </c>
      <c r="E22" s="68" t="s">
        <v>429</v>
      </c>
    </row>
    <row r="23" spans="1:5">
      <c r="A23" s="68">
        <v>0.38504899999999997</v>
      </c>
      <c r="B23" s="68">
        <v>0.37176500000000001</v>
      </c>
      <c r="C23" s="68">
        <v>8.52379</v>
      </c>
      <c r="D23" s="68">
        <v>1</v>
      </c>
      <c r="E23" s="68" t="s">
        <v>430</v>
      </c>
    </row>
    <row r="24" spans="1:5">
      <c r="A24" s="68">
        <v>0.39049600000000001</v>
      </c>
      <c r="B24" s="68">
        <v>0.370888</v>
      </c>
      <c r="C24" s="68">
        <v>8.9340499999999992</v>
      </c>
      <c r="D24" s="68">
        <v>1</v>
      </c>
      <c r="E24" s="68" t="s">
        <v>431</v>
      </c>
    </row>
    <row r="25" spans="1:5">
      <c r="A25" s="68">
        <v>0.39537800000000001</v>
      </c>
      <c r="B25" s="68">
        <v>0.37160700000000002</v>
      </c>
      <c r="C25" s="68">
        <v>9.34</v>
      </c>
      <c r="D25" s="68">
        <v>1</v>
      </c>
      <c r="E25" s="68" t="s">
        <v>432</v>
      </c>
    </row>
    <row r="26" spans="1:5">
      <c r="A26" s="68">
        <v>0.39988000000000001</v>
      </c>
      <c r="B26" s="68">
        <v>0.37270599999999998</v>
      </c>
      <c r="C26" s="68">
        <v>9.7448999999999995</v>
      </c>
      <c r="D26" s="68">
        <v>1</v>
      </c>
      <c r="E26" s="68" t="s">
        <v>433</v>
      </c>
    </row>
    <row r="27" spans="1:5">
      <c r="A27" s="68">
        <v>0.40422200000000003</v>
      </c>
      <c r="B27" s="68">
        <v>0.37412600000000001</v>
      </c>
      <c r="C27" s="68">
        <v>10.152100000000001</v>
      </c>
      <c r="D27" s="68">
        <v>1</v>
      </c>
      <c r="E27" s="68" t="s">
        <v>434</v>
      </c>
    </row>
    <row r="28" spans="1:5">
      <c r="A28" s="68">
        <v>0.40828900000000001</v>
      </c>
      <c r="B28" s="68">
        <v>0.37570300000000001</v>
      </c>
      <c r="C28" s="68">
        <v>10.5588</v>
      </c>
      <c r="D28" s="68">
        <v>1</v>
      </c>
      <c r="E28" s="68" t="s">
        <v>435</v>
      </c>
    </row>
    <row r="29" spans="1:5">
      <c r="A29" s="68">
        <v>0.41213699999999998</v>
      </c>
      <c r="B29" s="68">
        <v>0.37702200000000002</v>
      </c>
      <c r="C29" s="68">
        <v>10.966799999999999</v>
      </c>
      <c r="D29" s="68">
        <v>1</v>
      </c>
      <c r="E29" s="68" t="s">
        <v>436</v>
      </c>
    </row>
    <row r="30" spans="1:5">
      <c r="A30" s="68">
        <v>0.41572100000000001</v>
      </c>
      <c r="B30" s="68">
        <v>0.37811699999999998</v>
      </c>
      <c r="C30" s="68">
        <v>11.3705</v>
      </c>
      <c r="D30" s="68">
        <v>1</v>
      </c>
      <c r="E30" s="68" t="s">
        <v>437</v>
      </c>
    </row>
    <row r="31" spans="1:5">
      <c r="A31" s="68">
        <v>0.41950999999999999</v>
      </c>
      <c r="B31" s="68">
        <v>0.378747</v>
      </c>
      <c r="C31" s="68">
        <v>11.7776</v>
      </c>
      <c r="D31" s="68">
        <v>1</v>
      </c>
      <c r="E31" s="68" t="s">
        <v>438</v>
      </c>
    </row>
    <row r="32" spans="1:5">
      <c r="A32" s="68">
        <v>0.42340899999999998</v>
      </c>
      <c r="B32" s="68">
        <v>0.378639</v>
      </c>
      <c r="C32" s="68">
        <v>12.1806</v>
      </c>
      <c r="D32" s="68">
        <v>1</v>
      </c>
      <c r="E32" s="68" t="s">
        <v>439</v>
      </c>
    </row>
    <row r="33" spans="1:5">
      <c r="A33" s="68">
        <v>0.42720200000000003</v>
      </c>
      <c r="B33" s="68">
        <v>0.37799500000000003</v>
      </c>
      <c r="C33" s="68">
        <v>12.5906</v>
      </c>
      <c r="D33" s="68">
        <v>1</v>
      </c>
      <c r="E33" s="68" t="s">
        <v>440</v>
      </c>
    </row>
    <row r="34" spans="1:5">
      <c r="A34" s="68">
        <v>0.43096600000000002</v>
      </c>
      <c r="B34" s="68">
        <v>0.376494</v>
      </c>
      <c r="C34" s="68">
        <v>12.998200000000001</v>
      </c>
      <c r="D34" s="68">
        <v>1</v>
      </c>
      <c r="E34" s="68" t="s">
        <v>441</v>
      </c>
    </row>
    <row r="35" spans="1:5">
      <c r="A35" s="68">
        <v>0.434672</v>
      </c>
      <c r="B35" s="68">
        <v>0.37431199999999998</v>
      </c>
      <c r="C35" s="68">
        <v>13.404199999999999</v>
      </c>
      <c r="D35" s="68">
        <v>1</v>
      </c>
      <c r="E35" s="68" t="s">
        <v>442</v>
      </c>
    </row>
    <row r="36" spans="1:5">
      <c r="A36" s="68">
        <v>0.43794100000000002</v>
      </c>
      <c r="B36" s="68">
        <v>0.37256299999999998</v>
      </c>
      <c r="C36" s="68">
        <v>13.805300000000001</v>
      </c>
      <c r="D36" s="68">
        <v>1</v>
      </c>
      <c r="E36" s="68" t="s">
        <v>443</v>
      </c>
    </row>
    <row r="37" spans="1:5">
      <c r="A37" s="68">
        <v>0.44085400000000002</v>
      </c>
      <c r="B37" s="68">
        <v>0.37095600000000001</v>
      </c>
      <c r="C37" s="68">
        <v>14.211499999999999</v>
      </c>
      <c r="D37" s="68">
        <v>1</v>
      </c>
      <c r="E37" s="68" t="s">
        <v>444</v>
      </c>
    </row>
    <row r="38" spans="1:5">
      <c r="A38" s="68">
        <v>0.44330999999999998</v>
      </c>
      <c r="B38" s="68">
        <v>0.36938500000000002</v>
      </c>
      <c r="C38" s="68">
        <v>14.620200000000001</v>
      </c>
      <c r="D38" s="68">
        <v>1</v>
      </c>
      <c r="E38" s="68" t="s">
        <v>445</v>
      </c>
    </row>
    <row r="39" spans="1:5">
      <c r="A39" s="68">
        <v>0.44554899999999997</v>
      </c>
      <c r="B39" s="68">
        <v>0.36771399999999999</v>
      </c>
      <c r="C39" s="68">
        <v>15.0246</v>
      </c>
      <c r="D39" s="68">
        <v>1</v>
      </c>
      <c r="E39" s="68" t="s">
        <v>446</v>
      </c>
    </row>
    <row r="40" spans="1:5">
      <c r="A40" s="68">
        <v>0.44724900000000001</v>
      </c>
      <c r="B40" s="68">
        <v>0.36664400000000003</v>
      </c>
      <c r="C40" s="68">
        <v>15.4328</v>
      </c>
      <c r="D40" s="68">
        <v>1</v>
      </c>
      <c r="E40" s="68" t="s">
        <v>447</v>
      </c>
    </row>
    <row r="41" spans="1:5">
      <c r="A41" s="68">
        <v>0.44894000000000001</v>
      </c>
      <c r="B41" s="68">
        <v>0.36585200000000001</v>
      </c>
      <c r="C41" s="68">
        <v>15.839600000000001</v>
      </c>
      <c r="D41" s="68">
        <v>1</v>
      </c>
      <c r="E41" s="68" t="s">
        <v>448</v>
      </c>
    </row>
    <row r="42" spans="1:5">
      <c r="A42" s="68">
        <v>0.45029000000000002</v>
      </c>
      <c r="B42" s="68">
        <v>0.36541099999999999</v>
      </c>
      <c r="C42" s="68">
        <v>16.242699999999999</v>
      </c>
      <c r="D42" s="68">
        <v>1</v>
      </c>
      <c r="E42" s="68" t="s">
        <v>449</v>
      </c>
    </row>
    <row r="43" spans="1:5">
      <c r="A43" s="68">
        <v>0.45130199999999998</v>
      </c>
      <c r="B43" s="68">
        <v>0.36500700000000003</v>
      </c>
      <c r="C43" s="68">
        <v>16.6496</v>
      </c>
      <c r="D43" s="68">
        <v>1</v>
      </c>
      <c r="E43" s="68" t="s">
        <v>450</v>
      </c>
    </row>
    <row r="44" spans="1:5">
      <c r="A44" s="68">
        <v>0.45188200000000001</v>
      </c>
      <c r="B44" s="68">
        <v>0.36486200000000002</v>
      </c>
      <c r="C44" s="68">
        <v>17.063500000000001</v>
      </c>
      <c r="D44" s="68">
        <v>1</v>
      </c>
      <c r="E44" s="68" t="s">
        <v>451</v>
      </c>
    </row>
    <row r="45" spans="1:5">
      <c r="A45" s="68">
        <v>0.45229200000000003</v>
      </c>
      <c r="B45" s="68">
        <v>0.36457299999999998</v>
      </c>
      <c r="C45" s="68">
        <v>17.4663</v>
      </c>
      <c r="D45" s="68">
        <v>1</v>
      </c>
      <c r="E45" s="68" t="s">
        <v>452</v>
      </c>
    </row>
    <row r="46" spans="1:5">
      <c r="A46" s="68">
        <v>0.45266400000000001</v>
      </c>
      <c r="B46" s="68">
        <v>0.36421199999999998</v>
      </c>
      <c r="C46" s="68">
        <v>17.871099999999998</v>
      </c>
      <c r="D46" s="68">
        <v>1</v>
      </c>
      <c r="E46" s="68" t="s">
        <v>453</v>
      </c>
    </row>
    <row r="47" spans="1:5">
      <c r="A47" s="68">
        <v>0.45318399999999998</v>
      </c>
      <c r="B47" s="68">
        <v>0.36382100000000001</v>
      </c>
      <c r="C47" s="68">
        <v>18.275200000000002</v>
      </c>
      <c r="D47" s="68">
        <v>1</v>
      </c>
      <c r="E47" s="68" t="s">
        <v>454</v>
      </c>
    </row>
    <row r="48" spans="1:5">
      <c r="A48" s="68">
        <v>0.45408799999999999</v>
      </c>
      <c r="B48" s="68">
        <v>0.36335000000000001</v>
      </c>
      <c r="C48" s="68">
        <v>18.681799999999999</v>
      </c>
      <c r="D48" s="68">
        <v>1</v>
      </c>
      <c r="E48" s="68" t="s">
        <v>455</v>
      </c>
    </row>
    <row r="49" spans="1:5">
      <c r="A49" s="68">
        <v>0.45545600000000003</v>
      </c>
      <c r="B49" s="68">
        <v>0.36237000000000003</v>
      </c>
      <c r="C49" s="68">
        <v>19.091200000000001</v>
      </c>
      <c r="D49" s="68">
        <v>1</v>
      </c>
      <c r="E49" s="68" t="s">
        <v>456</v>
      </c>
    </row>
    <row r="50" spans="1:5">
      <c r="A50" s="68">
        <v>0.45726499999999998</v>
      </c>
      <c r="B50" s="68">
        <v>0.36094999999999999</v>
      </c>
      <c r="C50" s="68">
        <v>19.498899999999999</v>
      </c>
      <c r="D50" s="68">
        <v>1</v>
      </c>
      <c r="E50" s="68" t="s">
        <v>457</v>
      </c>
    </row>
    <row r="51" spans="1:5">
      <c r="A51" s="68">
        <v>0.45927099999999998</v>
      </c>
      <c r="B51" s="68">
        <v>0.35954599999999998</v>
      </c>
      <c r="C51" s="68">
        <v>19.9038</v>
      </c>
      <c r="D51" s="68">
        <v>1</v>
      </c>
      <c r="E51" s="68" t="s">
        <v>458</v>
      </c>
    </row>
    <row r="52" spans="1:5">
      <c r="A52" s="68">
        <v>0.46076499999999998</v>
      </c>
      <c r="B52" s="68">
        <v>0.358541</v>
      </c>
      <c r="C52" s="68">
        <v>20.308700000000002</v>
      </c>
      <c r="D52" s="68">
        <v>1</v>
      </c>
      <c r="E52" s="68" t="s">
        <v>459</v>
      </c>
    </row>
    <row r="53" spans="1:5">
      <c r="A53" s="68">
        <v>0.46310299999999999</v>
      </c>
      <c r="B53" s="68">
        <v>0.35717599999999999</v>
      </c>
      <c r="C53" s="68">
        <v>20.7105</v>
      </c>
      <c r="D53" s="68">
        <v>1</v>
      </c>
      <c r="E53" s="68" t="s">
        <v>460</v>
      </c>
    </row>
    <row r="54" spans="1:5">
      <c r="A54" s="68">
        <v>0.465702</v>
      </c>
      <c r="B54" s="68">
        <v>0.35539300000000001</v>
      </c>
      <c r="C54" s="68">
        <v>21.122499999999999</v>
      </c>
      <c r="D54" s="68">
        <v>1</v>
      </c>
      <c r="E54" s="68" t="s">
        <v>461</v>
      </c>
    </row>
    <row r="55" spans="1:5">
      <c r="A55" s="68">
        <v>0.46838000000000002</v>
      </c>
      <c r="B55" s="68">
        <v>0.35358400000000001</v>
      </c>
      <c r="C55" s="68">
        <v>21.523900000000001</v>
      </c>
      <c r="D55" s="68">
        <v>1</v>
      </c>
      <c r="E55" s="68" t="s">
        <v>462</v>
      </c>
    </row>
    <row r="56" spans="1:5">
      <c r="A56" s="68">
        <v>0.47092600000000001</v>
      </c>
      <c r="B56" s="68">
        <v>0.35164499999999999</v>
      </c>
      <c r="C56" s="68">
        <v>21.9299</v>
      </c>
      <c r="D56" s="68">
        <v>1</v>
      </c>
      <c r="E56" s="68" t="s">
        <v>463</v>
      </c>
    </row>
    <row r="57" spans="1:5">
      <c r="A57" s="68">
        <v>0.47325600000000001</v>
      </c>
      <c r="B57" s="68">
        <v>0.34943000000000002</v>
      </c>
      <c r="C57" s="68">
        <v>22.3428</v>
      </c>
      <c r="D57" s="68">
        <v>1</v>
      </c>
      <c r="E57" s="68" t="s">
        <v>464</v>
      </c>
    </row>
    <row r="58" spans="1:5">
      <c r="A58" s="68">
        <v>0.47618899999999997</v>
      </c>
      <c r="B58" s="68">
        <v>0.34644999999999998</v>
      </c>
      <c r="C58" s="68">
        <v>22.746300000000002</v>
      </c>
      <c r="D58" s="68">
        <v>1</v>
      </c>
      <c r="E58" s="68" t="s">
        <v>465</v>
      </c>
    </row>
    <row r="59" spans="1:5">
      <c r="A59" s="68">
        <v>0.47746699999999997</v>
      </c>
      <c r="B59" s="68">
        <v>0.34526400000000002</v>
      </c>
      <c r="C59" s="68">
        <v>23.152000000000001</v>
      </c>
      <c r="D59" s="68">
        <v>1</v>
      </c>
      <c r="E59" s="68" t="s">
        <v>466</v>
      </c>
    </row>
    <row r="60" spans="1:5">
      <c r="A60" s="68">
        <v>0.48000900000000002</v>
      </c>
      <c r="B60" s="68">
        <v>0.34227299999999999</v>
      </c>
      <c r="C60" s="68">
        <v>23.557400000000001</v>
      </c>
      <c r="D60" s="68">
        <v>1</v>
      </c>
      <c r="E60" s="68" t="s">
        <v>467</v>
      </c>
    </row>
    <row r="61" spans="1:5">
      <c r="A61" s="68">
        <v>0.48159999999999997</v>
      </c>
      <c r="B61" s="68">
        <v>0.34093000000000001</v>
      </c>
      <c r="C61" s="68">
        <v>23.963100000000001</v>
      </c>
      <c r="D61" s="68">
        <v>1</v>
      </c>
      <c r="E61" s="68" t="s">
        <v>468</v>
      </c>
    </row>
    <row r="62" spans="1:5">
      <c r="A62" s="68">
        <v>0.48306399999999999</v>
      </c>
      <c r="B62" s="68">
        <v>0.33992499999999998</v>
      </c>
      <c r="C62" s="68">
        <v>24.372800000000002</v>
      </c>
      <c r="D62" s="68">
        <v>1</v>
      </c>
      <c r="E62" s="68" t="s">
        <v>469</v>
      </c>
    </row>
    <row r="63" spans="1:5">
      <c r="A63" s="68">
        <v>0.48404799999999998</v>
      </c>
      <c r="B63" s="68">
        <v>0.33917999999999998</v>
      </c>
      <c r="C63" s="68">
        <v>24.7788</v>
      </c>
      <c r="D63" s="68">
        <v>1</v>
      </c>
      <c r="E63" s="68" t="s">
        <v>470</v>
      </c>
    </row>
    <row r="64" spans="1:5">
      <c r="A64" s="68">
        <v>0.48529800000000001</v>
      </c>
      <c r="B64" s="68">
        <v>0.33821600000000002</v>
      </c>
      <c r="C64" s="68">
        <v>25.180199999999999</v>
      </c>
      <c r="D64" s="68">
        <v>1</v>
      </c>
      <c r="E64" s="68" t="s">
        <v>471</v>
      </c>
    </row>
    <row r="65" spans="1:5">
      <c r="A65" s="68">
        <v>0.48676399999999997</v>
      </c>
      <c r="B65" s="68">
        <v>0.33707199999999998</v>
      </c>
      <c r="C65" s="68">
        <v>25.590900000000001</v>
      </c>
      <c r="D65" s="68">
        <v>1</v>
      </c>
      <c r="E65" s="68" t="s">
        <v>472</v>
      </c>
    </row>
    <row r="66" spans="1:5">
      <c r="A66" s="68">
        <v>0.48769899999999999</v>
      </c>
      <c r="B66" s="68">
        <v>0.336316</v>
      </c>
      <c r="C66" s="68">
        <v>25.994700000000002</v>
      </c>
      <c r="D66" s="68">
        <v>1</v>
      </c>
      <c r="E66" s="68" t="s">
        <v>473</v>
      </c>
    </row>
    <row r="67" spans="1:5">
      <c r="A67" s="68">
        <v>0.48865399999999998</v>
      </c>
      <c r="B67" s="68">
        <v>0.33601500000000001</v>
      </c>
      <c r="C67" s="68">
        <v>26.403300000000002</v>
      </c>
      <c r="D67" s="68">
        <v>1</v>
      </c>
      <c r="E67" s="68" t="s">
        <v>474</v>
      </c>
    </row>
    <row r="68" spans="1:5">
      <c r="A68" s="68">
        <v>0.48956</v>
      </c>
      <c r="B68" s="68">
        <v>0.33538400000000002</v>
      </c>
      <c r="C68" s="68">
        <v>26.808499999999999</v>
      </c>
      <c r="D68" s="68">
        <v>1</v>
      </c>
      <c r="E68" s="68" t="s">
        <v>475</v>
      </c>
    </row>
    <row r="69" spans="1:5">
      <c r="A69" s="68">
        <v>0.49033399999999999</v>
      </c>
      <c r="B69" s="68">
        <v>0.334762</v>
      </c>
      <c r="C69" s="68">
        <v>27.212299999999999</v>
      </c>
      <c r="D69" s="68">
        <v>1</v>
      </c>
      <c r="E69" s="68" t="s">
        <v>476</v>
      </c>
    </row>
    <row r="70" spans="1:5">
      <c r="A70" s="68">
        <v>0.49083199999999999</v>
      </c>
      <c r="B70" s="68">
        <v>0.33454899999999999</v>
      </c>
      <c r="C70" s="68">
        <v>27.621099999999998</v>
      </c>
      <c r="D70" s="68">
        <v>1</v>
      </c>
      <c r="E70" s="68" t="s">
        <v>477</v>
      </c>
    </row>
    <row r="71" spans="1:5">
      <c r="A71" s="68">
        <v>0.49178500000000003</v>
      </c>
      <c r="B71" s="68">
        <v>0.33429999999999999</v>
      </c>
      <c r="C71" s="68">
        <v>28.0242</v>
      </c>
      <c r="D71" s="68">
        <v>1</v>
      </c>
      <c r="E71" s="68" t="s">
        <v>478</v>
      </c>
    </row>
    <row r="72" spans="1:5">
      <c r="A72" s="68">
        <v>0.492622</v>
      </c>
      <c r="B72" s="68">
        <v>0.33428600000000003</v>
      </c>
      <c r="C72" s="68">
        <v>28.4331</v>
      </c>
      <c r="D72" s="68">
        <v>1</v>
      </c>
      <c r="E72" s="68" t="s">
        <v>479</v>
      </c>
    </row>
    <row r="73" spans="1:5">
      <c r="A73" s="68">
        <v>0.493338</v>
      </c>
      <c r="B73" s="68">
        <v>0.333428</v>
      </c>
      <c r="C73" s="68">
        <v>28.8398</v>
      </c>
      <c r="D73" s="68">
        <v>1</v>
      </c>
      <c r="E73" s="68" t="s">
        <v>480</v>
      </c>
    </row>
    <row r="74" spans="1:5">
      <c r="A74" s="68">
        <v>0.49369400000000002</v>
      </c>
      <c r="B74" s="68">
        <v>0.33273900000000001</v>
      </c>
      <c r="C74" s="68">
        <v>29.2469</v>
      </c>
      <c r="D74" s="68">
        <v>1</v>
      </c>
      <c r="E74" s="68" t="s">
        <v>481</v>
      </c>
    </row>
    <row r="75" spans="1:5">
      <c r="A75" s="68">
        <v>0.49418299999999998</v>
      </c>
      <c r="B75" s="68">
        <v>0.33200299999999999</v>
      </c>
      <c r="C75" s="68">
        <v>29.651700000000002</v>
      </c>
      <c r="D75" s="68">
        <v>1</v>
      </c>
      <c r="E75" s="68" t="s">
        <v>482</v>
      </c>
    </row>
    <row r="76" spans="1:5">
      <c r="A76" s="68">
        <v>0.49398700000000001</v>
      </c>
      <c r="B76" s="68">
        <v>0.33058300000000002</v>
      </c>
      <c r="C76" s="68">
        <v>30.059100000000001</v>
      </c>
      <c r="D76" s="68">
        <v>2</v>
      </c>
      <c r="E76" s="68" t="s">
        <v>483</v>
      </c>
    </row>
    <row r="77" spans="1:5">
      <c r="A77" s="68">
        <v>0.49384499999999998</v>
      </c>
      <c r="B77" s="68">
        <v>0.329347</v>
      </c>
      <c r="C77" s="68">
        <v>30.636099999999999</v>
      </c>
      <c r="D77" s="68">
        <v>2</v>
      </c>
      <c r="E77" s="68" t="s">
        <v>484</v>
      </c>
    </row>
    <row r="78" spans="1:5">
      <c r="A78" s="68">
        <v>0.49328899999999998</v>
      </c>
      <c r="B78" s="68">
        <v>0.32805299999999998</v>
      </c>
      <c r="C78" s="68">
        <v>31.009</v>
      </c>
      <c r="D78" s="68">
        <v>2</v>
      </c>
      <c r="E78" s="68" t="s">
        <v>485</v>
      </c>
    </row>
    <row r="79" spans="1:5">
      <c r="A79" s="68">
        <v>0.49257600000000001</v>
      </c>
      <c r="B79" s="68">
        <v>0.326733</v>
      </c>
      <c r="C79" s="68">
        <v>31.384399999999999</v>
      </c>
      <c r="D79" s="68">
        <v>2</v>
      </c>
      <c r="E79" s="68" t="s">
        <v>486</v>
      </c>
    </row>
    <row r="80" spans="1:5">
      <c r="A80" s="68">
        <v>0.49176900000000001</v>
      </c>
      <c r="B80" s="68">
        <v>0.325623</v>
      </c>
      <c r="C80" s="68">
        <v>31.760999999999999</v>
      </c>
      <c r="D80" s="68">
        <v>2</v>
      </c>
      <c r="E80" s="68" t="s">
        <v>487</v>
      </c>
    </row>
    <row r="81" spans="1:5">
      <c r="A81" s="68">
        <v>0.49060700000000002</v>
      </c>
      <c r="B81" s="68">
        <v>0.32513199999999998</v>
      </c>
      <c r="C81" s="68">
        <v>32.137900000000002</v>
      </c>
      <c r="D81" s="68">
        <v>2</v>
      </c>
      <c r="E81" s="68" t="s">
        <v>488</v>
      </c>
    </row>
    <row r="82" spans="1:5">
      <c r="A82" s="68">
        <v>0.48951299999999998</v>
      </c>
      <c r="B82" s="68">
        <v>0.32491999999999999</v>
      </c>
      <c r="C82" s="68">
        <v>32.542000000000002</v>
      </c>
      <c r="D82" s="68">
        <v>2</v>
      </c>
      <c r="E82" s="68" t="s">
        <v>489</v>
      </c>
    </row>
    <row r="83" spans="1:5">
      <c r="A83" s="68">
        <v>0.48822900000000002</v>
      </c>
      <c r="B83" s="68">
        <v>0.32552500000000001</v>
      </c>
      <c r="C83" s="68">
        <v>32.948</v>
      </c>
      <c r="D83" s="68">
        <v>2</v>
      </c>
      <c r="E83" s="68" t="s">
        <v>490</v>
      </c>
    </row>
    <row r="84" spans="1:5">
      <c r="A84" s="68">
        <v>0.48673499999999997</v>
      </c>
      <c r="B84" s="68">
        <v>0.32660699999999998</v>
      </c>
      <c r="C84" s="68">
        <v>33.356099999999998</v>
      </c>
      <c r="D84" s="68">
        <v>2</v>
      </c>
      <c r="E84" s="68" t="s">
        <v>491</v>
      </c>
    </row>
    <row r="85" spans="1:5">
      <c r="A85" s="68">
        <v>0.48530099999999998</v>
      </c>
      <c r="B85" s="68">
        <v>0.32766699999999999</v>
      </c>
      <c r="C85" s="68">
        <v>33.761200000000002</v>
      </c>
      <c r="D85" s="68">
        <v>2</v>
      </c>
      <c r="E85" s="68" t="s">
        <v>492</v>
      </c>
    </row>
    <row r="86" spans="1:5">
      <c r="A86" s="68">
        <v>0.48402099999999998</v>
      </c>
      <c r="B86" s="68">
        <v>0.32837699999999997</v>
      </c>
      <c r="C86" s="68">
        <v>34.169600000000003</v>
      </c>
      <c r="D86" s="68">
        <v>2</v>
      </c>
      <c r="E86" s="68" t="s">
        <v>493</v>
      </c>
    </row>
    <row r="87" spans="1:5">
      <c r="A87" s="68">
        <v>0.48309400000000002</v>
      </c>
      <c r="B87" s="68">
        <v>0.32858100000000001</v>
      </c>
      <c r="C87" s="68">
        <v>34.573599999999999</v>
      </c>
      <c r="D87" s="68">
        <v>2</v>
      </c>
      <c r="E87" s="68" t="s">
        <v>494</v>
      </c>
    </row>
    <row r="88" spans="1:5">
      <c r="A88" s="68">
        <v>0.48239399999999999</v>
      </c>
      <c r="B88" s="68">
        <v>0.32855000000000001</v>
      </c>
      <c r="C88" s="68">
        <v>34.979399999999998</v>
      </c>
      <c r="D88" s="68">
        <v>2</v>
      </c>
      <c r="E88" s="68" t="s">
        <v>495</v>
      </c>
    </row>
    <row r="89" spans="1:5">
      <c r="A89" s="68">
        <v>0.48184100000000002</v>
      </c>
      <c r="B89" s="68">
        <v>0.32825500000000002</v>
      </c>
      <c r="C89" s="68">
        <v>35.384500000000003</v>
      </c>
      <c r="D89" s="68">
        <v>2</v>
      </c>
      <c r="E89" s="68" t="s">
        <v>496</v>
      </c>
    </row>
    <row r="90" spans="1:5">
      <c r="A90" s="68">
        <v>0.48141</v>
      </c>
      <c r="B90" s="68">
        <v>0.32786700000000002</v>
      </c>
      <c r="C90" s="68">
        <v>35.796300000000002</v>
      </c>
      <c r="D90" s="68">
        <v>2</v>
      </c>
      <c r="E90" s="68" t="s">
        <v>497</v>
      </c>
    </row>
    <row r="91" spans="1:5">
      <c r="A91" s="68">
        <v>0.48148000000000002</v>
      </c>
      <c r="B91" s="68">
        <v>0.32668999999999998</v>
      </c>
      <c r="C91" s="68">
        <v>36.200200000000002</v>
      </c>
      <c r="D91" s="68">
        <v>2</v>
      </c>
      <c r="E91" s="68" t="s">
        <v>498</v>
      </c>
    </row>
    <row r="92" spans="1:5">
      <c r="A92" s="68">
        <v>0.48184100000000002</v>
      </c>
      <c r="B92" s="68">
        <v>0.32488099999999998</v>
      </c>
      <c r="C92" s="68">
        <v>36.604100000000003</v>
      </c>
      <c r="D92" s="68">
        <v>2</v>
      </c>
      <c r="E92" s="68" t="s">
        <v>499</v>
      </c>
    </row>
    <row r="93" spans="1:5">
      <c r="A93" s="68">
        <v>0.482373</v>
      </c>
      <c r="B93" s="68">
        <v>0.32355499999999998</v>
      </c>
      <c r="C93" s="68">
        <v>37.010100000000001</v>
      </c>
      <c r="D93" s="68">
        <v>2</v>
      </c>
      <c r="E93" s="68" t="s">
        <v>500</v>
      </c>
    </row>
    <row r="94" spans="1:5">
      <c r="A94" s="68">
        <v>0.48310599999999998</v>
      </c>
      <c r="B94" s="68">
        <v>0.322268</v>
      </c>
      <c r="C94" s="68">
        <v>37.414700000000003</v>
      </c>
      <c r="D94" s="68">
        <v>2</v>
      </c>
      <c r="E94" s="68" t="s">
        <v>501</v>
      </c>
    </row>
    <row r="95" spans="1:5">
      <c r="A95" s="68">
        <v>0.48411199999999999</v>
      </c>
      <c r="B95" s="68">
        <v>0.32059599999999999</v>
      </c>
      <c r="C95" s="68">
        <v>37.825899999999997</v>
      </c>
      <c r="D95" s="68">
        <v>2</v>
      </c>
      <c r="E95" s="68" t="s">
        <v>502</v>
      </c>
    </row>
    <row r="96" spans="1:5">
      <c r="A96" s="68">
        <v>0.48499500000000001</v>
      </c>
      <c r="B96" s="68">
        <v>0.31903500000000001</v>
      </c>
      <c r="C96" s="68">
        <v>38.2288</v>
      </c>
      <c r="D96" s="68">
        <v>2</v>
      </c>
      <c r="E96" s="68" t="s">
        <v>503</v>
      </c>
    </row>
    <row r="97" spans="1:5">
      <c r="A97" s="68">
        <v>0.48561100000000001</v>
      </c>
      <c r="B97" s="68">
        <v>0.31905600000000001</v>
      </c>
      <c r="C97" s="68">
        <v>38.637700000000002</v>
      </c>
      <c r="D97" s="68">
        <v>2</v>
      </c>
      <c r="E97" s="68" t="s">
        <v>504</v>
      </c>
    </row>
    <row r="98" spans="1:5">
      <c r="A98" s="68">
        <v>0.48617199999999999</v>
      </c>
      <c r="B98" s="68">
        <v>0.31970199999999999</v>
      </c>
      <c r="C98" s="68">
        <v>39.0426</v>
      </c>
      <c r="D98" s="68">
        <v>2</v>
      </c>
      <c r="E98" s="68" t="s">
        <v>505</v>
      </c>
    </row>
    <row r="99" spans="1:5">
      <c r="A99" s="68">
        <v>0.486931</v>
      </c>
      <c r="B99" s="68">
        <v>0.32030799999999998</v>
      </c>
      <c r="C99" s="68">
        <v>39.4467</v>
      </c>
      <c r="D99" s="68">
        <v>2</v>
      </c>
      <c r="E99" s="68" t="s">
        <v>506</v>
      </c>
    </row>
    <row r="100" spans="1:5">
      <c r="A100" s="68">
        <v>0.48738700000000001</v>
      </c>
      <c r="B100" s="68">
        <v>0.32158900000000001</v>
      </c>
      <c r="C100" s="68">
        <v>39.853299999999997</v>
      </c>
      <c r="D100" s="68">
        <v>2</v>
      </c>
      <c r="E100" s="68" t="s">
        <v>507</v>
      </c>
    </row>
    <row r="101" spans="1:5">
      <c r="A101" s="68">
        <v>0.48809399999999997</v>
      </c>
      <c r="B101" s="68">
        <v>0.32231599999999999</v>
      </c>
      <c r="C101" s="68">
        <v>40.264400000000002</v>
      </c>
      <c r="D101" s="68">
        <v>2</v>
      </c>
      <c r="E101" s="68" t="s">
        <v>508</v>
      </c>
    </row>
    <row r="102" spans="1:5">
      <c r="A102" s="68">
        <v>0.488618</v>
      </c>
      <c r="B102" s="68">
        <v>0.323297</v>
      </c>
      <c r="C102" s="68">
        <v>40.668199999999999</v>
      </c>
      <c r="D102" s="68">
        <v>2</v>
      </c>
      <c r="E102" s="68" t="s">
        <v>509</v>
      </c>
    </row>
    <row r="103" spans="1:5">
      <c r="A103" s="68">
        <v>0.489008</v>
      </c>
      <c r="B103" s="68">
        <v>0.324291</v>
      </c>
      <c r="C103" s="68">
        <v>41.072299999999998</v>
      </c>
      <c r="D103" s="68">
        <v>2</v>
      </c>
      <c r="E103" s="68" t="s">
        <v>510</v>
      </c>
    </row>
    <row r="104" spans="1:5">
      <c r="A104" s="68">
        <v>0.48947400000000002</v>
      </c>
      <c r="B104" s="68">
        <v>0.32517000000000001</v>
      </c>
      <c r="C104" s="68">
        <v>41.481200000000001</v>
      </c>
      <c r="D104" s="68">
        <v>2</v>
      </c>
      <c r="E104" s="68" t="s">
        <v>511</v>
      </c>
    </row>
    <row r="105" spans="1:5">
      <c r="A105" s="68">
        <v>0.49019800000000002</v>
      </c>
      <c r="B105" s="68">
        <v>0.32554</v>
      </c>
      <c r="C105" s="68">
        <v>41.889000000000003</v>
      </c>
      <c r="D105" s="68">
        <v>2</v>
      </c>
      <c r="E105" s="68" t="s">
        <v>512</v>
      </c>
    </row>
    <row r="106" spans="1:5">
      <c r="A106" s="68">
        <v>0.491178</v>
      </c>
      <c r="B106" s="68">
        <v>0.32573600000000003</v>
      </c>
      <c r="C106" s="68">
        <v>42.294899999999998</v>
      </c>
      <c r="D106" s="68">
        <v>2</v>
      </c>
      <c r="E106" s="68" t="s">
        <v>513</v>
      </c>
    </row>
    <row r="107" spans="1:5">
      <c r="A107" s="68">
        <v>0.492197</v>
      </c>
      <c r="B107" s="68">
        <v>0.32569100000000001</v>
      </c>
      <c r="C107" s="68">
        <v>42.6997</v>
      </c>
      <c r="D107" s="68">
        <v>2</v>
      </c>
      <c r="E107" s="68" t="s">
        <v>514</v>
      </c>
    </row>
    <row r="108" spans="1:5">
      <c r="A108" s="68">
        <v>0.49323899999999998</v>
      </c>
      <c r="B108" s="68">
        <v>0.32522099999999998</v>
      </c>
      <c r="C108" s="68">
        <v>43.102699999999999</v>
      </c>
      <c r="D108" s="68">
        <v>2</v>
      </c>
      <c r="E108" s="68" t="s">
        <v>515</v>
      </c>
    </row>
    <row r="109" spans="1:5">
      <c r="A109" s="68">
        <v>0.49442799999999998</v>
      </c>
      <c r="B109" s="68">
        <v>0.32447599999999999</v>
      </c>
      <c r="C109" s="68">
        <v>43.512700000000002</v>
      </c>
      <c r="D109" s="68">
        <v>2</v>
      </c>
      <c r="E109" s="68" t="s">
        <v>516</v>
      </c>
    </row>
    <row r="110" spans="1:5">
      <c r="A110" s="68">
        <v>0.49583700000000003</v>
      </c>
      <c r="B110" s="68">
        <v>0.32344200000000001</v>
      </c>
      <c r="C110" s="68">
        <v>43.916600000000003</v>
      </c>
      <c r="D110" s="68">
        <v>2</v>
      </c>
      <c r="E110" s="68" t="s">
        <v>517</v>
      </c>
    </row>
    <row r="111" spans="1:5">
      <c r="A111" s="68">
        <v>0.49731900000000001</v>
      </c>
      <c r="B111" s="68">
        <v>0.322434</v>
      </c>
      <c r="C111" s="68">
        <v>44.322299999999998</v>
      </c>
      <c r="D111" s="68">
        <v>2</v>
      </c>
      <c r="E111" s="68" t="s">
        <v>518</v>
      </c>
    </row>
    <row r="112" spans="1:5">
      <c r="A112" s="68">
        <v>0.49819600000000003</v>
      </c>
      <c r="B112" s="68">
        <v>0.32163700000000001</v>
      </c>
      <c r="C112" s="68">
        <v>44.728499999999997</v>
      </c>
      <c r="D112" s="68">
        <v>2</v>
      </c>
      <c r="E112" s="68" t="s">
        <v>519</v>
      </c>
    </row>
    <row r="113" spans="1:5">
      <c r="A113" s="68">
        <v>0.49885200000000002</v>
      </c>
      <c r="B113" s="68">
        <v>0.32127899999999998</v>
      </c>
      <c r="C113" s="68">
        <v>45.138300000000001</v>
      </c>
      <c r="D113" s="68">
        <v>2</v>
      </c>
      <c r="E113" s="68" t="s">
        <v>520</v>
      </c>
    </row>
    <row r="114" spans="1:5">
      <c r="A114" s="68">
        <v>0.49942999999999999</v>
      </c>
      <c r="B114" s="68">
        <v>0.32162299999999999</v>
      </c>
      <c r="C114" s="68">
        <v>45.539299999999997</v>
      </c>
      <c r="D114" s="68">
        <v>2</v>
      </c>
      <c r="E114" s="68" t="s">
        <v>521</v>
      </c>
    </row>
    <row r="115" spans="1:5">
      <c r="A115" s="68">
        <v>0.50002500000000005</v>
      </c>
      <c r="B115" s="68">
        <v>0.32222000000000001</v>
      </c>
      <c r="C115" s="68">
        <v>45.950099999999999</v>
      </c>
      <c r="D115" s="68">
        <v>2</v>
      </c>
      <c r="E115" s="68" t="s">
        <v>522</v>
      </c>
    </row>
    <row r="116" spans="1:5">
      <c r="A116" s="68">
        <v>0.50068800000000002</v>
      </c>
      <c r="B116" s="68">
        <v>0.32269599999999998</v>
      </c>
      <c r="C116" s="68">
        <v>46.353000000000002</v>
      </c>
      <c r="D116" s="68">
        <v>2</v>
      </c>
      <c r="E116" s="68" t="s">
        <v>523</v>
      </c>
    </row>
    <row r="117" spans="1:5">
      <c r="A117" s="68">
        <v>0.50112599999999996</v>
      </c>
      <c r="B117" s="68">
        <v>0.32331199999999999</v>
      </c>
      <c r="C117" s="68">
        <v>46.759099999999997</v>
      </c>
      <c r="D117" s="68">
        <v>2</v>
      </c>
      <c r="E117" s="68" t="s">
        <v>524</v>
      </c>
    </row>
    <row r="118" spans="1:5">
      <c r="A118" s="68">
        <v>0.50162799999999996</v>
      </c>
      <c r="B118" s="68">
        <v>0.32344400000000001</v>
      </c>
      <c r="C118" s="68">
        <v>47.170299999999997</v>
      </c>
      <c r="D118" s="68">
        <v>2</v>
      </c>
      <c r="E118" s="68" t="s">
        <v>525</v>
      </c>
    </row>
    <row r="119" spans="1:5">
      <c r="A119" s="68">
        <v>0.50191200000000002</v>
      </c>
      <c r="B119" s="68">
        <v>0.32348300000000002</v>
      </c>
      <c r="C119" s="68">
        <v>47.575899999999997</v>
      </c>
      <c r="D119" s="68">
        <v>2</v>
      </c>
      <c r="E119" s="68" t="s">
        <v>526</v>
      </c>
    </row>
    <row r="120" spans="1:5">
      <c r="A120" s="68">
        <v>0.50208600000000003</v>
      </c>
      <c r="B120" s="68">
        <v>0.323911</v>
      </c>
      <c r="C120" s="68">
        <v>47.9816</v>
      </c>
      <c r="D120" s="68">
        <v>2</v>
      </c>
      <c r="E120" s="68" t="s">
        <v>527</v>
      </c>
    </row>
    <row r="121" spans="1:5">
      <c r="A121" s="68">
        <v>0.50229800000000002</v>
      </c>
      <c r="B121" s="68">
        <v>0.32401200000000002</v>
      </c>
      <c r="C121" s="68">
        <v>48.384599999999999</v>
      </c>
      <c r="D121" s="68">
        <v>2</v>
      </c>
      <c r="E121" s="68" t="s">
        <v>528</v>
      </c>
    </row>
    <row r="122" spans="1:5">
      <c r="A122" s="68">
        <v>0.50258599999999998</v>
      </c>
      <c r="B122" s="68">
        <v>0.32297300000000001</v>
      </c>
      <c r="C122" s="68">
        <v>48.793599999999998</v>
      </c>
      <c r="D122" s="68">
        <v>2</v>
      </c>
      <c r="E122" s="68" t="s">
        <v>529</v>
      </c>
    </row>
    <row r="123" spans="1:5">
      <c r="A123" s="68">
        <v>0.50278100000000003</v>
      </c>
      <c r="B123" s="68">
        <v>0.32189200000000001</v>
      </c>
      <c r="C123" s="68">
        <v>49.198399999999999</v>
      </c>
      <c r="D123" s="68">
        <v>2</v>
      </c>
      <c r="E123" s="68" t="s">
        <v>530</v>
      </c>
    </row>
    <row r="124" spans="1:5">
      <c r="A124" s="68">
        <v>0.50258599999999998</v>
      </c>
      <c r="B124" s="68">
        <v>0.32114300000000001</v>
      </c>
      <c r="C124" s="68">
        <v>49.606400000000001</v>
      </c>
      <c r="D124" s="68">
        <v>2</v>
      </c>
      <c r="E124" s="68" t="s">
        <v>531</v>
      </c>
    </row>
    <row r="125" spans="1:5">
      <c r="A125" s="68">
        <v>0.50234999999999996</v>
      </c>
      <c r="B125" s="68">
        <v>0.32027699999999998</v>
      </c>
      <c r="C125" s="68">
        <v>50.012099999999997</v>
      </c>
      <c r="D125" s="68">
        <v>2</v>
      </c>
      <c r="E125" s="68" t="s">
        <v>532</v>
      </c>
    </row>
    <row r="126" spans="1:5">
      <c r="A126" s="68">
        <v>0.50251299999999999</v>
      </c>
      <c r="B126" s="68">
        <v>0.31937700000000002</v>
      </c>
      <c r="C126" s="68">
        <v>50.416200000000003</v>
      </c>
      <c r="D126" s="68">
        <v>2</v>
      </c>
      <c r="E126" s="68" t="s">
        <v>533</v>
      </c>
    </row>
    <row r="127" spans="1:5">
      <c r="A127" s="68">
        <v>0.502884</v>
      </c>
      <c r="B127" s="68">
        <v>0.31844899999999998</v>
      </c>
      <c r="C127" s="68">
        <v>50.824399999999997</v>
      </c>
      <c r="D127" s="68">
        <v>2</v>
      </c>
      <c r="E127" s="68" t="s">
        <v>534</v>
      </c>
    </row>
    <row r="128" spans="1:5">
      <c r="A128" s="68">
        <v>0.50362600000000002</v>
      </c>
      <c r="B128" s="68">
        <v>0.31784299999999999</v>
      </c>
      <c r="C128" s="68">
        <v>51.231000000000002</v>
      </c>
      <c r="D128" s="68">
        <v>2</v>
      </c>
      <c r="E128" s="68" t="s">
        <v>535</v>
      </c>
    </row>
    <row r="129" spans="1:5">
      <c r="A129" s="68">
        <v>0.50424500000000005</v>
      </c>
      <c r="B129" s="68">
        <v>0.31757800000000003</v>
      </c>
      <c r="C129" s="68">
        <v>51.637900000000002</v>
      </c>
      <c r="D129" s="68">
        <v>2</v>
      </c>
      <c r="E129" s="68" t="s">
        <v>536</v>
      </c>
    </row>
    <row r="130" spans="1:5">
      <c r="A130" s="68">
        <v>0.50464200000000003</v>
      </c>
      <c r="B130" s="68">
        <v>0.31755299999999997</v>
      </c>
      <c r="C130" s="68">
        <v>52.045999999999999</v>
      </c>
      <c r="D130" s="68">
        <v>2</v>
      </c>
      <c r="E130" s="68" t="s">
        <v>537</v>
      </c>
    </row>
    <row r="131" spans="1:5">
      <c r="A131" s="68">
        <v>0.50486200000000003</v>
      </c>
      <c r="B131" s="68">
        <v>0.31735200000000002</v>
      </c>
      <c r="C131" s="68">
        <v>52.447800000000001</v>
      </c>
      <c r="D131" s="68">
        <v>2</v>
      </c>
      <c r="E131" s="68" t="s">
        <v>538</v>
      </c>
    </row>
    <row r="132" spans="1:5">
      <c r="A132" s="68">
        <v>0.505</v>
      </c>
      <c r="B132" s="68">
        <v>0.31709599999999999</v>
      </c>
      <c r="C132" s="68">
        <v>52.854700000000001</v>
      </c>
      <c r="D132" s="68">
        <v>2</v>
      </c>
      <c r="E132" s="68" t="s">
        <v>539</v>
      </c>
    </row>
    <row r="133" spans="1:5">
      <c r="A133" s="68">
        <v>0.50510999999999995</v>
      </c>
      <c r="B133" s="68">
        <v>0.31694800000000001</v>
      </c>
      <c r="C133" s="68">
        <v>53.262599999999999</v>
      </c>
      <c r="D133" s="68">
        <v>2</v>
      </c>
      <c r="E133" s="68" t="s">
        <v>540</v>
      </c>
    </row>
    <row r="134" spans="1:5">
      <c r="A134" s="68">
        <v>0.50519099999999995</v>
      </c>
      <c r="B134" s="68">
        <v>0.31707800000000003</v>
      </c>
      <c r="C134" s="68">
        <v>53.672499999999999</v>
      </c>
      <c r="D134" s="68">
        <v>2</v>
      </c>
      <c r="E134" s="68" t="s">
        <v>541</v>
      </c>
    </row>
    <row r="135" spans="1:5">
      <c r="A135" s="68">
        <v>0.50481399999999998</v>
      </c>
      <c r="B135" s="68">
        <v>0.31770900000000002</v>
      </c>
      <c r="C135" s="68">
        <v>54.072400000000002</v>
      </c>
      <c r="D135" s="68">
        <v>2</v>
      </c>
      <c r="E135" s="68" t="s">
        <v>542</v>
      </c>
    </row>
    <row r="136" spans="1:5">
      <c r="A136" s="68">
        <v>0.50436599999999998</v>
      </c>
      <c r="B136" s="68">
        <v>0.31843100000000002</v>
      </c>
      <c r="C136" s="68">
        <v>54.479599999999998</v>
      </c>
      <c r="D136" s="68">
        <v>2</v>
      </c>
      <c r="E136" s="68" t="s">
        <v>543</v>
      </c>
    </row>
    <row r="137" spans="1:5">
      <c r="A137" s="68">
        <v>0.50451100000000004</v>
      </c>
      <c r="B137" s="68">
        <v>0.31922400000000001</v>
      </c>
      <c r="C137" s="68">
        <v>54.887599999999999</v>
      </c>
      <c r="D137" s="68">
        <v>2</v>
      </c>
      <c r="E137" s="68" t="s">
        <v>544</v>
      </c>
    </row>
    <row r="138" spans="1:5">
      <c r="A138" s="68">
        <v>0.50488</v>
      </c>
      <c r="B138" s="68">
        <v>0.31955899999999998</v>
      </c>
      <c r="C138" s="68">
        <v>55.291499999999999</v>
      </c>
      <c r="D138" s="68">
        <v>2</v>
      </c>
      <c r="E138" s="68" t="s">
        <v>545</v>
      </c>
    </row>
    <row r="139" spans="1:5">
      <c r="A139" s="68">
        <v>0.50520500000000002</v>
      </c>
      <c r="B139" s="68">
        <v>0.31916</v>
      </c>
      <c r="C139" s="68">
        <v>55.701000000000001</v>
      </c>
      <c r="D139" s="68">
        <v>2</v>
      </c>
      <c r="E139" s="68" t="s">
        <v>546</v>
      </c>
    </row>
    <row r="140" spans="1:5">
      <c r="A140" s="68">
        <v>0.50551699999999999</v>
      </c>
      <c r="B140" s="68">
        <v>0.31818099999999999</v>
      </c>
      <c r="C140" s="68">
        <v>56.107199999999999</v>
      </c>
      <c r="D140" s="68">
        <v>2</v>
      </c>
      <c r="E140" s="68" t="s">
        <v>547</v>
      </c>
    </row>
    <row r="141" spans="1:5">
      <c r="A141" s="68">
        <v>0.504938</v>
      </c>
      <c r="B141" s="68">
        <v>0.31806600000000002</v>
      </c>
      <c r="C141" s="68">
        <v>56.510899999999999</v>
      </c>
      <c r="D141" s="68">
        <v>2</v>
      </c>
      <c r="E141" s="68" t="s">
        <v>548</v>
      </c>
    </row>
    <row r="142" spans="1:5">
      <c r="A142" s="68">
        <v>0.50437399999999999</v>
      </c>
      <c r="B142" s="68">
        <v>0.31762200000000002</v>
      </c>
      <c r="C142" s="68">
        <v>56.916400000000003</v>
      </c>
      <c r="D142" s="68">
        <v>2</v>
      </c>
      <c r="E142" s="68" t="s">
        <v>549</v>
      </c>
    </row>
    <row r="143" spans="1:5">
      <c r="A143" s="68">
        <v>0.50359200000000004</v>
      </c>
      <c r="B143" s="68">
        <v>0.31844</v>
      </c>
      <c r="C143" s="68">
        <v>57.323999999999998</v>
      </c>
      <c r="D143" s="68">
        <v>2</v>
      </c>
      <c r="E143" s="68" t="s">
        <v>550</v>
      </c>
    </row>
    <row r="144" spans="1:5">
      <c r="A144" s="68">
        <v>0.50331000000000004</v>
      </c>
      <c r="B144" s="68">
        <v>0.31909700000000002</v>
      </c>
      <c r="C144" s="68">
        <v>57.726500000000001</v>
      </c>
      <c r="D144" s="68">
        <v>2</v>
      </c>
      <c r="E144" s="68" t="s">
        <v>551</v>
      </c>
    </row>
    <row r="145" spans="1:5">
      <c r="A145" s="68">
        <v>0.50204499999999996</v>
      </c>
      <c r="B145" s="68">
        <v>0.31919900000000001</v>
      </c>
      <c r="C145" s="68">
        <v>58.137599999999999</v>
      </c>
      <c r="D145" s="68">
        <v>2</v>
      </c>
      <c r="E145" s="68" t="s">
        <v>552</v>
      </c>
    </row>
    <row r="146" spans="1:5">
      <c r="A146" s="68">
        <v>0.50007999999999997</v>
      </c>
      <c r="B146" s="68">
        <v>0.32040099999999999</v>
      </c>
      <c r="C146" s="68">
        <v>58.542900000000003</v>
      </c>
      <c r="D146" s="68">
        <v>2</v>
      </c>
      <c r="E146" s="68" t="s">
        <v>553</v>
      </c>
    </row>
    <row r="147" spans="1:5">
      <c r="A147" s="68">
        <v>0.49709500000000001</v>
      </c>
      <c r="B147" s="68">
        <v>0.323376</v>
      </c>
      <c r="C147" s="68">
        <v>58.947299999999998</v>
      </c>
      <c r="D147" s="68">
        <v>2</v>
      </c>
      <c r="E147" s="68" t="s">
        <v>554</v>
      </c>
    </row>
    <row r="148" spans="1:5">
      <c r="A148" s="68">
        <v>0.493751</v>
      </c>
      <c r="B148" s="68">
        <v>0.32792500000000002</v>
      </c>
      <c r="C148" s="68">
        <v>59.354900000000001</v>
      </c>
      <c r="D148" s="68">
        <v>2</v>
      </c>
      <c r="E148" s="68" t="s">
        <v>555</v>
      </c>
    </row>
    <row r="149" spans="1:5">
      <c r="A149" s="68">
        <v>0.491313</v>
      </c>
      <c r="B149" s="68">
        <v>0.329096</v>
      </c>
      <c r="C149" s="68">
        <v>59.7622</v>
      </c>
      <c r="D149" s="68">
        <v>2</v>
      </c>
      <c r="E149" s="68" t="s">
        <v>556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557</v>
      </c>
      <c r="B1" s="66" t="s">
        <v>558</v>
      </c>
      <c r="C1" s="66" t="s">
        <v>560</v>
      </c>
      <c r="D1" s="66" t="s">
        <v>561</v>
      </c>
      <c r="E1" s="66" t="s">
        <v>562</v>
      </c>
      <c r="F1" s="66" t="s">
        <v>563</v>
      </c>
      <c r="G1" s="66" t="s">
        <v>564</v>
      </c>
      <c r="H1" s="66" t="s">
        <v>565</v>
      </c>
      <c r="I1" s="66" t="s">
        <v>566</v>
      </c>
      <c r="J1" s="66" t="s">
        <v>567</v>
      </c>
      <c r="K1" s="66" t="s">
        <v>568</v>
      </c>
      <c r="L1" s="66" t="s">
        <v>569</v>
      </c>
      <c r="M1" s="66" t="s">
        <v>570</v>
      </c>
      <c r="N1" s="66"/>
    </row>
    <row r="2" spans="1:14">
      <c r="A2" s="75">
        <v>43615.678981481484</v>
      </c>
      <c r="B2" s="66" t="s">
        <v>559</v>
      </c>
      <c r="C2" s="66"/>
      <c r="D2" s="66"/>
      <c r="E2" s="66">
        <v>4.9207200000000002</v>
      </c>
      <c r="F2" s="66">
        <v>2.43398</v>
      </c>
      <c r="G2" s="66">
        <v>0.66558499999999998</v>
      </c>
      <c r="H2" s="66">
        <v>0</v>
      </c>
      <c r="I2" s="66">
        <v>136992</v>
      </c>
      <c r="J2" s="66">
        <v>132</v>
      </c>
      <c r="K2" s="66">
        <v>132</v>
      </c>
      <c r="L2" s="66">
        <v>0</v>
      </c>
      <c r="M2" s="66" t="s">
        <v>571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2019-05-30T08:18:26Z</cp:lastPrinted>
  <dcterms:created xsi:type="dcterms:W3CDTF">2010-10-29T12:53:05Z</dcterms:created>
  <dcterms:modified xsi:type="dcterms:W3CDTF">2019-05-30T08:18:34Z</dcterms:modified>
</cp:coreProperties>
</file>