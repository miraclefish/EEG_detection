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<sst xmlns="http://schemas.openxmlformats.org/spreadsheetml/2006/main" count="701" uniqueCount="519">
  <si>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</si>
  <si>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</si>
  <si>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</si>
  <si>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</si>
  <si>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</si>
  <si>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</si>
  <si>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</si>
  <si>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</si>
  <si>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</si>
  <si>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</si>
  <si>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</si>
  <si>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</si>
  <si>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</si>
  <si>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</si>
  <si>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</si>
  <si>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</si>
  <si>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</si>
  <si>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</si>
  <si>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</si>
  <si>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</si>
  <si>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</si>
  <si>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</si>
  <si>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</si>
  <si>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</si>
  <si>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</si>
  <si>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</si>
  <si>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</si>
  <si>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</si>
  <si>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</si>
  <si>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</si>
  <si>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</si>
  <si>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</si>
  <si>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</si>
  <si>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</si>
  <si>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</si>
  <si>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</si>
  <si>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</si>
  <si>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</si>
  <si>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</si>
  <si>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</si>
  <si>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</si>
  <si>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</si>
  <si>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</si>
  <si>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</si>
  <si>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</si>
  <si>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</si>
  <si>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</si>
  <si>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</si>
  <si>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</si>
  <si>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</si>
  <si>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</si>
  <si>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</si>
  <si>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</si>
  <si>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</si>
  <si>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</si>
  <si>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</si>
  <si>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</si>
  <si>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</si>
  <si>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</si>
  <si>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</si>
  <si>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</si>
  <si>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</si>
  <si>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</si>
  <si>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</si>
  <si>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</si>
  <si>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</si>
  <si>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</si>
  <si>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</si>
  <si>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</si>
  <si>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</si>
  <si>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</si>
  <si>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</si>
  <si>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</si>
  <si>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</si>
  <si>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</si>
  <si>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</si>
  <si>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</si>
  <si>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</si>
  <si>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</si>
  <si>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</si>
  <si>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</si>
  <si>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</si>
  <si>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</si>
  <si>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</si>
  <si>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</si>
  <si>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</si>
  <si>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</si>
  <si>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</si>
  <si>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</si>
  <si>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</si>
  <si>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</si>
  <si>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</si>
  <si>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</si>
  <si>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</si>
  <si>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</si>
  <si>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</si>
  <si>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</si>
  <si>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</si>
  <si>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</si>
  <si>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</si>
  <si>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</si>
  <si>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</si>
  <si>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</si>
  <si>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</si>
  <si>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</si>
  <si>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</si>
  <si>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</si>
  <si>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</si>
  <si>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</si>
  <si>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</si>
  <si>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</si>
  <si>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</si>
  <si>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</si>
  <si>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</si>
  <si>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</si>
  <si>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</si>
  <si>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</si>
  <si>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</si>
  <si>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</si>
  <si>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</si>
  <si>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</si>
  <si>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</si>
  <si>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</si>
  <si>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</si>
  <si>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</si>
  <si>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</si>
  <si>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</si>
  <si>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</si>
  <si>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</si>
  <si>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</si>
  <si>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</si>
  <si>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</si>
  <si>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</si>
  <si>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</si>
  <si>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</si>
  <si>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</si>
  <si>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</si>
  <si>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</si>
  <si>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</si>
  <si>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</si>
  <si>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</si>
  <si>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</si>
  <si>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</si>
  <si>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</si>
  <si>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</si>
  <si>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</si>
  <si>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</si>
  <si>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</si>
  <si>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</si>
  <si>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</si>
  <si>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</si>
  <si>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</si>
  <si>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</si>
  <si>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</si>
  <si>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</si>
  <si>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</si>
  <si>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</si>
  <si>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</si>
  <si>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</si>
  <si>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</si>
  <si>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</si>
  <si>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</si>
  <si>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</si>
  <si>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</si>
  <si>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</si>
  <si>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</si>
  <si>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</si>
  <si>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</si>
  <si>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</si>
  <si>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</si>
  <si>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</si>
  <si>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</si>
  <si>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</si>
  <si>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</si>
  <si>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</si>
  <si>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</si>
  <si>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</si>
  <si>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</si>
  <si>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</si>
  <si>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</si>
  <si>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</si>
  <si>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</si>
  <si>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</si>
  <si>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</si>
  <si>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</si>
  <si>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</si>
  <si>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</si>
  <si>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</si>
  <si>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</si>
  <si>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</si>
  <si>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</si>
  <si>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</si>
  <si>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</si>
  <si>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</si>
  <si>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</si>
  <si>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</si>
  <si>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</si>
  <si>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</si>
  <si>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</si>
  <si>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</si>
  <si>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</si>
  <si>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</si>
  <si>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</si>
  <si>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</si>
  <si>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</si>
  <si>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</si>
  <si>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</si>
  <si>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</si>
  <si>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</si>
  <si>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</si>
  <si>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</si>
  <si>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</si>
  <si>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</si>
  <si>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</si>
  <si>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</si>
  <si>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</si>
  <si>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</si>
  <si>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</si>
  <si>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</si>
  <si>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</si>
  <si>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</si>
  <si>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</si>
  <si>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</si>
  <si>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</si>
  <si>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</si>
  <si>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</si>
  <si>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</si>
  <si>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</si>
  <si>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</si>
  <si>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</si>
  <si>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</si>
  <si>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</si>
  <si>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</si>
  <si>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</si>
  <si>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</si>
  <si>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</si>
  <si>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</si>
  <si>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</si>
  <si>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</si>
  <si>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</si>
  <si>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</si>
  <si>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</si>
  <si>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</si>
  <si>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</si>
  <si>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</si>
  <si>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</si>
  <si>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</si>
  <si>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</si>
  <si>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</si>
  <si>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</si>
  <si>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</si>
  <si>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</si>
  <si>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</si>
  <si>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</si>
  <si>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</si>
  <si>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</si>
  <si>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</si>
  <si>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</si>
  <si>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</si>
  <si>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</si>
  <si>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</si>
  <si>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</si>
  <si>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</si>
  <si>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</si>
  <si>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</si>
  <si>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</si>
  <si>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</si>
  <si>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</si>
  <si>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</si>
  <si>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</si>
  <si>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</si>
  <si>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</si>
  <si>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</si>
  <si>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</si>
  <si>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</si>
  <si>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</si>
  <si>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</si>
  <si>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</si>
  <si>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</si>
  <si>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</si>
  <si>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</si>
  <si>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</si>
  <si>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</si>
  <si>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</si>
  <si>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</si>
  <si>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</si>
  <si>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</si>
  <si>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</si>
  <si>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</si>
  <si>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</si>
  <si>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</si>
  <si>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</si>
  <si>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</si>
  <si>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</si>
  <si>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</si>
  <si>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</si>
  <si>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</si>
  <si>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</si>
  <si>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</si>
  <si>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</si>
  <si>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</si>
  <si>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</si>
  <si>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</si>
  <si>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</si>
  <si>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</si>
  <si>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</si>
  <si>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</si>
  <si>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</si>
  <si>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</si>
  <si>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</si>
  <si>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</si>
  <si>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</si>
  <si>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</si>
  <si>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</si>
  <si>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</si>
  <si>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</si>
  <si>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</si>
  <si>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</si>
  <si>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</si>
  <si>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</si>
  <si>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</si>
  <si>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</si>
  <si>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</si>
  <si>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</si>
  <si>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</si>
  <si>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</si>
  <si>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</si>
  <si>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</si>
  <si>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</si>
  <si>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</si>
  <si>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</si>
  <si>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</si>
  <si>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</si>
  <si>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</si>
  <si>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</si>
  <si>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</si>
  <si>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</si>
  <si>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</si>
  <si>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</si>
  <si>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</si>
  <si>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</si>
  <si>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</si>
  <si>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</si>
  <si>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</si>
  <si>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</si>
  <si>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</si>
  <si>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</si>
  <si>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</si>
  <si>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</si>
  <si>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</si>
  <si>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</si>
  <si>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</si>
  <si>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</si>
  <si>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</si>
  <si>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</si>
  <si>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</si>
  <si>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[0.406898]</t>
  </si>
  <si>
    <t>1 [0.815770]</t>
  </si>
  <si>
    <t>1 [1.215665]</t>
  </si>
  <si>
    <t>1 [1.624823]</t>
  </si>
  <si>
    <t>1 [2.032638]</t>
  </si>
  <si>
    <t>1 [2.439451]</t>
  </si>
  <si>
    <t>1 [2.846657]</t>
  </si>
  <si>
    <t>1 [3.250441]</t>
  </si>
  <si>
    <t>1 [3.654243]</t>
  </si>
  <si>
    <t>1 [4.063432]</t>
  </si>
  <si>
    <t>1 [4.468964]</t>
  </si>
  <si>
    <t>1 [4.875989]</t>
  </si>
  <si>
    <t>1 [5.278879]</t>
  </si>
  <si>
    <t>1 [5.688415]</t>
  </si>
  <si>
    <t>1 [6.095681]</t>
  </si>
  <si>
    <t>1 [6.498559]</t>
  </si>
  <si>
    <t>1 [6.905541]</t>
  </si>
  <si>
    <t>1 [7.309393]</t>
  </si>
  <si>
    <t>1 [7.720532]</t>
  </si>
  <si>
    <t>1 [8.125215]</t>
  </si>
  <si>
    <t>1 [8.531250]</t>
  </si>
  <si>
    <t>1 [8.937139]</t>
  </si>
  <si>
    <t>1 [9.344959]</t>
  </si>
  <si>
    <t>1 [9.752030]</t>
  </si>
  <si>
    <t>1 [10.156752]</t>
  </si>
  <si>
    <t>1 [10.561749]</t>
  </si>
  <si>
    <t>1 [10.967621]</t>
  </si>
  <si>
    <t>1 [11.373540]</t>
  </si>
  <si>
    <t>1 [11.783466]</t>
  </si>
  <si>
    <t>1 [12.191354]</t>
  </si>
  <si>
    <t>1 [12.592278]</t>
  </si>
  <si>
    <t>1 [12.998200]</t>
  </si>
  <si>
    <t>1 [13.404241]</t>
  </si>
  <si>
    <t>1 [13.813225]</t>
  </si>
  <si>
    <t>1 [14.220032]</t>
  </si>
  <si>
    <t>1 [14.622640]</t>
  </si>
  <si>
    <t>1 [15.030781]</t>
  </si>
  <si>
    <t>1 [15.438722]</t>
  </si>
  <si>
    <t>1 [15.844562]</t>
  </si>
  <si>
    <t>1 [16.250641]</t>
  </si>
  <si>
    <t>1 [16.651826]</t>
  </si>
  <si>
    <t>1 [17.062278]</t>
  </si>
  <si>
    <t>1 [17.468347]</t>
  </si>
  <si>
    <t>1 [17.875101]</t>
  </si>
  <si>
    <t>1 [18.281194]</t>
  </si>
  <si>
    <t>1 [18.688992]</t>
  </si>
  <si>
    <t>1 [19.094850]</t>
  </si>
  <si>
    <t>1 [19.501061]</t>
  </si>
  <si>
    <t>1 [19.908713]</t>
  </si>
  <si>
    <t>1 [20.310809]</t>
  </si>
  <si>
    <t>1 [20.718521]</t>
  </si>
  <si>
    <t>1 [21.126463]</t>
  </si>
  <si>
    <t>1 [21.527330]</t>
  </si>
  <si>
    <t>1 [21.936310]</t>
  </si>
  <si>
    <t>1 [22.341887]</t>
  </si>
  <si>
    <t>1 [22.750199]</t>
  </si>
  <si>
    <t>1 [23.157090]</t>
  </si>
  <si>
    <t>1 [23.565510]</t>
  </si>
  <si>
    <t>1 [23.969803]</t>
  </si>
  <si>
    <t>1 [24.373903]</t>
  </si>
  <si>
    <t>1 [24.782094]</t>
  </si>
  <si>
    <t>1 [25.188661]</t>
  </si>
  <si>
    <t>1 [25.593584]</t>
  </si>
  <si>
    <t>1 [25.995325]</t>
  </si>
  <si>
    <t>1 [26.404410]</t>
  </si>
  <si>
    <t>1 [26.815317]</t>
  </si>
  <si>
    <t>1 [27.220312]</t>
  </si>
  <si>
    <t>1 [27.626228]</t>
  </si>
  <si>
    <t>1 [28.029042]</t>
  </si>
  <si>
    <t>1 [28.438887]</t>
  </si>
  <si>
    <t>1 [28.845852]</t>
  </si>
  <si>
    <t>1 [29.252741]</t>
  </si>
  <si>
    <t>1 [29.654633]</t>
  </si>
  <si>
    <t>2 [30.063813]</t>
  </si>
  <si>
    <t>2 [30.489465]</t>
  </si>
  <si>
    <t>2 [30.890898]</t>
  </si>
  <si>
    <t>2 [31.298377]</t>
  </si>
  <si>
    <t>2 [31.698203]</t>
  </si>
  <si>
    <t>2 [32.112089]</t>
  </si>
  <si>
    <t>2 [32.519465]</t>
  </si>
  <si>
    <t>2 [32.922926]</t>
  </si>
  <si>
    <t>2 [33.330932]</t>
  </si>
  <si>
    <t>2 [33.736947]</t>
  </si>
  <si>
    <t>2 [34.139887]</t>
  </si>
  <si>
    <t>2 [34.551689]</t>
  </si>
  <si>
    <t>2 [34.956480]</t>
  </si>
  <si>
    <t>2 [35.359497]</t>
  </si>
  <si>
    <t>2 [35.764414]</t>
  </si>
  <si>
    <t>2 [36.174372]</t>
  </si>
  <si>
    <t>2 [36.583088]</t>
  </si>
  <si>
    <t>2 [36.984580]</t>
  </si>
  <si>
    <t>2 [37.388145]</t>
  </si>
  <si>
    <t>2 [37.796422]</t>
  </si>
  <si>
    <t>2 [38.203066]</t>
  </si>
  <si>
    <t>2 [38.607711]</t>
  </si>
  <si>
    <t>2 [39.015708]</t>
  </si>
  <si>
    <t>2 [39.422619]</t>
  </si>
  <si>
    <t>2 [39.825440]</t>
  </si>
  <si>
    <t>2 [40.232738]</t>
  </si>
  <si>
    <t>2 [40.642256]</t>
  </si>
  <si>
    <t>2 [41.047263]</t>
  </si>
  <si>
    <t>2 [41.453073]</t>
  </si>
  <si>
    <t>2 [41.858033]</t>
  </si>
  <si>
    <t>2 [42.264073]</t>
  </si>
  <si>
    <t>2 [42.669863]</t>
  </si>
  <si>
    <t>2 [43.080063]</t>
  </si>
  <si>
    <t>2 [43.483651]</t>
  </si>
  <si>
    <t>2 [43.889576]</t>
  </si>
  <si>
    <t>2 [44.295479]</t>
  </si>
  <si>
    <t>2 [44.703492]</t>
  </si>
  <si>
    <t>2 [45.110451]</t>
  </si>
  <si>
    <t>2 [45.515273]</t>
  </si>
  <si>
    <t>2 [45.921124]</t>
  </si>
  <si>
    <t>2 [46.326070]</t>
  </si>
  <si>
    <t>2 [46.733996]</t>
  </si>
  <si>
    <t>2 [47.140968]</t>
  </si>
  <si>
    <t>2 [47.548840]</t>
  </si>
  <si>
    <t>2 [47.953715]</t>
  </si>
  <si>
    <t>2 [48.357614]</t>
  </si>
  <si>
    <t>2 [48.762853]</t>
  </si>
  <si>
    <t>2 [49.169463]</t>
  </si>
  <si>
    <t>2 [49.580516]</t>
  </si>
  <si>
    <t>2 [49.984292]</t>
  </si>
  <si>
    <t>2 [50.389218]</t>
  </si>
  <si>
    <t>2 [50.799043]</t>
  </si>
  <si>
    <t>2 [51.203008]</t>
  </si>
  <si>
    <t>2 [51.608928]</t>
  </si>
  <si>
    <t>2 [52.015815]</t>
  </si>
  <si>
    <t>2 [52.419763]</t>
  </si>
  <si>
    <t>2 [52.828794]</t>
  </si>
  <si>
    <t>2 [53.237631]</t>
  </si>
  <si>
    <t>2 [53.642469]</t>
  </si>
  <si>
    <t>2 [54.046645]</t>
  </si>
  <si>
    <t>2 [54.450500]</t>
  </si>
  <si>
    <t>2 [54.856535]</t>
  </si>
  <si>
    <t>2 [55.265183]</t>
  </si>
  <si>
    <t>2 [55.669060]</t>
  </si>
  <si>
    <t>2 [56.076088]</t>
  </si>
  <si>
    <t>2 [56.482921]</t>
  </si>
  <si>
    <t>2 [56.888840]</t>
  </si>
  <si>
    <t>2 [57.292756]</t>
  </si>
  <si>
    <t>2 [57.702617]</t>
  </si>
  <si>
    <t>2 [58.107998]</t>
  </si>
  <si>
    <t>2 [58.519514]</t>
  </si>
  <si>
    <t>2 [58.923388]</t>
  </si>
  <si>
    <t>2 [59.327289]</t>
  </si>
  <si>
    <t>2 [59.734325]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</si>
  <si>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</si>
  <si>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</si>
  <si>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</si>
  <si>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</si>
  <si>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</si>
  <si>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</si>
  <si>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</si>
  <si>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</si>
  <si>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</si>
  <si>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</si>
  <si>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</si>
  <si>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</si>
  <si>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</si>
  <si>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</si>
  <si>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</si>
  <si>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李亚杰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</si>
</sst>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41.367600000000003</c:v>
                </c:pt>
                <c:pt idx="1">
                  <c:v>24.768599999999999</c:v>
                </c:pt>
                <c:pt idx="2">
                  <c:v>24.7836</c:v>
                </c:pt>
                <c:pt idx="3">
                  <c:v>30.559200000000001</c:v>
                </c:pt>
                <c:pt idx="4">
                  <c:v>62.8596</c:v>
                </c:pt>
                <c:pt idx="5">
                  <c:v>82.831500000000005</c:v>
                </c:pt>
                <c:pt idx="6">
                  <c:v>20.3613</c:v>
                </c:pt>
                <c:pt idx="7">
                  <c:v>72.993600000000001</c:v>
                </c:pt>
                <c:pt idx="8">
                  <c:v>21.339200000000002</c:v>
                </c:pt>
                <c:pt idx="9">
                  <c:v>28.348500000000001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0.51977776057598557</c:v>
                </c:pt>
                <c:pt idx="1">
                  <c:v>0.26414197508851922</c:v>
                </c:pt>
                <c:pt idx="2">
                  <c:v>0.21608026433549529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1168</c:v>
                </c:pt>
                <c:pt idx="7">
                  <c:v>0</c:v>
                </c:pt>
                <c:pt idx="8">
                  <c:v>1067</c:v>
                </c:pt>
                <c:pt idx="9">
                  <c:v>0</c:v>
                </c:pt>
                <c:pt idx="10">
                  <c:v>0</c:v>
                </c:pt>
                <c:pt idx="11">
                  <c:v>1926</c:v>
                </c:pt>
                <c:pt idx="12">
                  <c:v>0</c:v>
                </c:pt>
                <c:pt idx="13">
                  <c:v>5037</c:v>
                </c:pt>
                <c:pt idx="14">
                  <c:v>0</c:v>
                </c:pt>
                <c:pt idx="15">
                  <c:v>0</c:v>
                </c:pt>
                <c:pt idx="16">
                  <c:v>7092</c:v>
                </c:pt>
                <c:pt idx="17">
                  <c:v>0</c:v>
                </c:pt>
                <c:pt idx="18">
                  <c:v>0</c:v>
                </c:pt>
                <c:pt idx="19">
                  <c:v>8941</c:v>
                </c:pt>
                <c:pt idx="20">
                  <c:v>0</c:v>
                </c:pt>
                <c:pt idx="21">
                  <c:v>13256</c:v>
                </c:pt>
                <c:pt idx="22">
                  <c:v>0</c:v>
                </c:pt>
                <c:pt idx="23">
                  <c:v>0</c:v>
                </c:pt>
                <c:pt idx="24">
                  <c:v>12197</c:v>
                </c:pt>
                <c:pt idx="25">
                  <c:v>0</c:v>
                </c:pt>
                <c:pt idx="26">
                  <c:v>18237</c:v>
                </c:pt>
                <c:pt idx="27">
                  <c:v>0</c:v>
                </c:pt>
                <c:pt idx="28">
                  <c:v>0</c:v>
                </c:pt>
                <c:pt idx="29">
                  <c:v>23171</c:v>
                </c:pt>
                <c:pt idx="30">
                  <c:v>0</c:v>
                </c:pt>
                <c:pt idx="31">
                  <c:v>31177</c:v>
                </c:pt>
                <c:pt idx="32">
                  <c:v>0</c:v>
                </c:pt>
                <c:pt idx="33">
                  <c:v>0</c:v>
                </c:pt>
                <c:pt idx="34">
                  <c:v>36234</c:v>
                </c:pt>
                <c:pt idx="35">
                  <c:v>0</c:v>
                </c:pt>
                <c:pt idx="36">
                  <c:v>0</c:v>
                </c:pt>
                <c:pt idx="37">
                  <c:v>49073</c:v>
                </c:pt>
                <c:pt idx="38">
                  <c:v>0</c:v>
                </c:pt>
                <c:pt idx="39">
                  <c:v>58462</c:v>
                </c:pt>
                <c:pt idx="40">
                  <c:v>0</c:v>
                </c:pt>
                <c:pt idx="41">
                  <c:v>0</c:v>
                </c:pt>
                <c:pt idx="42">
                  <c:v>70965</c:v>
                </c:pt>
                <c:pt idx="43">
                  <c:v>0</c:v>
                </c:pt>
                <c:pt idx="44">
                  <c:v>90151</c:v>
                </c:pt>
                <c:pt idx="45">
                  <c:v>0</c:v>
                </c:pt>
                <c:pt idx="46">
                  <c:v>0</c:v>
                </c:pt>
                <c:pt idx="47">
                  <c:v>101868</c:v>
                </c:pt>
                <c:pt idx="48">
                  <c:v>0</c:v>
                </c:pt>
                <c:pt idx="49">
                  <c:v>104365</c:v>
                </c:pt>
                <c:pt idx="50">
                  <c:v>0</c:v>
                </c:pt>
                <c:pt idx="51">
                  <c:v>0</c:v>
                </c:pt>
                <c:pt idx="52">
                  <c:v>111991</c:v>
                </c:pt>
                <c:pt idx="53">
                  <c:v>0</c:v>
                </c:pt>
                <c:pt idx="54">
                  <c:v>0</c:v>
                </c:pt>
                <c:pt idx="55">
                  <c:v>120620</c:v>
                </c:pt>
                <c:pt idx="56">
                  <c:v>0</c:v>
                </c:pt>
                <c:pt idx="57">
                  <c:v>134773</c:v>
                </c:pt>
                <c:pt idx="58">
                  <c:v>0</c:v>
                </c:pt>
                <c:pt idx="59">
                  <c:v>0</c:v>
                </c:pt>
                <c:pt idx="60">
                  <c:v>149713</c:v>
                </c:pt>
                <c:pt idx="61">
                  <c:v>0</c:v>
                </c:pt>
                <c:pt idx="62">
                  <c:v>168781</c:v>
                </c:pt>
                <c:pt idx="63">
                  <c:v>0</c:v>
                </c:pt>
                <c:pt idx="64">
                  <c:v>0</c:v>
                </c:pt>
                <c:pt idx="65">
                  <c:v>169163</c:v>
                </c:pt>
                <c:pt idx="66">
                  <c:v>0</c:v>
                </c:pt>
                <c:pt idx="67">
                  <c:v>164656</c:v>
                </c:pt>
                <c:pt idx="68">
                  <c:v>0</c:v>
                </c:pt>
                <c:pt idx="69">
                  <c:v>0</c:v>
                </c:pt>
                <c:pt idx="70">
                  <c:v>164393</c:v>
                </c:pt>
                <c:pt idx="71">
                  <c:v>0</c:v>
                </c:pt>
                <c:pt idx="72">
                  <c:v>0</c:v>
                </c:pt>
                <c:pt idx="73">
                  <c:v>162501</c:v>
                </c:pt>
                <c:pt idx="74">
                  <c:v>0</c:v>
                </c:pt>
                <c:pt idx="75">
                  <c:v>157365</c:v>
                </c:pt>
                <c:pt idx="76">
                  <c:v>0</c:v>
                </c:pt>
                <c:pt idx="77">
                  <c:v>0</c:v>
                </c:pt>
                <c:pt idx="78">
                  <c:v>165593</c:v>
                </c:pt>
                <c:pt idx="79">
                  <c:v>0</c:v>
                </c:pt>
                <c:pt idx="80">
                  <c:v>153599</c:v>
                </c:pt>
                <c:pt idx="81">
                  <c:v>0</c:v>
                </c:pt>
                <c:pt idx="82">
                  <c:v>0</c:v>
                </c:pt>
                <c:pt idx="83">
                  <c:v>152172</c:v>
                </c:pt>
                <c:pt idx="84">
                  <c:v>0</c:v>
                </c:pt>
                <c:pt idx="85">
                  <c:v>0</c:v>
                </c:pt>
                <c:pt idx="86">
                  <c:v>147317</c:v>
                </c:pt>
                <c:pt idx="87">
                  <c:v>0</c:v>
                </c:pt>
                <c:pt idx="88">
                  <c:v>133874</c:v>
                </c:pt>
                <c:pt idx="89">
                  <c:v>0</c:v>
                </c:pt>
                <c:pt idx="90">
                  <c:v>0</c:v>
                </c:pt>
                <c:pt idx="91">
                  <c:v>127718</c:v>
                </c:pt>
                <c:pt idx="92">
                  <c:v>0</c:v>
                </c:pt>
                <c:pt idx="93">
                  <c:v>116275</c:v>
                </c:pt>
                <c:pt idx="94">
                  <c:v>0</c:v>
                </c:pt>
                <c:pt idx="95">
                  <c:v>0</c:v>
                </c:pt>
                <c:pt idx="96">
                  <c:v>116114</c:v>
                </c:pt>
                <c:pt idx="97">
                  <c:v>0</c:v>
                </c:pt>
                <c:pt idx="98">
                  <c:v>104410</c:v>
                </c:pt>
                <c:pt idx="99">
                  <c:v>0</c:v>
                </c:pt>
                <c:pt idx="100">
                  <c:v>0</c:v>
                </c:pt>
                <c:pt idx="101">
                  <c:v>104005</c:v>
                </c:pt>
                <c:pt idx="102">
                  <c:v>0</c:v>
                </c:pt>
                <c:pt idx="103">
                  <c:v>0</c:v>
                </c:pt>
                <c:pt idx="104">
                  <c:v>94555</c:v>
                </c:pt>
                <c:pt idx="105">
                  <c:v>0</c:v>
                </c:pt>
                <c:pt idx="106">
                  <c:v>91546</c:v>
                </c:pt>
                <c:pt idx="107">
                  <c:v>0</c:v>
                </c:pt>
                <c:pt idx="108">
                  <c:v>0</c:v>
                </c:pt>
                <c:pt idx="109">
                  <c:v>88714</c:v>
                </c:pt>
                <c:pt idx="110">
                  <c:v>0</c:v>
                </c:pt>
                <c:pt idx="111">
                  <c:v>84894</c:v>
                </c:pt>
                <c:pt idx="112">
                  <c:v>0</c:v>
                </c:pt>
                <c:pt idx="113">
                  <c:v>0</c:v>
                </c:pt>
                <c:pt idx="114">
                  <c:v>78231</c:v>
                </c:pt>
                <c:pt idx="115">
                  <c:v>0</c:v>
                </c:pt>
                <c:pt idx="116">
                  <c:v>70621</c:v>
                </c:pt>
                <c:pt idx="117">
                  <c:v>0</c:v>
                </c:pt>
                <c:pt idx="118">
                  <c:v>0</c:v>
                </c:pt>
                <c:pt idx="119">
                  <c:v>68878</c:v>
                </c:pt>
                <c:pt idx="120">
                  <c:v>0</c:v>
                </c:pt>
                <c:pt idx="121">
                  <c:v>0</c:v>
                </c:pt>
                <c:pt idx="122">
                  <c:v>65821</c:v>
                </c:pt>
                <c:pt idx="123">
                  <c:v>0</c:v>
                </c:pt>
                <c:pt idx="124">
                  <c:v>63747</c:v>
                </c:pt>
                <c:pt idx="125">
                  <c:v>0</c:v>
                </c:pt>
                <c:pt idx="126">
                  <c:v>0</c:v>
                </c:pt>
                <c:pt idx="127">
                  <c:v>64628</c:v>
                </c:pt>
                <c:pt idx="128">
                  <c:v>0</c:v>
                </c:pt>
                <c:pt idx="129">
                  <c:v>55047</c:v>
                </c:pt>
                <c:pt idx="130">
                  <c:v>0</c:v>
                </c:pt>
                <c:pt idx="131">
                  <c:v>0</c:v>
                </c:pt>
                <c:pt idx="132">
                  <c:v>54648</c:v>
                </c:pt>
                <c:pt idx="133">
                  <c:v>0</c:v>
                </c:pt>
                <c:pt idx="134">
                  <c:v>50500</c:v>
                </c:pt>
                <c:pt idx="135">
                  <c:v>0</c:v>
                </c:pt>
                <c:pt idx="136">
                  <c:v>0</c:v>
                </c:pt>
                <c:pt idx="137">
                  <c:v>43125</c:v>
                </c:pt>
                <c:pt idx="138">
                  <c:v>0</c:v>
                </c:pt>
                <c:pt idx="139">
                  <c:v>0</c:v>
                </c:pt>
                <c:pt idx="140">
                  <c:v>39055</c:v>
                </c:pt>
                <c:pt idx="141">
                  <c:v>0</c:v>
                </c:pt>
                <c:pt idx="142">
                  <c:v>37077</c:v>
                </c:pt>
                <c:pt idx="143">
                  <c:v>0</c:v>
                </c:pt>
                <c:pt idx="144">
                  <c:v>0</c:v>
                </c:pt>
                <c:pt idx="145">
                  <c:v>35761</c:v>
                </c:pt>
                <c:pt idx="146">
                  <c:v>0</c:v>
                </c:pt>
                <c:pt idx="147">
                  <c:v>27958</c:v>
                </c:pt>
                <c:pt idx="148">
                  <c:v>0</c:v>
                </c:pt>
                <c:pt idx="149">
                  <c:v>0</c:v>
                </c:pt>
                <c:pt idx="150">
                  <c:v>23003</c:v>
                </c:pt>
                <c:pt idx="151">
                  <c:v>0</c:v>
                </c:pt>
                <c:pt idx="152">
                  <c:v>22742</c:v>
                </c:pt>
                <c:pt idx="153">
                  <c:v>0</c:v>
                </c:pt>
                <c:pt idx="154">
                  <c:v>0</c:v>
                </c:pt>
                <c:pt idx="155">
                  <c:v>23128</c:v>
                </c:pt>
                <c:pt idx="156">
                  <c:v>0</c:v>
                </c:pt>
                <c:pt idx="157">
                  <c:v>0</c:v>
                </c:pt>
                <c:pt idx="158">
                  <c:v>23047</c:v>
                </c:pt>
                <c:pt idx="159">
                  <c:v>0</c:v>
                </c:pt>
                <c:pt idx="160">
                  <c:v>20291</c:v>
                </c:pt>
                <c:pt idx="161">
                  <c:v>0</c:v>
                </c:pt>
                <c:pt idx="162">
                  <c:v>0</c:v>
                </c:pt>
                <c:pt idx="163">
                  <c:v>18198</c:v>
                </c:pt>
                <c:pt idx="164">
                  <c:v>0</c:v>
                </c:pt>
                <c:pt idx="165">
                  <c:v>17468</c:v>
                </c:pt>
                <c:pt idx="166">
                  <c:v>0</c:v>
                </c:pt>
                <c:pt idx="167">
                  <c:v>0</c:v>
                </c:pt>
                <c:pt idx="168">
                  <c:v>15098</c:v>
                </c:pt>
                <c:pt idx="169">
                  <c:v>0</c:v>
                </c:pt>
                <c:pt idx="170">
                  <c:v>0</c:v>
                </c:pt>
                <c:pt idx="171">
                  <c:v>12408</c:v>
                </c:pt>
                <c:pt idx="172">
                  <c:v>0</c:v>
                </c:pt>
                <c:pt idx="173">
                  <c:v>11447</c:v>
                </c:pt>
                <c:pt idx="174">
                  <c:v>0</c:v>
                </c:pt>
                <c:pt idx="175">
                  <c:v>0</c:v>
                </c:pt>
                <c:pt idx="176">
                  <c:v>9699</c:v>
                </c:pt>
                <c:pt idx="177">
                  <c:v>0</c:v>
                </c:pt>
                <c:pt idx="178">
                  <c:v>12729</c:v>
                </c:pt>
                <c:pt idx="179">
                  <c:v>0</c:v>
                </c:pt>
                <c:pt idx="180">
                  <c:v>0</c:v>
                </c:pt>
                <c:pt idx="181">
                  <c:v>11680</c:v>
                </c:pt>
                <c:pt idx="182">
                  <c:v>0</c:v>
                </c:pt>
                <c:pt idx="183">
                  <c:v>7661</c:v>
                </c:pt>
                <c:pt idx="184">
                  <c:v>0</c:v>
                </c:pt>
                <c:pt idx="185">
                  <c:v>0</c:v>
                </c:pt>
                <c:pt idx="186">
                  <c:v>6854</c:v>
                </c:pt>
                <c:pt idx="187">
                  <c:v>0</c:v>
                </c:pt>
                <c:pt idx="188">
                  <c:v>0</c:v>
                </c:pt>
                <c:pt idx="189">
                  <c:v>5692</c:v>
                </c:pt>
                <c:pt idx="190">
                  <c:v>0</c:v>
                </c:pt>
                <c:pt idx="191">
                  <c:v>3679</c:v>
                </c:pt>
                <c:pt idx="192">
                  <c:v>0</c:v>
                </c:pt>
                <c:pt idx="193">
                  <c:v>0</c:v>
                </c:pt>
                <c:pt idx="194">
                  <c:v>1480</c:v>
                </c:pt>
                <c:pt idx="195">
                  <c:v>0</c:v>
                </c:pt>
                <c:pt idx="196">
                  <c:v>1557</c:v>
                </c:pt>
                <c:pt idx="197">
                  <c:v>0</c:v>
                </c:pt>
                <c:pt idx="198">
                  <c:v>0</c:v>
                </c:pt>
                <c:pt idx="199">
                  <c:v>916</c:v>
                </c:pt>
                <c:pt idx="200">
                  <c:v>0</c:v>
                </c:pt>
                <c:pt idx="201">
                  <c:v>289</c:v>
                </c:pt>
                <c:pt idx="202">
                  <c:v>0</c:v>
                </c:pt>
                <c:pt idx="203">
                  <c:v>0</c:v>
                </c:pt>
                <c:pt idx="204">
                  <c:v>175</c:v>
                </c:pt>
                <c:pt idx="205">
                  <c:v>0</c:v>
                </c:pt>
                <c:pt idx="206">
                  <c:v>0</c:v>
                </c:pt>
                <c:pt idx="207">
                  <c:v>236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  <c:pt idx="74">
                  <c:v>3.5079599999999997</c:v>
                </c:pt>
                <c:pt idx="75">
                  <c:v>3.5280699999999996</c:v>
                </c:pt>
                <c:pt idx="76">
                  <c:v>3.5497399999999999</c:v>
                </c:pt>
                <c:pt idx="77">
                  <c:v>3.5691600000000001</c:v>
                </c:pt>
                <c:pt idx="78">
                  <c:v>3.5873500000000003</c:v>
                </c:pt>
                <c:pt idx="79">
                  <c:v>3.6053600000000001</c:v>
                </c:pt>
                <c:pt idx="80">
                  <c:v>3.6195200000000001</c:v>
                </c:pt>
                <c:pt idx="81">
                  <c:v>3.6345999999999998</c:v>
                </c:pt>
                <c:pt idx="82">
                  <c:v>3.6507899999999998</c:v>
                </c:pt>
                <c:pt idx="83">
                  <c:v>3.6670599999999998</c:v>
                </c:pt>
                <c:pt idx="84">
                  <c:v>3.6844000000000001</c:v>
                </c:pt>
                <c:pt idx="85">
                  <c:v>3.69875</c:v>
                </c:pt>
                <c:pt idx="86">
                  <c:v>3.7110500000000002</c:v>
                </c:pt>
                <c:pt idx="87">
                  <c:v>3.7220900000000001</c:v>
                </c:pt>
                <c:pt idx="88">
                  <c:v>3.7322100000000002</c:v>
                </c:pt>
                <c:pt idx="89">
                  <c:v>3.7402800000000003</c:v>
                </c:pt>
                <c:pt idx="90">
                  <c:v>3.7469000000000001</c:v>
                </c:pt>
                <c:pt idx="91">
                  <c:v>3.7494399999999999</c:v>
                </c:pt>
                <c:pt idx="92">
                  <c:v>3.7494899999999998</c:v>
                </c:pt>
                <c:pt idx="93">
                  <c:v>3.7473400000000003</c:v>
                </c:pt>
                <c:pt idx="94">
                  <c:v>3.7400699999999998</c:v>
                </c:pt>
                <c:pt idx="95">
                  <c:v>3.7279600000000004</c:v>
                </c:pt>
                <c:pt idx="96">
                  <c:v>3.7108000000000003</c:v>
                </c:pt>
                <c:pt idx="97">
                  <c:v>3.6940200000000001</c:v>
                </c:pt>
                <c:pt idx="98">
                  <c:v>3.6752099999999999</c:v>
                </c:pt>
                <c:pt idx="99">
                  <c:v>3.6547800000000001</c:v>
                </c:pt>
                <c:pt idx="100">
                  <c:v>3.6350300000000004</c:v>
                </c:pt>
                <c:pt idx="101">
                  <c:v>3.61395</c:v>
                </c:pt>
                <c:pt idx="102">
                  <c:v>3.59368</c:v>
                </c:pt>
                <c:pt idx="103">
                  <c:v>3.5720800000000001</c:v>
                </c:pt>
                <c:pt idx="104">
                  <c:v>3.5498099999999999</c:v>
                </c:pt>
                <c:pt idx="105">
                  <c:v>3.5291600000000001</c:v>
                </c:pt>
                <c:pt idx="106">
                  <c:v>3.5067900000000001</c:v>
                </c:pt>
                <c:pt idx="107">
                  <c:v>3.4849400000000004</c:v>
                </c:pt>
                <c:pt idx="108">
                  <c:v>3.4637000000000002</c:v>
                </c:pt>
                <c:pt idx="109">
                  <c:v>3.4400900000000001</c:v>
                </c:pt>
                <c:pt idx="110">
                  <c:v>3.4185100000000004</c:v>
                </c:pt>
                <c:pt idx="111">
                  <c:v>3.3982200000000002</c:v>
                </c:pt>
                <c:pt idx="112">
                  <c:v>3.3765000000000001</c:v>
                </c:pt>
                <c:pt idx="113">
                  <c:v>3.3534000000000002</c:v>
                </c:pt>
                <c:pt idx="114">
                  <c:v>3.3316699999999999</c:v>
                </c:pt>
                <c:pt idx="115">
                  <c:v>3.3102199999999997</c:v>
                </c:pt>
                <c:pt idx="116">
                  <c:v>3.2906900000000001</c:v>
                </c:pt>
                <c:pt idx="117">
                  <c:v>3.2743899999999999</c:v>
                </c:pt>
                <c:pt idx="118">
                  <c:v>3.2607499999999998</c:v>
                </c:pt>
                <c:pt idx="119">
                  <c:v>3.2504200000000001</c:v>
                </c:pt>
                <c:pt idx="120">
                  <c:v>3.24139</c:v>
                </c:pt>
                <c:pt idx="121">
                  <c:v>3.2373800000000004</c:v>
                </c:pt>
                <c:pt idx="122">
                  <c:v>3.2337799999999999</c:v>
                </c:pt>
                <c:pt idx="123">
                  <c:v>3.2271800000000002</c:v>
                </c:pt>
                <c:pt idx="124">
                  <c:v>3.2292300000000003</c:v>
                </c:pt>
                <c:pt idx="125">
                  <c:v>3.2284099999999998</c:v>
                </c:pt>
                <c:pt idx="126">
                  <c:v>3.2283200000000001</c:v>
                </c:pt>
                <c:pt idx="127">
                  <c:v>3.2286900000000003</c:v>
                </c:pt>
                <c:pt idx="128">
                  <c:v>3.23102</c:v>
                </c:pt>
                <c:pt idx="129">
                  <c:v>3.23306</c:v>
                </c:pt>
                <c:pt idx="130">
                  <c:v>3.2355800000000001</c:v>
                </c:pt>
                <c:pt idx="131">
                  <c:v>3.2362899999999999</c:v>
                </c:pt>
                <c:pt idx="132">
                  <c:v>3.2331300000000001</c:v>
                </c:pt>
                <c:pt idx="133">
                  <c:v>3.2282699999999998</c:v>
                </c:pt>
                <c:pt idx="134">
                  <c:v>3.2231100000000001</c:v>
                </c:pt>
                <c:pt idx="135">
                  <c:v>3.2170999999999998</c:v>
                </c:pt>
                <c:pt idx="136">
                  <c:v>3.2112099999999999</c:v>
                </c:pt>
                <c:pt idx="137">
                  <c:v>3.2071399999999999</c:v>
                </c:pt>
                <c:pt idx="138">
                  <c:v>3.2037300000000002</c:v>
                </c:pt>
                <c:pt idx="139">
                  <c:v>3.1980599999999999</c:v>
                </c:pt>
                <c:pt idx="140">
                  <c:v>3.19075</c:v>
                </c:pt>
                <c:pt idx="141">
                  <c:v>3.1812800000000001</c:v>
                </c:pt>
                <c:pt idx="142">
                  <c:v>3.1636500000000001</c:v>
                </c:pt>
                <c:pt idx="143">
                  <c:v>3.14263</c:v>
                </c:pt>
                <c:pt idx="144">
                  <c:v>3.1196600000000001</c:v>
                </c:pt>
                <c:pt idx="145">
                  <c:v>3.09626</c:v>
                </c:pt>
                <c:pt idx="146">
                  <c:v>3.0658600000000003</c:v>
                </c:pt>
                <c:pt idx="147">
                  <c:v>3.0195100000000004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  <c:pt idx="74">
                  <c:v>37.3294</c:v>
                </c:pt>
                <c:pt idx="75">
                  <c:v>37.697299999999998</c:v>
                </c:pt>
                <c:pt idx="76">
                  <c:v>38.043300000000002</c:v>
                </c:pt>
                <c:pt idx="77">
                  <c:v>38.424199999999999</c:v>
                </c:pt>
                <c:pt idx="78">
                  <c:v>38.798400000000001</c:v>
                </c:pt>
                <c:pt idx="79">
                  <c:v>39.190199999999997</c:v>
                </c:pt>
                <c:pt idx="80">
                  <c:v>39.574300000000001</c:v>
                </c:pt>
                <c:pt idx="81">
                  <c:v>39.872800000000005</c:v>
                </c:pt>
                <c:pt idx="82">
                  <c:v>40.150999999999996</c:v>
                </c:pt>
                <c:pt idx="83">
                  <c:v>40.408999999999999</c:v>
                </c:pt>
                <c:pt idx="84">
                  <c:v>40.631099999999996</c:v>
                </c:pt>
                <c:pt idx="85">
                  <c:v>40.891599999999997</c:v>
                </c:pt>
                <c:pt idx="86">
                  <c:v>41.248800000000003</c:v>
                </c:pt>
                <c:pt idx="87">
                  <c:v>41.588700000000003</c:v>
                </c:pt>
                <c:pt idx="88">
                  <c:v>41.917999999999999</c:v>
                </c:pt>
                <c:pt idx="89">
                  <c:v>42.241900000000001</c:v>
                </c:pt>
                <c:pt idx="90">
                  <c:v>42.575899999999997</c:v>
                </c:pt>
                <c:pt idx="91">
                  <c:v>42.904899999999998</c:v>
                </c:pt>
                <c:pt idx="92">
                  <c:v>43.121200000000002</c:v>
                </c:pt>
                <c:pt idx="93">
                  <c:v>43.2453</c:v>
                </c:pt>
                <c:pt idx="94">
                  <c:v>43.332100000000004</c:v>
                </c:pt>
                <c:pt idx="95">
                  <c:v>43.3354</c:v>
                </c:pt>
                <c:pt idx="96">
                  <c:v>43.263100000000001</c:v>
                </c:pt>
                <c:pt idx="97">
                  <c:v>43.2072</c:v>
                </c:pt>
                <c:pt idx="98">
                  <c:v>43.123899999999999</c:v>
                </c:pt>
                <c:pt idx="99">
                  <c:v>42.975099999999998</c:v>
                </c:pt>
                <c:pt idx="100">
                  <c:v>42.802</c:v>
                </c:pt>
                <c:pt idx="101">
                  <c:v>42.659399999999998</c:v>
                </c:pt>
                <c:pt idx="102">
                  <c:v>42.480899999999998</c:v>
                </c:pt>
                <c:pt idx="103">
                  <c:v>42.295899999999996</c:v>
                </c:pt>
                <c:pt idx="104">
                  <c:v>42.054099999999998</c:v>
                </c:pt>
                <c:pt idx="105">
                  <c:v>41.7134</c:v>
                </c:pt>
                <c:pt idx="106">
                  <c:v>41.406599999999997</c:v>
                </c:pt>
                <c:pt idx="107">
                  <c:v>41.098399999999998</c:v>
                </c:pt>
                <c:pt idx="108">
                  <c:v>40.761800000000001</c:v>
                </c:pt>
                <c:pt idx="109">
                  <c:v>40.433999999999997</c:v>
                </c:pt>
                <c:pt idx="110">
                  <c:v>40.048499999999997</c:v>
                </c:pt>
                <c:pt idx="111">
                  <c:v>39.645699999999998</c:v>
                </c:pt>
                <c:pt idx="112">
                  <c:v>39.277099999999997</c:v>
                </c:pt>
                <c:pt idx="113">
                  <c:v>38.9497</c:v>
                </c:pt>
                <c:pt idx="114">
                  <c:v>38.563199999999995</c:v>
                </c:pt>
                <c:pt idx="115">
                  <c:v>38.181699999999999</c:v>
                </c:pt>
                <c:pt idx="116">
                  <c:v>37.780099999999997</c:v>
                </c:pt>
                <c:pt idx="117">
                  <c:v>37.331699999999998</c:v>
                </c:pt>
                <c:pt idx="118">
                  <c:v>36.892899999999997</c:v>
                </c:pt>
                <c:pt idx="119">
                  <c:v>36.432500000000005</c:v>
                </c:pt>
                <c:pt idx="120">
                  <c:v>35.957999999999998</c:v>
                </c:pt>
                <c:pt idx="121">
                  <c:v>35.428599999999996</c:v>
                </c:pt>
                <c:pt idx="122">
                  <c:v>34.8703</c:v>
                </c:pt>
                <c:pt idx="123">
                  <c:v>34.3352</c:v>
                </c:pt>
                <c:pt idx="124">
                  <c:v>34.046900000000001</c:v>
                </c:pt>
                <c:pt idx="125">
                  <c:v>33.769500000000001</c:v>
                </c:pt>
                <c:pt idx="126">
                  <c:v>33.426600000000001</c:v>
                </c:pt>
                <c:pt idx="127">
                  <c:v>33.080500000000001</c:v>
                </c:pt>
                <c:pt idx="128">
                  <c:v>32.685199999999995</c:v>
                </c:pt>
                <c:pt idx="129">
                  <c:v>32.328899999999997</c:v>
                </c:pt>
                <c:pt idx="130">
                  <c:v>32.034700000000001</c:v>
                </c:pt>
                <c:pt idx="131">
                  <c:v>31.781500000000001</c:v>
                </c:pt>
                <c:pt idx="132">
                  <c:v>31.557600000000001</c:v>
                </c:pt>
                <c:pt idx="133">
                  <c:v>31.325199999999999</c:v>
                </c:pt>
                <c:pt idx="134">
                  <c:v>31.173000000000002</c:v>
                </c:pt>
                <c:pt idx="135">
                  <c:v>31.005199999999999</c:v>
                </c:pt>
                <c:pt idx="136">
                  <c:v>30.706600000000002</c:v>
                </c:pt>
                <c:pt idx="137">
                  <c:v>30.3474</c:v>
                </c:pt>
                <c:pt idx="138">
                  <c:v>29.9404</c:v>
                </c:pt>
                <c:pt idx="139">
                  <c:v>29.626899999999999</c:v>
                </c:pt>
                <c:pt idx="140">
                  <c:v>29.276299999999999</c:v>
                </c:pt>
                <c:pt idx="141">
                  <c:v>28.939399999999999</c:v>
                </c:pt>
                <c:pt idx="142">
                  <c:v>28.818700000000003</c:v>
                </c:pt>
                <c:pt idx="143">
                  <c:v>28.638999999999999</c:v>
                </c:pt>
                <c:pt idx="144">
                  <c:v>28.226600000000001</c:v>
                </c:pt>
                <c:pt idx="145">
                  <c:v>27.981200000000001</c:v>
                </c:pt>
                <c:pt idx="146">
                  <c:v>28.075400000000002</c:v>
                </c:pt>
                <c:pt idx="147">
                  <c:v>28.3003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3.4872100000000001</c:v>
                </c:pt>
                <c:pt idx="1">
                  <c:v>3.5079599999999997</c:v>
                </c:pt>
                <c:pt idx="2">
                  <c:v>3.5280699999999996</c:v>
                </c:pt>
                <c:pt idx="3">
                  <c:v>3.5497399999999999</c:v>
                </c:pt>
                <c:pt idx="4">
                  <c:v>3.5691600000000001</c:v>
                </c:pt>
                <c:pt idx="5">
                  <c:v>3.5873500000000003</c:v>
                </c:pt>
                <c:pt idx="6">
                  <c:v>3.6053600000000001</c:v>
                </c:pt>
                <c:pt idx="7">
                  <c:v>3.6195200000000001</c:v>
                </c:pt>
                <c:pt idx="8">
                  <c:v>3.6345999999999998</c:v>
                </c:pt>
                <c:pt idx="9">
                  <c:v>3.6507899999999998</c:v>
                </c:pt>
                <c:pt idx="10">
                  <c:v>3.6670599999999998</c:v>
                </c:pt>
                <c:pt idx="11">
                  <c:v>3.6844000000000001</c:v>
                </c:pt>
                <c:pt idx="12">
                  <c:v>3.69875</c:v>
                </c:pt>
                <c:pt idx="13">
                  <c:v>3.7110500000000002</c:v>
                </c:pt>
                <c:pt idx="14">
                  <c:v>3.7220900000000001</c:v>
                </c:pt>
                <c:pt idx="15">
                  <c:v>3.7322100000000002</c:v>
                </c:pt>
                <c:pt idx="16">
                  <c:v>3.7402800000000003</c:v>
                </c:pt>
                <c:pt idx="17">
                  <c:v>3.7469000000000001</c:v>
                </c:pt>
                <c:pt idx="18">
                  <c:v>3.7494399999999999</c:v>
                </c:pt>
                <c:pt idx="19">
                  <c:v>3.7494899999999998</c:v>
                </c:pt>
                <c:pt idx="20">
                  <c:v>3.7473400000000003</c:v>
                </c:pt>
                <c:pt idx="21">
                  <c:v>3.7400699999999998</c:v>
                </c:pt>
                <c:pt idx="22">
                  <c:v>3.7279600000000004</c:v>
                </c:pt>
                <c:pt idx="23">
                  <c:v>3.7108000000000003</c:v>
                </c:pt>
                <c:pt idx="24">
                  <c:v>3.6940200000000001</c:v>
                </c:pt>
                <c:pt idx="25">
                  <c:v>3.6752099999999999</c:v>
                </c:pt>
                <c:pt idx="26">
                  <c:v>3.6547800000000001</c:v>
                </c:pt>
                <c:pt idx="27">
                  <c:v>3.6350300000000004</c:v>
                </c:pt>
                <c:pt idx="28">
                  <c:v>3.61395</c:v>
                </c:pt>
                <c:pt idx="29">
                  <c:v>3.59368</c:v>
                </c:pt>
                <c:pt idx="30">
                  <c:v>3.5720800000000001</c:v>
                </c:pt>
                <c:pt idx="31">
                  <c:v>3.5498099999999999</c:v>
                </c:pt>
                <c:pt idx="32">
                  <c:v>3.5291600000000001</c:v>
                </c:pt>
                <c:pt idx="33">
                  <c:v>3.5067900000000001</c:v>
                </c:pt>
                <c:pt idx="34">
                  <c:v>3.4849400000000004</c:v>
                </c:pt>
                <c:pt idx="35">
                  <c:v>3.4637000000000002</c:v>
                </c:pt>
                <c:pt idx="36">
                  <c:v>3.4400900000000001</c:v>
                </c:pt>
                <c:pt idx="37">
                  <c:v>3.4185100000000004</c:v>
                </c:pt>
                <c:pt idx="38">
                  <c:v>3.3982200000000002</c:v>
                </c:pt>
                <c:pt idx="39">
                  <c:v>3.3765000000000001</c:v>
                </c:pt>
                <c:pt idx="40">
                  <c:v>3.3534000000000002</c:v>
                </c:pt>
                <c:pt idx="41">
                  <c:v>3.3316699999999999</c:v>
                </c:pt>
                <c:pt idx="42">
                  <c:v>3.3102199999999997</c:v>
                </c:pt>
                <c:pt idx="43">
                  <c:v>3.2906900000000001</c:v>
                </c:pt>
                <c:pt idx="44">
                  <c:v>3.2743899999999999</c:v>
                </c:pt>
                <c:pt idx="45">
                  <c:v>3.2607499999999998</c:v>
                </c:pt>
                <c:pt idx="46">
                  <c:v>3.2504200000000001</c:v>
                </c:pt>
                <c:pt idx="47">
                  <c:v>3.24139</c:v>
                </c:pt>
                <c:pt idx="48">
                  <c:v>3.2373800000000004</c:v>
                </c:pt>
                <c:pt idx="49">
                  <c:v>3.2337799999999999</c:v>
                </c:pt>
                <c:pt idx="50">
                  <c:v>3.2271800000000002</c:v>
                </c:pt>
                <c:pt idx="51">
                  <c:v>3.2292300000000003</c:v>
                </c:pt>
                <c:pt idx="52">
                  <c:v>3.2284099999999998</c:v>
                </c:pt>
                <c:pt idx="53">
                  <c:v>3.2283200000000001</c:v>
                </c:pt>
                <c:pt idx="54">
                  <c:v>3.2286900000000003</c:v>
                </c:pt>
                <c:pt idx="55">
                  <c:v>3.23102</c:v>
                </c:pt>
                <c:pt idx="56">
                  <c:v>3.23306</c:v>
                </c:pt>
                <c:pt idx="57">
                  <c:v>3.2355800000000001</c:v>
                </c:pt>
                <c:pt idx="58">
                  <c:v>3.2362899999999999</c:v>
                </c:pt>
                <c:pt idx="59">
                  <c:v>3.2331300000000001</c:v>
                </c:pt>
                <c:pt idx="60">
                  <c:v>3.2282699999999998</c:v>
                </c:pt>
                <c:pt idx="61">
                  <c:v>3.2231100000000001</c:v>
                </c:pt>
                <c:pt idx="62">
                  <c:v>3.2170999999999998</c:v>
                </c:pt>
                <c:pt idx="63">
                  <c:v>3.2112099999999999</c:v>
                </c:pt>
                <c:pt idx="64">
                  <c:v>3.2071399999999999</c:v>
                </c:pt>
                <c:pt idx="65">
                  <c:v>3.2037300000000002</c:v>
                </c:pt>
                <c:pt idx="66">
                  <c:v>3.1980599999999999</c:v>
                </c:pt>
                <c:pt idx="67">
                  <c:v>3.19075</c:v>
                </c:pt>
                <c:pt idx="68">
                  <c:v>3.1812800000000001</c:v>
                </c:pt>
                <c:pt idx="69">
                  <c:v>3.1636500000000001</c:v>
                </c:pt>
                <c:pt idx="70">
                  <c:v>3.14263</c:v>
                </c:pt>
                <c:pt idx="71">
                  <c:v>3.1196600000000001</c:v>
                </c:pt>
                <c:pt idx="72">
                  <c:v>3.09626</c:v>
                </c:pt>
                <c:pt idx="73">
                  <c:v>3.0658600000000003</c:v>
                </c:pt>
                <c:pt idx="74">
                  <c:v>3.0195100000000004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36.950800000000001</c:v>
                </c:pt>
                <c:pt idx="1">
                  <c:v>37.3294</c:v>
                </c:pt>
                <c:pt idx="2">
                  <c:v>37.697299999999998</c:v>
                </c:pt>
                <c:pt idx="3">
                  <c:v>38.043300000000002</c:v>
                </c:pt>
                <c:pt idx="4">
                  <c:v>38.424199999999999</c:v>
                </c:pt>
                <c:pt idx="5">
                  <c:v>38.798400000000001</c:v>
                </c:pt>
                <c:pt idx="6">
                  <c:v>39.190199999999997</c:v>
                </c:pt>
                <c:pt idx="7">
                  <c:v>39.574300000000001</c:v>
                </c:pt>
                <c:pt idx="8">
                  <c:v>39.872800000000005</c:v>
                </c:pt>
                <c:pt idx="9">
                  <c:v>40.150999999999996</c:v>
                </c:pt>
                <c:pt idx="10">
                  <c:v>40.408999999999999</c:v>
                </c:pt>
                <c:pt idx="11">
                  <c:v>40.631099999999996</c:v>
                </c:pt>
                <c:pt idx="12">
                  <c:v>40.891599999999997</c:v>
                </c:pt>
                <c:pt idx="13">
                  <c:v>41.248800000000003</c:v>
                </c:pt>
                <c:pt idx="14">
                  <c:v>41.588700000000003</c:v>
                </c:pt>
                <c:pt idx="15">
                  <c:v>41.917999999999999</c:v>
                </c:pt>
                <c:pt idx="16">
                  <c:v>42.241900000000001</c:v>
                </c:pt>
                <c:pt idx="17">
                  <c:v>42.575899999999997</c:v>
                </c:pt>
                <c:pt idx="18">
                  <c:v>42.904899999999998</c:v>
                </c:pt>
                <c:pt idx="19">
                  <c:v>43.121200000000002</c:v>
                </c:pt>
                <c:pt idx="20">
                  <c:v>43.2453</c:v>
                </c:pt>
                <c:pt idx="21">
                  <c:v>43.332100000000004</c:v>
                </c:pt>
                <c:pt idx="22">
                  <c:v>43.3354</c:v>
                </c:pt>
                <c:pt idx="23">
                  <c:v>43.263100000000001</c:v>
                </c:pt>
                <c:pt idx="24">
                  <c:v>43.2072</c:v>
                </c:pt>
                <c:pt idx="25">
                  <c:v>43.123899999999999</c:v>
                </c:pt>
                <c:pt idx="26">
                  <c:v>42.975099999999998</c:v>
                </c:pt>
                <c:pt idx="27">
                  <c:v>42.802</c:v>
                </c:pt>
                <c:pt idx="28">
                  <c:v>42.659399999999998</c:v>
                </c:pt>
                <c:pt idx="29">
                  <c:v>42.480899999999998</c:v>
                </c:pt>
                <c:pt idx="30">
                  <c:v>42.295899999999996</c:v>
                </c:pt>
                <c:pt idx="31">
                  <c:v>42.054099999999998</c:v>
                </c:pt>
                <c:pt idx="32">
                  <c:v>41.7134</c:v>
                </c:pt>
                <c:pt idx="33">
                  <c:v>41.406599999999997</c:v>
                </c:pt>
                <c:pt idx="34">
                  <c:v>41.098399999999998</c:v>
                </c:pt>
                <c:pt idx="35">
                  <c:v>40.761800000000001</c:v>
                </c:pt>
                <c:pt idx="36">
                  <c:v>40.433999999999997</c:v>
                </c:pt>
                <c:pt idx="37">
                  <c:v>40.048499999999997</c:v>
                </c:pt>
                <c:pt idx="38">
                  <c:v>39.645699999999998</c:v>
                </c:pt>
                <c:pt idx="39">
                  <c:v>39.277099999999997</c:v>
                </c:pt>
                <c:pt idx="40">
                  <c:v>38.9497</c:v>
                </c:pt>
                <c:pt idx="41">
                  <c:v>38.563199999999995</c:v>
                </c:pt>
                <c:pt idx="42">
                  <c:v>38.181699999999999</c:v>
                </c:pt>
                <c:pt idx="43">
                  <c:v>37.780099999999997</c:v>
                </c:pt>
                <c:pt idx="44">
                  <c:v>37.331699999999998</c:v>
                </c:pt>
                <c:pt idx="45">
                  <c:v>36.892899999999997</c:v>
                </c:pt>
                <c:pt idx="46">
                  <c:v>36.432500000000005</c:v>
                </c:pt>
                <c:pt idx="47">
                  <c:v>35.957999999999998</c:v>
                </c:pt>
                <c:pt idx="48">
                  <c:v>35.428599999999996</c:v>
                </c:pt>
                <c:pt idx="49">
                  <c:v>34.8703</c:v>
                </c:pt>
                <c:pt idx="50">
                  <c:v>34.3352</c:v>
                </c:pt>
                <c:pt idx="51">
                  <c:v>34.046900000000001</c:v>
                </c:pt>
                <c:pt idx="52">
                  <c:v>33.769500000000001</c:v>
                </c:pt>
                <c:pt idx="53">
                  <c:v>33.426600000000001</c:v>
                </c:pt>
                <c:pt idx="54">
                  <c:v>33.080500000000001</c:v>
                </c:pt>
                <c:pt idx="55">
                  <c:v>32.685199999999995</c:v>
                </c:pt>
                <c:pt idx="56">
                  <c:v>32.328899999999997</c:v>
                </c:pt>
                <c:pt idx="57">
                  <c:v>32.034700000000001</c:v>
                </c:pt>
                <c:pt idx="58">
                  <c:v>31.781500000000001</c:v>
                </c:pt>
                <c:pt idx="59">
                  <c:v>31.557600000000001</c:v>
                </c:pt>
                <c:pt idx="60">
                  <c:v>31.325199999999999</c:v>
                </c:pt>
                <c:pt idx="61">
                  <c:v>31.173000000000002</c:v>
                </c:pt>
                <c:pt idx="62">
                  <c:v>31.005199999999999</c:v>
                </c:pt>
                <c:pt idx="63">
                  <c:v>30.706600000000002</c:v>
                </c:pt>
                <c:pt idx="64">
                  <c:v>30.3474</c:v>
                </c:pt>
                <c:pt idx="65">
                  <c:v>29.9404</c:v>
                </c:pt>
                <c:pt idx="66">
                  <c:v>29.626899999999999</c:v>
                </c:pt>
                <c:pt idx="67">
                  <c:v>29.276299999999999</c:v>
                </c:pt>
                <c:pt idx="68">
                  <c:v>28.939399999999999</c:v>
                </c:pt>
                <c:pt idx="69">
                  <c:v>28.818700000000003</c:v>
                </c:pt>
                <c:pt idx="70">
                  <c:v>28.638999999999999</c:v>
                </c:pt>
                <c:pt idx="71">
                  <c:v>28.226600000000001</c:v>
                </c:pt>
                <c:pt idx="72">
                  <c:v>27.981200000000001</c:v>
                </c:pt>
                <c:pt idx="73">
                  <c:v>28.075400000000002</c:v>
                </c:pt>
                <c:pt idx="74">
                  <c:v>28.3003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3.3620274324324324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31.302183783783789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3.4263524324324326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37.129578378378383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3.4263524324324326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37.129578378378383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0.25146141354945611</c:v>
                </c:pt>
                <c:pt idx="1">
                  <c:v>0.29831175873910948</c:v>
                </c:pt>
                <c:pt idx="2">
                  <c:v>0.4502268277114343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  <c:pt idx="74">
                  <c:v>30.063800000000001</c:v>
                </c:pt>
                <c:pt idx="75">
                  <c:v>30.4895</c:v>
                </c:pt>
                <c:pt idx="76">
                  <c:v>30.890899999999998</c:v>
                </c:pt>
                <c:pt idx="77">
                  <c:v>31.298400000000001</c:v>
                </c:pt>
                <c:pt idx="78">
                  <c:v>31.6982</c:v>
                </c:pt>
                <c:pt idx="79">
                  <c:v>32.112099999999998</c:v>
                </c:pt>
                <c:pt idx="80">
                  <c:v>32.519500000000001</c:v>
                </c:pt>
                <c:pt idx="81">
                  <c:v>32.922899999999998</c:v>
                </c:pt>
                <c:pt idx="82">
                  <c:v>33.3309</c:v>
                </c:pt>
                <c:pt idx="83">
                  <c:v>33.736899999999999</c:v>
                </c:pt>
                <c:pt idx="84">
                  <c:v>34.139899999999997</c:v>
                </c:pt>
                <c:pt idx="85">
                  <c:v>34.551699999999997</c:v>
                </c:pt>
                <c:pt idx="86">
                  <c:v>34.956499999999998</c:v>
                </c:pt>
                <c:pt idx="87">
                  <c:v>35.359499999999997</c:v>
                </c:pt>
                <c:pt idx="88">
                  <c:v>35.764400000000002</c:v>
                </c:pt>
                <c:pt idx="89">
                  <c:v>36.174399999999999</c:v>
                </c:pt>
                <c:pt idx="90">
                  <c:v>36.583100000000002</c:v>
                </c:pt>
                <c:pt idx="91">
                  <c:v>36.9846</c:v>
                </c:pt>
                <c:pt idx="92">
                  <c:v>37.388100000000001</c:v>
                </c:pt>
                <c:pt idx="93">
                  <c:v>37.796399999999998</c:v>
                </c:pt>
                <c:pt idx="94">
                  <c:v>38.203099999999999</c:v>
                </c:pt>
                <c:pt idx="95">
                  <c:v>38.607700000000001</c:v>
                </c:pt>
                <c:pt idx="96">
                  <c:v>39.015700000000002</c:v>
                </c:pt>
                <c:pt idx="97">
                  <c:v>39.422600000000003</c:v>
                </c:pt>
                <c:pt idx="98">
                  <c:v>39.825400000000002</c:v>
                </c:pt>
                <c:pt idx="99">
                  <c:v>40.232700000000001</c:v>
                </c:pt>
                <c:pt idx="100">
                  <c:v>40.642299999999999</c:v>
                </c:pt>
                <c:pt idx="101">
                  <c:v>41.0473</c:v>
                </c:pt>
                <c:pt idx="102">
                  <c:v>41.453099999999999</c:v>
                </c:pt>
                <c:pt idx="103">
                  <c:v>41.857999999999997</c:v>
                </c:pt>
                <c:pt idx="104">
                  <c:v>42.264099999999999</c:v>
                </c:pt>
                <c:pt idx="105">
                  <c:v>42.669899999999998</c:v>
                </c:pt>
                <c:pt idx="106">
                  <c:v>43.080100000000002</c:v>
                </c:pt>
                <c:pt idx="107">
                  <c:v>43.483699999999999</c:v>
                </c:pt>
                <c:pt idx="108">
                  <c:v>43.889600000000002</c:v>
                </c:pt>
                <c:pt idx="109">
                  <c:v>44.295499999999997</c:v>
                </c:pt>
                <c:pt idx="110">
                  <c:v>44.703499999999998</c:v>
                </c:pt>
                <c:pt idx="111">
                  <c:v>45.110500000000002</c:v>
                </c:pt>
                <c:pt idx="112">
                  <c:v>45.515300000000003</c:v>
                </c:pt>
                <c:pt idx="113">
                  <c:v>45.921100000000003</c:v>
                </c:pt>
                <c:pt idx="114">
                  <c:v>46.326099999999997</c:v>
                </c:pt>
                <c:pt idx="115">
                  <c:v>46.734000000000002</c:v>
                </c:pt>
                <c:pt idx="116">
                  <c:v>47.140999999999998</c:v>
                </c:pt>
                <c:pt idx="117">
                  <c:v>47.5488</c:v>
                </c:pt>
                <c:pt idx="118">
                  <c:v>47.953699999999998</c:v>
                </c:pt>
                <c:pt idx="119">
                  <c:v>48.357599999999998</c:v>
                </c:pt>
                <c:pt idx="120">
                  <c:v>48.762900000000002</c:v>
                </c:pt>
                <c:pt idx="121">
                  <c:v>49.169499999999999</c:v>
                </c:pt>
                <c:pt idx="122">
                  <c:v>49.580500000000001</c:v>
                </c:pt>
                <c:pt idx="123">
                  <c:v>49.984299999999998</c:v>
                </c:pt>
                <c:pt idx="124">
                  <c:v>50.389200000000002</c:v>
                </c:pt>
                <c:pt idx="125">
                  <c:v>50.798999999999999</c:v>
                </c:pt>
                <c:pt idx="126">
                  <c:v>51.203000000000003</c:v>
                </c:pt>
                <c:pt idx="127">
                  <c:v>51.608899999999998</c:v>
                </c:pt>
                <c:pt idx="128">
                  <c:v>52.015799999999999</c:v>
                </c:pt>
                <c:pt idx="129">
                  <c:v>52.419800000000002</c:v>
                </c:pt>
                <c:pt idx="130">
                  <c:v>52.828800000000001</c:v>
                </c:pt>
                <c:pt idx="131">
                  <c:v>53.2376</c:v>
                </c:pt>
                <c:pt idx="132">
                  <c:v>53.642499999999998</c:v>
                </c:pt>
                <c:pt idx="133">
                  <c:v>54.046599999999998</c:v>
                </c:pt>
                <c:pt idx="134">
                  <c:v>54.450499999999998</c:v>
                </c:pt>
                <c:pt idx="135">
                  <c:v>54.856499999999997</c:v>
                </c:pt>
                <c:pt idx="136">
                  <c:v>55.2652</c:v>
                </c:pt>
                <c:pt idx="137">
                  <c:v>55.6691</c:v>
                </c:pt>
                <c:pt idx="138">
                  <c:v>56.076099999999997</c:v>
                </c:pt>
                <c:pt idx="139">
                  <c:v>56.482900000000001</c:v>
                </c:pt>
                <c:pt idx="140">
                  <c:v>56.888800000000003</c:v>
                </c:pt>
                <c:pt idx="141">
                  <c:v>57.2928</c:v>
                </c:pt>
                <c:pt idx="142">
                  <c:v>57.702599999999997</c:v>
                </c:pt>
                <c:pt idx="143">
                  <c:v>58.107999999999997</c:v>
                </c:pt>
                <c:pt idx="144">
                  <c:v>58.519500000000001</c:v>
                </c:pt>
                <c:pt idx="145">
                  <c:v>58.923400000000001</c:v>
                </c:pt>
                <c:pt idx="146">
                  <c:v>59.327300000000001</c:v>
                </c:pt>
                <c:pt idx="147">
                  <c:v>59.734299999999998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  <c:pt idx="74">
                  <c:v>3.5079599999999997</c:v>
                </c:pt>
                <c:pt idx="75">
                  <c:v>3.5280699999999996</c:v>
                </c:pt>
                <c:pt idx="76">
                  <c:v>3.5497399999999999</c:v>
                </c:pt>
                <c:pt idx="77">
                  <c:v>3.5691600000000001</c:v>
                </c:pt>
                <c:pt idx="78">
                  <c:v>3.5873500000000003</c:v>
                </c:pt>
                <c:pt idx="79">
                  <c:v>3.6053600000000001</c:v>
                </c:pt>
                <c:pt idx="80">
                  <c:v>3.6195200000000001</c:v>
                </c:pt>
                <c:pt idx="81">
                  <c:v>3.6345999999999998</c:v>
                </c:pt>
                <c:pt idx="82">
                  <c:v>3.6507899999999998</c:v>
                </c:pt>
                <c:pt idx="83">
                  <c:v>3.6670599999999998</c:v>
                </c:pt>
                <c:pt idx="84">
                  <c:v>3.6844000000000001</c:v>
                </c:pt>
                <c:pt idx="85">
                  <c:v>3.69875</c:v>
                </c:pt>
                <c:pt idx="86">
                  <c:v>3.7110500000000002</c:v>
                </c:pt>
                <c:pt idx="87">
                  <c:v>3.7220900000000001</c:v>
                </c:pt>
                <c:pt idx="88">
                  <c:v>3.7322100000000002</c:v>
                </c:pt>
                <c:pt idx="89">
                  <c:v>3.7402800000000003</c:v>
                </c:pt>
                <c:pt idx="90">
                  <c:v>3.7469000000000001</c:v>
                </c:pt>
                <c:pt idx="91">
                  <c:v>3.7494399999999999</c:v>
                </c:pt>
                <c:pt idx="92">
                  <c:v>3.7494899999999998</c:v>
                </c:pt>
                <c:pt idx="93">
                  <c:v>3.7473400000000003</c:v>
                </c:pt>
                <c:pt idx="94">
                  <c:v>3.7400699999999998</c:v>
                </c:pt>
                <c:pt idx="95">
                  <c:v>3.7279600000000004</c:v>
                </c:pt>
                <c:pt idx="96">
                  <c:v>3.7108000000000003</c:v>
                </c:pt>
                <c:pt idx="97">
                  <c:v>3.6940200000000001</c:v>
                </c:pt>
                <c:pt idx="98">
                  <c:v>3.6752099999999999</c:v>
                </c:pt>
                <c:pt idx="99">
                  <c:v>3.6547800000000001</c:v>
                </c:pt>
                <c:pt idx="100">
                  <c:v>3.6350300000000004</c:v>
                </c:pt>
                <c:pt idx="101">
                  <c:v>3.61395</c:v>
                </c:pt>
                <c:pt idx="102">
                  <c:v>3.59368</c:v>
                </c:pt>
                <c:pt idx="103">
                  <c:v>3.5720800000000001</c:v>
                </c:pt>
                <c:pt idx="104">
                  <c:v>3.5498099999999999</c:v>
                </c:pt>
                <c:pt idx="105">
                  <c:v>3.5291600000000001</c:v>
                </c:pt>
                <c:pt idx="106">
                  <c:v>3.5067900000000001</c:v>
                </c:pt>
                <c:pt idx="107">
                  <c:v>3.4849400000000004</c:v>
                </c:pt>
                <c:pt idx="108">
                  <c:v>3.4637000000000002</c:v>
                </c:pt>
                <c:pt idx="109">
                  <c:v>3.4400900000000001</c:v>
                </c:pt>
                <c:pt idx="110">
                  <c:v>3.4185100000000004</c:v>
                </c:pt>
                <c:pt idx="111">
                  <c:v>3.3982200000000002</c:v>
                </c:pt>
                <c:pt idx="112">
                  <c:v>3.3765000000000001</c:v>
                </c:pt>
                <c:pt idx="113">
                  <c:v>3.3534000000000002</c:v>
                </c:pt>
                <c:pt idx="114">
                  <c:v>3.3316699999999999</c:v>
                </c:pt>
                <c:pt idx="115">
                  <c:v>3.3102199999999997</c:v>
                </c:pt>
                <c:pt idx="116">
                  <c:v>3.2906900000000001</c:v>
                </c:pt>
                <c:pt idx="117">
                  <c:v>3.2743899999999999</c:v>
                </c:pt>
                <c:pt idx="118">
                  <c:v>3.2607499999999998</c:v>
                </c:pt>
                <c:pt idx="119">
                  <c:v>3.2504200000000001</c:v>
                </c:pt>
                <c:pt idx="120">
                  <c:v>3.24139</c:v>
                </c:pt>
                <c:pt idx="121">
                  <c:v>3.2373800000000004</c:v>
                </c:pt>
                <c:pt idx="122">
                  <c:v>3.2337799999999999</c:v>
                </c:pt>
                <c:pt idx="123">
                  <c:v>3.2271800000000002</c:v>
                </c:pt>
                <c:pt idx="124">
                  <c:v>3.2292300000000003</c:v>
                </c:pt>
                <c:pt idx="125">
                  <c:v>3.2284099999999998</c:v>
                </c:pt>
                <c:pt idx="126">
                  <c:v>3.2283200000000001</c:v>
                </c:pt>
                <c:pt idx="127">
                  <c:v>3.2286900000000003</c:v>
                </c:pt>
                <c:pt idx="128">
                  <c:v>3.23102</c:v>
                </c:pt>
                <c:pt idx="129">
                  <c:v>3.23306</c:v>
                </c:pt>
                <c:pt idx="130">
                  <c:v>3.2355800000000001</c:v>
                </c:pt>
                <c:pt idx="131">
                  <c:v>3.2362899999999999</c:v>
                </c:pt>
                <c:pt idx="132">
                  <c:v>3.2331300000000001</c:v>
                </c:pt>
                <c:pt idx="133">
                  <c:v>3.2282699999999998</c:v>
                </c:pt>
                <c:pt idx="134">
                  <c:v>3.2231100000000001</c:v>
                </c:pt>
                <c:pt idx="135">
                  <c:v>3.2170999999999998</c:v>
                </c:pt>
                <c:pt idx="136">
                  <c:v>3.2112099999999999</c:v>
                </c:pt>
                <c:pt idx="137">
                  <c:v>3.2071399999999999</c:v>
                </c:pt>
                <c:pt idx="138">
                  <c:v>3.2037300000000002</c:v>
                </c:pt>
                <c:pt idx="139">
                  <c:v>3.1980599999999999</c:v>
                </c:pt>
                <c:pt idx="140">
                  <c:v>3.19075</c:v>
                </c:pt>
                <c:pt idx="141">
                  <c:v>3.1812800000000001</c:v>
                </c:pt>
                <c:pt idx="142">
                  <c:v>3.1636500000000001</c:v>
                </c:pt>
                <c:pt idx="143">
                  <c:v>3.14263</c:v>
                </c:pt>
                <c:pt idx="144">
                  <c:v>3.1196600000000001</c:v>
                </c:pt>
                <c:pt idx="145">
                  <c:v>3.09626</c:v>
                </c:pt>
                <c:pt idx="146">
                  <c:v>3.0658600000000003</c:v>
                </c:pt>
                <c:pt idx="147">
                  <c:v>3.0195100000000004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30.063800000000001</c:v>
                </c:pt>
                <c:pt idx="2">
                  <c:v>30.4895</c:v>
                </c:pt>
                <c:pt idx="3">
                  <c:v>30.890899999999998</c:v>
                </c:pt>
                <c:pt idx="4">
                  <c:v>31.298400000000001</c:v>
                </c:pt>
                <c:pt idx="5">
                  <c:v>31.6982</c:v>
                </c:pt>
                <c:pt idx="6">
                  <c:v>32.112099999999998</c:v>
                </c:pt>
                <c:pt idx="7">
                  <c:v>32.519500000000001</c:v>
                </c:pt>
                <c:pt idx="8">
                  <c:v>32.922899999999998</c:v>
                </c:pt>
                <c:pt idx="9">
                  <c:v>33.3309</c:v>
                </c:pt>
                <c:pt idx="10">
                  <c:v>33.736899999999999</c:v>
                </c:pt>
                <c:pt idx="11">
                  <c:v>34.139899999999997</c:v>
                </c:pt>
                <c:pt idx="12">
                  <c:v>34.551699999999997</c:v>
                </c:pt>
                <c:pt idx="13">
                  <c:v>34.956499999999998</c:v>
                </c:pt>
                <c:pt idx="14">
                  <c:v>35.359499999999997</c:v>
                </c:pt>
                <c:pt idx="15">
                  <c:v>35.764400000000002</c:v>
                </c:pt>
                <c:pt idx="16">
                  <c:v>36.174399999999999</c:v>
                </c:pt>
                <c:pt idx="17">
                  <c:v>36.583100000000002</c:v>
                </c:pt>
                <c:pt idx="18">
                  <c:v>36.9846</c:v>
                </c:pt>
                <c:pt idx="19">
                  <c:v>37.388100000000001</c:v>
                </c:pt>
                <c:pt idx="20">
                  <c:v>37.796399999999998</c:v>
                </c:pt>
                <c:pt idx="21">
                  <c:v>38.203099999999999</c:v>
                </c:pt>
                <c:pt idx="22">
                  <c:v>38.607700000000001</c:v>
                </c:pt>
                <c:pt idx="23">
                  <c:v>39.015700000000002</c:v>
                </c:pt>
                <c:pt idx="24">
                  <c:v>39.422600000000003</c:v>
                </c:pt>
                <c:pt idx="25">
                  <c:v>39.825400000000002</c:v>
                </c:pt>
                <c:pt idx="26">
                  <c:v>40.232700000000001</c:v>
                </c:pt>
                <c:pt idx="27">
                  <c:v>40.642299999999999</c:v>
                </c:pt>
                <c:pt idx="28">
                  <c:v>41.0473</c:v>
                </c:pt>
                <c:pt idx="29">
                  <c:v>41.453099999999999</c:v>
                </c:pt>
                <c:pt idx="30">
                  <c:v>41.857999999999997</c:v>
                </c:pt>
                <c:pt idx="31">
                  <c:v>42.264099999999999</c:v>
                </c:pt>
                <c:pt idx="32">
                  <c:v>42.669899999999998</c:v>
                </c:pt>
                <c:pt idx="33">
                  <c:v>43.080100000000002</c:v>
                </c:pt>
                <c:pt idx="34">
                  <c:v>43.483699999999999</c:v>
                </c:pt>
                <c:pt idx="35">
                  <c:v>43.889600000000002</c:v>
                </c:pt>
                <c:pt idx="36">
                  <c:v>44.295499999999997</c:v>
                </c:pt>
                <c:pt idx="37">
                  <c:v>44.703499999999998</c:v>
                </c:pt>
                <c:pt idx="38">
                  <c:v>45.110500000000002</c:v>
                </c:pt>
                <c:pt idx="39">
                  <c:v>45.515300000000003</c:v>
                </c:pt>
                <c:pt idx="40">
                  <c:v>45.921100000000003</c:v>
                </c:pt>
                <c:pt idx="41">
                  <c:v>46.326099999999997</c:v>
                </c:pt>
                <c:pt idx="42">
                  <c:v>46.734000000000002</c:v>
                </c:pt>
                <c:pt idx="43">
                  <c:v>47.140999999999998</c:v>
                </c:pt>
                <c:pt idx="44">
                  <c:v>47.5488</c:v>
                </c:pt>
                <c:pt idx="45">
                  <c:v>47.953699999999998</c:v>
                </c:pt>
                <c:pt idx="46">
                  <c:v>48.357599999999998</c:v>
                </c:pt>
                <c:pt idx="47">
                  <c:v>48.762900000000002</c:v>
                </c:pt>
                <c:pt idx="48">
                  <c:v>49.169499999999999</c:v>
                </c:pt>
                <c:pt idx="49">
                  <c:v>49.580500000000001</c:v>
                </c:pt>
                <c:pt idx="50">
                  <c:v>49.984299999999998</c:v>
                </c:pt>
                <c:pt idx="51">
                  <c:v>50.389200000000002</c:v>
                </c:pt>
                <c:pt idx="52">
                  <c:v>50.798999999999999</c:v>
                </c:pt>
                <c:pt idx="53">
                  <c:v>51.203000000000003</c:v>
                </c:pt>
                <c:pt idx="54">
                  <c:v>51.608899999999998</c:v>
                </c:pt>
                <c:pt idx="55">
                  <c:v>52.015799999999999</c:v>
                </c:pt>
                <c:pt idx="56">
                  <c:v>52.419800000000002</c:v>
                </c:pt>
                <c:pt idx="57">
                  <c:v>52.828800000000001</c:v>
                </c:pt>
                <c:pt idx="58">
                  <c:v>53.2376</c:v>
                </c:pt>
                <c:pt idx="59">
                  <c:v>53.642499999999998</c:v>
                </c:pt>
                <c:pt idx="60">
                  <c:v>54.046599999999998</c:v>
                </c:pt>
                <c:pt idx="61">
                  <c:v>54.450499999999998</c:v>
                </c:pt>
                <c:pt idx="62">
                  <c:v>54.856499999999997</c:v>
                </c:pt>
                <c:pt idx="63">
                  <c:v>55.2652</c:v>
                </c:pt>
                <c:pt idx="64">
                  <c:v>55.6691</c:v>
                </c:pt>
                <c:pt idx="65">
                  <c:v>56.076099999999997</c:v>
                </c:pt>
                <c:pt idx="66">
                  <c:v>56.482900000000001</c:v>
                </c:pt>
                <c:pt idx="67">
                  <c:v>56.888800000000003</c:v>
                </c:pt>
                <c:pt idx="68">
                  <c:v>57.2928</c:v>
                </c:pt>
                <c:pt idx="69">
                  <c:v>57.702599999999997</c:v>
                </c:pt>
                <c:pt idx="70">
                  <c:v>58.107999999999997</c:v>
                </c:pt>
                <c:pt idx="71">
                  <c:v>58.519500000000001</c:v>
                </c:pt>
                <c:pt idx="72">
                  <c:v>58.923400000000001</c:v>
                </c:pt>
                <c:pt idx="73">
                  <c:v>59.327300000000001</c:v>
                </c:pt>
                <c:pt idx="74">
                  <c:v>59.734299999999998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3.4872100000000001</c:v>
                </c:pt>
                <c:pt idx="1">
                  <c:v>3.5079599999999997</c:v>
                </c:pt>
                <c:pt idx="2">
                  <c:v>3.5280699999999996</c:v>
                </c:pt>
                <c:pt idx="3">
                  <c:v>3.5497399999999999</c:v>
                </c:pt>
                <c:pt idx="4">
                  <c:v>3.5691600000000001</c:v>
                </c:pt>
                <c:pt idx="5">
                  <c:v>3.5873500000000003</c:v>
                </c:pt>
                <c:pt idx="6">
                  <c:v>3.6053600000000001</c:v>
                </c:pt>
                <c:pt idx="7">
                  <c:v>3.6195200000000001</c:v>
                </c:pt>
                <c:pt idx="8">
                  <c:v>3.6345999999999998</c:v>
                </c:pt>
                <c:pt idx="9">
                  <c:v>3.6507899999999998</c:v>
                </c:pt>
                <c:pt idx="10">
                  <c:v>3.6670599999999998</c:v>
                </c:pt>
                <c:pt idx="11">
                  <c:v>3.6844000000000001</c:v>
                </c:pt>
                <c:pt idx="12">
                  <c:v>3.69875</c:v>
                </c:pt>
                <c:pt idx="13">
                  <c:v>3.7110500000000002</c:v>
                </c:pt>
                <c:pt idx="14">
                  <c:v>3.7220900000000001</c:v>
                </c:pt>
                <c:pt idx="15">
                  <c:v>3.7322100000000002</c:v>
                </c:pt>
                <c:pt idx="16">
                  <c:v>3.7402800000000003</c:v>
                </c:pt>
                <c:pt idx="17">
                  <c:v>3.7469000000000001</c:v>
                </c:pt>
                <c:pt idx="18">
                  <c:v>3.7494399999999999</c:v>
                </c:pt>
                <c:pt idx="19">
                  <c:v>3.7494899999999998</c:v>
                </c:pt>
                <c:pt idx="20">
                  <c:v>3.7473400000000003</c:v>
                </c:pt>
                <c:pt idx="21">
                  <c:v>3.7400699999999998</c:v>
                </c:pt>
                <c:pt idx="22">
                  <c:v>3.7279600000000004</c:v>
                </c:pt>
                <c:pt idx="23">
                  <c:v>3.7108000000000003</c:v>
                </c:pt>
                <c:pt idx="24">
                  <c:v>3.6940200000000001</c:v>
                </c:pt>
                <c:pt idx="25">
                  <c:v>3.6752099999999999</c:v>
                </c:pt>
                <c:pt idx="26">
                  <c:v>3.6547800000000001</c:v>
                </c:pt>
                <c:pt idx="27">
                  <c:v>3.6350300000000004</c:v>
                </c:pt>
                <c:pt idx="28">
                  <c:v>3.61395</c:v>
                </c:pt>
                <c:pt idx="29">
                  <c:v>3.59368</c:v>
                </c:pt>
                <c:pt idx="30">
                  <c:v>3.5720800000000001</c:v>
                </c:pt>
                <c:pt idx="31">
                  <c:v>3.5498099999999999</c:v>
                </c:pt>
                <c:pt idx="32">
                  <c:v>3.5291600000000001</c:v>
                </c:pt>
                <c:pt idx="33">
                  <c:v>3.5067900000000001</c:v>
                </c:pt>
                <c:pt idx="34">
                  <c:v>3.4849400000000004</c:v>
                </c:pt>
                <c:pt idx="35">
                  <c:v>3.4637000000000002</c:v>
                </c:pt>
                <c:pt idx="36">
                  <c:v>3.4400900000000001</c:v>
                </c:pt>
                <c:pt idx="37">
                  <c:v>3.4185100000000004</c:v>
                </c:pt>
                <c:pt idx="38">
                  <c:v>3.3982200000000002</c:v>
                </c:pt>
                <c:pt idx="39">
                  <c:v>3.3765000000000001</c:v>
                </c:pt>
                <c:pt idx="40">
                  <c:v>3.3534000000000002</c:v>
                </c:pt>
                <c:pt idx="41">
                  <c:v>3.3316699999999999</c:v>
                </c:pt>
                <c:pt idx="42">
                  <c:v>3.3102199999999997</c:v>
                </c:pt>
                <c:pt idx="43">
                  <c:v>3.2906900000000001</c:v>
                </c:pt>
                <c:pt idx="44">
                  <c:v>3.2743899999999999</c:v>
                </c:pt>
                <c:pt idx="45">
                  <c:v>3.2607499999999998</c:v>
                </c:pt>
                <c:pt idx="46">
                  <c:v>3.2504200000000001</c:v>
                </c:pt>
                <c:pt idx="47">
                  <c:v>3.24139</c:v>
                </c:pt>
                <c:pt idx="48">
                  <c:v>3.2373800000000004</c:v>
                </c:pt>
                <c:pt idx="49">
                  <c:v>3.2337799999999999</c:v>
                </c:pt>
                <c:pt idx="50">
                  <c:v>3.2271800000000002</c:v>
                </c:pt>
                <c:pt idx="51">
                  <c:v>3.2292300000000003</c:v>
                </c:pt>
                <c:pt idx="52">
                  <c:v>3.2284099999999998</c:v>
                </c:pt>
                <c:pt idx="53">
                  <c:v>3.2283200000000001</c:v>
                </c:pt>
                <c:pt idx="54">
                  <c:v>3.2286900000000003</c:v>
                </c:pt>
                <c:pt idx="55">
                  <c:v>3.23102</c:v>
                </c:pt>
                <c:pt idx="56">
                  <c:v>3.23306</c:v>
                </c:pt>
                <c:pt idx="57">
                  <c:v>3.2355800000000001</c:v>
                </c:pt>
                <c:pt idx="58">
                  <c:v>3.2362899999999999</c:v>
                </c:pt>
                <c:pt idx="59">
                  <c:v>3.2331300000000001</c:v>
                </c:pt>
                <c:pt idx="60">
                  <c:v>3.2282699999999998</c:v>
                </c:pt>
                <c:pt idx="61">
                  <c:v>3.2231100000000001</c:v>
                </c:pt>
                <c:pt idx="62">
                  <c:v>3.2170999999999998</c:v>
                </c:pt>
                <c:pt idx="63">
                  <c:v>3.2112099999999999</c:v>
                </c:pt>
                <c:pt idx="64">
                  <c:v>3.2071399999999999</c:v>
                </c:pt>
                <c:pt idx="65">
                  <c:v>3.2037300000000002</c:v>
                </c:pt>
                <c:pt idx="66">
                  <c:v>3.1980599999999999</c:v>
                </c:pt>
                <c:pt idx="67">
                  <c:v>3.19075</c:v>
                </c:pt>
                <c:pt idx="68">
                  <c:v>3.1812800000000001</c:v>
                </c:pt>
                <c:pt idx="69">
                  <c:v>3.1636500000000001</c:v>
                </c:pt>
                <c:pt idx="70">
                  <c:v>3.14263</c:v>
                </c:pt>
                <c:pt idx="71">
                  <c:v>3.1196600000000001</c:v>
                </c:pt>
                <c:pt idx="72">
                  <c:v>3.09626</c:v>
                </c:pt>
                <c:pt idx="73">
                  <c:v>3.0658600000000003</c:v>
                </c:pt>
                <c:pt idx="74">
                  <c:v>3.0195100000000004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14.933574999999999</c:v>
                </c:pt>
                <c:pt idx="1">
                  <c:v>44.800725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3.3620274324324324</c:v>
                </c:pt>
                <c:pt idx="1">
                  <c:v>3.4263524324324326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  <c:pt idx="74">
                  <c:v>30.063800000000001</c:v>
                </c:pt>
                <c:pt idx="75">
                  <c:v>30.4895</c:v>
                </c:pt>
                <c:pt idx="76">
                  <c:v>30.890899999999998</c:v>
                </c:pt>
                <c:pt idx="77">
                  <c:v>31.298400000000001</c:v>
                </c:pt>
                <c:pt idx="78">
                  <c:v>31.6982</c:v>
                </c:pt>
                <c:pt idx="79">
                  <c:v>32.112099999999998</c:v>
                </c:pt>
                <c:pt idx="80">
                  <c:v>32.519500000000001</c:v>
                </c:pt>
                <c:pt idx="81">
                  <c:v>32.922899999999998</c:v>
                </c:pt>
                <c:pt idx="82">
                  <c:v>33.3309</c:v>
                </c:pt>
                <c:pt idx="83">
                  <c:v>33.736899999999999</c:v>
                </c:pt>
                <c:pt idx="84">
                  <c:v>34.139899999999997</c:v>
                </c:pt>
                <c:pt idx="85">
                  <c:v>34.551699999999997</c:v>
                </c:pt>
                <c:pt idx="86">
                  <c:v>34.956499999999998</c:v>
                </c:pt>
                <c:pt idx="87">
                  <c:v>35.359499999999997</c:v>
                </c:pt>
                <c:pt idx="88">
                  <c:v>35.764400000000002</c:v>
                </c:pt>
                <c:pt idx="89">
                  <c:v>36.174399999999999</c:v>
                </c:pt>
                <c:pt idx="90">
                  <c:v>36.583100000000002</c:v>
                </c:pt>
                <c:pt idx="91">
                  <c:v>36.9846</c:v>
                </c:pt>
                <c:pt idx="92">
                  <c:v>37.388100000000001</c:v>
                </c:pt>
                <c:pt idx="93">
                  <c:v>37.796399999999998</c:v>
                </c:pt>
                <c:pt idx="94">
                  <c:v>38.203099999999999</c:v>
                </c:pt>
                <c:pt idx="95">
                  <c:v>38.607700000000001</c:v>
                </c:pt>
                <c:pt idx="96">
                  <c:v>39.015700000000002</c:v>
                </c:pt>
                <c:pt idx="97">
                  <c:v>39.422600000000003</c:v>
                </c:pt>
                <c:pt idx="98">
                  <c:v>39.825400000000002</c:v>
                </c:pt>
                <c:pt idx="99">
                  <c:v>40.232700000000001</c:v>
                </c:pt>
                <c:pt idx="100">
                  <c:v>40.642299999999999</c:v>
                </c:pt>
                <c:pt idx="101">
                  <c:v>41.0473</c:v>
                </c:pt>
                <c:pt idx="102">
                  <c:v>41.453099999999999</c:v>
                </c:pt>
                <c:pt idx="103">
                  <c:v>41.857999999999997</c:v>
                </c:pt>
                <c:pt idx="104">
                  <c:v>42.264099999999999</c:v>
                </c:pt>
                <c:pt idx="105">
                  <c:v>42.669899999999998</c:v>
                </c:pt>
                <c:pt idx="106">
                  <c:v>43.080100000000002</c:v>
                </c:pt>
                <c:pt idx="107">
                  <c:v>43.483699999999999</c:v>
                </c:pt>
                <c:pt idx="108">
                  <c:v>43.889600000000002</c:v>
                </c:pt>
                <c:pt idx="109">
                  <c:v>44.295499999999997</c:v>
                </c:pt>
                <c:pt idx="110">
                  <c:v>44.703499999999998</c:v>
                </c:pt>
                <c:pt idx="111">
                  <c:v>45.110500000000002</c:v>
                </c:pt>
                <c:pt idx="112">
                  <c:v>45.515300000000003</c:v>
                </c:pt>
                <c:pt idx="113">
                  <c:v>45.921100000000003</c:v>
                </c:pt>
                <c:pt idx="114">
                  <c:v>46.326099999999997</c:v>
                </c:pt>
                <c:pt idx="115">
                  <c:v>46.734000000000002</c:v>
                </c:pt>
                <c:pt idx="116">
                  <c:v>47.140999999999998</c:v>
                </c:pt>
                <c:pt idx="117">
                  <c:v>47.5488</c:v>
                </c:pt>
                <c:pt idx="118">
                  <c:v>47.953699999999998</c:v>
                </c:pt>
                <c:pt idx="119">
                  <c:v>48.357599999999998</c:v>
                </c:pt>
                <c:pt idx="120">
                  <c:v>48.762900000000002</c:v>
                </c:pt>
                <c:pt idx="121">
                  <c:v>49.169499999999999</c:v>
                </c:pt>
                <c:pt idx="122">
                  <c:v>49.580500000000001</c:v>
                </c:pt>
                <c:pt idx="123">
                  <c:v>49.984299999999998</c:v>
                </c:pt>
                <c:pt idx="124">
                  <c:v>50.389200000000002</c:v>
                </c:pt>
                <c:pt idx="125">
                  <c:v>50.798999999999999</c:v>
                </c:pt>
                <c:pt idx="126">
                  <c:v>51.203000000000003</c:v>
                </c:pt>
                <c:pt idx="127">
                  <c:v>51.608899999999998</c:v>
                </c:pt>
                <c:pt idx="128">
                  <c:v>52.015799999999999</c:v>
                </c:pt>
                <c:pt idx="129">
                  <c:v>52.419800000000002</c:v>
                </c:pt>
                <c:pt idx="130">
                  <c:v>52.828800000000001</c:v>
                </c:pt>
                <c:pt idx="131">
                  <c:v>53.2376</c:v>
                </c:pt>
                <c:pt idx="132">
                  <c:v>53.642499999999998</c:v>
                </c:pt>
                <c:pt idx="133">
                  <c:v>54.046599999999998</c:v>
                </c:pt>
                <c:pt idx="134">
                  <c:v>54.450499999999998</c:v>
                </c:pt>
                <c:pt idx="135">
                  <c:v>54.856499999999997</c:v>
                </c:pt>
                <c:pt idx="136">
                  <c:v>55.2652</c:v>
                </c:pt>
                <c:pt idx="137">
                  <c:v>55.6691</c:v>
                </c:pt>
                <c:pt idx="138">
                  <c:v>56.076099999999997</c:v>
                </c:pt>
                <c:pt idx="139">
                  <c:v>56.482900000000001</c:v>
                </c:pt>
                <c:pt idx="140">
                  <c:v>56.888800000000003</c:v>
                </c:pt>
                <c:pt idx="141">
                  <c:v>57.2928</c:v>
                </c:pt>
                <c:pt idx="142">
                  <c:v>57.702599999999997</c:v>
                </c:pt>
                <c:pt idx="143">
                  <c:v>58.107999999999997</c:v>
                </c:pt>
                <c:pt idx="144">
                  <c:v>58.519500000000001</c:v>
                </c:pt>
                <c:pt idx="145">
                  <c:v>58.923400000000001</c:v>
                </c:pt>
                <c:pt idx="146">
                  <c:v>59.327300000000001</c:v>
                </c:pt>
                <c:pt idx="147">
                  <c:v>59.734299999999998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  <c:pt idx="74">
                  <c:v>37.3294</c:v>
                </c:pt>
                <c:pt idx="75">
                  <c:v>37.697299999999998</c:v>
                </c:pt>
                <c:pt idx="76">
                  <c:v>38.043300000000002</c:v>
                </c:pt>
                <c:pt idx="77">
                  <c:v>38.424199999999999</c:v>
                </c:pt>
                <c:pt idx="78">
                  <c:v>38.798400000000001</c:v>
                </c:pt>
                <c:pt idx="79">
                  <c:v>39.190199999999997</c:v>
                </c:pt>
                <c:pt idx="80">
                  <c:v>39.574300000000001</c:v>
                </c:pt>
                <c:pt idx="81">
                  <c:v>39.872800000000005</c:v>
                </c:pt>
                <c:pt idx="82">
                  <c:v>40.150999999999996</c:v>
                </c:pt>
                <c:pt idx="83">
                  <c:v>40.408999999999999</c:v>
                </c:pt>
                <c:pt idx="84">
                  <c:v>40.631099999999996</c:v>
                </c:pt>
                <c:pt idx="85">
                  <c:v>40.891599999999997</c:v>
                </c:pt>
                <c:pt idx="86">
                  <c:v>41.248800000000003</c:v>
                </c:pt>
                <c:pt idx="87">
                  <c:v>41.588700000000003</c:v>
                </c:pt>
                <c:pt idx="88">
                  <c:v>41.917999999999999</c:v>
                </c:pt>
                <c:pt idx="89">
                  <c:v>42.241900000000001</c:v>
                </c:pt>
                <c:pt idx="90">
                  <c:v>42.575899999999997</c:v>
                </c:pt>
                <c:pt idx="91">
                  <c:v>42.904899999999998</c:v>
                </c:pt>
                <c:pt idx="92">
                  <c:v>43.121200000000002</c:v>
                </c:pt>
                <c:pt idx="93">
                  <c:v>43.2453</c:v>
                </c:pt>
                <c:pt idx="94">
                  <c:v>43.332100000000004</c:v>
                </c:pt>
                <c:pt idx="95">
                  <c:v>43.3354</c:v>
                </c:pt>
                <c:pt idx="96">
                  <c:v>43.263100000000001</c:v>
                </c:pt>
                <c:pt idx="97">
                  <c:v>43.2072</c:v>
                </c:pt>
                <c:pt idx="98">
                  <c:v>43.123899999999999</c:v>
                </c:pt>
                <c:pt idx="99">
                  <c:v>42.975099999999998</c:v>
                </c:pt>
                <c:pt idx="100">
                  <c:v>42.802</c:v>
                </c:pt>
                <c:pt idx="101">
                  <c:v>42.659399999999998</c:v>
                </c:pt>
                <c:pt idx="102">
                  <c:v>42.480899999999998</c:v>
                </c:pt>
                <c:pt idx="103">
                  <c:v>42.295899999999996</c:v>
                </c:pt>
                <c:pt idx="104">
                  <c:v>42.054099999999998</c:v>
                </c:pt>
                <c:pt idx="105">
                  <c:v>41.7134</c:v>
                </c:pt>
                <c:pt idx="106">
                  <c:v>41.406599999999997</c:v>
                </c:pt>
                <c:pt idx="107">
                  <c:v>41.098399999999998</c:v>
                </c:pt>
                <c:pt idx="108">
                  <c:v>40.761800000000001</c:v>
                </c:pt>
                <c:pt idx="109">
                  <c:v>40.433999999999997</c:v>
                </c:pt>
                <c:pt idx="110">
                  <c:v>40.048499999999997</c:v>
                </c:pt>
                <c:pt idx="111">
                  <c:v>39.645699999999998</c:v>
                </c:pt>
                <c:pt idx="112">
                  <c:v>39.277099999999997</c:v>
                </c:pt>
                <c:pt idx="113">
                  <c:v>38.9497</c:v>
                </c:pt>
                <c:pt idx="114">
                  <c:v>38.563199999999995</c:v>
                </c:pt>
                <c:pt idx="115">
                  <c:v>38.181699999999999</c:v>
                </c:pt>
                <c:pt idx="116">
                  <c:v>37.780099999999997</c:v>
                </c:pt>
                <c:pt idx="117">
                  <c:v>37.331699999999998</c:v>
                </c:pt>
                <c:pt idx="118">
                  <c:v>36.892899999999997</c:v>
                </c:pt>
                <c:pt idx="119">
                  <c:v>36.432500000000005</c:v>
                </c:pt>
                <c:pt idx="120">
                  <c:v>35.957999999999998</c:v>
                </c:pt>
                <c:pt idx="121">
                  <c:v>35.428599999999996</c:v>
                </c:pt>
                <c:pt idx="122">
                  <c:v>34.8703</c:v>
                </c:pt>
                <c:pt idx="123">
                  <c:v>34.3352</c:v>
                </c:pt>
                <c:pt idx="124">
                  <c:v>34.046900000000001</c:v>
                </c:pt>
                <c:pt idx="125">
                  <c:v>33.769500000000001</c:v>
                </c:pt>
                <c:pt idx="126">
                  <c:v>33.426600000000001</c:v>
                </c:pt>
                <c:pt idx="127">
                  <c:v>33.080500000000001</c:v>
                </c:pt>
                <c:pt idx="128">
                  <c:v>32.685199999999995</c:v>
                </c:pt>
                <c:pt idx="129">
                  <c:v>32.328899999999997</c:v>
                </c:pt>
                <c:pt idx="130">
                  <c:v>32.034700000000001</c:v>
                </c:pt>
                <c:pt idx="131">
                  <c:v>31.781500000000001</c:v>
                </c:pt>
                <c:pt idx="132">
                  <c:v>31.557600000000001</c:v>
                </c:pt>
                <c:pt idx="133">
                  <c:v>31.325199999999999</c:v>
                </c:pt>
                <c:pt idx="134">
                  <c:v>31.173000000000002</c:v>
                </c:pt>
                <c:pt idx="135">
                  <c:v>31.005199999999999</c:v>
                </c:pt>
                <c:pt idx="136">
                  <c:v>30.706600000000002</c:v>
                </c:pt>
                <c:pt idx="137">
                  <c:v>30.3474</c:v>
                </c:pt>
                <c:pt idx="138">
                  <c:v>29.9404</c:v>
                </c:pt>
                <c:pt idx="139">
                  <c:v>29.626899999999999</c:v>
                </c:pt>
                <c:pt idx="140">
                  <c:v>29.276299999999999</c:v>
                </c:pt>
                <c:pt idx="141">
                  <c:v>28.939399999999999</c:v>
                </c:pt>
                <c:pt idx="142">
                  <c:v>28.818700000000003</c:v>
                </c:pt>
                <c:pt idx="143">
                  <c:v>28.638999999999999</c:v>
                </c:pt>
                <c:pt idx="144">
                  <c:v>28.226600000000001</c:v>
                </c:pt>
                <c:pt idx="145">
                  <c:v>27.981200000000001</c:v>
                </c:pt>
                <c:pt idx="146">
                  <c:v>28.075400000000002</c:v>
                </c:pt>
                <c:pt idx="147">
                  <c:v>28.3003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30.063800000000001</c:v>
                </c:pt>
                <c:pt idx="2">
                  <c:v>30.4895</c:v>
                </c:pt>
                <c:pt idx="3">
                  <c:v>30.890899999999998</c:v>
                </c:pt>
                <c:pt idx="4">
                  <c:v>31.298400000000001</c:v>
                </c:pt>
                <c:pt idx="5">
                  <c:v>31.6982</c:v>
                </c:pt>
                <c:pt idx="6">
                  <c:v>32.112099999999998</c:v>
                </c:pt>
                <c:pt idx="7">
                  <c:v>32.519500000000001</c:v>
                </c:pt>
                <c:pt idx="8">
                  <c:v>32.922899999999998</c:v>
                </c:pt>
                <c:pt idx="9">
                  <c:v>33.3309</c:v>
                </c:pt>
                <c:pt idx="10">
                  <c:v>33.736899999999999</c:v>
                </c:pt>
                <c:pt idx="11">
                  <c:v>34.139899999999997</c:v>
                </c:pt>
                <c:pt idx="12">
                  <c:v>34.551699999999997</c:v>
                </c:pt>
                <c:pt idx="13">
                  <c:v>34.956499999999998</c:v>
                </c:pt>
                <c:pt idx="14">
                  <c:v>35.359499999999997</c:v>
                </c:pt>
                <c:pt idx="15">
                  <c:v>35.764400000000002</c:v>
                </c:pt>
                <c:pt idx="16">
                  <c:v>36.174399999999999</c:v>
                </c:pt>
                <c:pt idx="17">
                  <c:v>36.583100000000002</c:v>
                </c:pt>
                <c:pt idx="18">
                  <c:v>36.9846</c:v>
                </c:pt>
                <c:pt idx="19">
                  <c:v>37.388100000000001</c:v>
                </c:pt>
                <c:pt idx="20">
                  <c:v>37.796399999999998</c:v>
                </c:pt>
                <c:pt idx="21">
                  <c:v>38.203099999999999</c:v>
                </c:pt>
                <c:pt idx="22">
                  <c:v>38.607700000000001</c:v>
                </c:pt>
                <c:pt idx="23">
                  <c:v>39.015700000000002</c:v>
                </c:pt>
                <c:pt idx="24">
                  <c:v>39.422600000000003</c:v>
                </c:pt>
                <c:pt idx="25">
                  <c:v>39.825400000000002</c:v>
                </c:pt>
                <c:pt idx="26">
                  <c:v>40.232700000000001</c:v>
                </c:pt>
                <c:pt idx="27">
                  <c:v>40.642299999999999</c:v>
                </c:pt>
                <c:pt idx="28">
                  <c:v>41.0473</c:v>
                </c:pt>
                <c:pt idx="29">
                  <c:v>41.453099999999999</c:v>
                </c:pt>
                <c:pt idx="30">
                  <c:v>41.857999999999997</c:v>
                </c:pt>
                <c:pt idx="31">
                  <c:v>42.264099999999999</c:v>
                </c:pt>
                <c:pt idx="32">
                  <c:v>42.669899999999998</c:v>
                </c:pt>
                <c:pt idx="33">
                  <c:v>43.080100000000002</c:v>
                </c:pt>
                <c:pt idx="34">
                  <c:v>43.483699999999999</c:v>
                </c:pt>
                <c:pt idx="35">
                  <c:v>43.889600000000002</c:v>
                </c:pt>
                <c:pt idx="36">
                  <c:v>44.295499999999997</c:v>
                </c:pt>
                <c:pt idx="37">
                  <c:v>44.703499999999998</c:v>
                </c:pt>
                <c:pt idx="38">
                  <c:v>45.110500000000002</c:v>
                </c:pt>
                <c:pt idx="39">
                  <c:v>45.515300000000003</c:v>
                </c:pt>
                <c:pt idx="40">
                  <c:v>45.921100000000003</c:v>
                </c:pt>
                <c:pt idx="41">
                  <c:v>46.326099999999997</c:v>
                </c:pt>
                <c:pt idx="42">
                  <c:v>46.734000000000002</c:v>
                </c:pt>
                <c:pt idx="43">
                  <c:v>47.140999999999998</c:v>
                </c:pt>
                <c:pt idx="44">
                  <c:v>47.5488</c:v>
                </c:pt>
                <c:pt idx="45">
                  <c:v>47.953699999999998</c:v>
                </c:pt>
                <c:pt idx="46">
                  <c:v>48.357599999999998</c:v>
                </c:pt>
                <c:pt idx="47">
                  <c:v>48.762900000000002</c:v>
                </c:pt>
                <c:pt idx="48">
                  <c:v>49.169499999999999</c:v>
                </c:pt>
                <c:pt idx="49">
                  <c:v>49.580500000000001</c:v>
                </c:pt>
                <c:pt idx="50">
                  <c:v>49.984299999999998</c:v>
                </c:pt>
                <c:pt idx="51">
                  <c:v>50.389200000000002</c:v>
                </c:pt>
                <c:pt idx="52">
                  <c:v>50.798999999999999</c:v>
                </c:pt>
                <c:pt idx="53">
                  <c:v>51.203000000000003</c:v>
                </c:pt>
                <c:pt idx="54">
                  <c:v>51.608899999999998</c:v>
                </c:pt>
                <c:pt idx="55">
                  <c:v>52.015799999999999</c:v>
                </c:pt>
                <c:pt idx="56">
                  <c:v>52.419800000000002</c:v>
                </c:pt>
                <c:pt idx="57">
                  <c:v>52.828800000000001</c:v>
                </c:pt>
                <c:pt idx="58">
                  <c:v>53.2376</c:v>
                </c:pt>
                <c:pt idx="59">
                  <c:v>53.642499999999998</c:v>
                </c:pt>
                <c:pt idx="60">
                  <c:v>54.046599999999998</c:v>
                </c:pt>
                <c:pt idx="61">
                  <c:v>54.450499999999998</c:v>
                </c:pt>
                <c:pt idx="62">
                  <c:v>54.856499999999997</c:v>
                </c:pt>
                <c:pt idx="63">
                  <c:v>55.2652</c:v>
                </c:pt>
                <c:pt idx="64">
                  <c:v>55.6691</c:v>
                </c:pt>
                <c:pt idx="65">
                  <c:v>56.076099999999997</c:v>
                </c:pt>
                <c:pt idx="66">
                  <c:v>56.482900000000001</c:v>
                </c:pt>
                <c:pt idx="67">
                  <c:v>56.888800000000003</c:v>
                </c:pt>
                <c:pt idx="68">
                  <c:v>57.2928</c:v>
                </c:pt>
                <c:pt idx="69">
                  <c:v>57.702599999999997</c:v>
                </c:pt>
                <c:pt idx="70">
                  <c:v>58.107999999999997</c:v>
                </c:pt>
                <c:pt idx="71">
                  <c:v>58.519500000000001</c:v>
                </c:pt>
                <c:pt idx="72">
                  <c:v>58.923400000000001</c:v>
                </c:pt>
                <c:pt idx="73">
                  <c:v>59.327300000000001</c:v>
                </c:pt>
                <c:pt idx="74">
                  <c:v>59.734299999999998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36.950800000000001</c:v>
                </c:pt>
                <c:pt idx="1">
                  <c:v>37.3294</c:v>
                </c:pt>
                <c:pt idx="2">
                  <c:v>37.697299999999998</c:v>
                </c:pt>
                <c:pt idx="3">
                  <c:v>38.043300000000002</c:v>
                </c:pt>
                <c:pt idx="4">
                  <c:v>38.424199999999999</c:v>
                </c:pt>
                <c:pt idx="5">
                  <c:v>38.798400000000001</c:v>
                </c:pt>
                <c:pt idx="6">
                  <c:v>39.190199999999997</c:v>
                </c:pt>
                <c:pt idx="7">
                  <c:v>39.574300000000001</c:v>
                </c:pt>
                <c:pt idx="8">
                  <c:v>39.872800000000005</c:v>
                </c:pt>
                <c:pt idx="9">
                  <c:v>40.150999999999996</c:v>
                </c:pt>
                <c:pt idx="10">
                  <c:v>40.408999999999999</c:v>
                </c:pt>
                <c:pt idx="11">
                  <c:v>40.631099999999996</c:v>
                </c:pt>
                <c:pt idx="12">
                  <c:v>40.891599999999997</c:v>
                </c:pt>
                <c:pt idx="13">
                  <c:v>41.248800000000003</c:v>
                </c:pt>
                <c:pt idx="14">
                  <c:v>41.588700000000003</c:v>
                </c:pt>
                <c:pt idx="15">
                  <c:v>41.917999999999999</c:v>
                </c:pt>
                <c:pt idx="16">
                  <c:v>42.241900000000001</c:v>
                </c:pt>
                <c:pt idx="17">
                  <c:v>42.575899999999997</c:v>
                </c:pt>
                <c:pt idx="18">
                  <c:v>42.904899999999998</c:v>
                </c:pt>
                <c:pt idx="19">
                  <c:v>43.121200000000002</c:v>
                </c:pt>
                <c:pt idx="20">
                  <c:v>43.2453</c:v>
                </c:pt>
                <c:pt idx="21">
                  <c:v>43.332100000000004</c:v>
                </c:pt>
                <c:pt idx="22">
                  <c:v>43.3354</c:v>
                </c:pt>
                <c:pt idx="23">
                  <c:v>43.263100000000001</c:v>
                </c:pt>
                <c:pt idx="24">
                  <c:v>43.2072</c:v>
                </c:pt>
                <c:pt idx="25">
                  <c:v>43.123899999999999</c:v>
                </c:pt>
                <c:pt idx="26">
                  <c:v>42.975099999999998</c:v>
                </c:pt>
                <c:pt idx="27">
                  <c:v>42.802</c:v>
                </c:pt>
                <c:pt idx="28">
                  <c:v>42.659399999999998</c:v>
                </c:pt>
                <c:pt idx="29">
                  <c:v>42.480899999999998</c:v>
                </c:pt>
                <c:pt idx="30">
                  <c:v>42.295899999999996</c:v>
                </c:pt>
                <c:pt idx="31">
                  <c:v>42.054099999999998</c:v>
                </c:pt>
                <c:pt idx="32">
                  <c:v>41.7134</c:v>
                </c:pt>
                <c:pt idx="33">
                  <c:v>41.406599999999997</c:v>
                </c:pt>
                <c:pt idx="34">
                  <c:v>41.098399999999998</c:v>
                </c:pt>
                <c:pt idx="35">
                  <c:v>40.761800000000001</c:v>
                </c:pt>
                <c:pt idx="36">
                  <c:v>40.433999999999997</c:v>
                </c:pt>
                <c:pt idx="37">
                  <c:v>40.048499999999997</c:v>
                </c:pt>
                <c:pt idx="38">
                  <c:v>39.645699999999998</c:v>
                </c:pt>
                <c:pt idx="39">
                  <c:v>39.277099999999997</c:v>
                </c:pt>
                <c:pt idx="40">
                  <c:v>38.9497</c:v>
                </c:pt>
                <c:pt idx="41">
                  <c:v>38.563199999999995</c:v>
                </c:pt>
                <c:pt idx="42">
                  <c:v>38.181699999999999</c:v>
                </c:pt>
                <c:pt idx="43">
                  <c:v>37.780099999999997</c:v>
                </c:pt>
                <c:pt idx="44">
                  <c:v>37.331699999999998</c:v>
                </c:pt>
                <c:pt idx="45">
                  <c:v>36.892899999999997</c:v>
                </c:pt>
                <c:pt idx="46">
                  <c:v>36.432500000000005</c:v>
                </c:pt>
                <c:pt idx="47">
                  <c:v>35.957999999999998</c:v>
                </c:pt>
                <c:pt idx="48">
                  <c:v>35.428599999999996</c:v>
                </c:pt>
                <c:pt idx="49">
                  <c:v>34.8703</c:v>
                </c:pt>
                <c:pt idx="50">
                  <c:v>34.3352</c:v>
                </c:pt>
                <c:pt idx="51">
                  <c:v>34.046900000000001</c:v>
                </c:pt>
                <c:pt idx="52">
                  <c:v>33.769500000000001</c:v>
                </c:pt>
                <c:pt idx="53">
                  <c:v>33.426600000000001</c:v>
                </c:pt>
                <c:pt idx="54">
                  <c:v>33.080500000000001</c:v>
                </c:pt>
                <c:pt idx="55">
                  <c:v>32.685199999999995</c:v>
                </c:pt>
                <c:pt idx="56">
                  <c:v>32.328899999999997</c:v>
                </c:pt>
                <c:pt idx="57">
                  <c:v>32.034700000000001</c:v>
                </c:pt>
                <c:pt idx="58">
                  <c:v>31.781500000000001</c:v>
                </c:pt>
                <c:pt idx="59">
                  <c:v>31.557600000000001</c:v>
                </c:pt>
                <c:pt idx="60">
                  <c:v>31.325199999999999</c:v>
                </c:pt>
                <c:pt idx="61">
                  <c:v>31.173000000000002</c:v>
                </c:pt>
                <c:pt idx="62">
                  <c:v>31.005199999999999</c:v>
                </c:pt>
                <c:pt idx="63">
                  <c:v>30.706600000000002</c:v>
                </c:pt>
                <c:pt idx="64">
                  <c:v>30.3474</c:v>
                </c:pt>
                <c:pt idx="65">
                  <c:v>29.9404</c:v>
                </c:pt>
                <c:pt idx="66">
                  <c:v>29.626899999999999</c:v>
                </c:pt>
                <c:pt idx="67">
                  <c:v>29.276299999999999</c:v>
                </c:pt>
                <c:pt idx="68">
                  <c:v>28.939399999999999</c:v>
                </c:pt>
                <c:pt idx="69">
                  <c:v>28.818700000000003</c:v>
                </c:pt>
                <c:pt idx="70">
                  <c:v>28.638999999999999</c:v>
                </c:pt>
                <c:pt idx="71">
                  <c:v>28.226600000000001</c:v>
                </c:pt>
                <c:pt idx="72">
                  <c:v>27.981200000000001</c:v>
                </c:pt>
                <c:pt idx="73">
                  <c:v>28.075400000000002</c:v>
                </c:pt>
                <c:pt idx="74">
                  <c:v>28.3003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14.933574999999999</c:v>
                </c:pt>
                <c:pt idx="1">
                  <c:v>44.800725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31.302183783783789</c:v>
                </c:pt>
                <c:pt idx="1">
                  <c:v>37.129578378378383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42.106400000000001</c:v>
                </c:pt>
                <c:pt idx="1">
                  <c:v>29.419599999999999</c:v>
                </c:pt>
                <c:pt idx="2">
                  <c:v>25.796099999999999</c:v>
                </c:pt>
                <c:pt idx="3">
                  <c:v>31.776</c:v>
                </c:pt>
                <c:pt idx="4">
                  <c:v>69.086299999999994</c:v>
                </c:pt>
                <c:pt idx="5">
                  <c:v>80.638199999999998</c:v>
                </c:pt>
                <c:pt idx="6">
                  <c:v>18.452200000000001</c:v>
                </c:pt>
                <c:pt idx="7">
                  <c:v>74.031000000000006</c:v>
                </c:pt>
                <c:pt idx="8">
                  <c:v>22.306699999999999</c:v>
                </c:pt>
                <c:pt idx="9">
                  <c:v>29.1342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40.768700000000003</c:v>
                </c:pt>
                <c:pt idx="1">
                  <c:v>24.178599999999999</c:v>
                </c:pt>
                <c:pt idx="2">
                  <c:v>23.573</c:v>
                </c:pt>
                <c:pt idx="3">
                  <c:v>29.380400000000002</c:v>
                </c:pt>
                <c:pt idx="4">
                  <c:v>61.9968</c:v>
                </c:pt>
                <c:pt idx="5">
                  <c:v>83.029600000000002</c:v>
                </c:pt>
                <c:pt idx="6">
                  <c:v>21.859400000000001</c:v>
                </c:pt>
                <c:pt idx="7">
                  <c:v>72.761499999999998</c:v>
                </c:pt>
                <c:pt idx="8">
                  <c:v>20.6889</c:v>
                </c:pt>
                <c:pt idx="9">
                  <c:v>25.806899999999999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0.51078455024973235</c:v>
                </c:pt>
                <c:pt idx="1">
                  <c:v>0.27225110905472855</c:v>
                </c:pt>
                <c:pt idx="2">
                  <c:v>0.21696434069553908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907</c:v>
                </c:pt>
                <c:pt idx="7">
                  <c:v>0</c:v>
                </c:pt>
                <c:pt idx="8">
                  <c:v>821</c:v>
                </c:pt>
                <c:pt idx="9">
                  <c:v>0</c:v>
                </c:pt>
                <c:pt idx="10">
                  <c:v>0</c:v>
                </c:pt>
                <c:pt idx="11">
                  <c:v>1207</c:v>
                </c:pt>
                <c:pt idx="12">
                  <c:v>0</c:v>
                </c:pt>
                <c:pt idx="13">
                  <c:v>4222</c:v>
                </c:pt>
                <c:pt idx="14">
                  <c:v>0</c:v>
                </c:pt>
                <c:pt idx="15">
                  <c:v>0</c:v>
                </c:pt>
                <c:pt idx="16">
                  <c:v>4395</c:v>
                </c:pt>
                <c:pt idx="17">
                  <c:v>0</c:v>
                </c:pt>
                <c:pt idx="18">
                  <c:v>0</c:v>
                </c:pt>
                <c:pt idx="19">
                  <c:v>7270</c:v>
                </c:pt>
                <c:pt idx="20">
                  <c:v>0</c:v>
                </c:pt>
                <c:pt idx="21">
                  <c:v>11811</c:v>
                </c:pt>
                <c:pt idx="22">
                  <c:v>0</c:v>
                </c:pt>
                <c:pt idx="23">
                  <c:v>0</c:v>
                </c:pt>
                <c:pt idx="24">
                  <c:v>9144</c:v>
                </c:pt>
                <c:pt idx="25">
                  <c:v>0</c:v>
                </c:pt>
                <c:pt idx="26">
                  <c:v>12413</c:v>
                </c:pt>
                <c:pt idx="27">
                  <c:v>0</c:v>
                </c:pt>
                <c:pt idx="28">
                  <c:v>0</c:v>
                </c:pt>
                <c:pt idx="29">
                  <c:v>14524</c:v>
                </c:pt>
                <c:pt idx="30">
                  <c:v>0</c:v>
                </c:pt>
                <c:pt idx="31">
                  <c:v>19789</c:v>
                </c:pt>
                <c:pt idx="32">
                  <c:v>0</c:v>
                </c:pt>
                <c:pt idx="33">
                  <c:v>0</c:v>
                </c:pt>
                <c:pt idx="34">
                  <c:v>21105</c:v>
                </c:pt>
                <c:pt idx="35">
                  <c:v>0</c:v>
                </c:pt>
                <c:pt idx="36">
                  <c:v>0</c:v>
                </c:pt>
                <c:pt idx="37">
                  <c:v>33732</c:v>
                </c:pt>
                <c:pt idx="38">
                  <c:v>0</c:v>
                </c:pt>
                <c:pt idx="39">
                  <c:v>35637</c:v>
                </c:pt>
                <c:pt idx="40">
                  <c:v>0</c:v>
                </c:pt>
                <c:pt idx="41">
                  <c:v>0</c:v>
                </c:pt>
                <c:pt idx="42">
                  <c:v>41883</c:v>
                </c:pt>
                <c:pt idx="43">
                  <c:v>0</c:v>
                </c:pt>
                <c:pt idx="44">
                  <c:v>48330</c:v>
                </c:pt>
                <c:pt idx="45">
                  <c:v>0</c:v>
                </c:pt>
                <c:pt idx="46">
                  <c:v>0</c:v>
                </c:pt>
                <c:pt idx="47">
                  <c:v>58015</c:v>
                </c:pt>
                <c:pt idx="48">
                  <c:v>0</c:v>
                </c:pt>
                <c:pt idx="49">
                  <c:v>58896</c:v>
                </c:pt>
                <c:pt idx="50">
                  <c:v>0</c:v>
                </c:pt>
                <c:pt idx="51">
                  <c:v>0</c:v>
                </c:pt>
                <c:pt idx="52">
                  <c:v>66433</c:v>
                </c:pt>
                <c:pt idx="53">
                  <c:v>0</c:v>
                </c:pt>
                <c:pt idx="54">
                  <c:v>0</c:v>
                </c:pt>
                <c:pt idx="55">
                  <c:v>69436</c:v>
                </c:pt>
                <c:pt idx="56">
                  <c:v>0</c:v>
                </c:pt>
                <c:pt idx="57">
                  <c:v>71499</c:v>
                </c:pt>
                <c:pt idx="58">
                  <c:v>0</c:v>
                </c:pt>
                <c:pt idx="59">
                  <c:v>0</c:v>
                </c:pt>
                <c:pt idx="60">
                  <c:v>79880</c:v>
                </c:pt>
                <c:pt idx="61">
                  <c:v>0</c:v>
                </c:pt>
                <c:pt idx="62">
                  <c:v>81538</c:v>
                </c:pt>
                <c:pt idx="63">
                  <c:v>0</c:v>
                </c:pt>
                <c:pt idx="64">
                  <c:v>0</c:v>
                </c:pt>
                <c:pt idx="65">
                  <c:v>86769</c:v>
                </c:pt>
                <c:pt idx="66">
                  <c:v>0</c:v>
                </c:pt>
                <c:pt idx="67">
                  <c:v>72802</c:v>
                </c:pt>
                <c:pt idx="68">
                  <c:v>0</c:v>
                </c:pt>
                <c:pt idx="69">
                  <c:v>0</c:v>
                </c:pt>
                <c:pt idx="70">
                  <c:v>72319</c:v>
                </c:pt>
                <c:pt idx="71">
                  <c:v>0</c:v>
                </c:pt>
                <c:pt idx="72">
                  <c:v>0</c:v>
                </c:pt>
                <c:pt idx="73">
                  <c:v>72800</c:v>
                </c:pt>
                <c:pt idx="74">
                  <c:v>0</c:v>
                </c:pt>
                <c:pt idx="75">
                  <c:v>69411</c:v>
                </c:pt>
                <c:pt idx="76">
                  <c:v>0</c:v>
                </c:pt>
                <c:pt idx="77">
                  <c:v>0</c:v>
                </c:pt>
                <c:pt idx="78">
                  <c:v>68850</c:v>
                </c:pt>
                <c:pt idx="79">
                  <c:v>0</c:v>
                </c:pt>
                <c:pt idx="80">
                  <c:v>65234</c:v>
                </c:pt>
                <c:pt idx="81">
                  <c:v>0</c:v>
                </c:pt>
                <c:pt idx="82">
                  <c:v>0</c:v>
                </c:pt>
                <c:pt idx="83">
                  <c:v>66163</c:v>
                </c:pt>
                <c:pt idx="84">
                  <c:v>0</c:v>
                </c:pt>
                <c:pt idx="85">
                  <c:v>0</c:v>
                </c:pt>
                <c:pt idx="86">
                  <c:v>59480</c:v>
                </c:pt>
                <c:pt idx="87">
                  <c:v>0</c:v>
                </c:pt>
                <c:pt idx="88">
                  <c:v>55403</c:v>
                </c:pt>
                <c:pt idx="89">
                  <c:v>0</c:v>
                </c:pt>
                <c:pt idx="90">
                  <c:v>0</c:v>
                </c:pt>
                <c:pt idx="91">
                  <c:v>53816</c:v>
                </c:pt>
                <c:pt idx="92">
                  <c:v>0</c:v>
                </c:pt>
                <c:pt idx="93">
                  <c:v>52018</c:v>
                </c:pt>
                <c:pt idx="94">
                  <c:v>0</c:v>
                </c:pt>
                <c:pt idx="95">
                  <c:v>0</c:v>
                </c:pt>
                <c:pt idx="96">
                  <c:v>49348</c:v>
                </c:pt>
                <c:pt idx="97">
                  <c:v>0</c:v>
                </c:pt>
                <c:pt idx="98">
                  <c:v>43371</c:v>
                </c:pt>
                <c:pt idx="99">
                  <c:v>0</c:v>
                </c:pt>
                <c:pt idx="100">
                  <c:v>0</c:v>
                </c:pt>
                <c:pt idx="101">
                  <c:v>43499</c:v>
                </c:pt>
                <c:pt idx="102">
                  <c:v>0</c:v>
                </c:pt>
                <c:pt idx="103">
                  <c:v>0</c:v>
                </c:pt>
                <c:pt idx="104">
                  <c:v>41235</c:v>
                </c:pt>
                <c:pt idx="105">
                  <c:v>0</c:v>
                </c:pt>
                <c:pt idx="106">
                  <c:v>37615</c:v>
                </c:pt>
                <c:pt idx="107">
                  <c:v>0</c:v>
                </c:pt>
                <c:pt idx="108">
                  <c:v>0</c:v>
                </c:pt>
                <c:pt idx="109">
                  <c:v>33905</c:v>
                </c:pt>
                <c:pt idx="110">
                  <c:v>0</c:v>
                </c:pt>
                <c:pt idx="111">
                  <c:v>34358</c:v>
                </c:pt>
                <c:pt idx="112">
                  <c:v>0</c:v>
                </c:pt>
                <c:pt idx="113">
                  <c:v>0</c:v>
                </c:pt>
                <c:pt idx="114">
                  <c:v>30405</c:v>
                </c:pt>
                <c:pt idx="115">
                  <c:v>0</c:v>
                </c:pt>
                <c:pt idx="116">
                  <c:v>27607</c:v>
                </c:pt>
                <c:pt idx="117">
                  <c:v>0</c:v>
                </c:pt>
                <c:pt idx="118">
                  <c:v>0</c:v>
                </c:pt>
                <c:pt idx="119">
                  <c:v>26451</c:v>
                </c:pt>
                <c:pt idx="120">
                  <c:v>0</c:v>
                </c:pt>
                <c:pt idx="121">
                  <c:v>0</c:v>
                </c:pt>
                <c:pt idx="122">
                  <c:v>26941</c:v>
                </c:pt>
                <c:pt idx="123">
                  <c:v>0</c:v>
                </c:pt>
                <c:pt idx="124">
                  <c:v>24132</c:v>
                </c:pt>
                <c:pt idx="125">
                  <c:v>0</c:v>
                </c:pt>
                <c:pt idx="126">
                  <c:v>0</c:v>
                </c:pt>
                <c:pt idx="127">
                  <c:v>24639</c:v>
                </c:pt>
                <c:pt idx="128">
                  <c:v>0</c:v>
                </c:pt>
                <c:pt idx="129">
                  <c:v>21150</c:v>
                </c:pt>
                <c:pt idx="130">
                  <c:v>0</c:v>
                </c:pt>
                <c:pt idx="131">
                  <c:v>0</c:v>
                </c:pt>
                <c:pt idx="132">
                  <c:v>21368</c:v>
                </c:pt>
                <c:pt idx="133">
                  <c:v>0</c:v>
                </c:pt>
                <c:pt idx="134">
                  <c:v>19704</c:v>
                </c:pt>
                <c:pt idx="135">
                  <c:v>0</c:v>
                </c:pt>
                <c:pt idx="136">
                  <c:v>0</c:v>
                </c:pt>
                <c:pt idx="137">
                  <c:v>16292</c:v>
                </c:pt>
                <c:pt idx="138">
                  <c:v>0</c:v>
                </c:pt>
                <c:pt idx="139">
                  <c:v>0</c:v>
                </c:pt>
                <c:pt idx="140">
                  <c:v>16314</c:v>
                </c:pt>
                <c:pt idx="141">
                  <c:v>0</c:v>
                </c:pt>
                <c:pt idx="142">
                  <c:v>16472</c:v>
                </c:pt>
                <c:pt idx="143">
                  <c:v>0</c:v>
                </c:pt>
                <c:pt idx="144">
                  <c:v>0</c:v>
                </c:pt>
                <c:pt idx="145">
                  <c:v>16493</c:v>
                </c:pt>
                <c:pt idx="146">
                  <c:v>0</c:v>
                </c:pt>
                <c:pt idx="147">
                  <c:v>11515</c:v>
                </c:pt>
                <c:pt idx="148">
                  <c:v>0</c:v>
                </c:pt>
                <c:pt idx="149">
                  <c:v>0</c:v>
                </c:pt>
                <c:pt idx="150">
                  <c:v>10360</c:v>
                </c:pt>
                <c:pt idx="151">
                  <c:v>0</c:v>
                </c:pt>
                <c:pt idx="152">
                  <c:v>9375</c:v>
                </c:pt>
                <c:pt idx="153">
                  <c:v>0</c:v>
                </c:pt>
                <c:pt idx="154">
                  <c:v>0</c:v>
                </c:pt>
                <c:pt idx="155">
                  <c:v>10831</c:v>
                </c:pt>
                <c:pt idx="156">
                  <c:v>0</c:v>
                </c:pt>
                <c:pt idx="157">
                  <c:v>0</c:v>
                </c:pt>
                <c:pt idx="158">
                  <c:v>10799</c:v>
                </c:pt>
                <c:pt idx="159">
                  <c:v>0</c:v>
                </c:pt>
                <c:pt idx="160">
                  <c:v>11128</c:v>
                </c:pt>
                <c:pt idx="161">
                  <c:v>0</c:v>
                </c:pt>
                <c:pt idx="162">
                  <c:v>0</c:v>
                </c:pt>
                <c:pt idx="163">
                  <c:v>9509</c:v>
                </c:pt>
                <c:pt idx="164">
                  <c:v>0</c:v>
                </c:pt>
                <c:pt idx="165">
                  <c:v>8991</c:v>
                </c:pt>
                <c:pt idx="166">
                  <c:v>0</c:v>
                </c:pt>
                <c:pt idx="167">
                  <c:v>0</c:v>
                </c:pt>
                <c:pt idx="168">
                  <c:v>6943</c:v>
                </c:pt>
                <c:pt idx="169">
                  <c:v>0</c:v>
                </c:pt>
                <c:pt idx="170">
                  <c:v>0</c:v>
                </c:pt>
                <c:pt idx="171">
                  <c:v>6015</c:v>
                </c:pt>
                <c:pt idx="172">
                  <c:v>0</c:v>
                </c:pt>
                <c:pt idx="173">
                  <c:v>5064</c:v>
                </c:pt>
                <c:pt idx="174">
                  <c:v>0</c:v>
                </c:pt>
                <c:pt idx="175">
                  <c:v>0</c:v>
                </c:pt>
                <c:pt idx="176">
                  <c:v>4308</c:v>
                </c:pt>
                <c:pt idx="177">
                  <c:v>0</c:v>
                </c:pt>
                <c:pt idx="178">
                  <c:v>7922</c:v>
                </c:pt>
                <c:pt idx="179">
                  <c:v>0</c:v>
                </c:pt>
                <c:pt idx="180">
                  <c:v>0</c:v>
                </c:pt>
                <c:pt idx="181">
                  <c:v>7474</c:v>
                </c:pt>
                <c:pt idx="182">
                  <c:v>0</c:v>
                </c:pt>
                <c:pt idx="183">
                  <c:v>4460</c:v>
                </c:pt>
                <c:pt idx="184">
                  <c:v>0</c:v>
                </c:pt>
                <c:pt idx="185">
                  <c:v>0</c:v>
                </c:pt>
                <c:pt idx="186">
                  <c:v>5010</c:v>
                </c:pt>
                <c:pt idx="187">
                  <c:v>0</c:v>
                </c:pt>
                <c:pt idx="188">
                  <c:v>0</c:v>
                </c:pt>
                <c:pt idx="189">
                  <c:v>4101</c:v>
                </c:pt>
                <c:pt idx="190">
                  <c:v>0</c:v>
                </c:pt>
                <c:pt idx="191">
                  <c:v>3085</c:v>
                </c:pt>
                <c:pt idx="192">
                  <c:v>0</c:v>
                </c:pt>
                <c:pt idx="193">
                  <c:v>0</c:v>
                </c:pt>
                <c:pt idx="194">
                  <c:v>1480</c:v>
                </c:pt>
                <c:pt idx="195">
                  <c:v>0</c:v>
                </c:pt>
                <c:pt idx="196">
                  <c:v>1557</c:v>
                </c:pt>
                <c:pt idx="197">
                  <c:v>0</c:v>
                </c:pt>
                <c:pt idx="198">
                  <c:v>0</c:v>
                </c:pt>
                <c:pt idx="199">
                  <c:v>916</c:v>
                </c:pt>
                <c:pt idx="200">
                  <c:v>0</c:v>
                </c:pt>
                <c:pt idx="201">
                  <c:v>289</c:v>
                </c:pt>
                <c:pt idx="202">
                  <c:v>0</c:v>
                </c:pt>
                <c:pt idx="203">
                  <c:v>0</c:v>
                </c:pt>
                <c:pt idx="204">
                  <c:v>175</c:v>
                </c:pt>
                <c:pt idx="205">
                  <c:v>0</c:v>
                </c:pt>
                <c:pt idx="206">
                  <c:v>0</c:v>
                </c:pt>
                <c:pt idx="207">
                  <c:v>236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261</c:v>
                </c:pt>
                <c:pt idx="7">
                  <c:v>0</c:v>
                </c:pt>
                <c:pt idx="8">
                  <c:v>246</c:v>
                </c:pt>
                <c:pt idx="9">
                  <c:v>0</c:v>
                </c:pt>
                <c:pt idx="10">
                  <c:v>0</c:v>
                </c:pt>
                <c:pt idx="11">
                  <c:v>798</c:v>
                </c:pt>
                <c:pt idx="12">
                  <c:v>0</c:v>
                </c:pt>
                <c:pt idx="13">
                  <c:v>857</c:v>
                </c:pt>
                <c:pt idx="14">
                  <c:v>0</c:v>
                </c:pt>
                <c:pt idx="15">
                  <c:v>0</c:v>
                </c:pt>
                <c:pt idx="16">
                  <c:v>2803</c:v>
                </c:pt>
                <c:pt idx="17">
                  <c:v>0</c:v>
                </c:pt>
                <c:pt idx="18">
                  <c:v>0</c:v>
                </c:pt>
                <c:pt idx="19">
                  <c:v>1797</c:v>
                </c:pt>
                <c:pt idx="20">
                  <c:v>0</c:v>
                </c:pt>
                <c:pt idx="21">
                  <c:v>1445</c:v>
                </c:pt>
                <c:pt idx="22">
                  <c:v>0</c:v>
                </c:pt>
                <c:pt idx="23">
                  <c:v>0</c:v>
                </c:pt>
                <c:pt idx="24">
                  <c:v>3234</c:v>
                </c:pt>
                <c:pt idx="25">
                  <c:v>0</c:v>
                </c:pt>
                <c:pt idx="26">
                  <c:v>6266</c:v>
                </c:pt>
                <c:pt idx="27">
                  <c:v>0</c:v>
                </c:pt>
                <c:pt idx="28">
                  <c:v>0</c:v>
                </c:pt>
                <c:pt idx="29">
                  <c:v>8959</c:v>
                </c:pt>
                <c:pt idx="30">
                  <c:v>0</c:v>
                </c:pt>
                <c:pt idx="31">
                  <c:v>11867</c:v>
                </c:pt>
                <c:pt idx="32">
                  <c:v>0</c:v>
                </c:pt>
                <c:pt idx="33">
                  <c:v>0</c:v>
                </c:pt>
                <c:pt idx="34">
                  <c:v>15755</c:v>
                </c:pt>
                <c:pt idx="35">
                  <c:v>0</c:v>
                </c:pt>
                <c:pt idx="36">
                  <c:v>0</c:v>
                </c:pt>
                <c:pt idx="37">
                  <c:v>16574</c:v>
                </c:pt>
                <c:pt idx="38">
                  <c:v>0</c:v>
                </c:pt>
                <c:pt idx="39">
                  <c:v>24207</c:v>
                </c:pt>
                <c:pt idx="40">
                  <c:v>0</c:v>
                </c:pt>
                <c:pt idx="41">
                  <c:v>0</c:v>
                </c:pt>
                <c:pt idx="42">
                  <c:v>30871</c:v>
                </c:pt>
                <c:pt idx="43">
                  <c:v>0</c:v>
                </c:pt>
                <c:pt idx="44">
                  <c:v>43754</c:v>
                </c:pt>
                <c:pt idx="45">
                  <c:v>0</c:v>
                </c:pt>
                <c:pt idx="46">
                  <c:v>0</c:v>
                </c:pt>
                <c:pt idx="47">
                  <c:v>45685</c:v>
                </c:pt>
                <c:pt idx="48">
                  <c:v>0</c:v>
                </c:pt>
                <c:pt idx="49">
                  <c:v>47674</c:v>
                </c:pt>
                <c:pt idx="50">
                  <c:v>0</c:v>
                </c:pt>
                <c:pt idx="51">
                  <c:v>0</c:v>
                </c:pt>
                <c:pt idx="52">
                  <c:v>48224</c:v>
                </c:pt>
                <c:pt idx="53">
                  <c:v>0</c:v>
                </c:pt>
                <c:pt idx="54">
                  <c:v>0</c:v>
                </c:pt>
                <c:pt idx="55">
                  <c:v>54072</c:v>
                </c:pt>
                <c:pt idx="56">
                  <c:v>0</c:v>
                </c:pt>
                <c:pt idx="57">
                  <c:v>66581</c:v>
                </c:pt>
                <c:pt idx="58">
                  <c:v>0</c:v>
                </c:pt>
                <c:pt idx="59">
                  <c:v>0</c:v>
                </c:pt>
                <c:pt idx="60">
                  <c:v>73595</c:v>
                </c:pt>
                <c:pt idx="61">
                  <c:v>0</c:v>
                </c:pt>
                <c:pt idx="62">
                  <c:v>91221</c:v>
                </c:pt>
                <c:pt idx="63">
                  <c:v>0</c:v>
                </c:pt>
                <c:pt idx="64">
                  <c:v>0</c:v>
                </c:pt>
                <c:pt idx="65">
                  <c:v>88079</c:v>
                </c:pt>
                <c:pt idx="66">
                  <c:v>0</c:v>
                </c:pt>
                <c:pt idx="67">
                  <c:v>96138</c:v>
                </c:pt>
                <c:pt idx="68">
                  <c:v>0</c:v>
                </c:pt>
                <c:pt idx="69">
                  <c:v>0</c:v>
                </c:pt>
                <c:pt idx="70">
                  <c:v>95918</c:v>
                </c:pt>
                <c:pt idx="71">
                  <c:v>0</c:v>
                </c:pt>
                <c:pt idx="72">
                  <c:v>0</c:v>
                </c:pt>
                <c:pt idx="73">
                  <c:v>94414</c:v>
                </c:pt>
                <c:pt idx="74">
                  <c:v>0</c:v>
                </c:pt>
                <c:pt idx="75">
                  <c:v>92199</c:v>
                </c:pt>
                <c:pt idx="76">
                  <c:v>0</c:v>
                </c:pt>
                <c:pt idx="77">
                  <c:v>0</c:v>
                </c:pt>
                <c:pt idx="78">
                  <c:v>100860</c:v>
                </c:pt>
                <c:pt idx="79">
                  <c:v>0</c:v>
                </c:pt>
                <c:pt idx="80">
                  <c:v>91896</c:v>
                </c:pt>
                <c:pt idx="81">
                  <c:v>0</c:v>
                </c:pt>
                <c:pt idx="82">
                  <c:v>0</c:v>
                </c:pt>
                <c:pt idx="83">
                  <c:v>89474</c:v>
                </c:pt>
                <c:pt idx="84">
                  <c:v>0</c:v>
                </c:pt>
                <c:pt idx="85">
                  <c:v>0</c:v>
                </c:pt>
                <c:pt idx="86">
                  <c:v>91090</c:v>
                </c:pt>
                <c:pt idx="87">
                  <c:v>0</c:v>
                </c:pt>
                <c:pt idx="88">
                  <c:v>81957</c:v>
                </c:pt>
                <c:pt idx="89">
                  <c:v>0</c:v>
                </c:pt>
                <c:pt idx="90">
                  <c:v>0</c:v>
                </c:pt>
                <c:pt idx="91">
                  <c:v>76376</c:v>
                </c:pt>
                <c:pt idx="92">
                  <c:v>0</c:v>
                </c:pt>
                <c:pt idx="93">
                  <c:v>66210</c:v>
                </c:pt>
                <c:pt idx="94">
                  <c:v>0</c:v>
                </c:pt>
                <c:pt idx="95">
                  <c:v>0</c:v>
                </c:pt>
                <c:pt idx="96">
                  <c:v>68012</c:v>
                </c:pt>
                <c:pt idx="97">
                  <c:v>0</c:v>
                </c:pt>
                <c:pt idx="98">
                  <c:v>61803</c:v>
                </c:pt>
                <c:pt idx="99">
                  <c:v>0</c:v>
                </c:pt>
                <c:pt idx="100">
                  <c:v>0</c:v>
                </c:pt>
                <c:pt idx="101">
                  <c:v>61238</c:v>
                </c:pt>
                <c:pt idx="102">
                  <c:v>0</c:v>
                </c:pt>
                <c:pt idx="103">
                  <c:v>0</c:v>
                </c:pt>
                <c:pt idx="104">
                  <c:v>54384</c:v>
                </c:pt>
                <c:pt idx="105">
                  <c:v>0</c:v>
                </c:pt>
                <c:pt idx="106">
                  <c:v>54536</c:v>
                </c:pt>
                <c:pt idx="107">
                  <c:v>0</c:v>
                </c:pt>
                <c:pt idx="108">
                  <c:v>0</c:v>
                </c:pt>
                <c:pt idx="109">
                  <c:v>55432</c:v>
                </c:pt>
                <c:pt idx="110">
                  <c:v>0</c:v>
                </c:pt>
                <c:pt idx="111">
                  <c:v>51116</c:v>
                </c:pt>
                <c:pt idx="112">
                  <c:v>0</c:v>
                </c:pt>
                <c:pt idx="113">
                  <c:v>0</c:v>
                </c:pt>
                <c:pt idx="114">
                  <c:v>48673</c:v>
                </c:pt>
                <c:pt idx="115">
                  <c:v>0</c:v>
                </c:pt>
                <c:pt idx="116">
                  <c:v>43544</c:v>
                </c:pt>
                <c:pt idx="117">
                  <c:v>0</c:v>
                </c:pt>
                <c:pt idx="118">
                  <c:v>0</c:v>
                </c:pt>
                <c:pt idx="119">
                  <c:v>43288</c:v>
                </c:pt>
                <c:pt idx="120">
                  <c:v>0</c:v>
                </c:pt>
                <c:pt idx="121">
                  <c:v>0</c:v>
                </c:pt>
                <c:pt idx="122">
                  <c:v>39447</c:v>
                </c:pt>
                <c:pt idx="123">
                  <c:v>0</c:v>
                </c:pt>
                <c:pt idx="124">
                  <c:v>40583</c:v>
                </c:pt>
                <c:pt idx="125">
                  <c:v>0</c:v>
                </c:pt>
                <c:pt idx="126">
                  <c:v>0</c:v>
                </c:pt>
                <c:pt idx="127">
                  <c:v>40806</c:v>
                </c:pt>
                <c:pt idx="128">
                  <c:v>0</c:v>
                </c:pt>
                <c:pt idx="129">
                  <c:v>34881</c:v>
                </c:pt>
                <c:pt idx="130">
                  <c:v>0</c:v>
                </c:pt>
                <c:pt idx="131">
                  <c:v>0</c:v>
                </c:pt>
                <c:pt idx="132">
                  <c:v>34360</c:v>
                </c:pt>
                <c:pt idx="133">
                  <c:v>0</c:v>
                </c:pt>
                <c:pt idx="134">
                  <c:v>31699</c:v>
                </c:pt>
                <c:pt idx="135">
                  <c:v>0</c:v>
                </c:pt>
                <c:pt idx="136">
                  <c:v>0</c:v>
                </c:pt>
                <c:pt idx="137">
                  <c:v>27887</c:v>
                </c:pt>
                <c:pt idx="138">
                  <c:v>0</c:v>
                </c:pt>
                <c:pt idx="139">
                  <c:v>0</c:v>
                </c:pt>
                <c:pt idx="140">
                  <c:v>23356</c:v>
                </c:pt>
                <c:pt idx="141">
                  <c:v>0</c:v>
                </c:pt>
                <c:pt idx="142">
                  <c:v>21384</c:v>
                </c:pt>
                <c:pt idx="143">
                  <c:v>0</c:v>
                </c:pt>
                <c:pt idx="144">
                  <c:v>0</c:v>
                </c:pt>
                <c:pt idx="145">
                  <c:v>19761</c:v>
                </c:pt>
                <c:pt idx="146">
                  <c:v>0</c:v>
                </c:pt>
                <c:pt idx="147">
                  <c:v>17168</c:v>
                </c:pt>
                <c:pt idx="148">
                  <c:v>0</c:v>
                </c:pt>
                <c:pt idx="149">
                  <c:v>0</c:v>
                </c:pt>
                <c:pt idx="150">
                  <c:v>12702</c:v>
                </c:pt>
                <c:pt idx="151">
                  <c:v>0</c:v>
                </c:pt>
                <c:pt idx="152">
                  <c:v>13687</c:v>
                </c:pt>
                <c:pt idx="153">
                  <c:v>0</c:v>
                </c:pt>
                <c:pt idx="154">
                  <c:v>0</c:v>
                </c:pt>
                <c:pt idx="155">
                  <c:v>13114</c:v>
                </c:pt>
                <c:pt idx="156">
                  <c:v>0</c:v>
                </c:pt>
                <c:pt idx="157">
                  <c:v>0</c:v>
                </c:pt>
                <c:pt idx="158">
                  <c:v>13394</c:v>
                </c:pt>
                <c:pt idx="159">
                  <c:v>0</c:v>
                </c:pt>
                <c:pt idx="160">
                  <c:v>9813</c:v>
                </c:pt>
                <c:pt idx="161">
                  <c:v>0</c:v>
                </c:pt>
                <c:pt idx="162">
                  <c:v>0</c:v>
                </c:pt>
                <c:pt idx="163">
                  <c:v>9125</c:v>
                </c:pt>
                <c:pt idx="164">
                  <c:v>0</c:v>
                </c:pt>
                <c:pt idx="165">
                  <c:v>8780</c:v>
                </c:pt>
                <c:pt idx="166">
                  <c:v>0</c:v>
                </c:pt>
                <c:pt idx="167">
                  <c:v>0</c:v>
                </c:pt>
                <c:pt idx="168">
                  <c:v>8663</c:v>
                </c:pt>
                <c:pt idx="169">
                  <c:v>0</c:v>
                </c:pt>
                <c:pt idx="170">
                  <c:v>0</c:v>
                </c:pt>
                <c:pt idx="171">
                  <c:v>6727</c:v>
                </c:pt>
                <c:pt idx="172">
                  <c:v>0</c:v>
                </c:pt>
                <c:pt idx="173">
                  <c:v>6646</c:v>
                </c:pt>
                <c:pt idx="174">
                  <c:v>0</c:v>
                </c:pt>
                <c:pt idx="175">
                  <c:v>0</c:v>
                </c:pt>
                <c:pt idx="176">
                  <c:v>5719</c:v>
                </c:pt>
                <c:pt idx="177">
                  <c:v>0</c:v>
                </c:pt>
                <c:pt idx="178">
                  <c:v>5553</c:v>
                </c:pt>
                <c:pt idx="179">
                  <c:v>0</c:v>
                </c:pt>
                <c:pt idx="180">
                  <c:v>0</c:v>
                </c:pt>
                <c:pt idx="181">
                  <c:v>4528</c:v>
                </c:pt>
                <c:pt idx="182">
                  <c:v>0</c:v>
                </c:pt>
                <c:pt idx="183">
                  <c:v>3533</c:v>
                </c:pt>
                <c:pt idx="184">
                  <c:v>0</c:v>
                </c:pt>
                <c:pt idx="185">
                  <c:v>0</c:v>
                </c:pt>
                <c:pt idx="186">
                  <c:v>2256</c:v>
                </c:pt>
                <c:pt idx="187">
                  <c:v>0</c:v>
                </c:pt>
                <c:pt idx="188">
                  <c:v>0</c:v>
                </c:pt>
                <c:pt idx="189">
                  <c:v>1736</c:v>
                </c:pt>
                <c:pt idx="190">
                  <c:v>0</c:v>
                </c:pt>
                <c:pt idx="191">
                  <c:v>741</c:v>
                </c:pt>
                <c:pt idx="192">
                  <c:v>0</c:v>
                </c:pt>
                <c:pt idx="193">
                  <c:v>0</c:v>
                </c:pt>
                <c:pt idx="194">
                  <c:v>145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0.30204738469753711</c:v>
                </c:pt>
                <c:pt idx="1">
                  <c:v>0.30361613456579584</c:v>
                </c:pt>
                <c:pt idx="2">
                  <c:v>0.39433648073666705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0.53191173428484417</c:v>
                </c:pt>
                <c:pt idx="1">
                  <c:v>0.26168776285147854</c:v>
                </c:pt>
                <c:pt idx="2">
                  <c:v>0.20640050286367725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7.8978850000000005</c:v>
                </c:pt>
                <c:pt idx="1">
                  <c:v>10.657990000000002</c:v>
                </c:pt>
                <c:pt idx="2">
                  <c:v>25.37585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  <c:pt idx="74">
                  <c:v>30.063800000000001</c:v>
                </c:pt>
                <c:pt idx="75">
                  <c:v>30.4895</c:v>
                </c:pt>
                <c:pt idx="76">
                  <c:v>30.890899999999998</c:v>
                </c:pt>
                <c:pt idx="77">
                  <c:v>31.298400000000001</c:v>
                </c:pt>
                <c:pt idx="78">
                  <c:v>31.6982</c:v>
                </c:pt>
                <c:pt idx="79">
                  <c:v>32.112099999999998</c:v>
                </c:pt>
                <c:pt idx="80">
                  <c:v>32.519500000000001</c:v>
                </c:pt>
                <c:pt idx="81">
                  <c:v>32.922899999999998</c:v>
                </c:pt>
                <c:pt idx="82">
                  <c:v>33.3309</c:v>
                </c:pt>
                <c:pt idx="83">
                  <c:v>33.736899999999999</c:v>
                </c:pt>
                <c:pt idx="84">
                  <c:v>34.139899999999997</c:v>
                </c:pt>
                <c:pt idx="85">
                  <c:v>34.551699999999997</c:v>
                </c:pt>
                <c:pt idx="86">
                  <c:v>34.956499999999998</c:v>
                </c:pt>
                <c:pt idx="87">
                  <c:v>35.359499999999997</c:v>
                </c:pt>
                <c:pt idx="88">
                  <c:v>35.764400000000002</c:v>
                </c:pt>
                <c:pt idx="89">
                  <c:v>36.174399999999999</c:v>
                </c:pt>
                <c:pt idx="90">
                  <c:v>36.583100000000002</c:v>
                </c:pt>
                <c:pt idx="91">
                  <c:v>36.9846</c:v>
                </c:pt>
                <c:pt idx="92">
                  <c:v>37.388100000000001</c:v>
                </c:pt>
                <c:pt idx="93">
                  <c:v>37.796399999999998</c:v>
                </c:pt>
                <c:pt idx="94">
                  <c:v>38.203099999999999</c:v>
                </c:pt>
                <c:pt idx="95">
                  <c:v>38.607700000000001</c:v>
                </c:pt>
                <c:pt idx="96">
                  <c:v>39.015700000000002</c:v>
                </c:pt>
                <c:pt idx="97">
                  <c:v>39.422600000000003</c:v>
                </c:pt>
                <c:pt idx="98">
                  <c:v>39.825400000000002</c:v>
                </c:pt>
                <c:pt idx="99">
                  <c:v>40.232700000000001</c:v>
                </c:pt>
                <c:pt idx="100">
                  <c:v>40.642299999999999</c:v>
                </c:pt>
                <c:pt idx="101">
                  <c:v>41.0473</c:v>
                </c:pt>
                <c:pt idx="102">
                  <c:v>41.453099999999999</c:v>
                </c:pt>
                <c:pt idx="103">
                  <c:v>41.857999999999997</c:v>
                </c:pt>
                <c:pt idx="104">
                  <c:v>42.264099999999999</c:v>
                </c:pt>
                <c:pt idx="105">
                  <c:v>42.669899999999998</c:v>
                </c:pt>
                <c:pt idx="106">
                  <c:v>43.080100000000002</c:v>
                </c:pt>
                <c:pt idx="107">
                  <c:v>43.483699999999999</c:v>
                </c:pt>
                <c:pt idx="108">
                  <c:v>43.889600000000002</c:v>
                </c:pt>
                <c:pt idx="109">
                  <c:v>44.295499999999997</c:v>
                </c:pt>
                <c:pt idx="110">
                  <c:v>44.703499999999998</c:v>
                </c:pt>
                <c:pt idx="111">
                  <c:v>45.110500000000002</c:v>
                </c:pt>
                <c:pt idx="112">
                  <c:v>45.515300000000003</c:v>
                </c:pt>
                <c:pt idx="113">
                  <c:v>45.921100000000003</c:v>
                </c:pt>
                <c:pt idx="114">
                  <c:v>46.326099999999997</c:v>
                </c:pt>
                <c:pt idx="115">
                  <c:v>46.734000000000002</c:v>
                </c:pt>
                <c:pt idx="116">
                  <c:v>47.140999999999998</c:v>
                </c:pt>
                <c:pt idx="117">
                  <c:v>47.5488</c:v>
                </c:pt>
                <c:pt idx="118">
                  <c:v>47.953699999999998</c:v>
                </c:pt>
                <c:pt idx="119">
                  <c:v>48.357599999999998</c:v>
                </c:pt>
                <c:pt idx="120">
                  <c:v>48.762900000000002</c:v>
                </c:pt>
                <c:pt idx="121">
                  <c:v>49.169499999999999</c:v>
                </c:pt>
                <c:pt idx="122">
                  <c:v>49.580500000000001</c:v>
                </c:pt>
                <c:pt idx="123">
                  <c:v>49.984299999999998</c:v>
                </c:pt>
                <c:pt idx="124">
                  <c:v>50.389200000000002</c:v>
                </c:pt>
                <c:pt idx="125">
                  <c:v>50.798999999999999</c:v>
                </c:pt>
                <c:pt idx="126">
                  <c:v>51.203000000000003</c:v>
                </c:pt>
                <c:pt idx="127">
                  <c:v>51.608899999999998</c:v>
                </c:pt>
                <c:pt idx="128">
                  <c:v>52.015799999999999</c:v>
                </c:pt>
                <c:pt idx="129">
                  <c:v>52.419800000000002</c:v>
                </c:pt>
                <c:pt idx="130">
                  <c:v>52.828800000000001</c:v>
                </c:pt>
                <c:pt idx="131">
                  <c:v>53.2376</c:v>
                </c:pt>
                <c:pt idx="132">
                  <c:v>53.642499999999998</c:v>
                </c:pt>
                <c:pt idx="133">
                  <c:v>54.046599999999998</c:v>
                </c:pt>
                <c:pt idx="134">
                  <c:v>54.450499999999998</c:v>
                </c:pt>
                <c:pt idx="135">
                  <c:v>54.856499999999997</c:v>
                </c:pt>
                <c:pt idx="136">
                  <c:v>55.2652</c:v>
                </c:pt>
                <c:pt idx="137">
                  <c:v>55.6691</c:v>
                </c:pt>
                <c:pt idx="138">
                  <c:v>56.076099999999997</c:v>
                </c:pt>
                <c:pt idx="139">
                  <c:v>56.482900000000001</c:v>
                </c:pt>
                <c:pt idx="140">
                  <c:v>56.888800000000003</c:v>
                </c:pt>
                <c:pt idx="141">
                  <c:v>57.2928</c:v>
                </c:pt>
                <c:pt idx="142">
                  <c:v>57.702599999999997</c:v>
                </c:pt>
                <c:pt idx="143">
                  <c:v>58.107999999999997</c:v>
                </c:pt>
                <c:pt idx="144">
                  <c:v>58.519500000000001</c:v>
                </c:pt>
                <c:pt idx="145">
                  <c:v>58.923400000000001</c:v>
                </c:pt>
                <c:pt idx="146">
                  <c:v>59.327300000000001</c:v>
                </c:pt>
                <c:pt idx="147">
                  <c:v>59.734299999999998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  <c:pt idx="74">
                  <c:v>3.5079599999999997</c:v>
                </c:pt>
                <c:pt idx="75">
                  <c:v>3.5280699999999996</c:v>
                </c:pt>
                <c:pt idx="76">
                  <c:v>3.5497399999999999</c:v>
                </c:pt>
                <c:pt idx="77">
                  <c:v>3.5691600000000001</c:v>
                </c:pt>
                <c:pt idx="78">
                  <c:v>3.5873500000000003</c:v>
                </c:pt>
                <c:pt idx="79">
                  <c:v>3.6053600000000001</c:v>
                </c:pt>
                <c:pt idx="80">
                  <c:v>3.6195200000000001</c:v>
                </c:pt>
                <c:pt idx="81">
                  <c:v>3.6345999999999998</c:v>
                </c:pt>
                <c:pt idx="82">
                  <c:v>3.6507899999999998</c:v>
                </c:pt>
                <c:pt idx="83">
                  <c:v>3.6670599999999998</c:v>
                </c:pt>
                <c:pt idx="84">
                  <c:v>3.6844000000000001</c:v>
                </c:pt>
                <c:pt idx="85">
                  <c:v>3.69875</c:v>
                </c:pt>
                <c:pt idx="86">
                  <c:v>3.7110500000000002</c:v>
                </c:pt>
                <c:pt idx="87">
                  <c:v>3.7220900000000001</c:v>
                </c:pt>
                <c:pt idx="88">
                  <c:v>3.7322100000000002</c:v>
                </c:pt>
                <c:pt idx="89">
                  <c:v>3.7402800000000003</c:v>
                </c:pt>
                <c:pt idx="90">
                  <c:v>3.7469000000000001</c:v>
                </c:pt>
                <c:pt idx="91">
                  <c:v>3.7494399999999999</c:v>
                </c:pt>
                <c:pt idx="92">
                  <c:v>3.7494899999999998</c:v>
                </c:pt>
                <c:pt idx="93">
                  <c:v>3.7473400000000003</c:v>
                </c:pt>
                <c:pt idx="94">
                  <c:v>3.7400699999999998</c:v>
                </c:pt>
                <c:pt idx="95">
                  <c:v>3.7279600000000004</c:v>
                </c:pt>
                <c:pt idx="96">
                  <c:v>3.7108000000000003</c:v>
                </c:pt>
                <c:pt idx="97">
                  <c:v>3.6940200000000001</c:v>
                </c:pt>
                <c:pt idx="98">
                  <c:v>3.6752099999999999</c:v>
                </c:pt>
                <c:pt idx="99">
                  <c:v>3.6547800000000001</c:v>
                </c:pt>
                <c:pt idx="100">
                  <c:v>3.6350300000000004</c:v>
                </c:pt>
                <c:pt idx="101">
                  <c:v>3.61395</c:v>
                </c:pt>
                <c:pt idx="102">
                  <c:v>3.59368</c:v>
                </c:pt>
                <c:pt idx="103">
                  <c:v>3.5720800000000001</c:v>
                </c:pt>
                <c:pt idx="104">
                  <c:v>3.5498099999999999</c:v>
                </c:pt>
                <c:pt idx="105">
                  <c:v>3.5291600000000001</c:v>
                </c:pt>
                <c:pt idx="106">
                  <c:v>3.5067900000000001</c:v>
                </c:pt>
                <c:pt idx="107">
                  <c:v>3.4849400000000004</c:v>
                </c:pt>
                <c:pt idx="108">
                  <c:v>3.4637000000000002</c:v>
                </c:pt>
                <c:pt idx="109">
                  <c:v>3.4400900000000001</c:v>
                </c:pt>
                <c:pt idx="110">
                  <c:v>3.4185100000000004</c:v>
                </c:pt>
                <c:pt idx="111">
                  <c:v>3.3982200000000002</c:v>
                </c:pt>
                <c:pt idx="112">
                  <c:v>3.3765000000000001</c:v>
                </c:pt>
                <c:pt idx="113">
                  <c:v>3.3534000000000002</c:v>
                </c:pt>
                <c:pt idx="114">
                  <c:v>3.3316699999999999</c:v>
                </c:pt>
                <c:pt idx="115">
                  <c:v>3.3102199999999997</c:v>
                </c:pt>
                <c:pt idx="116">
                  <c:v>3.2906900000000001</c:v>
                </c:pt>
                <c:pt idx="117">
                  <c:v>3.2743899999999999</c:v>
                </c:pt>
                <c:pt idx="118">
                  <c:v>3.2607499999999998</c:v>
                </c:pt>
                <c:pt idx="119">
                  <c:v>3.2504200000000001</c:v>
                </c:pt>
                <c:pt idx="120">
                  <c:v>3.24139</c:v>
                </c:pt>
                <c:pt idx="121">
                  <c:v>3.2373800000000004</c:v>
                </c:pt>
                <c:pt idx="122">
                  <c:v>3.2337799999999999</c:v>
                </c:pt>
                <c:pt idx="123">
                  <c:v>3.2271800000000002</c:v>
                </c:pt>
                <c:pt idx="124">
                  <c:v>3.2292300000000003</c:v>
                </c:pt>
                <c:pt idx="125">
                  <c:v>3.2284099999999998</c:v>
                </c:pt>
                <c:pt idx="126">
                  <c:v>3.2283200000000001</c:v>
                </c:pt>
                <c:pt idx="127">
                  <c:v>3.2286900000000003</c:v>
                </c:pt>
                <c:pt idx="128">
                  <c:v>3.23102</c:v>
                </c:pt>
                <c:pt idx="129">
                  <c:v>3.23306</c:v>
                </c:pt>
                <c:pt idx="130">
                  <c:v>3.2355800000000001</c:v>
                </c:pt>
                <c:pt idx="131">
                  <c:v>3.2362899999999999</c:v>
                </c:pt>
                <c:pt idx="132">
                  <c:v>3.2331300000000001</c:v>
                </c:pt>
                <c:pt idx="133">
                  <c:v>3.2282699999999998</c:v>
                </c:pt>
                <c:pt idx="134">
                  <c:v>3.2231100000000001</c:v>
                </c:pt>
                <c:pt idx="135">
                  <c:v>3.2170999999999998</c:v>
                </c:pt>
                <c:pt idx="136">
                  <c:v>3.2112099999999999</c:v>
                </c:pt>
                <c:pt idx="137">
                  <c:v>3.2071399999999999</c:v>
                </c:pt>
                <c:pt idx="138">
                  <c:v>3.2037300000000002</c:v>
                </c:pt>
                <c:pt idx="139">
                  <c:v>3.1980599999999999</c:v>
                </c:pt>
                <c:pt idx="140">
                  <c:v>3.19075</c:v>
                </c:pt>
                <c:pt idx="141">
                  <c:v>3.1812800000000001</c:v>
                </c:pt>
                <c:pt idx="142">
                  <c:v>3.1636500000000001</c:v>
                </c:pt>
                <c:pt idx="143">
                  <c:v>3.14263</c:v>
                </c:pt>
                <c:pt idx="144">
                  <c:v>3.1196600000000001</c:v>
                </c:pt>
                <c:pt idx="145">
                  <c:v>3.09626</c:v>
                </c:pt>
                <c:pt idx="146">
                  <c:v>3.0658600000000003</c:v>
                </c:pt>
                <c:pt idx="147">
                  <c:v>3.0195100000000004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30.063800000000001</c:v>
                </c:pt>
                <c:pt idx="2">
                  <c:v>30.4895</c:v>
                </c:pt>
                <c:pt idx="3">
                  <c:v>30.890899999999998</c:v>
                </c:pt>
                <c:pt idx="4">
                  <c:v>31.298400000000001</c:v>
                </c:pt>
                <c:pt idx="5">
                  <c:v>31.6982</c:v>
                </c:pt>
                <c:pt idx="6">
                  <c:v>32.112099999999998</c:v>
                </c:pt>
                <c:pt idx="7">
                  <c:v>32.519500000000001</c:v>
                </c:pt>
                <c:pt idx="8">
                  <c:v>32.922899999999998</c:v>
                </c:pt>
                <c:pt idx="9">
                  <c:v>33.3309</c:v>
                </c:pt>
                <c:pt idx="10">
                  <c:v>33.736899999999999</c:v>
                </c:pt>
                <c:pt idx="11">
                  <c:v>34.139899999999997</c:v>
                </c:pt>
                <c:pt idx="12">
                  <c:v>34.551699999999997</c:v>
                </c:pt>
                <c:pt idx="13">
                  <c:v>34.956499999999998</c:v>
                </c:pt>
                <c:pt idx="14">
                  <c:v>35.359499999999997</c:v>
                </c:pt>
                <c:pt idx="15">
                  <c:v>35.764400000000002</c:v>
                </c:pt>
                <c:pt idx="16">
                  <c:v>36.174399999999999</c:v>
                </c:pt>
                <c:pt idx="17">
                  <c:v>36.583100000000002</c:v>
                </c:pt>
                <c:pt idx="18">
                  <c:v>36.9846</c:v>
                </c:pt>
                <c:pt idx="19">
                  <c:v>37.388100000000001</c:v>
                </c:pt>
                <c:pt idx="20">
                  <c:v>37.796399999999998</c:v>
                </c:pt>
                <c:pt idx="21">
                  <c:v>38.203099999999999</c:v>
                </c:pt>
                <c:pt idx="22">
                  <c:v>38.607700000000001</c:v>
                </c:pt>
                <c:pt idx="23">
                  <c:v>39.015700000000002</c:v>
                </c:pt>
                <c:pt idx="24">
                  <c:v>39.422600000000003</c:v>
                </c:pt>
                <c:pt idx="25">
                  <c:v>39.825400000000002</c:v>
                </c:pt>
                <c:pt idx="26">
                  <c:v>40.232700000000001</c:v>
                </c:pt>
                <c:pt idx="27">
                  <c:v>40.642299999999999</c:v>
                </c:pt>
                <c:pt idx="28">
                  <c:v>41.0473</c:v>
                </c:pt>
                <c:pt idx="29">
                  <c:v>41.453099999999999</c:v>
                </c:pt>
                <c:pt idx="30">
                  <c:v>41.857999999999997</c:v>
                </c:pt>
                <c:pt idx="31">
                  <c:v>42.264099999999999</c:v>
                </c:pt>
                <c:pt idx="32">
                  <c:v>42.669899999999998</c:v>
                </c:pt>
                <c:pt idx="33">
                  <c:v>43.080100000000002</c:v>
                </c:pt>
                <c:pt idx="34">
                  <c:v>43.483699999999999</c:v>
                </c:pt>
                <c:pt idx="35">
                  <c:v>43.889600000000002</c:v>
                </c:pt>
                <c:pt idx="36">
                  <c:v>44.295499999999997</c:v>
                </c:pt>
                <c:pt idx="37">
                  <c:v>44.703499999999998</c:v>
                </c:pt>
                <c:pt idx="38">
                  <c:v>45.110500000000002</c:v>
                </c:pt>
                <c:pt idx="39">
                  <c:v>45.515300000000003</c:v>
                </c:pt>
                <c:pt idx="40">
                  <c:v>45.921100000000003</c:v>
                </c:pt>
                <c:pt idx="41">
                  <c:v>46.326099999999997</c:v>
                </c:pt>
                <c:pt idx="42">
                  <c:v>46.734000000000002</c:v>
                </c:pt>
                <c:pt idx="43">
                  <c:v>47.140999999999998</c:v>
                </c:pt>
                <c:pt idx="44">
                  <c:v>47.5488</c:v>
                </c:pt>
                <c:pt idx="45">
                  <c:v>47.953699999999998</c:v>
                </c:pt>
                <c:pt idx="46">
                  <c:v>48.357599999999998</c:v>
                </c:pt>
                <c:pt idx="47">
                  <c:v>48.762900000000002</c:v>
                </c:pt>
                <c:pt idx="48">
                  <c:v>49.169499999999999</c:v>
                </c:pt>
                <c:pt idx="49">
                  <c:v>49.580500000000001</c:v>
                </c:pt>
                <c:pt idx="50">
                  <c:v>49.984299999999998</c:v>
                </c:pt>
                <c:pt idx="51">
                  <c:v>50.389200000000002</c:v>
                </c:pt>
                <c:pt idx="52">
                  <c:v>50.798999999999999</c:v>
                </c:pt>
                <c:pt idx="53">
                  <c:v>51.203000000000003</c:v>
                </c:pt>
                <c:pt idx="54">
                  <c:v>51.608899999999998</c:v>
                </c:pt>
                <c:pt idx="55">
                  <c:v>52.015799999999999</c:v>
                </c:pt>
                <c:pt idx="56">
                  <c:v>52.419800000000002</c:v>
                </c:pt>
                <c:pt idx="57">
                  <c:v>52.828800000000001</c:v>
                </c:pt>
                <c:pt idx="58">
                  <c:v>53.2376</c:v>
                </c:pt>
                <c:pt idx="59">
                  <c:v>53.642499999999998</c:v>
                </c:pt>
                <c:pt idx="60">
                  <c:v>54.046599999999998</c:v>
                </c:pt>
                <c:pt idx="61">
                  <c:v>54.450499999999998</c:v>
                </c:pt>
                <c:pt idx="62">
                  <c:v>54.856499999999997</c:v>
                </c:pt>
                <c:pt idx="63">
                  <c:v>55.2652</c:v>
                </c:pt>
                <c:pt idx="64">
                  <c:v>55.6691</c:v>
                </c:pt>
                <c:pt idx="65">
                  <c:v>56.076099999999997</c:v>
                </c:pt>
                <c:pt idx="66">
                  <c:v>56.482900000000001</c:v>
                </c:pt>
                <c:pt idx="67">
                  <c:v>56.888800000000003</c:v>
                </c:pt>
                <c:pt idx="68">
                  <c:v>57.2928</c:v>
                </c:pt>
                <c:pt idx="69">
                  <c:v>57.702599999999997</c:v>
                </c:pt>
                <c:pt idx="70">
                  <c:v>58.107999999999997</c:v>
                </c:pt>
                <c:pt idx="71">
                  <c:v>58.519500000000001</c:v>
                </c:pt>
                <c:pt idx="72">
                  <c:v>58.923400000000001</c:v>
                </c:pt>
                <c:pt idx="73">
                  <c:v>59.327300000000001</c:v>
                </c:pt>
                <c:pt idx="74">
                  <c:v>59.734299999999998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3.4872100000000001</c:v>
                </c:pt>
                <c:pt idx="1">
                  <c:v>3.5079599999999997</c:v>
                </c:pt>
                <c:pt idx="2">
                  <c:v>3.5280699999999996</c:v>
                </c:pt>
                <c:pt idx="3">
                  <c:v>3.5497399999999999</c:v>
                </c:pt>
                <c:pt idx="4">
                  <c:v>3.5691600000000001</c:v>
                </c:pt>
                <c:pt idx="5">
                  <c:v>3.5873500000000003</c:v>
                </c:pt>
                <c:pt idx="6">
                  <c:v>3.6053600000000001</c:v>
                </c:pt>
                <c:pt idx="7">
                  <c:v>3.6195200000000001</c:v>
                </c:pt>
                <c:pt idx="8">
                  <c:v>3.6345999999999998</c:v>
                </c:pt>
                <c:pt idx="9">
                  <c:v>3.6507899999999998</c:v>
                </c:pt>
                <c:pt idx="10">
                  <c:v>3.6670599999999998</c:v>
                </c:pt>
                <c:pt idx="11">
                  <c:v>3.6844000000000001</c:v>
                </c:pt>
                <c:pt idx="12">
                  <c:v>3.69875</c:v>
                </c:pt>
                <c:pt idx="13">
                  <c:v>3.7110500000000002</c:v>
                </c:pt>
                <c:pt idx="14">
                  <c:v>3.7220900000000001</c:v>
                </c:pt>
                <c:pt idx="15">
                  <c:v>3.7322100000000002</c:v>
                </c:pt>
                <c:pt idx="16">
                  <c:v>3.7402800000000003</c:v>
                </c:pt>
                <c:pt idx="17">
                  <c:v>3.7469000000000001</c:v>
                </c:pt>
                <c:pt idx="18">
                  <c:v>3.7494399999999999</c:v>
                </c:pt>
                <c:pt idx="19">
                  <c:v>3.7494899999999998</c:v>
                </c:pt>
                <c:pt idx="20">
                  <c:v>3.7473400000000003</c:v>
                </c:pt>
                <c:pt idx="21">
                  <c:v>3.7400699999999998</c:v>
                </c:pt>
                <c:pt idx="22">
                  <c:v>3.7279600000000004</c:v>
                </c:pt>
                <c:pt idx="23">
                  <c:v>3.7108000000000003</c:v>
                </c:pt>
                <c:pt idx="24">
                  <c:v>3.6940200000000001</c:v>
                </c:pt>
                <c:pt idx="25">
                  <c:v>3.6752099999999999</c:v>
                </c:pt>
                <c:pt idx="26">
                  <c:v>3.6547800000000001</c:v>
                </c:pt>
                <c:pt idx="27">
                  <c:v>3.6350300000000004</c:v>
                </c:pt>
                <c:pt idx="28">
                  <c:v>3.61395</c:v>
                </c:pt>
                <c:pt idx="29">
                  <c:v>3.59368</c:v>
                </c:pt>
                <c:pt idx="30">
                  <c:v>3.5720800000000001</c:v>
                </c:pt>
                <c:pt idx="31">
                  <c:v>3.5498099999999999</c:v>
                </c:pt>
                <c:pt idx="32">
                  <c:v>3.5291600000000001</c:v>
                </c:pt>
                <c:pt idx="33">
                  <c:v>3.5067900000000001</c:v>
                </c:pt>
                <c:pt idx="34">
                  <c:v>3.4849400000000004</c:v>
                </c:pt>
                <c:pt idx="35">
                  <c:v>3.4637000000000002</c:v>
                </c:pt>
                <c:pt idx="36">
                  <c:v>3.4400900000000001</c:v>
                </c:pt>
                <c:pt idx="37">
                  <c:v>3.4185100000000004</c:v>
                </c:pt>
                <c:pt idx="38">
                  <c:v>3.3982200000000002</c:v>
                </c:pt>
                <c:pt idx="39">
                  <c:v>3.3765000000000001</c:v>
                </c:pt>
                <c:pt idx="40">
                  <c:v>3.3534000000000002</c:v>
                </c:pt>
                <c:pt idx="41">
                  <c:v>3.3316699999999999</c:v>
                </c:pt>
                <c:pt idx="42">
                  <c:v>3.3102199999999997</c:v>
                </c:pt>
                <c:pt idx="43">
                  <c:v>3.2906900000000001</c:v>
                </c:pt>
                <c:pt idx="44">
                  <c:v>3.2743899999999999</c:v>
                </c:pt>
                <c:pt idx="45">
                  <c:v>3.2607499999999998</c:v>
                </c:pt>
                <c:pt idx="46">
                  <c:v>3.2504200000000001</c:v>
                </c:pt>
                <c:pt idx="47">
                  <c:v>3.24139</c:v>
                </c:pt>
                <c:pt idx="48">
                  <c:v>3.2373800000000004</c:v>
                </c:pt>
                <c:pt idx="49">
                  <c:v>3.2337799999999999</c:v>
                </c:pt>
                <c:pt idx="50">
                  <c:v>3.2271800000000002</c:v>
                </c:pt>
                <c:pt idx="51">
                  <c:v>3.2292300000000003</c:v>
                </c:pt>
                <c:pt idx="52">
                  <c:v>3.2284099999999998</c:v>
                </c:pt>
                <c:pt idx="53">
                  <c:v>3.2283200000000001</c:v>
                </c:pt>
                <c:pt idx="54">
                  <c:v>3.2286900000000003</c:v>
                </c:pt>
                <c:pt idx="55">
                  <c:v>3.23102</c:v>
                </c:pt>
                <c:pt idx="56">
                  <c:v>3.23306</c:v>
                </c:pt>
                <c:pt idx="57">
                  <c:v>3.2355800000000001</c:v>
                </c:pt>
                <c:pt idx="58">
                  <c:v>3.2362899999999999</c:v>
                </c:pt>
                <c:pt idx="59">
                  <c:v>3.2331300000000001</c:v>
                </c:pt>
                <c:pt idx="60">
                  <c:v>3.2282699999999998</c:v>
                </c:pt>
                <c:pt idx="61">
                  <c:v>3.2231100000000001</c:v>
                </c:pt>
                <c:pt idx="62">
                  <c:v>3.2170999999999998</c:v>
                </c:pt>
                <c:pt idx="63">
                  <c:v>3.2112099999999999</c:v>
                </c:pt>
                <c:pt idx="64">
                  <c:v>3.2071399999999999</c:v>
                </c:pt>
                <c:pt idx="65">
                  <c:v>3.2037300000000002</c:v>
                </c:pt>
                <c:pt idx="66">
                  <c:v>3.1980599999999999</c:v>
                </c:pt>
                <c:pt idx="67">
                  <c:v>3.19075</c:v>
                </c:pt>
                <c:pt idx="68">
                  <c:v>3.1812800000000001</c:v>
                </c:pt>
                <c:pt idx="69">
                  <c:v>3.1636500000000001</c:v>
                </c:pt>
                <c:pt idx="70">
                  <c:v>3.14263</c:v>
                </c:pt>
                <c:pt idx="71">
                  <c:v>3.1196600000000001</c:v>
                </c:pt>
                <c:pt idx="72">
                  <c:v>3.09626</c:v>
                </c:pt>
                <c:pt idx="73">
                  <c:v>3.0658600000000003</c:v>
                </c:pt>
                <c:pt idx="74">
                  <c:v>3.0195100000000004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14.933574999999999</c:v>
                </c:pt>
                <c:pt idx="1">
                  <c:v>44.800725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3.3620274324324324</c:v>
                </c:pt>
                <c:pt idx="1">
                  <c:v>3.4263524324324326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  <c:pt idx="74">
                  <c:v>30.063800000000001</c:v>
                </c:pt>
                <c:pt idx="75">
                  <c:v>30.4895</c:v>
                </c:pt>
                <c:pt idx="76">
                  <c:v>30.890899999999998</c:v>
                </c:pt>
                <c:pt idx="77">
                  <c:v>31.298400000000001</c:v>
                </c:pt>
                <c:pt idx="78">
                  <c:v>31.6982</c:v>
                </c:pt>
                <c:pt idx="79">
                  <c:v>32.112099999999998</c:v>
                </c:pt>
                <c:pt idx="80">
                  <c:v>32.519500000000001</c:v>
                </c:pt>
                <c:pt idx="81">
                  <c:v>32.922899999999998</c:v>
                </c:pt>
                <c:pt idx="82">
                  <c:v>33.3309</c:v>
                </c:pt>
                <c:pt idx="83">
                  <c:v>33.736899999999999</c:v>
                </c:pt>
                <c:pt idx="84">
                  <c:v>34.139899999999997</c:v>
                </c:pt>
                <c:pt idx="85">
                  <c:v>34.551699999999997</c:v>
                </c:pt>
                <c:pt idx="86">
                  <c:v>34.956499999999998</c:v>
                </c:pt>
                <c:pt idx="87">
                  <c:v>35.359499999999997</c:v>
                </c:pt>
                <c:pt idx="88">
                  <c:v>35.764400000000002</c:v>
                </c:pt>
                <c:pt idx="89">
                  <c:v>36.174399999999999</c:v>
                </c:pt>
                <c:pt idx="90">
                  <c:v>36.583100000000002</c:v>
                </c:pt>
                <c:pt idx="91">
                  <c:v>36.9846</c:v>
                </c:pt>
                <c:pt idx="92">
                  <c:v>37.388100000000001</c:v>
                </c:pt>
                <c:pt idx="93">
                  <c:v>37.796399999999998</c:v>
                </c:pt>
                <c:pt idx="94">
                  <c:v>38.203099999999999</c:v>
                </c:pt>
                <c:pt idx="95">
                  <c:v>38.607700000000001</c:v>
                </c:pt>
                <c:pt idx="96">
                  <c:v>39.015700000000002</c:v>
                </c:pt>
                <c:pt idx="97">
                  <c:v>39.422600000000003</c:v>
                </c:pt>
                <c:pt idx="98">
                  <c:v>39.825400000000002</c:v>
                </c:pt>
                <c:pt idx="99">
                  <c:v>40.232700000000001</c:v>
                </c:pt>
                <c:pt idx="100">
                  <c:v>40.642299999999999</c:v>
                </c:pt>
                <c:pt idx="101">
                  <c:v>41.0473</c:v>
                </c:pt>
                <c:pt idx="102">
                  <c:v>41.453099999999999</c:v>
                </c:pt>
                <c:pt idx="103">
                  <c:v>41.857999999999997</c:v>
                </c:pt>
                <c:pt idx="104">
                  <c:v>42.264099999999999</c:v>
                </c:pt>
                <c:pt idx="105">
                  <c:v>42.669899999999998</c:v>
                </c:pt>
                <c:pt idx="106">
                  <c:v>43.080100000000002</c:v>
                </c:pt>
                <c:pt idx="107">
                  <c:v>43.483699999999999</c:v>
                </c:pt>
                <c:pt idx="108">
                  <c:v>43.889600000000002</c:v>
                </c:pt>
                <c:pt idx="109">
                  <c:v>44.295499999999997</c:v>
                </c:pt>
                <c:pt idx="110">
                  <c:v>44.703499999999998</c:v>
                </c:pt>
                <c:pt idx="111">
                  <c:v>45.110500000000002</c:v>
                </c:pt>
                <c:pt idx="112">
                  <c:v>45.515300000000003</c:v>
                </c:pt>
                <c:pt idx="113">
                  <c:v>45.921100000000003</c:v>
                </c:pt>
                <c:pt idx="114">
                  <c:v>46.326099999999997</c:v>
                </c:pt>
                <c:pt idx="115">
                  <c:v>46.734000000000002</c:v>
                </c:pt>
                <c:pt idx="116">
                  <c:v>47.140999999999998</c:v>
                </c:pt>
                <c:pt idx="117">
                  <c:v>47.5488</c:v>
                </c:pt>
                <c:pt idx="118">
                  <c:v>47.953699999999998</c:v>
                </c:pt>
                <c:pt idx="119">
                  <c:v>48.357599999999998</c:v>
                </c:pt>
                <c:pt idx="120">
                  <c:v>48.762900000000002</c:v>
                </c:pt>
                <c:pt idx="121">
                  <c:v>49.169499999999999</c:v>
                </c:pt>
                <c:pt idx="122">
                  <c:v>49.580500000000001</c:v>
                </c:pt>
                <c:pt idx="123">
                  <c:v>49.984299999999998</c:v>
                </c:pt>
                <c:pt idx="124">
                  <c:v>50.389200000000002</c:v>
                </c:pt>
                <c:pt idx="125">
                  <c:v>50.798999999999999</c:v>
                </c:pt>
                <c:pt idx="126">
                  <c:v>51.203000000000003</c:v>
                </c:pt>
                <c:pt idx="127">
                  <c:v>51.608899999999998</c:v>
                </c:pt>
                <c:pt idx="128">
                  <c:v>52.015799999999999</c:v>
                </c:pt>
                <c:pt idx="129">
                  <c:v>52.419800000000002</c:v>
                </c:pt>
                <c:pt idx="130">
                  <c:v>52.828800000000001</c:v>
                </c:pt>
                <c:pt idx="131">
                  <c:v>53.2376</c:v>
                </c:pt>
                <c:pt idx="132">
                  <c:v>53.642499999999998</c:v>
                </c:pt>
                <c:pt idx="133">
                  <c:v>54.046599999999998</c:v>
                </c:pt>
                <c:pt idx="134">
                  <c:v>54.450499999999998</c:v>
                </c:pt>
                <c:pt idx="135">
                  <c:v>54.856499999999997</c:v>
                </c:pt>
                <c:pt idx="136">
                  <c:v>55.2652</c:v>
                </c:pt>
                <c:pt idx="137">
                  <c:v>55.6691</c:v>
                </c:pt>
                <c:pt idx="138">
                  <c:v>56.076099999999997</c:v>
                </c:pt>
                <c:pt idx="139">
                  <c:v>56.482900000000001</c:v>
                </c:pt>
                <c:pt idx="140">
                  <c:v>56.888800000000003</c:v>
                </c:pt>
                <c:pt idx="141">
                  <c:v>57.2928</c:v>
                </c:pt>
                <c:pt idx="142">
                  <c:v>57.702599999999997</c:v>
                </c:pt>
                <c:pt idx="143">
                  <c:v>58.107999999999997</c:v>
                </c:pt>
                <c:pt idx="144">
                  <c:v>58.519500000000001</c:v>
                </c:pt>
                <c:pt idx="145">
                  <c:v>58.923400000000001</c:v>
                </c:pt>
                <c:pt idx="146">
                  <c:v>59.327300000000001</c:v>
                </c:pt>
                <c:pt idx="147">
                  <c:v>59.734299999999998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  <c:pt idx="74">
                  <c:v>37.3294</c:v>
                </c:pt>
                <c:pt idx="75">
                  <c:v>37.697299999999998</c:v>
                </c:pt>
                <c:pt idx="76">
                  <c:v>38.043300000000002</c:v>
                </c:pt>
                <c:pt idx="77">
                  <c:v>38.424199999999999</c:v>
                </c:pt>
                <c:pt idx="78">
                  <c:v>38.798400000000001</c:v>
                </c:pt>
                <c:pt idx="79">
                  <c:v>39.190199999999997</c:v>
                </c:pt>
                <c:pt idx="80">
                  <c:v>39.574300000000001</c:v>
                </c:pt>
                <c:pt idx="81">
                  <c:v>39.872800000000005</c:v>
                </c:pt>
                <c:pt idx="82">
                  <c:v>40.150999999999996</c:v>
                </c:pt>
                <c:pt idx="83">
                  <c:v>40.408999999999999</c:v>
                </c:pt>
                <c:pt idx="84">
                  <c:v>40.631099999999996</c:v>
                </c:pt>
                <c:pt idx="85">
                  <c:v>40.891599999999997</c:v>
                </c:pt>
                <c:pt idx="86">
                  <c:v>41.248800000000003</c:v>
                </c:pt>
                <c:pt idx="87">
                  <c:v>41.588700000000003</c:v>
                </c:pt>
                <c:pt idx="88">
                  <c:v>41.917999999999999</c:v>
                </c:pt>
                <c:pt idx="89">
                  <c:v>42.241900000000001</c:v>
                </c:pt>
                <c:pt idx="90">
                  <c:v>42.575899999999997</c:v>
                </c:pt>
                <c:pt idx="91">
                  <c:v>42.904899999999998</c:v>
                </c:pt>
                <c:pt idx="92">
                  <c:v>43.121200000000002</c:v>
                </c:pt>
                <c:pt idx="93">
                  <c:v>43.2453</c:v>
                </c:pt>
                <c:pt idx="94">
                  <c:v>43.332100000000004</c:v>
                </c:pt>
                <c:pt idx="95">
                  <c:v>43.3354</c:v>
                </c:pt>
                <c:pt idx="96">
                  <c:v>43.263100000000001</c:v>
                </c:pt>
                <c:pt idx="97">
                  <c:v>43.2072</c:v>
                </c:pt>
                <c:pt idx="98">
                  <c:v>43.123899999999999</c:v>
                </c:pt>
                <c:pt idx="99">
                  <c:v>42.975099999999998</c:v>
                </c:pt>
                <c:pt idx="100">
                  <c:v>42.802</c:v>
                </c:pt>
                <c:pt idx="101">
                  <c:v>42.659399999999998</c:v>
                </c:pt>
                <c:pt idx="102">
                  <c:v>42.480899999999998</c:v>
                </c:pt>
                <c:pt idx="103">
                  <c:v>42.295899999999996</c:v>
                </c:pt>
                <c:pt idx="104">
                  <c:v>42.054099999999998</c:v>
                </c:pt>
                <c:pt idx="105">
                  <c:v>41.7134</c:v>
                </c:pt>
                <c:pt idx="106">
                  <c:v>41.406599999999997</c:v>
                </c:pt>
                <c:pt idx="107">
                  <c:v>41.098399999999998</c:v>
                </c:pt>
                <c:pt idx="108">
                  <c:v>40.761800000000001</c:v>
                </c:pt>
                <c:pt idx="109">
                  <c:v>40.433999999999997</c:v>
                </c:pt>
                <c:pt idx="110">
                  <c:v>40.048499999999997</c:v>
                </c:pt>
                <c:pt idx="111">
                  <c:v>39.645699999999998</c:v>
                </c:pt>
                <c:pt idx="112">
                  <c:v>39.277099999999997</c:v>
                </c:pt>
                <c:pt idx="113">
                  <c:v>38.9497</c:v>
                </c:pt>
                <c:pt idx="114">
                  <c:v>38.563199999999995</c:v>
                </c:pt>
                <c:pt idx="115">
                  <c:v>38.181699999999999</c:v>
                </c:pt>
                <c:pt idx="116">
                  <c:v>37.780099999999997</c:v>
                </c:pt>
                <c:pt idx="117">
                  <c:v>37.331699999999998</c:v>
                </c:pt>
                <c:pt idx="118">
                  <c:v>36.892899999999997</c:v>
                </c:pt>
                <c:pt idx="119">
                  <c:v>36.432500000000005</c:v>
                </c:pt>
                <c:pt idx="120">
                  <c:v>35.957999999999998</c:v>
                </c:pt>
                <c:pt idx="121">
                  <c:v>35.428599999999996</c:v>
                </c:pt>
                <c:pt idx="122">
                  <c:v>34.8703</c:v>
                </c:pt>
                <c:pt idx="123">
                  <c:v>34.3352</c:v>
                </c:pt>
                <c:pt idx="124">
                  <c:v>34.046900000000001</c:v>
                </c:pt>
                <c:pt idx="125">
                  <c:v>33.769500000000001</c:v>
                </c:pt>
                <c:pt idx="126">
                  <c:v>33.426600000000001</c:v>
                </c:pt>
                <c:pt idx="127">
                  <c:v>33.080500000000001</c:v>
                </c:pt>
                <c:pt idx="128">
                  <c:v>32.685199999999995</c:v>
                </c:pt>
                <c:pt idx="129">
                  <c:v>32.328899999999997</c:v>
                </c:pt>
                <c:pt idx="130">
                  <c:v>32.034700000000001</c:v>
                </c:pt>
                <c:pt idx="131">
                  <c:v>31.781500000000001</c:v>
                </c:pt>
                <c:pt idx="132">
                  <c:v>31.557600000000001</c:v>
                </c:pt>
                <c:pt idx="133">
                  <c:v>31.325199999999999</c:v>
                </c:pt>
                <c:pt idx="134">
                  <c:v>31.173000000000002</c:v>
                </c:pt>
                <c:pt idx="135">
                  <c:v>31.005199999999999</c:v>
                </c:pt>
                <c:pt idx="136">
                  <c:v>30.706600000000002</c:v>
                </c:pt>
                <c:pt idx="137">
                  <c:v>30.3474</c:v>
                </c:pt>
                <c:pt idx="138">
                  <c:v>29.9404</c:v>
                </c:pt>
                <c:pt idx="139">
                  <c:v>29.626899999999999</c:v>
                </c:pt>
                <c:pt idx="140">
                  <c:v>29.276299999999999</c:v>
                </c:pt>
                <c:pt idx="141">
                  <c:v>28.939399999999999</c:v>
                </c:pt>
                <c:pt idx="142">
                  <c:v>28.818700000000003</c:v>
                </c:pt>
                <c:pt idx="143">
                  <c:v>28.638999999999999</c:v>
                </c:pt>
                <c:pt idx="144">
                  <c:v>28.226600000000001</c:v>
                </c:pt>
                <c:pt idx="145">
                  <c:v>27.981200000000001</c:v>
                </c:pt>
                <c:pt idx="146">
                  <c:v>28.075400000000002</c:v>
                </c:pt>
                <c:pt idx="147">
                  <c:v>28.3003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0.40689799999999998</c:v>
                </c:pt>
                <c:pt idx="2">
                  <c:v>0.81577</c:v>
                </c:pt>
                <c:pt idx="3">
                  <c:v>1.21566</c:v>
                </c:pt>
                <c:pt idx="4">
                  <c:v>1.6248199999999999</c:v>
                </c:pt>
                <c:pt idx="5">
                  <c:v>2.0326399999999998</c:v>
                </c:pt>
                <c:pt idx="6">
                  <c:v>2.4394499999999999</c:v>
                </c:pt>
                <c:pt idx="7">
                  <c:v>2.84666</c:v>
                </c:pt>
                <c:pt idx="8">
                  <c:v>3.2504400000000002</c:v>
                </c:pt>
                <c:pt idx="9">
                  <c:v>3.6542400000000002</c:v>
                </c:pt>
                <c:pt idx="10">
                  <c:v>4.0634300000000003</c:v>
                </c:pt>
                <c:pt idx="11">
                  <c:v>4.46896</c:v>
                </c:pt>
                <c:pt idx="12">
                  <c:v>4.8759899999999998</c:v>
                </c:pt>
                <c:pt idx="13">
                  <c:v>5.27888</c:v>
                </c:pt>
                <c:pt idx="14">
                  <c:v>5.6884100000000002</c:v>
                </c:pt>
                <c:pt idx="15">
                  <c:v>6.0956799999999998</c:v>
                </c:pt>
                <c:pt idx="16">
                  <c:v>6.4985600000000003</c:v>
                </c:pt>
                <c:pt idx="17">
                  <c:v>6.9055400000000002</c:v>
                </c:pt>
                <c:pt idx="18">
                  <c:v>7.3093899999999996</c:v>
                </c:pt>
                <c:pt idx="19">
                  <c:v>7.7205300000000001</c:v>
                </c:pt>
                <c:pt idx="20">
                  <c:v>8.1252099999999992</c:v>
                </c:pt>
                <c:pt idx="21">
                  <c:v>8.53125</c:v>
                </c:pt>
                <c:pt idx="22">
                  <c:v>8.9371399999999994</c:v>
                </c:pt>
                <c:pt idx="23">
                  <c:v>9.3449600000000004</c:v>
                </c:pt>
                <c:pt idx="24">
                  <c:v>9.7520299999999995</c:v>
                </c:pt>
                <c:pt idx="25">
                  <c:v>10.1568</c:v>
                </c:pt>
                <c:pt idx="26">
                  <c:v>10.5617</c:v>
                </c:pt>
                <c:pt idx="27">
                  <c:v>10.967599999999999</c:v>
                </c:pt>
                <c:pt idx="28">
                  <c:v>11.3735</c:v>
                </c:pt>
                <c:pt idx="29">
                  <c:v>11.7835</c:v>
                </c:pt>
                <c:pt idx="30">
                  <c:v>12.1914</c:v>
                </c:pt>
                <c:pt idx="31">
                  <c:v>12.5923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13.8132</c:v>
                </c:pt>
                <c:pt idx="35">
                  <c:v>14.22</c:v>
                </c:pt>
                <c:pt idx="36">
                  <c:v>14.6226</c:v>
                </c:pt>
                <c:pt idx="37">
                  <c:v>15.030799999999999</c:v>
                </c:pt>
                <c:pt idx="38">
                  <c:v>15.438700000000001</c:v>
                </c:pt>
                <c:pt idx="39">
                  <c:v>15.8446</c:v>
                </c:pt>
                <c:pt idx="40">
                  <c:v>16.250599999999999</c:v>
                </c:pt>
                <c:pt idx="41">
                  <c:v>16.651800000000001</c:v>
                </c:pt>
                <c:pt idx="42">
                  <c:v>17.0623</c:v>
                </c:pt>
                <c:pt idx="43">
                  <c:v>17.468299999999999</c:v>
                </c:pt>
                <c:pt idx="44">
                  <c:v>17.8751</c:v>
                </c:pt>
                <c:pt idx="45">
                  <c:v>18.281199999999998</c:v>
                </c:pt>
                <c:pt idx="46">
                  <c:v>18.689</c:v>
                </c:pt>
                <c:pt idx="47">
                  <c:v>19.094899999999999</c:v>
                </c:pt>
                <c:pt idx="48">
                  <c:v>19.501100000000001</c:v>
                </c:pt>
                <c:pt idx="49">
                  <c:v>19.9087</c:v>
                </c:pt>
                <c:pt idx="50">
                  <c:v>20.3108</c:v>
                </c:pt>
                <c:pt idx="51">
                  <c:v>20.718499999999999</c:v>
                </c:pt>
                <c:pt idx="52">
                  <c:v>21.1265</c:v>
                </c:pt>
                <c:pt idx="53">
                  <c:v>21.5273</c:v>
                </c:pt>
                <c:pt idx="54">
                  <c:v>21.936299999999999</c:v>
                </c:pt>
                <c:pt idx="55">
                  <c:v>22.341899999999999</c:v>
                </c:pt>
                <c:pt idx="56">
                  <c:v>22.7502</c:v>
                </c:pt>
                <c:pt idx="57">
                  <c:v>23.1571</c:v>
                </c:pt>
                <c:pt idx="58">
                  <c:v>23.5655</c:v>
                </c:pt>
                <c:pt idx="59">
                  <c:v>23.969799999999999</c:v>
                </c:pt>
                <c:pt idx="60">
                  <c:v>24.373899999999999</c:v>
                </c:pt>
                <c:pt idx="61">
                  <c:v>24.7821</c:v>
                </c:pt>
                <c:pt idx="62">
                  <c:v>25.188700000000001</c:v>
                </c:pt>
                <c:pt idx="63">
                  <c:v>25.593599999999999</c:v>
                </c:pt>
                <c:pt idx="64">
                  <c:v>25.9953</c:v>
                </c:pt>
                <c:pt idx="65">
                  <c:v>26.404399999999999</c:v>
                </c:pt>
                <c:pt idx="66">
                  <c:v>26.815300000000001</c:v>
                </c:pt>
                <c:pt idx="67">
                  <c:v>27.220300000000002</c:v>
                </c:pt>
                <c:pt idx="68">
                  <c:v>27.626200000000001</c:v>
                </c:pt>
                <c:pt idx="69">
                  <c:v>28.029</c:v>
                </c:pt>
                <c:pt idx="70">
                  <c:v>28.4389</c:v>
                </c:pt>
                <c:pt idx="71">
                  <c:v>28.8459</c:v>
                </c:pt>
                <c:pt idx="72">
                  <c:v>29.252700000000001</c:v>
                </c:pt>
                <c:pt idx="73">
                  <c:v>29.654599999999999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29.654599999999999</c:v>
                </c:pt>
                <c:pt idx="1">
                  <c:v>30.063800000000001</c:v>
                </c:pt>
                <c:pt idx="2">
                  <c:v>30.4895</c:v>
                </c:pt>
                <c:pt idx="3">
                  <c:v>30.890899999999998</c:v>
                </c:pt>
                <c:pt idx="4">
                  <c:v>31.298400000000001</c:v>
                </c:pt>
                <c:pt idx="5">
                  <c:v>31.6982</c:v>
                </c:pt>
                <c:pt idx="6">
                  <c:v>32.112099999999998</c:v>
                </c:pt>
                <c:pt idx="7">
                  <c:v>32.519500000000001</c:v>
                </c:pt>
                <c:pt idx="8">
                  <c:v>32.922899999999998</c:v>
                </c:pt>
                <c:pt idx="9">
                  <c:v>33.3309</c:v>
                </c:pt>
                <c:pt idx="10">
                  <c:v>33.736899999999999</c:v>
                </c:pt>
                <c:pt idx="11">
                  <c:v>34.139899999999997</c:v>
                </c:pt>
                <c:pt idx="12">
                  <c:v>34.551699999999997</c:v>
                </c:pt>
                <c:pt idx="13">
                  <c:v>34.956499999999998</c:v>
                </c:pt>
                <c:pt idx="14">
                  <c:v>35.359499999999997</c:v>
                </c:pt>
                <c:pt idx="15">
                  <c:v>35.764400000000002</c:v>
                </c:pt>
                <c:pt idx="16">
                  <c:v>36.174399999999999</c:v>
                </c:pt>
                <c:pt idx="17">
                  <c:v>36.583100000000002</c:v>
                </c:pt>
                <c:pt idx="18">
                  <c:v>36.9846</c:v>
                </c:pt>
                <c:pt idx="19">
                  <c:v>37.388100000000001</c:v>
                </c:pt>
                <c:pt idx="20">
                  <c:v>37.796399999999998</c:v>
                </c:pt>
                <c:pt idx="21">
                  <c:v>38.203099999999999</c:v>
                </c:pt>
                <c:pt idx="22">
                  <c:v>38.607700000000001</c:v>
                </c:pt>
                <c:pt idx="23">
                  <c:v>39.015700000000002</c:v>
                </c:pt>
                <c:pt idx="24">
                  <c:v>39.422600000000003</c:v>
                </c:pt>
                <c:pt idx="25">
                  <c:v>39.825400000000002</c:v>
                </c:pt>
                <c:pt idx="26">
                  <c:v>40.232700000000001</c:v>
                </c:pt>
                <c:pt idx="27">
                  <c:v>40.642299999999999</c:v>
                </c:pt>
                <c:pt idx="28">
                  <c:v>41.0473</c:v>
                </c:pt>
                <c:pt idx="29">
                  <c:v>41.453099999999999</c:v>
                </c:pt>
                <c:pt idx="30">
                  <c:v>41.857999999999997</c:v>
                </c:pt>
                <c:pt idx="31">
                  <c:v>42.264099999999999</c:v>
                </c:pt>
                <c:pt idx="32">
                  <c:v>42.669899999999998</c:v>
                </c:pt>
                <c:pt idx="33">
                  <c:v>43.080100000000002</c:v>
                </c:pt>
                <c:pt idx="34">
                  <c:v>43.483699999999999</c:v>
                </c:pt>
                <c:pt idx="35">
                  <c:v>43.889600000000002</c:v>
                </c:pt>
                <c:pt idx="36">
                  <c:v>44.295499999999997</c:v>
                </c:pt>
                <c:pt idx="37">
                  <c:v>44.703499999999998</c:v>
                </c:pt>
                <c:pt idx="38">
                  <c:v>45.110500000000002</c:v>
                </c:pt>
                <c:pt idx="39">
                  <c:v>45.515300000000003</c:v>
                </c:pt>
                <c:pt idx="40">
                  <c:v>45.921100000000003</c:v>
                </c:pt>
                <c:pt idx="41">
                  <c:v>46.326099999999997</c:v>
                </c:pt>
                <c:pt idx="42">
                  <c:v>46.734000000000002</c:v>
                </c:pt>
                <c:pt idx="43">
                  <c:v>47.140999999999998</c:v>
                </c:pt>
                <c:pt idx="44">
                  <c:v>47.5488</c:v>
                </c:pt>
                <c:pt idx="45">
                  <c:v>47.953699999999998</c:v>
                </c:pt>
                <c:pt idx="46">
                  <c:v>48.357599999999998</c:v>
                </c:pt>
                <c:pt idx="47">
                  <c:v>48.762900000000002</c:v>
                </c:pt>
                <c:pt idx="48">
                  <c:v>49.169499999999999</c:v>
                </c:pt>
                <c:pt idx="49">
                  <c:v>49.580500000000001</c:v>
                </c:pt>
                <c:pt idx="50">
                  <c:v>49.984299999999998</c:v>
                </c:pt>
                <c:pt idx="51">
                  <c:v>50.389200000000002</c:v>
                </c:pt>
                <c:pt idx="52">
                  <c:v>50.798999999999999</c:v>
                </c:pt>
                <c:pt idx="53">
                  <c:v>51.203000000000003</c:v>
                </c:pt>
                <c:pt idx="54">
                  <c:v>51.608899999999998</c:v>
                </c:pt>
                <c:pt idx="55">
                  <c:v>52.015799999999999</c:v>
                </c:pt>
                <c:pt idx="56">
                  <c:v>52.419800000000002</c:v>
                </c:pt>
                <c:pt idx="57">
                  <c:v>52.828800000000001</c:v>
                </c:pt>
                <c:pt idx="58">
                  <c:v>53.2376</c:v>
                </c:pt>
                <c:pt idx="59">
                  <c:v>53.642499999999998</c:v>
                </c:pt>
                <c:pt idx="60">
                  <c:v>54.046599999999998</c:v>
                </c:pt>
                <c:pt idx="61">
                  <c:v>54.450499999999998</c:v>
                </c:pt>
                <c:pt idx="62">
                  <c:v>54.856499999999997</c:v>
                </c:pt>
                <c:pt idx="63">
                  <c:v>55.2652</c:v>
                </c:pt>
                <c:pt idx="64">
                  <c:v>55.6691</c:v>
                </c:pt>
                <c:pt idx="65">
                  <c:v>56.076099999999997</c:v>
                </c:pt>
                <c:pt idx="66">
                  <c:v>56.482900000000001</c:v>
                </c:pt>
                <c:pt idx="67">
                  <c:v>56.888800000000003</c:v>
                </c:pt>
                <c:pt idx="68">
                  <c:v>57.2928</c:v>
                </c:pt>
                <c:pt idx="69">
                  <c:v>57.702599999999997</c:v>
                </c:pt>
                <c:pt idx="70">
                  <c:v>58.107999999999997</c:v>
                </c:pt>
                <c:pt idx="71">
                  <c:v>58.519500000000001</c:v>
                </c:pt>
                <c:pt idx="72">
                  <c:v>58.923400000000001</c:v>
                </c:pt>
                <c:pt idx="73">
                  <c:v>59.327300000000001</c:v>
                </c:pt>
                <c:pt idx="74">
                  <c:v>59.734299999999998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36.950800000000001</c:v>
                </c:pt>
                <c:pt idx="1">
                  <c:v>37.3294</c:v>
                </c:pt>
                <c:pt idx="2">
                  <c:v>37.697299999999998</c:v>
                </c:pt>
                <c:pt idx="3">
                  <c:v>38.043300000000002</c:v>
                </c:pt>
                <c:pt idx="4">
                  <c:v>38.424199999999999</c:v>
                </c:pt>
                <c:pt idx="5">
                  <c:v>38.798400000000001</c:v>
                </c:pt>
                <c:pt idx="6">
                  <c:v>39.190199999999997</c:v>
                </c:pt>
                <c:pt idx="7">
                  <c:v>39.574300000000001</c:v>
                </c:pt>
                <c:pt idx="8">
                  <c:v>39.872800000000005</c:v>
                </c:pt>
                <c:pt idx="9">
                  <c:v>40.150999999999996</c:v>
                </c:pt>
                <c:pt idx="10">
                  <c:v>40.408999999999999</c:v>
                </c:pt>
                <c:pt idx="11">
                  <c:v>40.631099999999996</c:v>
                </c:pt>
                <c:pt idx="12">
                  <c:v>40.891599999999997</c:v>
                </c:pt>
                <c:pt idx="13">
                  <c:v>41.248800000000003</c:v>
                </c:pt>
                <c:pt idx="14">
                  <c:v>41.588700000000003</c:v>
                </c:pt>
                <c:pt idx="15">
                  <c:v>41.917999999999999</c:v>
                </c:pt>
                <c:pt idx="16">
                  <c:v>42.241900000000001</c:v>
                </c:pt>
                <c:pt idx="17">
                  <c:v>42.575899999999997</c:v>
                </c:pt>
                <c:pt idx="18">
                  <c:v>42.904899999999998</c:v>
                </c:pt>
                <c:pt idx="19">
                  <c:v>43.121200000000002</c:v>
                </c:pt>
                <c:pt idx="20">
                  <c:v>43.2453</c:v>
                </c:pt>
                <c:pt idx="21">
                  <c:v>43.332100000000004</c:v>
                </c:pt>
                <c:pt idx="22">
                  <c:v>43.3354</c:v>
                </c:pt>
                <c:pt idx="23">
                  <c:v>43.263100000000001</c:v>
                </c:pt>
                <c:pt idx="24">
                  <c:v>43.2072</c:v>
                </c:pt>
                <c:pt idx="25">
                  <c:v>43.123899999999999</c:v>
                </c:pt>
                <c:pt idx="26">
                  <c:v>42.975099999999998</c:v>
                </c:pt>
                <c:pt idx="27">
                  <c:v>42.802</c:v>
                </c:pt>
                <c:pt idx="28">
                  <c:v>42.659399999999998</c:v>
                </c:pt>
                <c:pt idx="29">
                  <c:v>42.480899999999998</c:v>
                </c:pt>
                <c:pt idx="30">
                  <c:v>42.295899999999996</c:v>
                </c:pt>
                <c:pt idx="31">
                  <c:v>42.054099999999998</c:v>
                </c:pt>
                <c:pt idx="32">
                  <c:v>41.7134</c:v>
                </c:pt>
                <c:pt idx="33">
                  <c:v>41.406599999999997</c:v>
                </c:pt>
                <c:pt idx="34">
                  <c:v>41.098399999999998</c:v>
                </c:pt>
                <c:pt idx="35">
                  <c:v>40.761800000000001</c:v>
                </c:pt>
                <c:pt idx="36">
                  <c:v>40.433999999999997</c:v>
                </c:pt>
                <c:pt idx="37">
                  <c:v>40.048499999999997</c:v>
                </c:pt>
                <c:pt idx="38">
                  <c:v>39.645699999999998</c:v>
                </c:pt>
                <c:pt idx="39">
                  <c:v>39.277099999999997</c:v>
                </c:pt>
                <c:pt idx="40">
                  <c:v>38.9497</c:v>
                </c:pt>
                <c:pt idx="41">
                  <c:v>38.563199999999995</c:v>
                </c:pt>
                <c:pt idx="42">
                  <c:v>38.181699999999999</c:v>
                </c:pt>
                <c:pt idx="43">
                  <c:v>37.780099999999997</c:v>
                </c:pt>
                <c:pt idx="44">
                  <c:v>37.331699999999998</c:v>
                </c:pt>
                <c:pt idx="45">
                  <c:v>36.892899999999997</c:v>
                </c:pt>
                <c:pt idx="46">
                  <c:v>36.432500000000005</c:v>
                </c:pt>
                <c:pt idx="47">
                  <c:v>35.957999999999998</c:v>
                </c:pt>
                <c:pt idx="48">
                  <c:v>35.428599999999996</c:v>
                </c:pt>
                <c:pt idx="49">
                  <c:v>34.8703</c:v>
                </c:pt>
                <c:pt idx="50">
                  <c:v>34.3352</c:v>
                </c:pt>
                <c:pt idx="51">
                  <c:v>34.046900000000001</c:v>
                </c:pt>
                <c:pt idx="52">
                  <c:v>33.769500000000001</c:v>
                </c:pt>
                <c:pt idx="53">
                  <c:v>33.426600000000001</c:v>
                </c:pt>
                <c:pt idx="54">
                  <c:v>33.080500000000001</c:v>
                </c:pt>
                <c:pt idx="55">
                  <c:v>32.685199999999995</c:v>
                </c:pt>
                <c:pt idx="56">
                  <c:v>32.328899999999997</c:v>
                </c:pt>
                <c:pt idx="57">
                  <c:v>32.034700000000001</c:v>
                </c:pt>
                <c:pt idx="58">
                  <c:v>31.781500000000001</c:v>
                </c:pt>
                <c:pt idx="59">
                  <c:v>31.557600000000001</c:v>
                </c:pt>
                <c:pt idx="60">
                  <c:v>31.325199999999999</c:v>
                </c:pt>
                <c:pt idx="61">
                  <c:v>31.173000000000002</c:v>
                </c:pt>
                <c:pt idx="62">
                  <c:v>31.005199999999999</c:v>
                </c:pt>
                <c:pt idx="63">
                  <c:v>30.706600000000002</c:v>
                </c:pt>
                <c:pt idx="64">
                  <c:v>30.3474</c:v>
                </c:pt>
                <c:pt idx="65">
                  <c:v>29.9404</c:v>
                </c:pt>
                <c:pt idx="66">
                  <c:v>29.626899999999999</c:v>
                </c:pt>
                <c:pt idx="67">
                  <c:v>29.276299999999999</c:v>
                </c:pt>
                <c:pt idx="68">
                  <c:v>28.939399999999999</c:v>
                </c:pt>
                <c:pt idx="69">
                  <c:v>28.818700000000003</c:v>
                </c:pt>
                <c:pt idx="70">
                  <c:v>28.638999999999999</c:v>
                </c:pt>
                <c:pt idx="71">
                  <c:v>28.226600000000001</c:v>
                </c:pt>
                <c:pt idx="72">
                  <c:v>27.981200000000001</c:v>
                </c:pt>
                <c:pt idx="73">
                  <c:v>28.075400000000002</c:v>
                </c:pt>
                <c:pt idx="74">
                  <c:v>28.3003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14.933574999999999</c:v>
                </c:pt>
                <c:pt idx="1">
                  <c:v>44.800725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31.302183783783789</c:v>
                </c:pt>
                <c:pt idx="1">
                  <c:v>37.129578378378383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  <c:pt idx="74">
                  <c:v>3.5079599999999997</c:v>
                </c:pt>
                <c:pt idx="75">
                  <c:v>3.5280699999999996</c:v>
                </c:pt>
                <c:pt idx="76">
                  <c:v>3.5497399999999999</c:v>
                </c:pt>
                <c:pt idx="77">
                  <c:v>3.5691600000000001</c:v>
                </c:pt>
                <c:pt idx="78">
                  <c:v>3.5873500000000003</c:v>
                </c:pt>
                <c:pt idx="79">
                  <c:v>3.6053600000000001</c:v>
                </c:pt>
                <c:pt idx="80">
                  <c:v>3.6195200000000001</c:v>
                </c:pt>
                <c:pt idx="81">
                  <c:v>3.6345999999999998</c:v>
                </c:pt>
                <c:pt idx="82">
                  <c:v>3.6507899999999998</c:v>
                </c:pt>
                <c:pt idx="83">
                  <c:v>3.6670599999999998</c:v>
                </c:pt>
                <c:pt idx="84">
                  <c:v>3.6844000000000001</c:v>
                </c:pt>
                <c:pt idx="85">
                  <c:v>3.69875</c:v>
                </c:pt>
                <c:pt idx="86">
                  <c:v>3.7110500000000002</c:v>
                </c:pt>
                <c:pt idx="87">
                  <c:v>3.7220900000000001</c:v>
                </c:pt>
                <c:pt idx="88">
                  <c:v>3.7322100000000002</c:v>
                </c:pt>
                <c:pt idx="89">
                  <c:v>3.7402800000000003</c:v>
                </c:pt>
                <c:pt idx="90">
                  <c:v>3.7469000000000001</c:v>
                </c:pt>
                <c:pt idx="91">
                  <c:v>3.7494399999999999</c:v>
                </c:pt>
                <c:pt idx="92">
                  <c:v>3.7494899999999998</c:v>
                </c:pt>
                <c:pt idx="93">
                  <c:v>3.7473400000000003</c:v>
                </c:pt>
                <c:pt idx="94">
                  <c:v>3.7400699999999998</c:v>
                </c:pt>
                <c:pt idx="95">
                  <c:v>3.7279600000000004</c:v>
                </c:pt>
                <c:pt idx="96">
                  <c:v>3.7108000000000003</c:v>
                </c:pt>
                <c:pt idx="97">
                  <c:v>3.6940200000000001</c:v>
                </c:pt>
                <c:pt idx="98">
                  <c:v>3.6752099999999999</c:v>
                </c:pt>
                <c:pt idx="99">
                  <c:v>3.6547800000000001</c:v>
                </c:pt>
                <c:pt idx="100">
                  <c:v>3.6350300000000004</c:v>
                </c:pt>
                <c:pt idx="101">
                  <c:v>3.61395</c:v>
                </c:pt>
                <c:pt idx="102">
                  <c:v>3.59368</c:v>
                </c:pt>
                <c:pt idx="103">
                  <c:v>3.5720800000000001</c:v>
                </c:pt>
                <c:pt idx="104">
                  <c:v>3.5498099999999999</c:v>
                </c:pt>
                <c:pt idx="105">
                  <c:v>3.5291600000000001</c:v>
                </c:pt>
                <c:pt idx="106">
                  <c:v>3.5067900000000001</c:v>
                </c:pt>
                <c:pt idx="107">
                  <c:v>3.4849400000000004</c:v>
                </c:pt>
                <c:pt idx="108">
                  <c:v>3.4637000000000002</c:v>
                </c:pt>
                <c:pt idx="109">
                  <c:v>3.4400900000000001</c:v>
                </c:pt>
                <c:pt idx="110">
                  <c:v>3.4185100000000004</c:v>
                </c:pt>
                <c:pt idx="111">
                  <c:v>3.3982200000000002</c:v>
                </c:pt>
                <c:pt idx="112">
                  <c:v>3.3765000000000001</c:v>
                </c:pt>
                <c:pt idx="113">
                  <c:v>3.3534000000000002</c:v>
                </c:pt>
                <c:pt idx="114">
                  <c:v>3.3316699999999999</c:v>
                </c:pt>
                <c:pt idx="115">
                  <c:v>3.3102199999999997</c:v>
                </c:pt>
                <c:pt idx="116">
                  <c:v>3.2906900000000001</c:v>
                </c:pt>
                <c:pt idx="117">
                  <c:v>3.2743899999999999</c:v>
                </c:pt>
                <c:pt idx="118">
                  <c:v>3.2607499999999998</c:v>
                </c:pt>
                <c:pt idx="119">
                  <c:v>3.2504200000000001</c:v>
                </c:pt>
                <c:pt idx="120">
                  <c:v>3.24139</c:v>
                </c:pt>
                <c:pt idx="121">
                  <c:v>3.2373800000000004</c:v>
                </c:pt>
                <c:pt idx="122">
                  <c:v>3.2337799999999999</c:v>
                </c:pt>
                <c:pt idx="123">
                  <c:v>3.2271800000000002</c:v>
                </c:pt>
                <c:pt idx="124">
                  <c:v>3.2292300000000003</c:v>
                </c:pt>
                <c:pt idx="125">
                  <c:v>3.2284099999999998</c:v>
                </c:pt>
                <c:pt idx="126">
                  <c:v>3.2283200000000001</c:v>
                </c:pt>
                <c:pt idx="127">
                  <c:v>3.2286900000000003</c:v>
                </c:pt>
                <c:pt idx="128">
                  <c:v>3.23102</c:v>
                </c:pt>
                <c:pt idx="129">
                  <c:v>3.23306</c:v>
                </c:pt>
                <c:pt idx="130">
                  <c:v>3.2355800000000001</c:v>
                </c:pt>
                <c:pt idx="131">
                  <c:v>3.2362899999999999</c:v>
                </c:pt>
                <c:pt idx="132">
                  <c:v>3.2331300000000001</c:v>
                </c:pt>
                <c:pt idx="133">
                  <c:v>3.2282699999999998</c:v>
                </c:pt>
                <c:pt idx="134">
                  <c:v>3.2231100000000001</c:v>
                </c:pt>
                <c:pt idx="135">
                  <c:v>3.2170999999999998</c:v>
                </c:pt>
                <c:pt idx="136">
                  <c:v>3.2112099999999999</c:v>
                </c:pt>
                <c:pt idx="137">
                  <c:v>3.2071399999999999</c:v>
                </c:pt>
                <c:pt idx="138">
                  <c:v>3.2037300000000002</c:v>
                </c:pt>
                <c:pt idx="139">
                  <c:v>3.1980599999999999</c:v>
                </c:pt>
                <c:pt idx="140">
                  <c:v>3.19075</c:v>
                </c:pt>
                <c:pt idx="141">
                  <c:v>3.1812800000000001</c:v>
                </c:pt>
                <c:pt idx="142">
                  <c:v>3.1636500000000001</c:v>
                </c:pt>
                <c:pt idx="143">
                  <c:v>3.14263</c:v>
                </c:pt>
                <c:pt idx="144">
                  <c:v>3.1196600000000001</c:v>
                </c:pt>
                <c:pt idx="145">
                  <c:v>3.09626</c:v>
                </c:pt>
                <c:pt idx="146">
                  <c:v>3.0658600000000003</c:v>
                </c:pt>
                <c:pt idx="147">
                  <c:v>3.0195100000000004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  <c:pt idx="74">
                  <c:v>37.3294</c:v>
                </c:pt>
                <c:pt idx="75">
                  <c:v>37.697299999999998</c:v>
                </c:pt>
                <c:pt idx="76">
                  <c:v>38.043300000000002</c:v>
                </c:pt>
                <c:pt idx="77">
                  <c:v>38.424199999999999</c:v>
                </c:pt>
                <c:pt idx="78">
                  <c:v>38.798400000000001</c:v>
                </c:pt>
                <c:pt idx="79">
                  <c:v>39.190199999999997</c:v>
                </c:pt>
                <c:pt idx="80">
                  <c:v>39.574300000000001</c:v>
                </c:pt>
                <c:pt idx="81">
                  <c:v>39.872800000000005</c:v>
                </c:pt>
                <c:pt idx="82">
                  <c:v>40.150999999999996</c:v>
                </c:pt>
                <c:pt idx="83">
                  <c:v>40.408999999999999</c:v>
                </c:pt>
                <c:pt idx="84">
                  <c:v>40.631099999999996</c:v>
                </c:pt>
                <c:pt idx="85">
                  <c:v>40.891599999999997</c:v>
                </c:pt>
                <c:pt idx="86">
                  <c:v>41.248800000000003</c:v>
                </c:pt>
                <c:pt idx="87">
                  <c:v>41.588700000000003</c:v>
                </c:pt>
                <c:pt idx="88">
                  <c:v>41.917999999999999</c:v>
                </c:pt>
                <c:pt idx="89">
                  <c:v>42.241900000000001</c:v>
                </c:pt>
                <c:pt idx="90">
                  <c:v>42.575899999999997</c:v>
                </c:pt>
                <c:pt idx="91">
                  <c:v>42.904899999999998</c:v>
                </c:pt>
                <c:pt idx="92">
                  <c:v>43.121200000000002</c:v>
                </c:pt>
                <c:pt idx="93">
                  <c:v>43.2453</c:v>
                </c:pt>
                <c:pt idx="94">
                  <c:v>43.332100000000004</c:v>
                </c:pt>
                <c:pt idx="95">
                  <c:v>43.3354</c:v>
                </c:pt>
                <c:pt idx="96">
                  <c:v>43.263100000000001</c:v>
                </c:pt>
                <c:pt idx="97">
                  <c:v>43.2072</c:v>
                </c:pt>
                <c:pt idx="98">
                  <c:v>43.123899999999999</c:v>
                </c:pt>
                <c:pt idx="99">
                  <c:v>42.975099999999998</c:v>
                </c:pt>
                <c:pt idx="100">
                  <c:v>42.802</c:v>
                </c:pt>
                <c:pt idx="101">
                  <c:v>42.659399999999998</c:v>
                </c:pt>
                <c:pt idx="102">
                  <c:v>42.480899999999998</c:v>
                </c:pt>
                <c:pt idx="103">
                  <c:v>42.295899999999996</c:v>
                </c:pt>
                <c:pt idx="104">
                  <c:v>42.054099999999998</c:v>
                </c:pt>
                <c:pt idx="105">
                  <c:v>41.7134</c:v>
                </c:pt>
                <c:pt idx="106">
                  <c:v>41.406599999999997</c:v>
                </c:pt>
                <c:pt idx="107">
                  <c:v>41.098399999999998</c:v>
                </c:pt>
                <c:pt idx="108">
                  <c:v>40.761800000000001</c:v>
                </c:pt>
                <c:pt idx="109">
                  <c:v>40.433999999999997</c:v>
                </c:pt>
                <c:pt idx="110">
                  <c:v>40.048499999999997</c:v>
                </c:pt>
                <c:pt idx="111">
                  <c:v>39.645699999999998</c:v>
                </c:pt>
                <c:pt idx="112">
                  <c:v>39.277099999999997</c:v>
                </c:pt>
                <c:pt idx="113">
                  <c:v>38.9497</c:v>
                </c:pt>
                <c:pt idx="114">
                  <c:v>38.563199999999995</c:v>
                </c:pt>
                <c:pt idx="115">
                  <c:v>38.181699999999999</c:v>
                </c:pt>
                <c:pt idx="116">
                  <c:v>37.780099999999997</c:v>
                </c:pt>
                <c:pt idx="117">
                  <c:v>37.331699999999998</c:v>
                </c:pt>
                <c:pt idx="118">
                  <c:v>36.892899999999997</c:v>
                </c:pt>
                <c:pt idx="119">
                  <c:v>36.432500000000005</c:v>
                </c:pt>
                <c:pt idx="120">
                  <c:v>35.957999999999998</c:v>
                </c:pt>
                <c:pt idx="121">
                  <c:v>35.428599999999996</c:v>
                </c:pt>
                <c:pt idx="122">
                  <c:v>34.8703</c:v>
                </c:pt>
                <c:pt idx="123">
                  <c:v>34.3352</c:v>
                </c:pt>
                <c:pt idx="124">
                  <c:v>34.046900000000001</c:v>
                </c:pt>
                <c:pt idx="125">
                  <c:v>33.769500000000001</c:v>
                </c:pt>
                <c:pt idx="126">
                  <c:v>33.426600000000001</c:v>
                </c:pt>
                <c:pt idx="127">
                  <c:v>33.080500000000001</c:v>
                </c:pt>
                <c:pt idx="128">
                  <c:v>32.685199999999995</c:v>
                </c:pt>
                <c:pt idx="129">
                  <c:v>32.328899999999997</c:v>
                </c:pt>
                <c:pt idx="130">
                  <c:v>32.034700000000001</c:v>
                </c:pt>
                <c:pt idx="131">
                  <c:v>31.781500000000001</c:v>
                </c:pt>
                <c:pt idx="132">
                  <c:v>31.557600000000001</c:v>
                </c:pt>
                <c:pt idx="133">
                  <c:v>31.325199999999999</c:v>
                </c:pt>
                <c:pt idx="134">
                  <c:v>31.173000000000002</c:v>
                </c:pt>
                <c:pt idx="135">
                  <c:v>31.005199999999999</c:v>
                </c:pt>
                <c:pt idx="136">
                  <c:v>30.706600000000002</c:v>
                </c:pt>
                <c:pt idx="137">
                  <c:v>30.3474</c:v>
                </c:pt>
                <c:pt idx="138">
                  <c:v>29.9404</c:v>
                </c:pt>
                <c:pt idx="139">
                  <c:v>29.626899999999999</c:v>
                </c:pt>
                <c:pt idx="140">
                  <c:v>29.276299999999999</c:v>
                </c:pt>
                <c:pt idx="141">
                  <c:v>28.939399999999999</c:v>
                </c:pt>
                <c:pt idx="142">
                  <c:v>28.818700000000003</c:v>
                </c:pt>
                <c:pt idx="143">
                  <c:v>28.638999999999999</c:v>
                </c:pt>
                <c:pt idx="144">
                  <c:v>28.226600000000001</c:v>
                </c:pt>
                <c:pt idx="145">
                  <c:v>27.981200000000001</c:v>
                </c:pt>
                <c:pt idx="146">
                  <c:v>28.075400000000002</c:v>
                </c:pt>
                <c:pt idx="147">
                  <c:v>28.3003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2.9930499999999998</c:v>
                </c:pt>
                <c:pt idx="1">
                  <c:v>3.0755300000000001</c:v>
                </c:pt>
                <c:pt idx="2">
                  <c:v>3.1580699999999999</c:v>
                </c:pt>
                <c:pt idx="3">
                  <c:v>3.23936</c:v>
                </c:pt>
                <c:pt idx="4">
                  <c:v>3.3183600000000002</c:v>
                </c:pt>
                <c:pt idx="5">
                  <c:v>3.3903299999999996</c:v>
                </c:pt>
                <c:pt idx="6">
                  <c:v>3.4553799999999999</c:v>
                </c:pt>
                <c:pt idx="7">
                  <c:v>3.51186</c:v>
                </c:pt>
                <c:pt idx="8">
                  <c:v>3.5634199999999998</c:v>
                </c:pt>
                <c:pt idx="9">
                  <c:v>3.6079299999999996</c:v>
                </c:pt>
                <c:pt idx="10">
                  <c:v>3.6448900000000002</c:v>
                </c:pt>
                <c:pt idx="11">
                  <c:v>3.67849</c:v>
                </c:pt>
                <c:pt idx="12">
                  <c:v>3.7095699999999998</c:v>
                </c:pt>
                <c:pt idx="13">
                  <c:v>3.73773</c:v>
                </c:pt>
                <c:pt idx="14">
                  <c:v>3.7627300000000004</c:v>
                </c:pt>
                <c:pt idx="15">
                  <c:v>3.7825899999999999</c:v>
                </c:pt>
                <c:pt idx="16">
                  <c:v>3.7976700000000001</c:v>
                </c:pt>
                <c:pt idx="17">
                  <c:v>3.8083099999999996</c:v>
                </c:pt>
                <c:pt idx="18">
                  <c:v>3.8138399999999999</c:v>
                </c:pt>
                <c:pt idx="19">
                  <c:v>3.8134399999999999</c:v>
                </c:pt>
                <c:pt idx="20">
                  <c:v>3.80538</c:v>
                </c:pt>
                <c:pt idx="21">
                  <c:v>3.7912299999999997</c:v>
                </c:pt>
                <c:pt idx="22">
                  <c:v>3.7715999999999998</c:v>
                </c:pt>
                <c:pt idx="23">
                  <c:v>3.7448900000000003</c:v>
                </c:pt>
                <c:pt idx="24">
                  <c:v>3.7127500000000002</c:v>
                </c:pt>
                <c:pt idx="25">
                  <c:v>3.6748199999999995</c:v>
                </c:pt>
                <c:pt idx="26">
                  <c:v>3.62948</c:v>
                </c:pt>
                <c:pt idx="27">
                  <c:v>3.5787300000000002</c:v>
                </c:pt>
                <c:pt idx="28">
                  <c:v>3.5254400000000001</c:v>
                </c:pt>
                <c:pt idx="29">
                  <c:v>3.4702899999999999</c:v>
                </c:pt>
                <c:pt idx="30">
                  <c:v>3.4167199999999998</c:v>
                </c:pt>
                <c:pt idx="31">
                  <c:v>3.3654899999999999</c:v>
                </c:pt>
                <c:pt idx="32">
                  <c:v>3.3187600000000002</c:v>
                </c:pt>
                <c:pt idx="33">
                  <c:v>3.2750400000000002</c:v>
                </c:pt>
                <c:pt idx="34">
                  <c:v>3.2355299999999998</c:v>
                </c:pt>
                <c:pt idx="35">
                  <c:v>3.2011699999999998</c:v>
                </c:pt>
                <c:pt idx="36">
                  <c:v>3.1689499999999997</c:v>
                </c:pt>
                <c:pt idx="37">
                  <c:v>3.1376200000000001</c:v>
                </c:pt>
                <c:pt idx="38">
                  <c:v>3.1071200000000001</c:v>
                </c:pt>
                <c:pt idx="39">
                  <c:v>3.07952</c:v>
                </c:pt>
                <c:pt idx="40">
                  <c:v>3.0586600000000002</c:v>
                </c:pt>
                <c:pt idx="41">
                  <c:v>3.0442599999999995</c:v>
                </c:pt>
                <c:pt idx="42">
                  <c:v>3.0349300000000001</c:v>
                </c:pt>
                <c:pt idx="43">
                  <c:v>3.0287199999999999</c:v>
                </c:pt>
                <c:pt idx="44">
                  <c:v>3.0270700000000001</c:v>
                </c:pt>
                <c:pt idx="45">
                  <c:v>3.0269000000000004</c:v>
                </c:pt>
                <c:pt idx="46">
                  <c:v>3.0317699999999999</c:v>
                </c:pt>
                <c:pt idx="47">
                  <c:v>3.0387599999999999</c:v>
                </c:pt>
                <c:pt idx="48">
                  <c:v>3.0468000000000002</c:v>
                </c:pt>
                <c:pt idx="49">
                  <c:v>3.0573099999999998</c:v>
                </c:pt>
                <c:pt idx="50">
                  <c:v>3.0702400000000001</c:v>
                </c:pt>
                <c:pt idx="51">
                  <c:v>3.0826399999999996</c:v>
                </c:pt>
                <c:pt idx="52">
                  <c:v>3.0967699999999998</c:v>
                </c:pt>
                <c:pt idx="53">
                  <c:v>3.1110900000000004</c:v>
                </c:pt>
                <c:pt idx="54">
                  <c:v>3.1258900000000001</c:v>
                </c:pt>
                <c:pt idx="55">
                  <c:v>3.1432900000000004</c:v>
                </c:pt>
                <c:pt idx="56">
                  <c:v>3.16351</c:v>
                </c:pt>
                <c:pt idx="57">
                  <c:v>3.1839</c:v>
                </c:pt>
                <c:pt idx="58">
                  <c:v>3.2027699999999997</c:v>
                </c:pt>
                <c:pt idx="59">
                  <c:v>3.2220199999999997</c:v>
                </c:pt>
                <c:pt idx="60">
                  <c:v>3.2422499999999999</c:v>
                </c:pt>
                <c:pt idx="61">
                  <c:v>3.2604100000000003</c:v>
                </c:pt>
                <c:pt idx="62">
                  <c:v>3.2797100000000001</c:v>
                </c:pt>
                <c:pt idx="63">
                  <c:v>3.3006200000000003</c:v>
                </c:pt>
                <c:pt idx="64">
                  <c:v>3.3210499999999996</c:v>
                </c:pt>
                <c:pt idx="65">
                  <c:v>3.3403699999999996</c:v>
                </c:pt>
                <c:pt idx="66">
                  <c:v>3.36076</c:v>
                </c:pt>
                <c:pt idx="67">
                  <c:v>3.3789799999999999</c:v>
                </c:pt>
                <c:pt idx="68">
                  <c:v>3.3945399999999997</c:v>
                </c:pt>
                <c:pt idx="69">
                  <c:v>3.4097</c:v>
                </c:pt>
                <c:pt idx="70">
                  <c:v>3.4288099999999999</c:v>
                </c:pt>
                <c:pt idx="71">
                  <c:v>3.4485900000000003</c:v>
                </c:pt>
                <c:pt idx="72">
                  <c:v>3.46665</c:v>
                </c:pt>
                <c:pt idx="73">
                  <c:v>3.4872100000000001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44.317099999999996</c:v>
                </c:pt>
                <c:pt idx="1">
                  <c:v>42.6145</c:v>
                </c:pt>
                <c:pt idx="2">
                  <c:v>41.020699999999998</c:v>
                </c:pt>
                <c:pt idx="3">
                  <c:v>39.602800000000002</c:v>
                </c:pt>
                <c:pt idx="4">
                  <c:v>38.394399999999997</c:v>
                </c:pt>
                <c:pt idx="5">
                  <c:v>37.525199999999998</c:v>
                </c:pt>
                <c:pt idx="6">
                  <c:v>36.943399999999997</c:v>
                </c:pt>
                <c:pt idx="7">
                  <c:v>36.564500000000002</c:v>
                </c:pt>
                <c:pt idx="8">
                  <c:v>36.335099999999997</c:v>
                </c:pt>
                <c:pt idx="9">
                  <c:v>36.174800000000005</c:v>
                </c:pt>
                <c:pt idx="10">
                  <c:v>36.1036</c:v>
                </c:pt>
                <c:pt idx="11">
                  <c:v>35.971399999999996</c:v>
                </c:pt>
                <c:pt idx="12">
                  <c:v>35.8645</c:v>
                </c:pt>
                <c:pt idx="13">
                  <c:v>35.748699999999999</c:v>
                </c:pt>
                <c:pt idx="14">
                  <c:v>35.567100000000003</c:v>
                </c:pt>
                <c:pt idx="15">
                  <c:v>35.312599999999996</c:v>
                </c:pt>
                <c:pt idx="16">
                  <c:v>35.014600000000002</c:v>
                </c:pt>
                <c:pt idx="17">
                  <c:v>34.627299999999998</c:v>
                </c:pt>
                <c:pt idx="18">
                  <c:v>34.116900000000001</c:v>
                </c:pt>
                <c:pt idx="19">
                  <c:v>33.481699999999996</c:v>
                </c:pt>
                <c:pt idx="20">
                  <c:v>32.832299999999996</c:v>
                </c:pt>
                <c:pt idx="21">
                  <c:v>32.161699999999996</c:v>
                </c:pt>
                <c:pt idx="22">
                  <c:v>31.482599999999998</c:v>
                </c:pt>
                <c:pt idx="23">
                  <c:v>30.796600000000002</c:v>
                </c:pt>
                <c:pt idx="24">
                  <c:v>30.175200000000004</c:v>
                </c:pt>
                <c:pt idx="25">
                  <c:v>29.646000000000001</c:v>
                </c:pt>
                <c:pt idx="26">
                  <c:v>29.233499999999999</c:v>
                </c:pt>
                <c:pt idx="27">
                  <c:v>28.902200000000001</c:v>
                </c:pt>
                <c:pt idx="28">
                  <c:v>28.664499999999997</c:v>
                </c:pt>
                <c:pt idx="29">
                  <c:v>28.476299999999998</c:v>
                </c:pt>
                <c:pt idx="30">
                  <c:v>28.249700000000001</c:v>
                </c:pt>
                <c:pt idx="31">
                  <c:v>28.056399999999996</c:v>
                </c:pt>
                <c:pt idx="32">
                  <c:v>27.842699999999997</c:v>
                </c:pt>
                <c:pt idx="33">
                  <c:v>27.574700000000004</c:v>
                </c:pt>
                <c:pt idx="34">
                  <c:v>27.2578</c:v>
                </c:pt>
                <c:pt idx="35">
                  <c:v>26.835999999999999</c:v>
                </c:pt>
                <c:pt idx="36">
                  <c:v>26.4374</c:v>
                </c:pt>
                <c:pt idx="37">
                  <c:v>26.0791</c:v>
                </c:pt>
                <c:pt idx="38">
                  <c:v>25.8475</c:v>
                </c:pt>
                <c:pt idx="39">
                  <c:v>25.717700000000001</c:v>
                </c:pt>
                <c:pt idx="40">
                  <c:v>25.525199999999998</c:v>
                </c:pt>
                <c:pt idx="41">
                  <c:v>25.392300000000002</c:v>
                </c:pt>
                <c:pt idx="42">
                  <c:v>25.343799999999998</c:v>
                </c:pt>
                <c:pt idx="43">
                  <c:v>25.306600000000003</c:v>
                </c:pt>
                <c:pt idx="44">
                  <c:v>25.251300000000001</c:v>
                </c:pt>
                <c:pt idx="45">
                  <c:v>25.178000000000001</c:v>
                </c:pt>
                <c:pt idx="46">
                  <c:v>25.089299999999998</c:v>
                </c:pt>
                <c:pt idx="47">
                  <c:v>25.055899999999998</c:v>
                </c:pt>
                <c:pt idx="48">
                  <c:v>25.135000000000002</c:v>
                </c:pt>
                <c:pt idx="49">
                  <c:v>25.219100000000001</c:v>
                </c:pt>
                <c:pt idx="50">
                  <c:v>25.364100000000001</c:v>
                </c:pt>
                <c:pt idx="51">
                  <c:v>25.635899999999999</c:v>
                </c:pt>
                <c:pt idx="52">
                  <c:v>25.947799999999997</c:v>
                </c:pt>
                <c:pt idx="53">
                  <c:v>26.344200000000001</c:v>
                </c:pt>
                <c:pt idx="54">
                  <c:v>26.834099999999999</c:v>
                </c:pt>
                <c:pt idx="55">
                  <c:v>27.374100000000002</c:v>
                </c:pt>
                <c:pt idx="56">
                  <c:v>27.888099999999998</c:v>
                </c:pt>
                <c:pt idx="57">
                  <c:v>28.435899999999997</c:v>
                </c:pt>
                <c:pt idx="58">
                  <c:v>29.111700000000003</c:v>
                </c:pt>
                <c:pt idx="59">
                  <c:v>29.827900000000003</c:v>
                </c:pt>
                <c:pt idx="60">
                  <c:v>30.578300000000002</c:v>
                </c:pt>
                <c:pt idx="61">
                  <c:v>31.3276</c:v>
                </c:pt>
                <c:pt idx="62">
                  <c:v>32.029800000000002</c:v>
                </c:pt>
                <c:pt idx="63">
                  <c:v>32.604599999999998</c:v>
                </c:pt>
                <c:pt idx="64">
                  <c:v>33.133299999999998</c:v>
                </c:pt>
                <c:pt idx="65">
                  <c:v>33.676699999999997</c:v>
                </c:pt>
                <c:pt idx="66">
                  <c:v>34.063600000000001</c:v>
                </c:pt>
                <c:pt idx="67">
                  <c:v>34.423500000000004</c:v>
                </c:pt>
                <c:pt idx="68">
                  <c:v>34.859200000000001</c:v>
                </c:pt>
                <c:pt idx="69">
                  <c:v>35.307500000000005</c:v>
                </c:pt>
                <c:pt idx="70">
                  <c:v>35.752099999999999</c:v>
                </c:pt>
                <c:pt idx="71">
                  <c:v>36.209799999999994</c:v>
                </c:pt>
                <c:pt idx="72">
                  <c:v>36.613700000000001</c:v>
                </c:pt>
                <c:pt idx="73">
                  <c:v>36.950800000000001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3.4872100000000001</c:v>
                </c:pt>
                <c:pt idx="1">
                  <c:v>3.5079599999999997</c:v>
                </c:pt>
                <c:pt idx="2">
                  <c:v>3.5280699999999996</c:v>
                </c:pt>
                <c:pt idx="3">
                  <c:v>3.5497399999999999</c:v>
                </c:pt>
                <c:pt idx="4">
                  <c:v>3.5691600000000001</c:v>
                </c:pt>
                <c:pt idx="5">
                  <c:v>3.5873500000000003</c:v>
                </c:pt>
                <c:pt idx="6">
                  <c:v>3.6053600000000001</c:v>
                </c:pt>
                <c:pt idx="7">
                  <c:v>3.6195200000000001</c:v>
                </c:pt>
                <c:pt idx="8">
                  <c:v>3.6345999999999998</c:v>
                </c:pt>
                <c:pt idx="9">
                  <c:v>3.6507899999999998</c:v>
                </c:pt>
                <c:pt idx="10">
                  <c:v>3.6670599999999998</c:v>
                </c:pt>
                <c:pt idx="11">
                  <c:v>3.6844000000000001</c:v>
                </c:pt>
                <c:pt idx="12">
                  <c:v>3.69875</c:v>
                </c:pt>
                <c:pt idx="13">
                  <c:v>3.7110500000000002</c:v>
                </c:pt>
                <c:pt idx="14">
                  <c:v>3.7220900000000001</c:v>
                </c:pt>
                <c:pt idx="15">
                  <c:v>3.7322100000000002</c:v>
                </c:pt>
                <c:pt idx="16">
                  <c:v>3.7402800000000003</c:v>
                </c:pt>
                <c:pt idx="17">
                  <c:v>3.7469000000000001</c:v>
                </c:pt>
                <c:pt idx="18">
                  <c:v>3.7494399999999999</c:v>
                </c:pt>
                <c:pt idx="19">
                  <c:v>3.7494899999999998</c:v>
                </c:pt>
                <c:pt idx="20">
                  <c:v>3.7473400000000003</c:v>
                </c:pt>
                <c:pt idx="21">
                  <c:v>3.7400699999999998</c:v>
                </c:pt>
                <c:pt idx="22">
                  <c:v>3.7279600000000004</c:v>
                </c:pt>
                <c:pt idx="23">
                  <c:v>3.7108000000000003</c:v>
                </c:pt>
                <c:pt idx="24">
                  <c:v>3.6940200000000001</c:v>
                </c:pt>
                <c:pt idx="25">
                  <c:v>3.6752099999999999</c:v>
                </c:pt>
                <c:pt idx="26">
                  <c:v>3.6547800000000001</c:v>
                </c:pt>
                <c:pt idx="27">
                  <c:v>3.6350300000000004</c:v>
                </c:pt>
                <c:pt idx="28">
                  <c:v>3.61395</c:v>
                </c:pt>
                <c:pt idx="29">
                  <c:v>3.59368</c:v>
                </c:pt>
                <c:pt idx="30">
                  <c:v>3.5720800000000001</c:v>
                </c:pt>
                <c:pt idx="31">
                  <c:v>3.5498099999999999</c:v>
                </c:pt>
                <c:pt idx="32">
                  <c:v>3.5291600000000001</c:v>
                </c:pt>
                <c:pt idx="33">
                  <c:v>3.5067900000000001</c:v>
                </c:pt>
                <c:pt idx="34">
                  <c:v>3.4849400000000004</c:v>
                </c:pt>
                <c:pt idx="35">
                  <c:v>3.4637000000000002</c:v>
                </c:pt>
                <c:pt idx="36">
                  <c:v>3.4400900000000001</c:v>
                </c:pt>
                <c:pt idx="37">
                  <c:v>3.4185100000000004</c:v>
                </c:pt>
                <c:pt idx="38">
                  <c:v>3.3982200000000002</c:v>
                </c:pt>
                <c:pt idx="39">
                  <c:v>3.3765000000000001</c:v>
                </c:pt>
                <c:pt idx="40">
                  <c:v>3.3534000000000002</c:v>
                </c:pt>
                <c:pt idx="41">
                  <c:v>3.3316699999999999</c:v>
                </c:pt>
                <c:pt idx="42">
                  <c:v>3.3102199999999997</c:v>
                </c:pt>
                <c:pt idx="43">
                  <c:v>3.2906900000000001</c:v>
                </c:pt>
                <c:pt idx="44">
                  <c:v>3.2743899999999999</c:v>
                </c:pt>
                <c:pt idx="45">
                  <c:v>3.2607499999999998</c:v>
                </c:pt>
                <c:pt idx="46">
                  <c:v>3.2504200000000001</c:v>
                </c:pt>
                <c:pt idx="47">
                  <c:v>3.24139</c:v>
                </c:pt>
                <c:pt idx="48">
                  <c:v>3.2373800000000004</c:v>
                </c:pt>
                <c:pt idx="49">
                  <c:v>3.2337799999999999</c:v>
                </c:pt>
                <c:pt idx="50">
                  <c:v>3.2271800000000002</c:v>
                </c:pt>
                <c:pt idx="51">
                  <c:v>3.2292300000000003</c:v>
                </c:pt>
                <c:pt idx="52">
                  <c:v>3.2284099999999998</c:v>
                </c:pt>
                <c:pt idx="53">
                  <c:v>3.2283200000000001</c:v>
                </c:pt>
                <c:pt idx="54">
                  <c:v>3.2286900000000003</c:v>
                </c:pt>
                <c:pt idx="55">
                  <c:v>3.23102</c:v>
                </c:pt>
                <c:pt idx="56">
                  <c:v>3.23306</c:v>
                </c:pt>
                <c:pt idx="57">
                  <c:v>3.2355800000000001</c:v>
                </c:pt>
                <c:pt idx="58">
                  <c:v>3.2362899999999999</c:v>
                </c:pt>
                <c:pt idx="59">
                  <c:v>3.2331300000000001</c:v>
                </c:pt>
                <c:pt idx="60">
                  <c:v>3.2282699999999998</c:v>
                </c:pt>
                <c:pt idx="61">
                  <c:v>3.2231100000000001</c:v>
                </c:pt>
                <c:pt idx="62">
                  <c:v>3.2170999999999998</c:v>
                </c:pt>
                <c:pt idx="63">
                  <c:v>3.2112099999999999</c:v>
                </c:pt>
                <c:pt idx="64">
                  <c:v>3.2071399999999999</c:v>
                </c:pt>
                <c:pt idx="65">
                  <c:v>3.2037300000000002</c:v>
                </c:pt>
                <c:pt idx="66">
                  <c:v>3.1980599999999999</c:v>
                </c:pt>
                <c:pt idx="67">
                  <c:v>3.19075</c:v>
                </c:pt>
                <c:pt idx="68">
                  <c:v>3.1812800000000001</c:v>
                </c:pt>
                <c:pt idx="69">
                  <c:v>3.1636500000000001</c:v>
                </c:pt>
                <c:pt idx="70">
                  <c:v>3.14263</c:v>
                </c:pt>
                <c:pt idx="71">
                  <c:v>3.1196600000000001</c:v>
                </c:pt>
                <c:pt idx="72">
                  <c:v>3.09626</c:v>
                </c:pt>
                <c:pt idx="73">
                  <c:v>3.0658600000000003</c:v>
                </c:pt>
                <c:pt idx="74">
                  <c:v>3.0195100000000004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36.950800000000001</c:v>
                </c:pt>
                <c:pt idx="1">
                  <c:v>37.3294</c:v>
                </c:pt>
                <c:pt idx="2">
                  <c:v>37.697299999999998</c:v>
                </c:pt>
                <c:pt idx="3">
                  <c:v>38.043300000000002</c:v>
                </c:pt>
                <c:pt idx="4">
                  <c:v>38.424199999999999</c:v>
                </c:pt>
                <c:pt idx="5">
                  <c:v>38.798400000000001</c:v>
                </c:pt>
                <c:pt idx="6">
                  <c:v>39.190199999999997</c:v>
                </c:pt>
                <c:pt idx="7">
                  <c:v>39.574300000000001</c:v>
                </c:pt>
                <c:pt idx="8">
                  <c:v>39.872800000000005</c:v>
                </c:pt>
                <c:pt idx="9">
                  <c:v>40.150999999999996</c:v>
                </c:pt>
                <c:pt idx="10">
                  <c:v>40.408999999999999</c:v>
                </c:pt>
                <c:pt idx="11">
                  <c:v>40.631099999999996</c:v>
                </c:pt>
                <c:pt idx="12">
                  <c:v>40.891599999999997</c:v>
                </c:pt>
                <c:pt idx="13">
                  <c:v>41.248800000000003</c:v>
                </c:pt>
                <c:pt idx="14">
                  <c:v>41.588700000000003</c:v>
                </c:pt>
                <c:pt idx="15">
                  <c:v>41.917999999999999</c:v>
                </c:pt>
                <c:pt idx="16">
                  <c:v>42.241900000000001</c:v>
                </c:pt>
                <c:pt idx="17">
                  <c:v>42.575899999999997</c:v>
                </c:pt>
                <c:pt idx="18">
                  <c:v>42.904899999999998</c:v>
                </c:pt>
                <c:pt idx="19">
                  <c:v>43.121200000000002</c:v>
                </c:pt>
                <c:pt idx="20">
                  <c:v>43.2453</c:v>
                </c:pt>
                <c:pt idx="21">
                  <c:v>43.332100000000004</c:v>
                </c:pt>
                <c:pt idx="22">
                  <c:v>43.3354</c:v>
                </c:pt>
                <c:pt idx="23">
                  <c:v>43.263100000000001</c:v>
                </c:pt>
                <c:pt idx="24">
                  <c:v>43.2072</c:v>
                </c:pt>
                <c:pt idx="25">
                  <c:v>43.123899999999999</c:v>
                </c:pt>
                <c:pt idx="26">
                  <c:v>42.975099999999998</c:v>
                </c:pt>
                <c:pt idx="27">
                  <c:v>42.802</c:v>
                </c:pt>
                <c:pt idx="28">
                  <c:v>42.659399999999998</c:v>
                </c:pt>
                <c:pt idx="29">
                  <c:v>42.480899999999998</c:v>
                </c:pt>
                <c:pt idx="30">
                  <c:v>42.295899999999996</c:v>
                </c:pt>
                <c:pt idx="31">
                  <c:v>42.054099999999998</c:v>
                </c:pt>
                <c:pt idx="32">
                  <c:v>41.7134</c:v>
                </c:pt>
                <c:pt idx="33">
                  <c:v>41.406599999999997</c:v>
                </c:pt>
                <c:pt idx="34">
                  <c:v>41.098399999999998</c:v>
                </c:pt>
                <c:pt idx="35">
                  <c:v>40.761800000000001</c:v>
                </c:pt>
                <c:pt idx="36">
                  <c:v>40.433999999999997</c:v>
                </c:pt>
                <c:pt idx="37">
                  <c:v>40.048499999999997</c:v>
                </c:pt>
                <c:pt idx="38">
                  <c:v>39.645699999999998</c:v>
                </c:pt>
                <c:pt idx="39">
                  <c:v>39.277099999999997</c:v>
                </c:pt>
                <c:pt idx="40">
                  <c:v>38.9497</c:v>
                </c:pt>
                <c:pt idx="41">
                  <c:v>38.563199999999995</c:v>
                </c:pt>
                <c:pt idx="42">
                  <c:v>38.181699999999999</c:v>
                </c:pt>
                <c:pt idx="43">
                  <c:v>37.780099999999997</c:v>
                </c:pt>
                <c:pt idx="44">
                  <c:v>37.331699999999998</c:v>
                </c:pt>
                <c:pt idx="45">
                  <c:v>36.892899999999997</c:v>
                </c:pt>
                <c:pt idx="46">
                  <c:v>36.432500000000005</c:v>
                </c:pt>
                <c:pt idx="47">
                  <c:v>35.957999999999998</c:v>
                </c:pt>
                <c:pt idx="48">
                  <c:v>35.428599999999996</c:v>
                </c:pt>
                <c:pt idx="49">
                  <c:v>34.8703</c:v>
                </c:pt>
                <c:pt idx="50">
                  <c:v>34.3352</c:v>
                </c:pt>
                <c:pt idx="51">
                  <c:v>34.046900000000001</c:v>
                </c:pt>
                <c:pt idx="52">
                  <c:v>33.769500000000001</c:v>
                </c:pt>
                <c:pt idx="53">
                  <c:v>33.426600000000001</c:v>
                </c:pt>
                <c:pt idx="54">
                  <c:v>33.080500000000001</c:v>
                </c:pt>
                <c:pt idx="55">
                  <c:v>32.685199999999995</c:v>
                </c:pt>
                <c:pt idx="56">
                  <c:v>32.328899999999997</c:v>
                </c:pt>
                <c:pt idx="57">
                  <c:v>32.034700000000001</c:v>
                </c:pt>
                <c:pt idx="58">
                  <c:v>31.781500000000001</c:v>
                </c:pt>
                <c:pt idx="59">
                  <c:v>31.557600000000001</c:v>
                </c:pt>
                <c:pt idx="60">
                  <c:v>31.325199999999999</c:v>
                </c:pt>
                <c:pt idx="61">
                  <c:v>31.173000000000002</c:v>
                </c:pt>
                <c:pt idx="62">
                  <c:v>31.005199999999999</c:v>
                </c:pt>
                <c:pt idx="63">
                  <c:v>30.706600000000002</c:v>
                </c:pt>
                <c:pt idx="64">
                  <c:v>30.3474</c:v>
                </c:pt>
                <c:pt idx="65">
                  <c:v>29.9404</c:v>
                </c:pt>
                <c:pt idx="66">
                  <c:v>29.626899999999999</c:v>
                </c:pt>
                <c:pt idx="67">
                  <c:v>29.276299999999999</c:v>
                </c:pt>
                <c:pt idx="68">
                  <c:v>28.939399999999999</c:v>
                </c:pt>
                <c:pt idx="69">
                  <c:v>28.818700000000003</c:v>
                </c:pt>
                <c:pt idx="70">
                  <c:v>28.638999999999999</c:v>
                </c:pt>
                <c:pt idx="71">
                  <c:v>28.226600000000001</c:v>
                </c:pt>
                <c:pt idx="72">
                  <c:v>27.981200000000001</c:v>
                </c:pt>
                <c:pt idx="73">
                  <c:v>28.075400000000002</c:v>
                </c:pt>
                <c:pt idx="74">
                  <c:v>28.3003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2.9930499999999998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44.317099999999996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3.3620274324324324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31.302183783783789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3.4263524324324326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37.129578378378383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3.4263524324324326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37.129578378378383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518</v>
      </c>
      <c r="D5" s="191"/>
      <c r="E5" s="191"/>
      <c r="F5" s="192"/>
      <c r="G5" s="48" t="str">
        <f>lang!B27</f>
        <v>编号</v>
      </c>
      <c r="H5" s="190">
        <v>2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517</v>
      </c>
      <c r="D6" s="145"/>
      <c r="E6" s="145"/>
      <c r="F6" s="146"/>
      <c r="G6" s="49" t="str">
        <f>lang!B28</f>
        <v xml:space="preserve"> 日期</v>
      </c>
      <c r="H6" s="129">
        <f>FH_info!A2</f>
        <v>43608.366712962961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29</v>
      </c>
      <c r="D7" s="148"/>
      <c r="E7" s="148"/>
      <c r="F7" s="149"/>
      <c r="G7" s="50" t="str">
        <f>lang!B29</f>
        <v>误差率（%）</v>
      </c>
      <c r="H7" s="132">
        <f>M!B17*1</f>
        <v>15.4137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41.367600000000003</v>
      </c>
      <c r="O8" s="59">
        <f>M!C5*1</f>
        <v>5.0800200000000002</v>
      </c>
      <c r="P8" s="59">
        <f>M!D5*1</f>
        <v>12.280200000000001</v>
      </c>
      <c r="Q8" s="59">
        <f>M!E5*1</f>
        <v>20</v>
      </c>
      <c r="R8" s="59">
        <f>M!F5*1</f>
        <v>22.709</v>
      </c>
      <c r="S8" s="59">
        <f>M!G5*1</f>
        <v>50</v>
      </c>
      <c r="T8" s="59">
        <f>M!H5*1</f>
        <v>52.199199999999998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24.768599999999999</v>
      </c>
      <c r="O9" s="59">
        <f>M!C6*1</f>
        <v>3.5064199999999999</v>
      </c>
      <c r="P9" s="59">
        <f>M!D6*1</f>
        <v>14.156700000000001</v>
      </c>
      <c r="Q9" s="59">
        <f>M!E6*1</f>
        <v>20</v>
      </c>
      <c r="R9" s="59">
        <f>M!F6*1</f>
        <v>20.954999999999998</v>
      </c>
      <c r="S9" s="59">
        <f>M!G6*1</f>
        <v>40</v>
      </c>
      <c r="T9" s="59">
        <f>M!H6*1</f>
        <v>34.910899999999998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22.709</v>
      </c>
      <c r="D10" s="99">
        <f>N8</f>
        <v>41.367600000000003</v>
      </c>
      <c r="E10" s="100">
        <f>T8</f>
        <v>52.199199999999998</v>
      </c>
      <c r="F10" s="91">
        <f>P8</f>
        <v>12.280200000000001</v>
      </c>
      <c r="G10" s="81" t="str">
        <f>CONCATENATE(M9,"
(20 ~ 40)")</f>
        <v>压力
(20 ~ 40)</v>
      </c>
      <c r="H10" s="98">
        <f>R9</f>
        <v>20.954999999999998</v>
      </c>
      <c r="I10" s="108">
        <f>N9</f>
        <v>24.768599999999999</v>
      </c>
      <c r="J10" s="98">
        <f>T9</f>
        <v>34.910899999999998</v>
      </c>
      <c r="K10" s="92">
        <f>P9</f>
        <v>14.156700000000001</v>
      </c>
      <c r="L10" s="6"/>
      <c r="M10" s="27" t="str">
        <f>lang!B16</f>
        <v>焦虑</v>
      </c>
      <c r="N10" s="59">
        <f>M!B7*1</f>
        <v>24.7836</v>
      </c>
      <c r="O10" s="59">
        <f>M!C7*1</f>
        <v>5.8456200000000003</v>
      </c>
      <c r="P10" s="59">
        <f>M!D7*1</f>
        <v>23.5867</v>
      </c>
      <c r="Q10" s="59">
        <f>M!E7*1</f>
        <v>15</v>
      </c>
      <c r="R10" s="59">
        <f>M!F7*1</f>
        <v>7.5225900000000001</v>
      </c>
      <c r="S10" s="59">
        <f>M!G7*1</f>
        <v>40</v>
      </c>
      <c r="T10" s="59">
        <f>M!H7*1</f>
        <v>38.231999999999999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7.5225900000000001</v>
      </c>
      <c r="D11" s="102">
        <f>N10</f>
        <v>24.7836</v>
      </c>
      <c r="E11" s="103">
        <f>T10</f>
        <v>38.231999999999999</v>
      </c>
      <c r="F11" s="94">
        <f>P10</f>
        <v>23.5867</v>
      </c>
      <c r="G11" s="52" t="str">
        <f>CONCATENATE(M11,"
(20 ~ 50)")</f>
        <v>可疑
(20 ~ 50)</v>
      </c>
      <c r="H11" s="101">
        <f>R11</f>
        <v>24.3367</v>
      </c>
      <c r="I11" s="104">
        <f>N11</f>
        <v>30.559200000000001</v>
      </c>
      <c r="J11" s="101">
        <f>T11</f>
        <v>36.204300000000003</v>
      </c>
      <c r="K11" s="95">
        <f>P11</f>
        <v>9.3151700000000002</v>
      </c>
      <c r="L11" s="4"/>
      <c r="M11" s="27" t="str">
        <f>lang!B17</f>
        <v>可疑</v>
      </c>
      <c r="N11" s="59">
        <f>M!B8*1</f>
        <v>30.559200000000001</v>
      </c>
      <c r="O11" s="59">
        <f>M!C8*1</f>
        <v>2.8466399999999998</v>
      </c>
      <c r="P11" s="59">
        <f>M!D8*1</f>
        <v>9.3151700000000002</v>
      </c>
      <c r="Q11" s="59">
        <f>M!E8*1</f>
        <v>20</v>
      </c>
      <c r="R11" s="59">
        <f>M!F8*1</f>
        <v>24.3367</v>
      </c>
      <c r="S11" s="59">
        <f>M!G8*1</f>
        <v>50</v>
      </c>
      <c r="T11" s="59">
        <f>M!H8*1</f>
        <v>36.204300000000003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32.2727</v>
      </c>
      <c r="D12" s="104">
        <f>N12</f>
        <v>62.8596</v>
      </c>
      <c r="E12" s="101">
        <f>T12</f>
        <v>85.230099999999993</v>
      </c>
      <c r="F12" s="93">
        <f>P12</f>
        <v>19.224799999999998</v>
      </c>
      <c r="G12" s="52" t="str">
        <f>CONCATENATE(M13,"
(40 ~ 100)")</f>
        <v>自信
(40 ~ 100)</v>
      </c>
      <c r="H12" s="101">
        <f>R13</f>
        <v>76.844499999999996</v>
      </c>
      <c r="I12" s="104">
        <f>N13</f>
        <v>82.831500000000005</v>
      </c>
      <c r="J12" s="101">
        <f>T13</f>
        <v>87.0428</v>
      </c>
      <c r="K12" s="95">
        <f>P13</f>
        <v>3.3837000000000002</v>
      </c>
      <c r="L12" s="4"/>
      <c r="M12" s="27" t="str">
        <f>lang!B18</f>
        <v>平衡</v>
      </c>
      <c r="N12" s="59">
        <f>M!B9*1</f>
        <v>62.8596</v>
      </c>
      <c r="O12" s="59">
        <f>M!C9*1</f>
        <v>12.0847</v>
      </c>
      <c r="P12" s="59">
        <f>M!D9*1</f>
        <v>19.224799999999998</v>
      </c>
      <c r="Q12" s="59">
        <f>M!E9*1</f>
        <v>50</v>
      </c>
      <c r="R12" s="59">
        <f>M!F9*1</f>
        <v>32.2727</v>
      </c>
      <c r="S12" s="59">
        <f>M!G9*1</f>
        <v>100</v>
      </c>
      <c r="T12" s="59">
        <f>M!H9*1</f>
        <v>85.230099999999993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13.283099999999999</v>
      </c>
      <c r="D13" s="102">
        <f>N14</f>
        <v>20.3613</v>
      </c>
      <c r="E13" s="103">
        <f>T14</f>
        <v>29.2988</v>
      </c>
      <c r="F13" s="94">
        <f>P14</f>
        <v>20.29</v>
      </c>
      <c r="G13" s="52" t="str">
        <f>CONCATENATE(M15,"
(50 ~ 100)")</f>
        <v>自我调节
(50 ~ 100)</v>
      </c>
      <c r="H13" s="101">
        <f>R15</f>
        <v>58.928699999999999</v>
      </c>
      <c r="I13" s="104">
        <f>N15</f>
        <v>72.993600000000001</v>
      </c>
      <c r="J13" s="101">
        <f>T15</f>
        <v>83.281099999999995</v>
      </c>
      <c r="K13" s="95">
        <f>P15</f>
        <v>7.1210199999999997</v>
      </c>
      <c r="L13" s="4"/>
      <c r="M13" s="27" t="str">
        <f>lang!B19</f>
        <v>自信</v>
      </c>
      <c r="N13" s="59">
        <f>M!B10*1</f>
        <v>82.831500000000005</v>
      </c>
      <c r="O13" s="59">
        <f>M!C10*1</f>
        <v>2.8027700000000002</v>
      </c>
      <c r="P13" s="59">
        <f>M!D10*1</f>
        <v>3.3837000000000002</v>
      </c>
      <c r="Q13" s="59">
        <f>M!E10*1</f>
        <v>40</v>
      </c>
      <c r="R13" s="59">
        <f>M!F10*1</f>
        <v>76.844499999999996</v>
      </c>
      <c r="S13" s="59">
        <f>M!G10*1</f>
        <v>100</v>
      </c>
      <c r="T13" s="59">
        <f>M!H10*1</f>
        <v>87.0428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17.029299999999999</v>
      </c>
      <c r="D14" s="106">
        <f>N16</f>
        <v>21.339200000000002</v>
      </c>
      <c r="E14" s="107">
        <f>T16</f>
        <v>31.215</v>
      </c>
      <c r="F14" s="96">
        <f>P16</f>
        <v>13.284700000000001</v>
      </c>
      <c r="G14" s="112" t="str">
        <f>CONCATENATE(M17,"
(10 ~ 50)")</f>
        <v>神经质
(10 ~ 50)</v>
      </c>
      <c r="H14" s="105">
        <f>R17</f>
        <v>3.17767</v>
      </c>
      <c r="I14" s="106">
        <f>N17</f>
        <v>28.348500000000001</v>
      </c>
      <c r="J14" s="107">
        <f>T17</f>
        <v>37.448700000000002</v>
      </c>
      <c r="K14" s="97">
        <f>P17</f>
        <v>31.4938</v>
      </c>
      <c r="M14" s="27" t="str">
        <f>lang!B20</f>
        <v>活力</v>
      </c>
      <c r="N14" s="59">
        <f>M!B11*1</f>
        <v>20.3613</v>
      </c>
      <c r="O14" s="59">
        <f>M!C11*1</f>
        <v>4.13131</v>
      </c>
      <c r="P14" s="59">
        <f>M!D11*1</f>
        <v>20.29</v>
      </c>
      <c r="Q14" s="59">
        <f>M!E11*1</f>
        <v>10</v>
      </c>
      <c r="R14" s="59">
        <f>M!F11*1</f>
        <v>13.283099999999999</v>
      </c>
      <c r="S14" s="59">
        <f>M!G11*1</f>
        <v>50</v>
      </c>
      <c r="T14" s="59">
        <f>M!H11*1</f>
        <v>29.2988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72.993600000000001</v>
      </c>
      <c r="O15" s="59">
        <f>M!C12*1</f>
        <v>5.1978900000000001</v>
      </c>
      <c r="P15" s="59">
        <f>M!D12*1</f>
        <v>7.1210199999999997</v>
      </c>
      <c r="Q15" s="59">
        <f>M!E12*1</f>
        <v>50</v>
      </c>
      <c r="R15" s="59">
        <f>M!F12*1</f>
        <v>58.928699999999999</v>
      </c>
      <c r="S15" s="59">
        <f>M!G12*1</f>
        <v>100</v>
      </c>
      <c r="T15" s="59">
        <f>M!H12*1</f>
        <v>83.281099999999995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21.339200000000002</v>
      </c>
      <c r="O16" s="59">
        <f>M!C13*1</f>
        <v>2.8348499999999999</v>
      </c>
      <c r="P16" s="59">
        <f>M!D13*1</f>
        <v>13.284700000000001</v>
      </c>
      <c r="Q16" s="59">
        <f>M!E13*1</f>
        <v>10</v>
      </c>
      <c r="R16" s="59">
        <f>M!F13*1</f>
        <v>17.029299999999999</v>
      </c>
      <c r="S16" s="59">
        <f>M!G13*1</f>
        <v>25</v>
      </c>
      <c r="T16" s="59">
        <f>M!H13*1</f>
        <v>31.215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28.348500000000001</v>
      </c>
      <c r="O17" s="59">
        <f>M!C14*1</f>
        <v>8.9280299999999997</v>
      </c>
      <c r="P17" s="59">
        <f>M!D14*1</f>
        <v>31.4938</v>
      </c>
      <c r="Q17" s="59">
        <f>M!E14*1</f>
        <v>10</v>
      </c>
      <c r="R17" s="59">
        <f>M!F14*1</f>
        <v>3.17767</v>
      </c>
      <c r="S17" s="59">
        <f>M!G14*1</f>
        <v>50</v>
      </c>
      <c r="T17" s="59">
        <f>M!H14*1</f>
        <v>37.448700000000002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59.761499999999998</v>
      </c>
      <c r="O18" s="22">
        <f>N18/(N18+N19+N20)</f>
        <v>0.51977776057598557</v>
      </c>
      <c r="P18" s="65">
        <f>SUM(P12:P15)/4</f>
        <v>12.50488</v>
      </c>
      <c r="Q18" s="22">
        <f>P18/(P18+P19+P20)</f>
        <v>0.25146141354945611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30.369750000000003</v>
      </c>
      <c r="O19" s="22">
        <f>N19/(N18+N19+N20)</f>
        <v>0.26414197508851922</v>
      </c>
      <c r="P19" s="18">
        <f>SUM(P8:P11)/4</f>
        <v>14.834692500000001</v>
      </c>
      <c r="Q19" s="22">
        <f>P19/(P18+P19+P20)</f>
        <v>0.29831175873910948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24.843850000000003</v>
      </c>
      <c r="O20" s="22">
        <f>N20/(N18+N19+N20)</f>
        <v>0.21608026433549529</v>
      </c>
      <c r="P20" s="18">
        <f>(P16+P17)/2</f>
        <v>22.389250000000001</v>
      </c>
      <c r="Q20" s="22">
        <f>P20/(P18+P19+P20)</f>
        <v>0.4502268277114343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5.1841445945945974E-2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1.660426955378423</v>
      </c>
      <c r="D25" s="44" t="str">
        <f>lang!B11</f>
        <v>频率方差</v>
      </c>
      <c r="E25" s="182">
        <f ca="1">FH!L3</f>
        <v>0.64790452592412306</v>
      </c>
      <c r="F25" s="183"/>
      <c r="G25" s="174" t="str">
        <f>lang!B12</f>
        <v>生理变化率</v>
      </c>
      <c r="H25" s="175"/>
      <c r="I25" s="62" t="str">
        <f ca="1">CONCATENATE(info!M7,"-",info!M8)</f>
        <v>25.1-44.3</v>
      </c>
      <c r="J25" s="42" t="str">
        <f>lang!B13</f>
        <v>千卡l/分钟</v>
      </c>
      <c r="K25" s="41" t="str">
        <f ca="1">CONCATENATE(info!M5,"-",info!M6)</f>
        <v>3-3.8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38.001400000000004</v>
      </c>
      <c r="F28" s="121"/>
      <c r="G28" s="135" t="str">
        <f>lang!B33</f>
        <v>稳定性</v>
      </c>
      <c r="H28" s="136"/>
      <c r="I28" s="137"/>
      <c r="J28" s="138">
        <f>M!B19*100</f>
        <v>63.250300000000003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43608.366712962961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-1.3376999999999981</v>
      </c>
      <c r="O7" s="59">
        <f t="shared" ref="O7:T7" si="2">AG7-X7</f>
        <v>-3.9827199999999996</v>
      </c>
      <c r="P7" s="59">
        <f t="shared" si="2"/>
        <v>-9.2495100000000008</v>
      </c>
      <c r="Q7" s="59">
        <f t="shared" si="2"/>
        <v>0</v>
      </c>
      <c r="R7" s="59">
        <f t="shared" si="2"/>
        <v>11.833000000000002</v>
      </c>
      <c r="S7" s="59">
        <f t="shared" si="2"/>
        <v>0</v>
      </c>
      <c r="T7" s="59">
        <f t="shared" si="2"/>
        <v>-4.3400999999999996</v>
      </c>
      <c r="U7" s="14"/>
      <c r="V7" s="27" t="str">
        <f>M7</f>
        <v>攻击性</v>
      </c>
      <c r="W7" s="59">
        <f>'M1'!B5*1</f>
        <v>42.106400000000001</v>
      </c>
      <c r="X7" s="59">
        <f>'M1'!C5*1</f>
        <v>6.6669299999999998</v>
      </c>
      <c r="Y7" s="59">
        <f>'M1'!D5*1</f>
        <v>15.833500000000001</v>
      </c>
      <c r="Z7" s="59">
        <f>'M1'!E5*1</f>
        <v>20</v>
      </c>
      <c r="AA7" s="59">
        <f>'M1'!F5*1</f>
        <v>22.709</v>
      </c>
      <c r="AB7" s="59">
        <f>'M1'!G5*1</f>
        <v>50</v>
      </c>
      <c r="AC7" s="59">
        <f>'M1'!H5*1</f>
        <v>52.199199999999998</v>
      </c>
      <c r="AE7" s="27" t="str">
        <f>V7</f>
        <v>攻击性</v>
      </c>
      <c r="AF7" s="59">
        <f>'M2'!B5*1</f>
        <v>40.768700000000003</v>
      </c>
      <c r="AG7" s="59">
        <f>'M2'!C5*1</f>
        <v>2.6842100000000002</v>
      </c>
      <c r="AH7" s="59">
        <f>'M2'!D5*1</f>
        <v>6.58399</v>
      </c>
      <c r="AI7" s="59">
        <f>'M2'!E5*1</f>
        <v>20</v>
      </c>
      <c r="AJ7" s="59">
        <f>'M2'!F5*1</f>
        <v>34.542000000000002</v>
      </c>
      <c r="AK7" s="59">
        <f>'M2'!G5*1</f>
        <v>50</v>
      </c>
      <c r="AL7" s="59">
        <f>'M2'!H5*1</f>
        <v>47.859099999999998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-5.2409999999999997</v>
      </c>
      <c r="O8" s="59">
        <f t="shared" ref="O8:O16" si="5">AG8-X8</f>
        <v>-2.7508300000000001</v>
      </c>
      <c r="P8" s="59">
        <f t="shared" ref="P8:P16" si="6">AH8-Y8</f>
        <v>-8.50549</v>
      </c>
      <c r="Q8" s="59">
        <f t="shared" ref="Q8:Q16" si="7">AI8-Z8</f>
        <v>0</v>
      </c>
      <c r="R8" s="59">
        <f t="shared" ref="R8:R16" si="8">AJ8-AA8</f>
        <v>-0.36950000000000216</v>
      </c>
      <c r="S8" s="59">
        <f t="shared" ref="S8:S16" si="9">AK8-AB8</f>
        <v>0</v>
      </c>
      <c r="T8" s="59">
        <f t="shared" ref="T8:T16" si="10">AL8-AC8</f>
        <v>-9.002399999999998</v>
      </c>
      <c r="U8" s="15"/>
      <c r="V8" s="27" t="str">
        <f t="shared" ref="V8:V16" si="11">M8</f>
        <v>压力</v>
      </c>
      <c r="W8" s="59">
        <f>'M1'!B6*1</f>
        <v>29.419599999999999</v>
      </c>
      <c r="X8" s="59">
        <f>'M1'!C6*1</f>
        <v>3.89758</v>
      </c>
      <c r="Y8" s="59">
        <f>'M1'!D6*1</f>
        <v>13.2483</v>
      </c>
      <c r="Z8" s="59">
        <f>'M1'!E6*1</f>
        <v>20</v>
      </c>
      <c r="AA8" s="59">
        <f>'M1'!F6*1</f>
        <v>21.3245</v>
      </c>
      <c r="AB8" s="59">
        <f>'M1'!G6*1</f>
        <v>40</v>
      </c>
      <c r="AC8" s="59">
        <f>'M1'!H6*1</f>
        <v>34.910899999999998</v>
      </c>
      <c r="AE8" s="27" t="str">
        <f t="shared" ref="AE8:AE16" si="12">V8</f>
        <v>压力</v>
      </c>
      <c r="AF8" s="59">
        <f>'M2'!B6*1</f>
        <v>24.178599999999999</v>
      </c>
      <c r="AG8" s="59">
        <f>'M2'!C6*1</f>
        <v>1.1467499999999999</v>
      </c>
      <c r="AH8" s="59">
        <f>'M2'!D6*1</f>
        <v>4.7428100000000004</v>
      </c>
      <c r="AI8" s="59">
        <f>'M2'!E6*1</f>
        <v>20</v>
      </c>
      <c r="AJ8" s="59">
        <f>'M2'!F6*1</f>
        <v>20.954999999999998</v>
      </c>
      <c r="AK8" s="59">
        <f>'M2'!G6*1</f>
        <v>40</v>
      </c>
      <c r="AL8" s="59">
        <f>'M2'!H6*1</f>
        <v>25.9085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11.833000000000002</v>
      </c>
      <c r="D9" s="78">
        <f>N7</f>
        <v>-1.3376999999999981</v>
      </c>
      <c r="E9" s="79">
        <f>T7</f>
        <v>-4.3400999999999996</v>
      </c>
      <c r="F9" s="79">
        <f>P7</f>
        <v>-9.2495100000000008</v>
      </c>
      <c r="G9" s="80" t="str">
        <f>CONCATENATE(M8,"
(20 ~ 40)")</f>
        <v>压力
(20 ~ 40)</v>
      </c>
      <c r="H9" s="77">
        <f>R8</f>
        <v>-0.36950000000000216</v>
      </c>
      <c r="I9" s="81">
        <f>N8</f>
        <v>-5.2409999999999997</v>
      </c>
      <c r="J9" s="77">
        <f>T8</f>
        <v>-9.002399999999998</v>
      </c>
      <c r="K9" s="82">
        <f>P8</f>
        <v>-8.50549</v>
      </c>
      <c r="L9" s="6"/>
      <c r="M9" s="27" t="str">
        <f>lang!B16</f>
        <v>焦虑</v>
      </c>
      <c r="N9" s="59">
        <f t="shared" si="4"/>
        <v>-2.2230999999999987</v>
      </c>
      <c r="O9" s="59">
        <f t="shared" si="5"/>
        <v>0.11256999999999984</v>
      </c>
      <c r="P9" s="59">
        <f t="shared" si="6"/>
        <v>2.5293000000000028</v>
      </c>
      <c r="Q9" s="59">
        <f t="shared" si="7"/>
        <v>0</v>
      </c>
      <c r="R9" s="59">
        <f t="shared" si="8"/>
        <v>0.42263999999999946</v>
      </c>
      <c r="S9" s="59">
        <f t="shared" si="9"/>
        <v>0</v>
      </c>
      <c r="T9" s="59">
        <f t="shared" si="10"/>
        <v>-2.7501999999999995</v>
      </c>
      <c r="U9" s="14"/>
      <c r="V9" s="27" t="str">
        <f t="shared" si="11"/>
        <v>焦虑</v>
      </c>
      <c r="W9" s="59">
        <f>'M1'!B7*1</f>
        <v>25.796099999999999</v>
      </c>
      <c r="X9" s="59">
        <f>'M1'!C7*1</f>
        <v>5.6120400000000004</v>
      </c>
      <c r="Y9" s="59">
        <f>'M1'!D7*1</f>
        <v>21.755299999999998</v>
      </c>
      <c r="Z9" s="59">
        <f>'M1'!E7*1</f>
        <v>15</v>
      </c>
      <c r="AA9" s="59">
        <f>'M1'!F7*1</f>
        <v>7.5225900000000001</v>
      </c>
      <c r="AB9" s="59">
        <f>'M1'!G7*1</f>
        <v>40</v>
      </c>
      <c r="AC9" s="59">
        <f>'M1'!H7*1</f>
        <v>38.231999999999999</v>
      </c>
      <c r="AE9" s="27" t="str">
        <f t="shared" si="12"/>
        <v>焦虑</v>
      </c>
      <c r="AF9" s="59">
        <f>'M2'!B7*1</f>
        <v>23.573</v>
      </c>
      <c r="AG9" s="59">
        <f>'M2'!C7*1</f>
        <v>5.7246100000000002</v>
      </c>
      <c r="AH9" s="59">
        <f>'M2'!D7*1</f>
        <v>24.284600000000001</v>
      </c>
      <c r="AI9" s="59">
        <f>'M2'!E7*1</f>
        <v>15</v>
      </c>
      <c r="AJ9" s="59">
        <f>'M2'!F7*1</f>
        <v>7.9452299999999996</v>
      </c>
      <c r="AK9" s="59">
        <f>'M2'!G7*1</f>
        <v>40</v>
      </c>
      <c r="AL9" s="59">
        <f>'M2'!H7*1</f>
        <v>35.4818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0.42263999999999946</v>
      </c>
      <c r="D10" s="51">
        <f>N9</f>
        <v>-2.2230999999999987</v>
      </c>
      <c r="E10" s="53">
        <f>T9</f>
        <v>-2.7501999999999995</v>
      </c>
      <c r="F10" s="53">
        <f>P9</f>
        <v>2.5293000000000028</v>
      </c>
      <c r="G10" s="73" t="str">
        <f>CONCATENATE(M10,"
(20 ~ 50)")</f>
        <v>可疑
(20 ~ 50)</v>
      </c>
      <c r="H10" s="24">
        <f>R10</f>
        <v>0.35739999999999839</v>
      </c>
      <c r="I10" s="52">
        <f>N10</f>
        <v>-2.3955999999999982</v>
      </c>
      <c r="J10" s="24">
        <f>T10</f>
        <v>-3.9814000000000007</v>
      </c>
      <c r="K10" s="25">
        <f>P10</f>
        <v>-2.6391299999999998</v>
      </c>
      <c r="L10" s="4"/>
      <c r="M10" s="27" t="str">
        <f>lang!B17</f>
        <v>可疑</v>
      </c>
      <c r="N10" s="59">
        <f t="shared" si="4"/>
        <v>-2.3955999999999982</v>
      </c>
      <c r="O10" s="59">
        <f t="shared" si="5"/>
        <v>-1.0068000000000001</v>
      </c>
      <c r="P10" s="59">
        <f t="shared" si="6"/>
        <v>-2.6391299999999998</v>
      </c>
      <c r="Q10" s="59">
        <f t="shared" si="7"/>
        <v>0</v>
      </c>
      <c r="R10" s="59">
        <f t="shared" si="8"/>
        <v>0.35739999999999839</v>
      </c>
      <c r="S10" s="59">
        <f t="shared" si="9"/>
        <v>0</v>
      </c>
      <c r="T10" s="59">
        <f t="shared" si="10"/>
        <v>-3.9814000000000007</v>
      </c>
      <c r="U10" s="14"/>
      <c r="V10" s="27" t="str">
        <f t="shared" si="11"/>
        <v>可疑</v>
      </c>
      <c r="W10" s="59">
        <f>'M1'!B8*1</f>
        <v>31.776</v>
      </c>
      <c r="X10" s="59">
        <f>'M1'!C8*1</f>
        <v>3.0694699999999999</v>
      </c>
      <c r="Y10" s="59">
        <f>'M1'!D8*1</f>
        <v>9.6596899999999994</v>
      </c>
      <c r="Z10" s="59">
        <f>'M1'!E8*1</f>
        <v>20</v>
      </c>
      <c r="AA10" s="59">
        <f>'M1'!F8*1</f>
        <v>24.3367</v>
      </c>
      <c r="AB10" s="59">
        <f>'M1'!G8*1</f>
        <v>50</v>
      </c>
      <c r="AC10" s="59">
        <f>'M1'!H8*1</f>
        <v>36.204300000000003</v>
      </c>
      <c r="AE10" s="27" t="str">
        <f t="shared" si="12"/>
        <v>可疑</v>
      </c>
      <c r="AF10" s="59">
        <f>'M2'!B8*1</f>
        <v>29.380400000000002</v>
      </c>
      <c r="AG10" s="59">
        <f>'M2'!C8*1</f>
        <v>2.0626699999999998</v>
      </c>
      <c r="AH10" s="59">
        <f>'M2'!D8*1</f>
        <v>7.0205599999999997</v>
      </c>
      <c r="AI10" s="59">
        <f>'M2'!E8*1</f>
        <v>20</v>
      </c>
      <c r="AJ10" s="59">
        <f>'M2'!F8*1</f>
        <v>24.694099999999999</v>
      </c>
      <c r="AK10" s="59">
        <f>'M2'!G8*1</f>
        <v>50</v>
      </c>
      <c r="AL10" s="59">
        <f>'M2'!H8*1</f>
        <v>32.222900000000003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9.8477999999999994</v>
      </c>
      <c r="D11" s="52">
        <f>N11</f>
        <v>-7.0894999999999939</v>
      </c>
      <c r="E11" s="24">
        <f>T11</f>
        <v>-14.660299999999992</v>
      </c>
      <c r="F11" s="24">
        <f>P11</f>
        <v>-11.710199999999999</v>
      </c>
      <c r="G11" s="73" t="str">
        <f>CONCATENATE(M12,"
(40 ~ 100)")</f>
        <v>自信
(40 ~ 100)</v>
      </c>
      <c r="H11" s="24">
        <f>R12</f>
        <v>5.0576000000000079</v>
      </c>
      <c r="I11" s="52">
        <f>N12</f>
        <v>2.3914000000000044</v>
      </c>
      <c r="J11" s="24">
        <f>T12</f>
        <v>0.36289999999999623</v>
      </c>
      <c r="K11" s="25">
        <f>P12</f>
        <v>-1.9552200000000002</v>
      </c>
      <c r="L11" s="4"/>
      <c r="M11" s="27" t="str">
        <f>lang!B18</f>
        <v>平衡</v>
      </c>
      <c r="N11" s="59">
        <f t="shared" si="4"/>
        <v>-7.0894999999999939</v>
      </c>
      <c r="O11" s="59">
        <f t="shared" si="5"/>
        <v>-8.8621499999999997</v>
      </c>
      <c r="P11" s="59">
        <f t="shared" si="6"/>
        <v>-11.710199999999999</v>
      </c>
      <c r="Q11" s="59">
        <f t="shared" si="7"/>
        <v>0</v>
      </c>
      <c r="R11" s="59">
        <f t="shared" si="8"/>
        <v>9.8477999999999994</v>
      </c>
      <c r="S11" s="59">
        <f t="shared" si="9"/>
        <v>0</v>
      </c>
      <c r="T11" s="59">
        <f t="shared" si="10"/>
        <v>-14.660299999999992</v>
      </c>
      <c r="U11" s="14"/>
      <c r="V11" s="27" t="str">
        <f t="shared" si="11"/>
        <v>平衡</v>
      </c>
      <c r="W11" s="59">
        <f>'M1'!B9*1</f>
        <v>69.086299999999994</v>
      </c>
      <c r="X11" s="59">
        <f>'M1'!C9*1</f>
        <v>15.613200000000001</v>
      </c>
      <c r="Y11" s="59">
        <f>'M1'!D9*1</f>
        <v>22.599599999999999</v>
      </c>
      <c r="Z11" s="59">
        <f>'M1'!E9*1</f>
        <v>50</v>
      </c>
      <c r="AA11" s="59">
        <f>'M1'!F9*1</f>
        <v>32.2727</v>
      </c>
      <c r="AB11" s="59">
        <f>'M1'!G9*1</f>
        <v>100</v>
      </c>
      <c r="AC11" s="59">
        <f>'M1'!H9*1</f>
        <v>85.230099999999993</v>
      </c>
      <c r="AE11" s="27" t="str">
        <f t="shared" si="12"/>
        <v>平衡</v>
      </c>
      <c r="AF11" s="59">
        <f>'M2'!B9*1</f>
        <v>61.9968</v>
      </c>
      <c r="AG11" s="59">
        <f>'M2'!C9*1</f>
        <v>6.7510500000000002</v>
      </c>
      <c r="AH11" s="59">
        <f>'M2'!D9*1</f>
        <v>10.8894</v>
      </c>
      <c r="AI11" s="59">
        <f>'M2'!E9*1</f>
        <v>50</v>
      </c>
      <c r="AJ11" s="59">
        <f>'M2'!F9*1</f>
        <v>42.1205</v>
      </c>
      <c r="AK11" s="59">
        <f>'M2'!G9*1</f>
        <v>100</v>
      </c>
      <c r="AL11" s="59">
        <f>'M2'!H9*1</f>
        <v>70.569800000000001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2.746599999999999</v>
      </c>
      <c r="D12" s="51">
        <f>N13</f>
        <v>3.4071999999999996</v>
      </c>
      <c r="E12" s="53">
        <f>T13</f>
        <v>-2.1563000000000017</v>
      </c>
      <c r="F12" s="53">
        <f>P13</f>
        <v>-11.0052</v>
      </c>
      <c r="G12" s="73" t="str">
        <f>CONCATENATE(M14,"
(50 ~ 100)")</f>
        <v>自我调节
(50 ~ 100)</v>
      </c>
      <c r="H12" s="24">
        <f>R14</f>
        <v>3.6225999999999985</v>
      </c>
      <c r="I12" s="52">
        <f>N14</f>
        <v>-1.2695000000000078</v>
      </c>
      <c r="J12" s="24">
        <f>T14</f>
        <v>-4.5662999999999982</v>
      </c>
      <c r="K12" s="25">
        <f>P14</f>
        <v>-3.9220500000000005</v>
      </c>
      <c r="L12" s="4"/>
      <c r="M12" s="27" t="str">
        <f>lang!B19</f>
        <v>自信</v>
      </c>
      <c r="N12" s="59">
        <f t="shared" si="4"/>
        <v>2.3914000000000044</v>
      </c>
      <c r="O12" s="59">
        <f t="shared" si="5"/>
        <v>-1.5286699999999998</v>
      </c>
      <c r="P12" s="59">
        <f t="shared" si="6"/>
        <v>-1.9552200000000002</v>
      </c>
      <c r="Q12" s="59">
        <f t="shared" si="7"/>
        <v>0</v>
      </c>
      <c r="R12" s="59">
        <f t="shared" si="8"/>
        <v>5.0576000000000079</v>
      </c>
      <c r="S12" s="59">
        <f t="shared" si="9"/>
        <v>0</v>
      </c>
      <c r="T12" s="59">
        <f t="shared" si="10"/>
        <v>0.36289999999999623</v>
      </c>
      <c r="U12" s="15"/>
      <c r="V12" s="27" t="str">
        <f t="shared" si="11"/>
        <v>自信</v>
      </c>
      <c r="W12" s="59">
        <f>'M1'!B10*1</f>
        <v>80.638199999999998</v>
      </c>
      <c r="X12" s="59">
        <f>'M1'!C10*1</f>
        <v>3.1947299999999998</v>
      </c>
      <c r="Y12" s="59">
        <f>'M1'!D10*1</f>
        <v>3.9618000000000002</v>
      </c>
      <c r="Z12" s="59">
        <f>'M1'!E10*1</f>
        <v>40</v>
      </c>
      <c r="AA12" s="59">
        <f>'M1'!F10*1</f>
        <v>76.844499999999996</v>
      </c>
      <c r="AB12" s="59">
        <f>'M1'!G10*1</f>
        <v>100</v>
      </c>
      <c r="AC12" s="59">
        <f>'M1'!H10*1</f>
        <v>86.679900000000004</v>
      </c>
      <c r="AE12" s="27" t="str">
        <f t="shared" si="12"/>
        <v>自信</v>
      </c>
      <c r="AF12" s="59">
        <f>'M2'!B10*1</f>
        <v>83.029600000000002</v>
      </c>
      <c r="AG12" s="59">
        <f>'M2'!C10*1</f>
        <v>1.6660600000000001</v>
      </c>
      <c r="AH12" s="59">
        <f>'M2'!D10*1</f>
        <v>2.00658</v>
      </c>
      <c r="AI12" s="59">
        <f>'M2'!E10*1</f>
        <v>40</v>
      </c>
      <c r="AJ12" s="59">
        <f>'M2'!F10*1</f>
        <v>81.902100000000004</v>
      </c>
      <c r="AK12" s="59">
        <f>'M2'!G10*1</f>
        <v>100</v>
      </c>
      <c r="AL12" s="59">
        <f>'M2'!H10*1</f>
        <v>87.0428</v>
      </c>
    </row>
    <row r="13" spans="2:38" ht="25.5" customHeight="1" thickBot="1">
      <c r="B13" s="72" t="str">
        <f>CONCATENATE(M15,"
(10 ~ 25)")</f>
        <v>抑郁
(10 ~ 25)</v>
      </c>
      <c r="C13" s="54">
        <f>R15</f>
        <v>-0.3813999999999993</v>
      </c>
      <c r="D13" s="55">
        <f>N15</f>
        <v>-1.617799999999999</v>
      </c>
      <c r="E13" s="56">
        <f>T15</f>
        <v>0.90889999999999915</v>
      </c>
      <c r="F13" s="56">
        <f>P15</f>
        <v>-0.58689999999999998</v>
      </c>
      <c r="G13" s="74" t="str">
        <f>CONCATENATE(M16,"
(10 ~ 50)")</f>
        <v>神经质
(10 ~ 50)</v>
      </c>
      <c r="H13" s="54">
        <f>R16</f>
        <v>-0.22019000000000011</v>
      </c>
      <c r="I13" s="55">
        <f>N16</f>
        <v>-3.327300000000001</v>
      </c>
      <c r="J13" s="56">
        <f>T16</f>
        <v>-1.5253000000000014</v>
      </c>
      <c r="K13" s="57">
        <f>P16</f>
        <v>12.052000000000003</v>
      </c>
      <c r="M13" s="27" t="str">
        <f>lang!B20</f>
        <v>活力</v>
      </c>
      <c r="N13" s="59">
        <f t="shared" si="4"/>
        <v>3.4071999999999996</v>
      </c>
      <c r="O13" s="59">
        <f t="shared" si="5"/>
        <v>-1.5558999999999998</v>
      </c>
      <c r="P13" s="59">
        <f t="shared" si="6"/>
        <v>-11.0052</v>
      </c>
      <c r="Q13" s="59">
        <f t="shared" si="7"/>
        <v>0</v>
      </c>
      <c r="R13" s="59">
        <f t="shared" si="8"/>
        <v>2.746599999999999</v>
      </c>
      <c r="S13" s="59">
        <f t="shared" si="9"/>
        <v>0</v>
      </c>
      <c r="T13" s="59">
        <f t="shared" si="10"/>
        <v>-2.1563000000000017</v>
      </c>
      <c r="U13" s="14"/>
      <c r="V13" s="27" t="str">
        <f t="shared" si="11"/>
        <v>活力</v>
      </c>
      <c r="W13" s="59">
        <f>'M1'!B11*1</f>
        <v>18.452200000000001</v>
      </c>
      <c r="X13" s="59">
        <f>'M1'!C11*1</f>
        <v>4.6020399999999997</v>
      </c>
      <c r="Y13" s="59">
        <f>'M1'!D11*1</f>
        <v>24.940300000000001</v>
      </c>
      <c r="Z13" s="59">
        <f>'M1'!E11*1</f>
        <v>10</v>
      </c>
      <c r="AA13" s="59">
        <f>'M1'!F11*1</f>
        <v>13.283099999999999</v>
      </c>
      <c r="AB13" s="59">
        <f>'M1'!G11*1</f>
        <v>50</v>
      </c>
      <c r="AC13" s="59">
        <f>'M1'!H11*1</f>
        <v>29.2988</v>
      </c>
      <c r="AE13" s="27" t="str">
        <f t="shared" si="12"/>
        <v>活力</v>
      </c>
      <c r="AF13" s="59">
        <f>'M2'!B11*1</f>
        <v>21.859400000000001</v>
      </c>
      <c r="AG13" s="59">
        <f>'M2'!C11*1</f>
        <v>3.0461399999999998</v>
      </c>
      <c r="AH13" s="59">
        <f>'M2'!D11*1</f>
        <v>13.9351</v>
      </c>
      <c r="AI13" s="59">
        <f>'M2'!E11*1</f>
        <v>10</v>
      </c>
      <c r="AJ13" s="59">
        <f>'M2'!F11*1</f>
        <v>16.029699999999998</v>
      </c>
      <c r="AK13" s="59">
        <f>'M2'!G11*1</f>
        <v>50</v>
      </c>
      <c r="AL13" s="59">
        <f>'M2'!H11*1</f>
        <v>27.142499999999998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-1.2695000000000078</v>
      </c>
      <c r="O14" s="59">
        <f t="shared" si="5"/>
        <v>-2.9639699999999998</v>
      </c>
      <c r="P14" s="59">
        <f t="shared" si="6"/>
        <v>-3.9220500000000005</v>
      </c>
      <c r="Q14" s="59">
        <f t="shared" si="7"/>
        <v>0</v>
      </c>
      <c r="R14" s="59">
        <f t="shared" si="8"/>
        <v>3.6225999999999985</v>
      </c>
      <c r="S14" s="59">
        <f t="shared" si="9"/>
        <v>0</v>
      </c>
      <c r="T14" s="59">
        <f t="shared" si="10"/>
        <v>-4.5662999999999982</v>
      </c>
      <c r="U14" s="14"/>
      <c r="V14" s="27" t="str">
        <f t="shared" si="11"/>
        <v>自我调节</v>
      </c>
      <c r="W14" s="59">
        <f>'M1'!B12*1</f>
        <v>74.031000000000006</v>
      </c>
      <c r="X14" s="59">
        <f>'M1'!C12*1</f>
        <v>6.4277499999999996</v>
      </c>
      <c r="Y14" s="59">
        <f>'M1'!D12*1</f>
        <v>8.6825100000000006</v>
      </c>
      <c r="Z14" s="59">
        <f>'M1'!E12*1</f>
        <v>50</v>
      </c>
      <c r="AA14" s="59">
        <f>'M1'!F12*1</f>
        <v>58.928699999999999</v>
      </c>
      <c r="AB14" s="59">
        <f>'M1'!G12*1</f>
        <v>100</v>
      </c>
      <c r="AC14" s="59">
        <f>'M1'!H12*1</f>
        <v>83.281099999999995</v>
      </c>
      <c r="AE14" s="27" t="str">
        <f t="shared" si="12"/>
        <v>自我调节</v>
      </c>
      <c r="AF14" s="59">
        <f>'M2'!B12*1</f>
        <v>72.761499999999998</v>
      </c>
      <c r="AG14" s="59">
        <f>'M2'!C12*1</f>
        <v>3.4637799999999999</v>
      </c>
      <c r="AH14" s="59">
        <f>'M2'!D12*1</f>
        <v>4.7604600000000001</v>
      </c>
      <c r="AI14" s="59">
        <f>'M2'!E12*1</f>
        <v>50</v>
      </c>
      <c r="AJ14" s="59">
        <f>'M2'!F12*1</f>
        <v>62.551299999999998</v>
      </c>
      <c r="AK14" s="59">
        <f>'M2'!G12*1</f>
        <v>100</v>
      </c>
      <c r="AL14" s="59">
        <f>'M2'!H12*1</f>
        <v>78.714799999999997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-1.617799999999999</v>
      </c>
      <c r="O15" s="59">
        <f t="shared" si="5"/>
        <v>-0.33272999999999975</v>
      </c>
      <c r="P15" s="59">
        <f t="shared" si="6"/>
        <v>-0.58689999999999998</v>
      </c>
      <c r="Q15" s="59">
        <f t="shared" si="7"/>
        <v>0</v>
      </c>
      <c r="R15" s="59">
        <f t="shared" si="8"/>
        <v>-0.3813999999999993</v>
      </c>
      <c r="S15" s="59">
        <f t="shared" si="9"/>
        <v>0</v>
      </c>
      <c r="T15" s="59">
        <f t="shared" si="10"/>
        <v>0.90889999999999915</v>
      </c>
      <c r="U15" s="14"/>
      <c r="V15" s="27" t="str">
        <f t="shared" si="11"/>
        <v>抑郁</v>
      </c>
      <c r="W15" s="59">
        <f>'M1'!B13*1</f>
        <v>22.306699999999999</v>
      </c>
      <c r="X15" s="59">
        <f>'M1'!C13*1</f>
        <v>2.9134199999999999</v>
      </c>
      <c r="Y15" s="59">
        <f>'M1'!D13*1</f>
        <v>13.060700000000001</v>
      </c>
      <c r="Z15" s="59">
        <f>'M1'!E13*1</f>
        <v>10</v>
      </c>
      <c r="AA15" s="59">
        <f>'M1'!F13*1</f>
        <v>17.410699999999999</v>
      </c>
      <c r="AB15" s="59">
        <f>'M1'!G13*1</f>
        <v>25</v>
      </c>
      <c r="AC15" s="59">
        <f>'M1'!H13*1</f>
        <v>30.306100000000001</v>
      </c>
      <c r="AE15" s="27" t="str">
        <f t="shared" si="12"/>
        <v>抑郁</v>
      </c>
      <c r="AF15" s="59">
        <f>'M2'!B13*1</f>
        <v>20.6889</v>
      </c>
      <c r="AG15" s="59">
        <f>'M2'!C13*1</f>
        <v>2.5806900000000002</v>
      </c>
      <c r="AH15" s="59">
        <f>'M2'!D13*1</f>
        <v>12.473800000000001</v>
      </c>
      <c r="AI15" s="59">
        <f>'M2'!E13*1</f>
        <v>10</v>
      </c>
      <c r="AJ15" s="59">
        <f>'M2'!F13*1</f>
        <v>17.029299999999999</v>
      </c>
      <c r="AK15" s="59">
        <f>'M2'!G13*1</f>
        <v>25</v>
      </c>
      <c r="AL15" s="59">
        <f>'M2'!H13*1</f>
        <v>31.215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-3.327300000000001</v>
      </c>
      <c r="O16" s="59">
        <f t="shared" si="5"/>
        <v>2.2376000000000005</v>
      </c>
      <c r="P16" s="59">
        <f t="shared" si="6"/>
        <v>12.052000000000003</v>
      </c>
      <c r="Q16" s="59">
        <f t="shared" si="7"/>
        <v>0</v>
      </c>
      <c r="R16" s="59">
        <f t="shared" si="8"/>
        <v>-0.22019000000000011</v>
      </c>
      <c r="S16" s="59">
        <f t="shared" si="9"/>
        <v>0</v>
      </c>
      <c r="T16" s="59">
        <f t="shared" si="10"/>
        <v>-1.5253000000000014</v>
      </c>
      <c r="U16" s="15"/>
      <c r="V16" s="27" t="str">
        <f t="shared" si="11"/>
        <v>神经质</v>
      </c>
      <c r="W16" s="59">
        <f>'M1'!B14*1</f>
        <v>29.1342</v>
      </c>
      <c r="X16" s="59">
        <f>'M1'!C14*1</f>
        <v>7.64072</v>
      </c>
      <c r="Y16" s="59">
        <f>'M1'!D14*1</f>
        <v>26.225899999999999</v>
      </c>
      <c r="Z16" s="59">
        <f>'M1'!E14*1</f>
        <v>10</v>
      </c>
      <c r="AA16" s="59">
        <f>'M1'!F14*1</f>
        <v>3.3978600000000001</v>
      </c>
      <c r="AB16" s="59">
        <f>'M1'!G14*1</f>
        <v>50</v>
      </c>
      <c r="AC16" s="59">
        <f>'M1'!H14*1</f>
        <v>37.448700000000002</v>
      </c>
      <c r="AE16" s="27" t="str">
        <f t="shared" si="12"/>
        <v>神经质</v>
      </c>
      <c r="AF16" s="59">
        <f>'M2'!B14*1</f>
        <v>25.806899999999999</v>
      </c>
      <c r="AG16" s="59">
        <f>'M2'!C14*1</f>
        <v>9.8783200000000004</v>
      </c>
      <c r="AH16" s="59">
        <f>'M2'!D14*1</f>
        <v>38.277900000000002</v>
      </c>
      <c r="AI16" s="59">
        <f>'M2'!E14*1</f>
        <v>10</v>
      </c>
      <c r="AJ16" s="59">
        <f>'M2'!F14*1</f>
        <v>3.17767</v>
      </c>
      <c r="AK16" s="59">
        <f>'M2'!G14*1</f>
        <v>50</v>
      </c>
      <c r="AL16" s="59">
        <f>'M2'!H14*1</f>
        <v>35.923400000000001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-0.64009999999999945</v>
      </c>
      <c r="O17" s="22">
        <f>N17/(N17+N18+N19)</f>
        <v>0.10827131258457369</v>
      </c>
      <c r="P17" s="65">
        <f>SUM(P11:P14)/4</f>
        <v>-7.1481674999999996</v>
      </c>
      <c r="Q17" s="22">
        <f>P17/(P17+P18+P19)</f>
        <v>1.2152975479549295</v>
      </c>
      <c r="R17" s="14"/>
      <c r="S17" s="14"/>
      <c r="T17" s="14"/>
      <c r="U17" s="14"/>
      <c r="V17" s="21" t="str">
        <f>M17</f>
        <v>Positive</v>
      </c>
      <c r="W17" s="65">
        <f>SUM(W11:W14)/4</f>
        <v>60.551924999999997</v>
      </c>
      <c r="X17" s="22">
        <f>W17/(W17+W18+W19)</f>
        <v>0.51078455024973235</v>
      </c>
      <c r="Y17" s="65">
        <f>SUM(Y11:Y14)/4</f>
        <v>15.0460525</v>
      </c>
      <c r="Z17" s="22">
        <f>Y17/(Y17+Y18+Y19)</f>
        <v>0.30204738469753711</v>
      </c>
      <c r="AA17" s="14"/>
      <c r="AB17" s="14"/>
      <c r="AC17" s="14"/>
      <c r="AE17" s="21" t="str">
        <f>V17</f>
        <v>Positive</v>
      </c>
      <c r="AF17" s="65">
        <f>SUM(AF11:AF14)/4</f>
        <v>59.911824999999993</v>
      </c>
      <c r="AG17" s="22">
        <f>AF17/(AF17+AF18+AF19)</f>
        <v>0.53191173428484417</v>
      </c>
      <c r="AH17" s="65">
        <f>SUM(AH11:AH14)/4</f>
        <v>7.8978850000000005</v>
      </c>
      <c r="AI17" s="22">
        <f>AH17/(AH17+AH18+AH19)</f>
        <v>0.17977634613710253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-2.7993499999999987</v>
      </c>
      <c r="O18" s="22">
        <f>N18/(N17+N18+N19)</f>
        <v>0.47350304465493903</v>
      </c>
      <c r="P18" s="18">
        <f>SUM(P7:P10)/4</f>
        <v>-4.4662074999999994</v>
      </c>
      <c r="Q18" s="22">
        <f>P18/(P17+P18+P19)</f>
        <v>0.75932342427732913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32.274524999999997</v>
      </c>
      <c r="X18" s="22">
        <f>W18/(W17+W18+W19)</f>
        <v>0.27225110905472855</v>
      </c>
      <c r="Y18" s="18">
        <f>SUM(Y7:Y10)/4</f>
        <v>15.124197499999999</v>
      </c>
      <c r="Z18" s="22">
        <f>Y18/(Y17+Y18+Y19)</f>
        <v>0.30361613456579584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29.475175</v>
      </c>
      <c r="AG18" s="22">
        <f>AF18/(AF17+AF18+AF19)</f>
        <v>0.26168776285147854</v>
      </c>
      <c r="AH18" s="18">
        <f>SUM(AH7:AH10)/4</f>
        <v>10.657990000000002</v>
      </c>
      <c r="AI18" s="22">
        <f>AH18/(AH17+AH18+AH19)</f>
        <v>0.24260349439954842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-2.47255</v>
      </c>
      <c r="O19" s="22">
        <f>N19/(N17+N18+N19)</f>
        <v>0.41822564276048729</v>
      </c>
      <c r="P19" s="18">
        <f>(P15+P16)/2</f>
        <v>5.7325500000000016</v>
      </c>
      <c r="Q19" s="22">
        <f>P19/(P17+P18+P19)</f>
        <v>-0.97462097223225852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25.72045</v>
      </c>
      <c r="X19" s="22">
        <f>W19/(W17+W18+W19)</f>
        <v>0.21696434069553908</v>
      </c>
      <c r="Y19" s="18">
        <f>(Y15+Y16)/2</f>
        <v>19.6433</v>
      </c>
      <c r="Z19" s="22">
        <f>Y19/(Y17+Y18+Y19)</f>
        <v>0.39433648073666705</v>
      </c>
      <c r="AA19" s="14"/>
      <c r="AB19" s="14"/>
      <c r="AC19" s="14"/>
      <c r="AE19" s="21" t="str">
        <f t="shared" si="14"/>
        <v>Physiological</v>
      </c>
      <c r="AF19" s="18">
        <f>(AF15+AF16)/2</f>
        <v>23.247900000000001</v>
      </c>
      <c r="AG19" s="22">
        <f>AF19/(AF17+AF18+AF19)</f>
        <v>0.20640050286367725</v>
      </c>
      <c r="AH19" s="18">
        <f>(AH15+AH16)/2</f>
        <v>25.37585</v>
      </c>
      <c r="AI19" s="22">
        <f>AH19/(AH17+AH18+AH19)</f>
        <v>0.5776201594633491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1.6/1.71</v>
      </c>
      <c r="D24" s="44" t="str">
        <f>lang!B11</f>
        <v>频率方差</v>
      </c>
      <c r="E24" s="182" t="str">
        <f ca="1">CONCATENATE(ROUND('FH1'!L3,2),"/",ROUND('FH2'!L3,2))</f>
        <v>0.68/0.61</v>
      </c>
      <c r="F24" s="183"/>
      <c r="G24" s="174" t="str">
        <f>lang!B12</f>
        <v>生理变化率</v>
      </c>
      <c r="H24" s="175"/>
      <c r="I24" s="62" t="str">
        <f ca="1">CONCATENATE(info!M7,"-",info!M8)</f>
        <v>25.1-44.3</v>
      </c>
      <c r="J24" s="42" t="str">
        <f>lang!B13</f>
        <v>千卡l/分钟</v>
      </c>
      <c r="K24" s="41" t="str">
        <f ca="1">CONCATENATE(info!M5,"-",info!M6)</f>
        <v>3-3.8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-8.3155999999999999</v>
      </c>
      <c r="F27" s="121"/>
      <c r="G27" s="135" t="str">
        <f>lang!B33</f>
        <v>稳定性</v>
      </c>
      <c r="H27" s="136"/>
      <c r="I27" s="137"/>
      <c r="J27" s="138">
        <f>dM!B19*100</f>
        <v>6.0647000000000002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0.4635654128450255</v>
      </c>
      <c r="C2">
        <f t="array" aca="1" ref="C2" ca="1">CORREL(FT_E02,FT_PH02)</f>
        <v>0.91016510060580091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2.9930499999999998</v>
      </c>
      <c r="G2" s="61">
        <f>IF(FT!B2&lt;&gt;"",FT!B2*100,"")</f>
        <v>44.317099999999996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3.0755300000000001</v>
      </c>
      <c r="G3" s="61">
        <f>IF(FT!B3&lt;&gt;"",FT!B3*100,"")</f>
        <v>42.6145</v>
      </c>
      <c r="H3" s="61">
        <f t="shared" ref="H3:H66" si="1">(IF(F3&lt;&gt;"",1,""))</f>
        <v>1</v>
      </c>
      <c r="I3" t="str">
        <f>IF(FT!B3&lt;&gt;"",FT!E3,"")</f>
        <v>1 [0.406898]</v>
      </c>
      <c r="J3">
        <f>IF(FT!B3&lt;&gt;"",FT!C3,"")</f>
        <v>0.40689799999999998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0.31302183783783788</v>
      </c>
      <c r="V3">
        <f ca="1">AVERAGE(OFFSET(FT!B2,info!$L$3/2,0,info!$L$3/2,1))</f>
        <v>0.37129578378378386</v>
      </c>
      <c r="W3">
        <f ca="1">AVERAGE(OFFSET(FT!A2,0,0,info!$L$3/2,1))</f>
        <v>0.33620274324324323</v>
      </c>
      <c r="X3">
        <f ca="1">AVERAGE(OFFSET(FT!A2,info!$L$3/2,0,info!$L$3/2,1))</f>
        <v>0.34263524324324324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3.1580699999999999</v>
      </c>
      <c r="G4" s="61">
        <f>IF(FT!B4&lt;&gt;"",FT!B4*100,"")</f>
        <v>41.020699999999998</v>
      </c>
      <c r="H4" s="61">
        <f t="shared" si="1"/>
        <v>1</v>
      </c>
      <c r="I4" t="str">
        <f>IF(FT!B4&lt;&gt;"",FT!E4,"")</f>
        <v>1 [0.815770]</v>
      </c>
      <c r="J4">
        <f>IF(FT!B4&lt;&gt;"",FT!C4,"")</f>
        <v>0.81577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14.933574999999999</v>
      </c>
      <c r="V4">
        <f>U4*3</f>
        <v>44.800725</v>
      </c>
      <c r="W4">
        <f>U4</f>
        <v>14.933574999999999</v>
      </c>
      <c r="X4">
        <f>V4</f>
        <v>44.800725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3.23936</v>
      </c>
      <c r="G5" s="61">
        <f>IF(FT!B5&lt;&gt;"",FT!B5*100,"")</f>
        <v>39.602800000000002</v>
      </c>
      <c r="H5" s="61">
        <f t="shared" si="1"/>
        <v>1</v>
      </c>
      <c r="I5" t="str">
        <f>IF(FT!B5&lt;&gt;"",FT!E5,"")</f>
        <v>1 [1.215665]</v>
      </c>
      <c r="J5">
        <f>IF(FT!B5&lt;&gt;"",FT!C5,"")</f>
        <v>1.21566</v>
      </c>
      <c r="K5" t="s">
        <v>53</v>
      </c>
      <c r="L5" s="63">
        <f ca="1">MIN(FT_E)</f>
        <v>2.9930499999999998</v>
      </c>
      <c r="M5" s="63">
        <f ca="1">ROUND(L5,1)</f>
        <v>3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31.302183783783789</v>
      </c>
      <c r="V5">
        <f ca="1">V3*100</f>
        <v>37.129578378378383</v>
      </c>
      <c r="W5">
        <f ca="1">W3*10</f>
        <v>3.3620274324324324</v>
      </c>
      <c r="X5">
        <f ca="1">X3*10</f>
        <v>3.4263524324324326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3.3183600000000002</v>
      </c>
      <c r="G6" s="61">
        <f>IF(FT!B6&lt;&gt;"",FT!B6*100,"")</f>
        <v>38.394399999999997</v>
      </c>
      <c r="H6" s="61">
        <f t="shared" si="1"/>
        <v>1</v>
      </c>
      <c r="I6" t="str">
        <f>IF(FT!B6&lt;&gt;"",FT!E6,"")</f>
        <v>1 [1.624823]</v>
      </c>
      <c r="J6">
        <f>IF(FT!B6&lt;&gt;"",FT!C6,"")</f>
        <v>1.6248199999999999</v>
      </c>
      <c r="K6" t="s">
        <v>54</v>
      </c>
      <c r="L6" s="63">
        <f ca="1">MAX(FT_E)</f>
        <v>3.8138399999999999</v>
      </c>
      <c r="M6" s="63">
        <f ca="1">ROUND(L6,1)</f>
        <v>3.8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3.3903299999999996</v>
      </c>
      <c r="G7" s="61">
        <f>IF(FT!B7&lt;&gt;"",FT!B7*100,"")</f>
        <v>37.525199999999998</v>
      </c>
      <c r="H7" s="61">
        <f t="shared" si="1"/>
        <v>1</v>
      </c>
      <c r="I7" t="str">
        <f>IF(FT!B7&lt;&gt;"",FT!E7,"")</f>
        <v>1 [2.032638]</v>
      </c>
      <c r="J7">
        <f>IF(FT!B7&lt;&gt;"",FT!C7,"")</f>
        <v>2.0326399999999998</v>
      </c>
      <c r="K7" t="s">
        <v>55</v>
      </c>
      <c r="L7" s="63">
        <f ca="1">MIN(FT_PH)</f>
        <v>25.055899999999998</v>
      </c>
      <c r="M7" s="63">
        <f ca="1">ROUND(L7,1)</f>
        <v>25.1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1168</v>
      </c>
      <c r="D8" s="61">
        <f>FH!B8*1</f>
        <v>1168</v>
      </c>
      <c r="E8">
        <f t="shared" si="3"/>
        <v>6</v>
      </c>
      <c r="F8" s="61">
        <f>IF(FT!A8&lt;&gt;"",FT!A8*10,"")</f>
        <v>3.4553799999999999</v>
      </c>
      <c r="G8" s="61">
        <f>IF(FT!B8&lt;&gt;"",FT!B8*100,"")</f>
        <v>36.943399999999997</v>
      </c>
      <c r="H8" s="61">
        <f t="shared" si="1"/>
        <v>1</v>
      </c>
      <c r="I8" t="str">
        <f>IF(FT!B8&lt;&gt;"",FT!E8,"")</f>
        <v>1 [2.439451]</v>
      </c>
      <c r="J8">
        <f>IF(FT!B8&lt;&gt;"",FT!C8,"")</f>
        <v>2.4394499999999999</v>
      </c>
      <c r="K8" t="s">
        <v>56</v>
      </c>
      <c r="L8" s="63">
        <f ca="1">MAX(FT_PH)</f>
        <v>44.317099999999996</v>
      </c>
      <c r="M8" s="63">
        <f ca="1">ROUND(L8,1)</f>
        <v>44.3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3.51186</v>
      </c>
      <c r="G9" s="61">
        <f>IF(FT!B9&lt;&gt;"",FT!B9*100,"")</f>
        <v>36.564500000000002</v>
      </c>
      <c r="H9" s="61">
        <f t="shared" si="1"/>
        <v>1</v>
      </c>
      <c r="I9" t="str">
        <f>IF(FT!B9&lt;&gt;"",FT!E9,"")</f>
        <v>1 [2.846657]</v>
      </c>
      <c r="J9">
        <f>IF(FT!B9&lt;&gt;"",FT!C9,"")</f>
        <v>2.84666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1067</v>
      </c>
      <c r="D10" s="61">
        <f>FH!B10*1</f>
        <v>1067</v>
      </c>
      <c r="E10">
        <f t="shared" si="3"/>
        <v>8</v>
      </c>
      <c r="F10" s="61">
        <f>IF(FT!A10&lt;&gt;"",FT!A10*10,"")</f>
        <v>3.5634199999999998</v>
      </c>
      <c r="G10" s="61">
        <f>IF(FT!B10&lt;&gt;"",FT!B10*100,"")</f>
        <v>36.335099999999997</v>
      </c>
      <c r="H10" s="61">
        <f t="shared" si="1"/>
        <v>1</v>
      </c>
      <c r="I10" t="str">
        <f>IF(FT!B10&lt;&gt;"",FT!E10,"")</f>
        <v>1 [3.250441]</v>
      </c>
      <c r="J10">
        <f>IF(FT!B10&lt;&gt;"",FT!C10,"")</f>
        <v>3.2504400000000002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3.6079299999999996</v>
      </c>
      <c r="G11" s="61">
        <f>IF(FT!B11&lt;&gt;"",FT!B11*100,"")</f>
        <v>36.174800000000005</v>
      </c>
      <c r="H11" s="61">
        <f t="shared" si="1"/>
        <v>1</v>
      </c>
      <c r="I11" t="str">
        <f>IF(FT!B11&lt;&gt;"",FT!E11,"")</f>
        <v>1 [3.654243]</v>
      </c>
      <c r="J11">
        <f>IF(FT!B11&lt;&gt;"",FT!C11,"")</f>
        <v>3.6542400000000002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3.6448900000000002</v>
      </c>
      <c r="G12" s="61">
        <f>IF(FT!B12&lt;&gt;"",FT!B12*100,"")</f>
        <v>36.1036</v>
      </c>
      <c r="H12" s="61">
        <f t="shared" si="1"/>
        <v>1</v>
      </c>
      <c r="I12" t="str">
        <f>IF(FT!B12&lt;&gt;"",FT!E12,"")</f>
        <v>1 [4.063432]</v>
      </c>
      <c r="J12">
        <f>IF(FT!B12&lt;&gt;"",FT!C12,"")</f>
        <v>4.0634300000000003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1926</v>
      </c>
      <c r="D13" s="61">
        <f>FH!B13*1</f>
        <v>1926</v>
      </c>
      <c r="E13">
        <f t="shared" si="3"/>
        <v>11</v>
      </c>
      <c r="F13" s="61">
        <f>IF(FT!A13&lt;&gt;"",FT!A13*10,"")</f>
        <v>3.67849</v>
      </c>
      <c r="G13" s="61">
        <f>IF(FT!B13&lt;&gt;"",FT!B13*100,"")</f>
        <v>35.971399999999996</v>
      </c>
      <c r="H13" s="61">
        <f t="shared" si="1"/>
        <v>1</v>
      </c>
      <c r="I13" t="str">
        <f>IF(FT!B13&lt;&gt;"",FT!E13,"")</f>
        <v>1 [4.468964]</v>
      </c>
      <c r="J13">
        <f>IF(FT!B13&lt;&gt;"",FT!C13,"")</f>
        <v>4.46896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3.7095699999999998</v>
      </c>
      <c r="G14" s="61">
        <f>IF(FT!B14&lt;&gt;"",FT!B14*100,"")</f>
        <v>35.8645</v>
      </c>
      <c r="H14" s="61">
        <f t="shared" si="1"/>
        <v>1</v>
      </c>
      <c r="I14" t="str">
        <f>IF(FT!B14&lt;&gt;"",FT!E14,"")</f>
        <v>1 [4.875989]</v>
      </c>
      <c r="J14">
        <f>IF(FT!B14&lt;&gt;"",FT!C14,"")</f>
        <v>4.8759899999999998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5037</v>
      </c>
      <c r="D15" s="61">
        <f>FH!B15*1</f>
        <v>5037</v>
      </c>
      <c r="E15">
        <f t="shared" si="3"/>
        <v>13</v>
      </c>
      <c r="F15" s="61">
        <f>IF(FT!A15&lt;&gt;"",FT!A15*10,"")</f>
        <v>3.73773</v>
      </c>
      <c r="G15" s="61">
        <f>IF(FT!B15&lt;&gt;"",FT!B15*100,"")</f>
        <v>35.748699999999999</v>
      </c>
      <c r="H15" s="61">
        <f t="shared" si="1"/>
        <v>1</v>
      </c>
      <c r="I15" t="str">
        <f>IF(FT!B15&lt;&gt;"",FT!E15,"")</f>
        <v>1 [5.278879]</v>
      </c>
      <c r="J15">
        <f>IF(FT!B15&lt;&gt;"",FT!C15,"")</f>
        <v>5.27888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3.7627300000000004</v>
      </c>
      <c r="G16" s="61">
        <f>IF(FT!B16&lt;&gt;"",FT!B16*100,"")</f>
        <v>35.567100000000003</v>
      </c>
      <c r="H16" s="61">
        <f t="shared" si="1"/>
        <v>1</v>
      </c>
      <c r="I16" t="str">
        <f>IF(FT!B16&lt;&gt;"",FT!E16,"")</f>
        <v>1 [5.688415]</v>
      </c>
      <c r="J16">
        <f>IF(FT!B16&lt;&gt;"",FT!C16,"")</f>
        <v>5.6884100000000002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3.7825899999999999</v>
      </c>
      <c r="G17" s="61">
        <f>IF(FT!B17&lt;&gt;"",FT!B17*100,"")</f>
        <v>35.312599999999996</v>
      </c>
      <c r="H17" s="61">
        <f t="shared" si="1"/>
        <v>1</v>
      </c>
      <c r="I17" t="str">
        <f>IF(FT!B17&lt;&gt;"",FT!E17,"")</f>
        <v>1 [6.095681]</v>
      </c>
      <c r="J17">
        <f>IF(FT!B17&lt;&gt;"",FT!C17,"")</f>
        <v>6.0956799999999998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7092</v>
      </c>
      <c r="D18" s="61">
        <f>FH!B18*1</f>
        <v>7092</v>
      </c>
      <c r="E18">
        <f t="shared" si="3"/>
        <v>16</v>
      </c>
      <c r="F18" s="61">
        <f>IF(FT!A18&lt;&gt;"",FT!A18*10,"")</f>
        <v>3.7976700000000001</v>
      </c>
      <c r="G18" s="61">
        <f>IF(FT!B18&lt;&gt;"",FT!B18*100,"")</f>
        <v>35.014600000000002</v>
      </c>
      <c r="H18" s="61">
        <f t="shared" si="1"/>
        <v>1</v>
      </c>
      <c r="I18" t="str">
        <f>IF(FT!B18&lt;&gt;"",FT!E18,"")</f>
        <v>1 [6.498559]</v>
      </c>
      <c r="J18">
        <f>IF(FT!B18&lt;&gt;"",FT!C18,"")</f>
        <v>6.4985600000000003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3.8083099999999996</v>
      </c>
      <c r="G19" s="61">
        <f>IF(FT!B19&lt;&gt;"",FT!B19*100,"")</f>
        <v>34.627299999999998</v>
      </c>
      <c r="H19" s="61">
        <f t="shared" si="1"/>
        <v>1</v>
      </c>
      <c r="I19" t="str">
        <f>IF(FT!B19&lt;&gt;"",FT!E19,"")</f>
        <v>1 [6.905541]</v>
      </c>
      <c r="J19">
        <f>IF(FT!B19&lt;&gt;"",FT!C19,"")</f>
        <v>6.9055400000000002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3.8138399999999999</v>
      </c>
      <c r="G20" s="61">
        <f>IF(FT!B20&lt;&gt;"",FT!B20*100,"")</f>
        <v>34.116900000000001</v>
      </c>
      <c r="H20" s="61">
        <f t="shared" si="1"/>
        <v>1</v>
      </c>
      <c r="I20" t="str">
        <f>IF(FT!B20&lt;&gt;"",FT!E20,"")</f>
        <v>1 [7.309393]</v>
      </c>
      <c r="J20">
        <f>IF(FT!B20&lt;&gt;"",FT!C20,"")</f>
        <v>7.3093899999999996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8941</v>
      </c>
      <c r="D21" s="61">
        <f>FH!B21*1</f>
        <v>8941</v>
      </c>
      <c r="E21">
        <f t="shared" si="3"/>
        <v>19</v>
      </c>
      <c r="F21" s="61">
        <f>IF(FT!A21&lt;&gt;"",FT!A21*10,"")</f>
        <v>3.8134399999999999</v>
      </c>
      <c r="G21" s="61">
        <f>IF(FT!B21&lt;&gt;"",FT!B21*100,"")</f>
        <v>33.481699999999996</v>
      </c>
      <c r="H21" s="61">
        <f t="shared" si="1"/>
        <v>1</v>
      </c>
      <c r="I21" t="str">
        <f>IF(FT!B21&lt;&gt;"",FT!E21,"")</f>
        <v>1 [7.720532]</v>
      </c>
      <c r="J21">
        <f>IF(FT!B21&lt;&gt;"",FT!C21,"")</f>
        <v>7.7205300000000001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3.80538</v>
      </c>
      <c r="G22" s="61">
        <f>IF(FT!B22&lt;&gt;"",FT!B22*100,"")</f>
        <v>32.832299999999996</v>
      </c>
      <c r="H22" s="61">
        <f t="shared" si="1"/>
        <v>1</v>
      </c>
      <c r="I22" t="str">
        <f>IF(FT!B22&lt;&gt;"",FT!E22,"")</f>
        <v>1 [8.125215]</v>
      </c>
      <c r="J22">
        <f>IF(FT!B22&lt;&gt;"",FT!C22,"")</f>
        <v>8.1252099999999992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13256</v>
      </c>
      <c r="D23" s="61">
        <f>FH!B23*1</f>
        <v>13256</v>
      </c>
      <c r="E23">
        <f t="shared" si="3"/>
        <v>21</v>
      </c>
      <c r="F23" s="61">
        <f>IF(FT!A23&lt;&gt;"",FT!A23*10,"")</f>
        <v>3.7912299999999997</v>
      </c>
      <c r="G23" s="61">
        <f>IF(FT!B23&lt;&gt;"",FT!B23*100,"")</f>
        <v>32.161699999999996</v>
      </c>
      <c r="H23" s="61">
        <f t="shared" si="1"/>
        <v>1</v>
      </c>
      <c r="I23" t="str">
        <f>IF(FT!B23&lt;&gt;"",FT!E23,"")</f>
        <v>1 [8.531250]</v>
      </c>
      <c r="J23">
        <f>IF(FT!B23&lt;&gt;"",FT!C23,"")</f>
        <v>8.53125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3.7715999999999998</v>
      </c>
      <c r="G24" s="61">
        <f>IF(FT!B24&lt;&gt;"",FT!B24*100,"")</f>
        <v>31.482599999999998</v>
      </c>
      <c r="H24" s="61">
        <f t="shared" si="1"/>
        <v>1</v>
      </c>
      <c r="I24" t="str">
        <f>IF(FT!B24&lt;&gt;"",FT!E24,"")</f>
        <v>1 [8.937139]</v>
      </c>
      <c r="J24">
        <f>IF(FT!B24&lt;&gt;"",FT!C24,"")</f>
        <v>8.9371399999999994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3.7448900000000003</v>
      </c>
      <c r="G25" s="61">
        <f>IF(FT!B25&lt;&gt;"",FT!B25*100,"")</f>
        <v>30.796600000000002</v>
      </c>
      <c r="H25" s="61">
        <f t="shared" si="1"/>
        <v>1</v>
      </c>
      <c r="I25" t="str">
        <f>IF(FT!B25&lt;&gt;"",FT!E25,"")</f>
        <v>1 [9.344959]</v>
      </c>
      <c r="J25">
        <f>IF(FT!B25&lt;&gt;"",FT!C25,"")</f>
        <v>9.3449600000000004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12197</v>
      </c>
      <c r="D26" s="61">
        <f>FH!B26*1</f>
        <v>12197</v>
      </c>
      <c r="E26">
        <f t="shared" si="3"/>
        <v>24</v>
      </c>
      <c r="F26" s="61">
        <f>IF(FT!A26&lt;&gt;"",FT!A26*10,"")</f>
        <v>3.7127500000000002</v>
      </c>
      <c r="G26" s="61">
        <f>IF(FT!B26&lt;&gt;"",FT!B26*100,"")</f>
        <v>30.175200000000004</v>
      </c>
      <c r="H26" s="61">
        <f t="shared" si="1"/>
        <v>1</v>
      </c>
      <c r="I26" t="str">
        <f>IF(FT!B26&lt;&gt;"",FT!E26,"")</f>
        <v>1 [9.752030]</v>
      </c>
      <c r="J26">
        <f>IF(FT!B26&lt;&gt;"",FT!C26,"")</f>
        <v>9.7520299999999995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3.6748199999999995</v>
      </c>
      <c r="G27" s="61">
        <f>IF(FT!B27&lt;&gt;"",FT!B27*100,"")</f>
        <v>29.646000000000001</v>
      </c>
      <c r="H27" s="61">
        <f t="shared" si="1"/>
        <v>1</v>
      </c>
      <c r="I27" t="str">
        <f>IF(FT!B27&lt;&gt;"",FT!E27,"")</f>
        <v>1 [10.156752]</v>
      </c>
      <c r="J27">
        <f>IF(FT!B27&lt;&gt;"",FT!C27,"")</f>
        <v>10.1568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18237</v>
      </c>
      <c r="D28" s="61">
        <f>FH!B28*1</f>
        <v>18237</v>
      </c>
      <c r="E28">
        <f t="shared" si="3"/>
        <v>26</v>
      </c>
      <c r="F28" s="61">
        <f>IF(FT!A28&lt;&gt;"",FT!A28*10,"")</f>
        <v>3.62948</v>
      </c>
      <c r="G28" s="61">
        <f>IF(FT!B28&lt;&gt;"",FT!B28*100,"")</f>
        <v>29.233499999999999</v>
      </c>
      <c r="H28" s="61">
        <f t="shared" si="1"/>
        <v>1</v>
      </c>
      <c r="I28" t="str">
        <f>IF(FT!B28&lt;&gt;"",FT!E28,"")</f>
        <v>1 [10.561749]</v>
      </c>
      <c r="J28">
        <f>IF(FT!B28&lt;&gt;"",FT!C28,"")</f>
        <v>10.5617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3.5787300000000002</v>
      </c>
      <c r="G29" s="61">
        <f>IF(FT!B29&lt;&gt;"",FT!B29*100,"")</f>
        <v>28.902200000000001</v>
      </c>
      <c r="H29" s="61">
        <f t="shared" si="1"/>
        <v>1</v>
      </c>
      <c r="I29" t="str">
        <f>IF(FT!B29&lt;&gt;"",FT!E29,"")</f>
        <v>1 [10.967621]</v>
      </c>
      <c r="J29">
        <f>IF(FT!B29&lt;&gt;"",FT!C29,"")</f>
        <v>10.967599999999999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3.5254400000000001</v>
      </c>
      <c r="G30" s="61">
        <f>IF(FT!B30&lt;&gt;"",FT!B30*100,"")</f>
        <v>28.664499999999997</v>
      </c>
      <c r="H30" s="61">
        <f t="shared" si="1"/>
        <v>1</v>
      </c>
      <c r="I30" t="str">
        <f>IF(FT!B30&lt;&gt;"",FT!E30,"")</f>
        <v>1 [11.373540]</v>
      </c>
      <c r="J30">
        <f>IF(FT!B30&lt;&gt;"",FT!C30,"")</f>
        <v>11.3735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23171</v>
      </c>
      <c r="D31" s="61">
        <f>FH!B31*1</f>
        <v>23171</v>
      </c>
      <c r="E31">
        <f t="shared" si="3"/>
        <v>29</v>
      </c>
      <c r="F31" s="61">
        <f>IF(FT!A31&lt;&gt;"",FT!A31*10,"")</f>
        <v>3.4702899999999999</v>
      </c>
      <c r="G31" s="61">
        <f>IF(FT!B31&lt;&gt;"",FT!B31*100,"")</f>
        <v>28.476299999999998</v>
      </c>
      <c r="H31" s="61">
        <f t="shared" si="1"/>
        <v>1</v>
      </c>
      <c r="I31" t="str">
        <f>IF(FT!B31&lt;&gt;"",FT!E31,"")</f>
        <v>1 [11.783466]</v>
      </c>
      <c r="J31">
        <f>IF(FT!B31&lt;&gt;"",FT!C31,"")</f>
        <v>11.7835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3.4167199999999998</v>
      </c>
      <c r="G32" s="61">
        <f>IF(FT!B32&lt;&gt;"",FT!B32*100,"")</f>
        <v>28.249700000000001</v>
      </c>
      <c r="H32" s="61">
        <f t="shared" si="1"/>
        <v>1</v>
      </c>
      <c r="I32" t="str">
        <f>IF(FT!B32&lt;&gt;"",FT!E32,"")</f>
        <v>1 [12.191354]</v>
      </c>
      <c r="J32">
        <f>IF(FT!B32&lt;&gt;"",FT!C32,"")</f>
        <v>12.1914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31177</v>
      </c>
      <c r="D33" s="61">
        <f>FH!B33*1</f>
        <v>31177</v>
      </c>
      <c r="E33">
        <f t="shared" si="3"/>
        <v>31</v>
      </c>
      <c r="F33" s="61">
        <f>IF(FT!A33&lt;&gt;"",FT!A33*10,"")</f>
        <v>3.3654899999999999</v>
      </c>
      <c r="G33" s="61">
        <f>IF(FT!B33&lt;&gt;"",FT!B33*100,"")</f>
        <v>28.056399999999996</v>
      </c>
      <c r="H33" s="61">
        <f t="shared" si="1"/>
        <v>1</v>
      </c>
      <c r="I33" t="str">
        <f>IF(FT!B33&lt;&gt;"",FT!E33,"")</f>
        <v>1 [12.592278]</v>
      </c>
      <c r="J33">
        <f>IF(FT!B33&lt;&gt;"",FT!C33,"")</f>
        <v>12.5923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3.3187600000000002</v>
      </c>
      <c r="G34" s="61">
        <f>IF(FT!B34&lt;&gt;"",FT!B34*100,"")</f>
        <v>27.842699999999997</v>
      </c>
      <c r="H34" s="61">
        <f t="shared" si="1"/>
        <v>1</v>
      </c>
      <c r="I34" t="str">
        <f>IF(FT!B34&lt;&gt;"",FT!E34,"")</f>
        <v>1 [12.998200]</v>
      </c>
      <c r="J34">
        <f>IF(FT!B34&lt;&gt;"",FT!C34,"")</f>
        <v>12.998200000000001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3.2750400000000002</v>
      </c>
      <c r="G35" s="61">
        <f>IF(FT!B35&lt;&gt;"",FT!B35*100,"")</f>
        <v>27.574700000000004</v>
      </c>
      <c r="H35" s="61">
        <f t="shared" si="1"/>
        <v>1</v>
      </c>
      <c r="I35" t="str">
        <f>IF(FT!B35&lt;&gt;"",FT!E35,"")</f>
        <v>1 [13.404241]</v>
      </c>
      <c r="J35">
        <f>IF(FT!B35&lt;&gt;"",FT!C35,"")</f>
        <v>13.404199999999999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36234</v>
      </c>
      <c r="D36" s="61">
        <f>FH!B36*1</f>
        <v>36234</v>
      </c>
      <c r="E36">
        <f t="shared" si="3"/>
        <v>34</v>
      </c>
      <c r="F36" s="61">
        <f>IF(FT!A36&lt;&gt;"",FT!A36*10,"")</f>
        <v>3.2355299999999998</v>
      </c>
      <c r="G36" s="61">
        <f>IF(FT!B36&lt;&gt;"",FT!B36*100,"")</f>
        <v>27.2578</v>
      </c>
      <c r="H36" s="61">
        <f t="shared" si="1"/>
        <v>1</v>
      </c>
      <c r="I36" t="str">
        <f>IF(FT!B36&lt;&gt;"",FT!E36,"")</f>
        <v>1 [13.813225]</v>
      </c>
      <c r="J36">
        <f>IF(FT!B36&lt;&gt;"",FT!C36,"")</f>
        <v>13.8132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3.2011699999999998</v>
      </c>
      <c r="G37" s="61">
        <f>IF(FT!B37&lt;&gt;"",FT!B37*100,"")</f>
        <v>26.835999999999999</v>
      </c>
      <c r="H37" s="61">
        <f t="shared" si="1"/>
        <v>1</v>
      </c>
      <c r="I37" t="str">
        <f>IF(FT!B37&lt;&gt;"",FT!E37,"")</f>
        <v>1 [14.220032]</v>
      </c>
      <c r="J37">
        <f>IF(FT!B37&lt;&gt;"",FT!C37,"")</f>
        <v>14.22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3.1689499999999997</v>
      </c>
      <c r="G38" s="61">
        <f>IF(FT!B38&lt;&gt;"",FT!B38*100,"")</f>
        <v>26.4374</v>
      </c>
      <c r="H38" s="61">
        <f t="shared" si="1"/>
        <v>1</v>
      </c>
      <c r="I38" t="str">
        <f>IF(FT!B38&lt;&gt;"",FT!E38,"")</f>
        <v>1 [14.622640]</v>
      </c>
      <c r="J38">
        <f>IF(FT!B38&lt;&gt;"",FT!C38,"")</f>
        <v>14.6226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49073</v>
      </c>
      <c r="D39" s="61">
        <f>FH!B39*1</f>
        <v>49073</v>
      </c>
      <c r="E39">
        <f t="shared" si="3"/>
        <v>37</v>
      </c>
      <c r="F39" s="61">
        <f>IF(FT!A39&lt;&gt;"",FT!A39*10,"")</f>
        <v>3.1376200000000001</v>
      </c>
      <c r="G39" s="61">
        <f>IF(FT!B39&lt;&gt;"",FT!B39*100,"")</f>
        <v>26.0791</v>
      </c>
      <c r="H39" s="61">
        <f t="shared" si="1"/>
        <v>1</v>
      </c>
      <c r="I39" t="str">
        <f>IF(FT!B39&lt;&gt;"",FT!E39,"")</f>
        <v>1 [15.030781]</v>
      </c>
      <c r="J39">
        <f>IF(FT!B39&lt;&gt;"",FT!C39,"")</f>
        <v>15.030799999999999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3.1071200000000001</v>
      </c>
      <c r="G40" s="61">
        <f>IF(FT!B40&lt;&gt;"",FT!B40*100,"")</f>
        <v>25.8475</v>
      </c>
      <c r="H40" s="61">
        <f t="shared" si="1"/>
        <v>1</v>
      </c>
      <c r="I40" t="str">
        <f>IF(FT!B40&lt;&gt;"",FT!E40,"")</f>
        <v>1 [15.438722]</v>
      </c>
      <c r="J40">
        <f>IF(FT!B40&lt;&gt;"",FT!C40,"")</f>
        <v>15.438700000000001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58462</v>
      </c>
      <c r="D41" s="61">
        <f>FH!B41*1</f>
        <v>58462</v>
      </c>
      <c r="E41">
        <f t="shared" si="3"/>
        <v>39</v>
      </c>
      <c r="F41" s="61">
        <f>IF(FT!A41&lt;&gt;"",FT!A41*10,"")</f>
        <v>3.07952</v>
      </c>
      <c r="G41" s="61">
        <f>IF(FT!B41&lt;&gt;"",FT!B41*100,"")</f>
        <v>25.717700000000001</v>
      </c>
      <c r="H41" s="61">
        <f t="shared" si="1"/>
        <v>1</v>
      </c>
      <c r="I41" t="str">
        <f>IF(FT!B41&lt;&gt;"",FT!E41,"")</f>
        <v>1 [15.844562]</v>
      </c>
      <c r="J41">
        <f>IF(FT!B41&lt;&gt;"",FT!C41,"")</f>
        <v>15.8446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3.0586600000000002</v>
      </c>
      <c r="G42" s="61">
        <f>IF(FT!B42&lt;&gt;"",FT!B42*100,"")</f>
        <v>25.525199999999998</v>
      </c>
      <c r="H42" s="61">
        <f t="shared" si="1"/>
        <v>1</v>
      </c>
      <c r="I42" t="str">
        <f>IF(FT!B42&lt;&gt;"",FT!E42,"")</f>
        <v>1 [16.250641]</v>
      </c>
      <c r="J42">
        <f>IF(FT!B42&lt;&gt;"",FT!C42,"")</f>
        <v>16.250599999999999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3.0442599999999995</v>
      </c>
      <c r="G43" s="61">
        <f>IF(FT!B43&lt;&gt;"",FT!B43*100,"")</f>
        <v>25.392300000000002</v>
      </c>
      <c r="H43" s="61">
        <f t="shared" si="1"/>
        <v>1</v>
      </c>
      <c r="I43" t="str">
        <f>IF(FT!B43&lt;&gt;"",FT!E43,"")</f>
        <v>1 [16.651826]</v>
      </c>
      <c r="J43">
        <f>IF(FT!B43&lt;&gt;"",FT!C43,"")</f>
        <v>16.651800000000001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70965</v>
      </c>
      <c r="D44" s="61">
        <f>FH!B44*1</f>
        <v>70965</v>
      </c>
      <c r="E44">
        <f t="shared" si="3"/>
        <v>42</v>
      </c>
      <c r="F44" s="61">
        <f>IF(FT!A44&lt;&gt;"",FT!A44*10,"")</f>
        <v>3.0349300000000001</v>
      </c>
      <c r="G44" s="61">
        <f>IF(FT!B44&lt;&gt;"",FT!B44*100,"")</f>
        <v>25.343799999999998</v>
      </c>
      <c r="H44" s="61">
        <f t="shared" si="1"/>
        <v>1</v>
      </c>
      <c r="I44" t="str">
        <f>IF(FT!B44&lt;&gt;"",FT!E44,"")</f>
        <v>1 [17.062278]</v>
      </c>
      <c r="J44">
        <f>IF(FT!B44&lt;&gt;"",FT!C44,"")</f>
        <v>17.0623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3.0287199999999999</v>
      </c>
      <c r="G45" s="61">
        <f>IF(FT!B45&lt;&gt;"",FT!B45*100,"")</f>
        <v>25.306600000000003</v>
      </c>
      <c r="H45" s="61">
        <f t="shared" si="1"/>
        <v>1</v>
      </c>
      <c r="I45" t="str">
        <f>IF(FT!B45&lt;&gt;"",FT!E45,"")</f>
        <v>1 [17.468347]</v>
      </c>
      <c r="J45">
        <f>IF(FT!B45&lt;&gt;"",FT!C45,"")</f>
        <v>17.468299999999999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90151</v>
      </c>
      <c r="D46" s="61">
        <f>FH!B46*1</f>
        <v>90151</v>
      </c>
      <c r="E46">
        <f t="shared" si="3"/>
        <v>44</v>
      </c>
      <c r="F46" s="61">
        <f>IF(FT!A46&lt;&gt;"",FT!A46*10,"")</f>
        <v>3.0270700000000001</v>
      </c>
      <c r="G46" s="61">
        <f>IF(FT!B46&lt;&gt;"",FT!B46*100,"")</f>
        <v>25.251300000000001</v>
      </c>
      <c r="H46" s="61">
        <f t="shared" si="1"/>
        <v>1</v>
      </c>
      <c r="I46" t="str">
        <f>IF(FT!B46&lt;&gt;"",FT!E46,"")</f>
        <v>1 [17.875101]</v>
      </c>
      <c r="J46">
        <f>IF(FT!B46&lt;&gt;"",FT!C46,"")</f>
        <v>17.8751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3.0269000000000004</v>
      </c>
      <c r="G47" s="61">
        <f>IF(FT!B47&lt;&gt;"",FT!B47*100,"")</f>
        <v>25.178000000000001</v>
      </c>
      <c r="H47" s="61">
        <f t="shared" si="1"/>
        <v>1</v>
      </c>
      <c r="I47" t="str">
        <f>IF(FT!B47&lt;&gt;"",FT!E47,"")</f>
        <v>1 [18.281194]</v>
      </c>
      <c r="J47">
        <f>IF(FT!B47&lt;&gt;"",FT!C47,"")</f>
        <v>18.281199999999998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3.0317699999999999</v>
      </c>
      <c r="G48" s="61">
        <f>IF(FT!B48&lt;&gt;"",FT!B48*100,"")</f>
        <v>25.089299999999998</v>
      </c>
      <c r="H48" s="61">
        <f t="shared" si="1"/>
        <v>1</v>
      </c>
      <c r="I48" t="str">
        <f>IF(FT!B48&lt;&gt;"",FT!E48,"")</f>
        <v>1 [18.688992]</v>
      </c>
      <c r="J48">
        <f>IF(FT!B48&lt;&gt;"",FT!C48,"")</f>
        <v>18.689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101868</v>
      </c>
      <c r="D49" s="61">
        <f>FH!B49*1</f>
        <v>101868</v>
      </c>
      <c r="E49">
        <f t="shared" si="3"/>
        <v>47</v>
      </c>
      <c r="F49" s="61">
        <f>IF(FT!A49&lt;&gt;"",FT!A49*10,"")</f>
        <v>3.0387599999999999</v>
      </c>
      <c r="G49" s="61">
        <f>IF(FT!B49&lt;&gt;"",FT!B49*100,"")</f>
        <v>25.055899999999998</v>
      </c>
      <c r="H49" s="61">
        <f t="shared" si="1"/>
        <v>1</v>
      </c>
      <c r="I49" t="str">
        <f>IF(FT!B49&lt;&gt;"",FT!E49,"")</f>
        <v>1 [19.094850]</v>
      </c>
      <c r="J49">
        <f>IF(FT!B49&lt;&gt;"",FT!C49,"")</f>
        <v>19.094899999999999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3.0468000000000002</v>
      </c>
      <c r="G50" s="61">
        <f>IF(FT!B50&lt;&gt;"",FT!B50*100,"")</f>
        <v>25.135000000000002</v>
      </c>
      <c r="H50" s="61">
        <f t="shared" si="1"/>
        <v>1</v>
      </c>
      <c r="I50" t="str">
        <f>IF(FT!B50&lt;&gt;"",FT!E50,"")</f>
        <v>1 [19.501061]</v>
      </c>
      <c r="J50">
        <f>IF(FT!B50&lt;&gt;"",FT!C50,"")</f>
        <v>19.501100000000001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104365</v>
      </c>
      <c r="D51" s="61">
        <f>FH!B51*1</f>
        <v>104365</v>
      </c>
      <c r="E51">
        <f t="shared" si="3"/>
        <v>49</v>
      </c>
      <c r="F51" s="61">
        <f>IF(FT!A51&lt;&gt;"",FT!A51*10,"")</f>
        <v>3.0573099999999998</v>
      </c>
      <c r="G51" s="61">
        <f>IF(FT!B51&lt;&gt;"",FT!B51*100,"")</f>
        <v>25.219100000000001</v>
      </c>
      <c r="H51" s="61">
        <f t="shared" si="1"/>
        <v>1</v>
      </c>
      <c r="I51" t="str">
        <f>IF(FT!B51&lt;&gt;"",FT!E51,"")</f>
        <v>1 [19.908713]</v>
      </c>
      <c r="J51">
        <f>IF(FT!B51&lt;&gt;"",FT!C51,"")</f>
        <v>19.9087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3.0702400000000001</v>
      </c>
      <c r="G52" s="61">
        <f>IF(FT!B52&lt;&gt;"",FT!B52*100,"")</f>
        <v>25.364100000000001</v>
      </c>
      <c r="H52" s="61">
        <f t="shared" si="1"/>
        <v>1</v>
      </c>
      <c r="I52" t="str">
        <f>IF(FT!B52&lt;&gt;"",FT!E52,"")</f>
        <v>1 [20.310809]</v>
      </c>
      <c r="J52">
        <f>IF(FT!B52&lt;&gt;"",FT!C52,"")</f>
        <v>20.3108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3.0826399999999996</v>
      </c>
      <c r="G53" s="61">
        <f>IF(FT!B53&lt;&gt;"",FT!B53*100,"")</f>
        <v>25.635899999999999</v>
      </c>
      <c r="H53" s="61">
        <f t="shared" si="1"/>
        <v>1</v>
      </c>
      <c r="I53" t="str">
        <f>IF(FT!B53&lt;&gt;"",FT!E53,"")</f>
        <v>1 [20.718521]</v>
      </c>
      <c r="J53">
        <f>IF(FT!B53&lt;&gt;"",FT!C53,"")</f>
        <v>20.718499999999999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111991</v>
      </c>
      <c r="D54" s="61">
        <f>FH!B54*1</f>
        <v>111991</v>
      </c>
      <c r="E54">
        <f t="shared" si="3"/>
        <v>52</v>
      </c>
      <c r="F54" s="61">
        <f>IF(FT!A54&lt;&gt;"",FT!A54*10,"")</f>
        <v>3.0967699999999998</v>
      </c>
      <c r="G54" s="61">
        <f>IF(FT!B54&lt;&gt;"",FT!B54*100,"")</f>
        <v>25.947799999999997</v>
      </c>
      <c r="H54" s="61">
        <f t="shared" si="1"/>
        <v>1</v>
      </c>
      <c r="I54" t="str">
        <f>IF(FT!B54&lt;&gt;"",FT!E54,"")</f>
        <v>1 [21.126463]</v>
      </c>
      <c r="J54">
        <f>IF(FT!B54&lt;&gt;"",FT!C54,"")</f>
        <v>21.1265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3.1110900000000004</v>
      </c>
      <c r="G55" s="61">
        <f>IF(FT!B55&lt;&gt;"",FT!B55*100,"")</f>
        <v>26.344200000000001</v>
      </c>
      <c r="H55" s="61">
        <f t="shared" si="1"/>
        <v>1</v>
      </c>
      <c r="I55" t="str">
        <f>IF(FT!B55&lt;&gt;"",FT!E55,"")</f>
        <v>1 [21.527330]</v>
      </c>
      <c r="J55">
        <f>IF(FT!B55&lt;&gt;"",FT!C55,"")</f>
        <v>21.5273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3.1258900000000001</v>
      </c>
      <c r="G56" s="61">
        <f>IF(FT!B56&lt;&gt;"",FT!B56*100,"")</f>
        <v>26.834099999999999</v>
      </c>
      <c r="H56" s="61">
        <f t="shared" si="1"/>
        <v>1</v>
      </c>
      <c r="I56" t="str">
        <f>IF(FT!B56&lt;&gt;"",FT!E56,"")</f>
        <v>1 [21.936310]</v>
      </c>
      <c r="J56">
        <f>IF(FT!B56&lt;&gt;"",FT!C56,"")</f>
        <v>21.936299999999999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120620</v>
      </c>
      <c r="D57" s="61">
        <f>FH!B57*1</f>
        <v>120620</v>
      </c>
      <c r="E57">
        <f t="shared" si="3"/>
        <v>55</v>
      </c>
      <c r="F57" s="61">
        <f>IF(FT!A57&lt;&gt;"",FT!A57*10,"")</f>
        <v>3.1432900000000004</v>
      </c>
      <c r="G57" s="61">
        <f>IF(FT!B57&lt;&gt;"",FT!B57*100,"")</f>
        <v>27.374100000000002</v>
      </c>
      <c r="H57" s="61">
        <f t="shared" si="1"/>
        <v>1</v>
      </c>
      <c r="I57" t="str">
        <f>IF(FT!B57&lt;&gt;"",FT!E57,"")</f>
        <v>1 [22.341887]</v>
      </c>
      <c r="J57">
        <f>IF(FT!B57&lt;&gt;"",FT!C57,"")</f>
        <v>22.341899999999999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3.16351</v>
      </c>
      <c r="G58" s="61">
        <f>IF(FT!B58&lt;&gt;"",FT!B58*100,"")</f>
        <v>27.888099999999998</v>
      </c>
      <c r="H58" s="61">
        <f t="shared" si="1"/>
        <v>1</v>
      </c>
      <c r="I58" t="str">
        <f>IF(FT!B58&lt;&gt;"",FT!E58,"")</f>
        <v>1 [22.750199]</v>
      </c>
      <c r="J58">
        <f>IF(FT!B58&lt;&gt;"",FT!C58,"")</f>
        <v>22.7502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134773</v>
      </c>
      <c r="D59" s="61">
        <f>FH!B59*1</f>
        <v>134773</v>
      </c>
      <c r="E59">
        <f t="shared" si="3"/>
        <v>57</v>
      </c>
      <c r="F59" s="61">
        <f>IF(FT!A59&lt;&gt;"",FT!A59*10,"")</f>
        <v>3.1839</v>
      </c>
      <c r="G59" s="61">
        <f>IF(FT!B59&lt;&gt;"",FT!B59*100,"")</f>
        <v>28.435899999999997</v>
      </c>
      <c r="H59" s="61">
        <f t="shared" si="1"/>
        <v>1</v>
      </c>
      <c r="I59" t="str">
        <f>IF(FT!B59&lt;&gt;"",FT!E59,"")</f>
        <v>1 [23.157090]</v>
      </c>
      <c r="J59">
        <f>IF(FT!B59&lt;&gt;"",FT!C59,"")</f>
        <v>23.1571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3.2027699999999997</v>
      </c>
      <c r="G60" s="61">
        <f>IF(FT!B60&lt;&gt;"",FT!B60*100,"")</f>
        <v>29.111700000000003</v>
      </c>
      <c r="H60" s="61">
        <f t="shared" si="1"/>
        <v>1</v>
      </c>
      <c r="I60" t="str">
        <f>IF(FT!B60&lt;&gt;"",FT!E60,"")</f>
        <v>1 [23.565510]</v>
      </c>
      <c r="J60">
        <f>IF(FT!B60&lt;&gt;"",FT!C60,"")</f>
        <v>23.5655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3.2220199999999997</v>
      </c>
      <c r="G61" s="61">
        <f>IF(FT!B61&lt;&gt;"",FT!B61*100,"")</f>
        <v>29.827900000000003</v>
      </c>
      <c r="H61" s="61">
        <f t="shared" si="1"/>
        <v>1</v>
      </c>
      <c r="I61" t="str">
        <f>IF(FT!B61&lt;&gt;"",FT!E61,"")</f>
        <v>1 [23.969803]</v>
      </c>
      <c r="J61">
        <f>IF(FT!B61&lt;&gt;"",FT!C61,"")</f>
        <v>23.969799999999999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149713</v>
      </c>
      <c r="D62" s="61">
        <f>FH!B62*1</f>
        <v>149713</v>
      </c>
      <c r="E62">
        <f t="shared" si="3"/>
        <v>60</v>
      </c>
      <c r="F62" s="61">
        <f>IF(FT!A62&lt;&gt;"",FT!A62*10,"")</f>
        <v>3.2422499999999999</v>
      </c>
      <c r="G62" s="61">
        <f>IF(FT!B62&lt;&gt;"",FT!B62*100,"")</f>
        <v>30.578300000000002</v>
      </c>
      <c r="H62" s="61">
        <f t="shared" si="1"/>
        <v>1</v>
      </c>
      <c r="I62" t="str">
        <f>IF(FT!B62&lt;&gt;"",FT!E62,"")</f>
        <v>1 [24.373903]</v>
      </c>
      <c r="J62">
        <f>IF(FT!B62&lt;&gt;"",FT!C62,"")</f>
        <v>24.373899999999999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3.2604100000000003</v>
      </c>
      <c r="G63" s="61">
        <f>IF(FT!B63&lt;&gt;"",FT!B63*100,"")</f>
        <v>31.3276</v>
      </c>
      <c r="H63" s="61">
        <f t="shared" si="1"/>
        <v>1</v>
      </c>
      <c r="I63" t="str">
        <f>IF(FT!B63&lt;&gt;"",FT!E63,"")</f>
        <v>1 [24.782094]</v>
      </c>
      <c r="J63">
        <f>IF(FT!B63&lt;&gt;"",FT!C63,"")</f>
        <v>24.7821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168781</v>
      </c>
      <c r="D64" s="61">
        <f>FH!B64*1</f>
        <v>168781</v>
      </c>
      <c r="E64">
        <f t="shared" si="3"/>
        <v>62</v>
      </c>
      <c r="F64" s="61">
        <f>IF(FT!A64&lt;&gt;"",FT!A64*10,"")</f>
        <v>3.2797100000000001</v>
      </c>
      <c r="G64" s="61">
        <f>IF(FT!B64&lt;&gt;"",FT!B64*100,"")</f>
        <v>32.029800000000002</v>
      </c>
      <c r="H64" s="61">
        <f t="shared" si="1"/>
        <v>1</v>
      </c>
      <c r="I64" t="str">
        <f>IF(FT!B64&lt;&gt;"",FT!E64,"")</f>
        <v>1 [25.188661]</v>
      </c>
      <c r="J64">
        <f>IF(FT!B64&lt;&gt;"",FT!C64,"")</f>
        <v>25.188700000000001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3.3006200000000003</v>
      </c>
      <c r="G65" s="61">
        <f>IF(FT!B65&lt;&gt;"",FT!B65*100,"")</f>
        <v>32.604599999999998</v>
      </c>
      <c r="H65" s="61">
        <f t="shared" si="1"/>
        <v>1</v>
      </c>
      <c r="I65" t="str">
        <f>IF(FT!B65&lt;&gt;"",FT!E65,"")</f>
        <v>1 [25.593584]</v>
      </c>
      <c r="J65">
        <f>IF(FT!B65&lt;&gt;"",FT!C65,"")</f>
        <v>25.593599999999999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3.3210499999999996</v>
      </c>
      <c r="G66" s="61">
        <f>IF(FT!B66&lt;&gt;"",FT!B66*100,"")</f>
        <v>33.133299999999998</v>
      </c>
      <c r="H66" s="61">
        <f t="shared" si="1"/>
        <v>1</v>
      </c>
      <c r="I66" t="str">
        <f>IF(FT!B66&lt;&gt;"",FT!E66,"")</f>
        <v>1 [25.995325]</v>
      </c>
      <c r="J66">
        <f>IF(FT!B66&lt;&gt;"",FT!C66,"")</f>
        <v>25.9953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169163</v>
      </c>
      <c r="D67" s="61">
        <f>FH!B67*1</f>
        <v>169163</v>
      </c>
      <c r="E67">
        <f t="shared" si="3"/>
        <v>65</v>
      </c>
      <c r="F67" s="61">
        <f>IF(FT!A67&lt;&gt;"",FT!A67*10,"")</f>
        <v>3.3403699999999996</v>
      </c>
      <c r="G67" s="61">
        <f>IF(FT!B67&lt;&gt;"",FT!B67*100,"")</f>
        <v>33.676699999999997</v>
      </c>
      <c r="H67" s="61">
        <f t="shared" ref="H67:H130" si="9">(IF(F67&lt;&gt;"",1,""))</f>
        <v>1</v>
      </c>
      <c r="I67" t="str">
        <f>IF(FT!B67&lt;&gt;"",FT!E67,"")</f>
        <v>1 [26.404410]</v>
      </c>
      <c r="J67">
        <f>IF(FT!B67&lt;&gt;"",FT!C67,"")</f>
        <v>26.404399999999999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3.36076</v>
      </c>
      <c r="G68" s="61">
        <f>IF(FT!B68&lt;&gt;"",FT!B68*100,"")</f>
        <v>34.063600000000001</v>
      </c>
      <c r="H68" s="61">
        <f t="shared" si="9"/>
        <v>1</v>
      </c>
      <c r="I68" t="str">
        <f>IF(FT!B68&lt;&gt;"",FT!E68,"")</f>
        <v>1 [26.815317]</v>
      </c>
      <c r="J68">
        <f>IF(FT!B68&lt;&gt;"",FT!C68,"")</f>
        <v>26.815300000000001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164656</v>
      </c>
      <c r="D69" s="61">
        <f>FH!B69*1</f>
        <v>164656</v>
      </c>
      <c r="E69">
        <f t="shared" si="11"/>
        <v>67</v>
      </c>
      <c r="F69" s="61">
        <f>IF(FT!A69&lt;&gt;"",FT!A69*10,"")</f>
        <v>3.3789799999999999</v>
      </c>
      <c r="G69" s="61">
        <f>IF(FT!B69&lt;&gt;"",FT!B69*100,"")</f>
        <v>34.423500000000004</v>
      </c>
      <c r="H69" s="61">
        <f t="shared" si="9"/>
        <v>1</v>
      </c>
      <c r="I69" t="str">
        <f>IF(FT!B69&lt;&gt;"",FT!E69,"")</f>
        <v>1 [27.220312]</v>
      </c>
      <c r="J69">
        <f>IF(FT!B69&lt;&gt;"",FT!C69,"")</f>
        <v>27.220300000000002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3.3945399999999997</v>
      </c>
      <c r="G70" s="61">
        <f>IF(FT!B70&lt;&gt;"",FT!B70*100,"")</f>
        <v>34.859200000000001</v>
      </c>
      <c r="H70" s="61">
        <f t="shared" si="9"/>
        <v>1</v>
      </c>
      <c r="I70" t="str">
        <f>IF(FT!B70&lt;&gt;"",FT!E70,"")</f>
        <v>1 [27.626228]</v>
      </c>
      <c r="J70">
        <f>IF(FT!B70&lt;&gt;"",FT!C70,"")</f>
        <v>27.626200000000001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3.4097</v>
      </c>
      <c r="G71" s="61">
        <f>IF(FT!B71&lt;&gt;"",FT!B71*100,"")</f>
        <v>35.307500000000005</v>
      </c>
      <c r="H71" s="61">
        <f t="shared" si="9"/>
        <v>1</v>
      </c>
      <c r="I71" t="str">
        <f>IF(FT!B71&lt;&gt;"",FT!E71,"")</f>
        <v>1 [28.029042]</v>
      </c>
      <c r="J71">
        <f>IF(FT!B71&lt;&gt;"",FT!C71,"")</f>
        <v>28.029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164393</v>
      </c>
      <c r="D72" s="61">
        <f>FH!B72*1</f>
        <v>164393</v>
      </c>
      <c r="E72">
        <f t="shared" si="11"/>
        <v>70</v>
      </c>
      <c r="F72" s="61">
        <f>IF(FT!A72&lt;&gt;"",FT!A72*10,"")</f>
        <v>3.4288099999999999</v>
      </c>
      <c r="G72" s="61">
        <f>IF(FT!B72&lt;&gt;"",FT!B72*100,"")</f>
        <v>35.752099999999999</v>
      </c>
      <c r="H72" s="61">
        <f t="shared" si="9"/>
        <v>1</v>
      </c>
      <c r="I72" t="str">
        <f>IF(FT!B72&lt;&gt;"",FT!E72,"")</f>
        <v>1 [28.438887]</v>
      </c>
      <c r="J72">
        <f>IF(FT!B72&lt;&gt;"",FT!C72,"")</f>
        <v>28.4389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3.4485900000000003</v>
      </c>
      <c r="G73" s="61">
        <f>IF(FT!B73&lt;&gt;"",FT!B73*100,"")</f>
        <v>36.209799999999994</v>
      </c>
      <c r="H73" s="61">
        <f t="shared" si="9"/>
        <v>1</v>
      </c>
      <c r="I73" t="str">
        <f>IF(FT!B73&lt;&gt;"",FT!E73,"")</f>
        <v>1 [28.845852]</v>
      </c>
      <c r="J73">
        <f>IF(FT!B73&lt;&gt;"",FT!C73,"")</f>
        <v>28.8459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3.46665</v>
      </c>
      <c r="G74" s="61">
        <f>IF(FT!B74&lt;&gt;"",FT!B74*100,"")</f>
        <v>36.613700000000001</v>
      </c>
      <c r="H74" s="61">
        <f t="shared" si="9"/>
        <v>1</v>
      </c>
      <c r="I74" t="str">
        <f>IF(FT!B74&lt;&gt;"",FT!E74,"")</f>
        <v>1 [29.252741]</v>
      </c>
      <c r="J74">
        <f>IF(FT!B74&lt;&gt;"",FT!C74,"")</f>
        <v>29.252700000000001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162501</v>
      </c>
      <c r="D75" s="61">
        <f>FH!B75*1</f>
        <v>162501</v>
      </c>
      <c r="E75">
        <f t="shared" si="11"/>
        <v>73</v>
      </c>
      <c r="F75" s="61">
        <f>IF(FT!A75&lt;&gt;"",FT!A75*10,"")</f>
        <v>3.4872100000000001</v>
      </c>
      <c r="G75" s="61">
        <f>IF(FT!B75&lt;&gt;"",FT!B75*100,"")</f>
        <v>36.950800000000001</v>
      </c>
      <c r="H75" s="61">
        <f t="shared" si="9"/>
        <v>1</v>
      </c>
      <c r="I75" t="str">
        <f>IF(FT!B75&lt;&gt;"",FT!E75,"")</f>
        <v>1 [29.654633]</v>
      </c>
      <c r="J75">
        <f>IF(FT!B75&lt;&gt;"",FT!C75,"")</f>
        <v>29.654599999999999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3.5079599999999997</v>
      </c>
      <c r="G76" s="61">
        <f>IF(FT!B76&lt;&gt;"",FT!B76*100,"")</f>
        <v>37.3294</v>
      </c>
      <c r="H76" s="61">
        <f t="shared" si="9"/>
        <v>1</v>
      </c>
      <c r="I76" t="str">
        <f>IF(FT!B76&lt;&gt;"",FT!E76,"")</f>
        <v>2 [30.063813]</v>
      </c>
      <c r="J76">
        <f>IF(FT!B76&lt;&gt;"",FT!C76,"")</f>
        <v>30.063800000000001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157365</v>
      </c>
      <c r="D77" s="61">
        <f>FH!B77*1</f>
        <v>157365</v>
      </c>
      <c r="E77">
        <f t="shared" si="11"/>
        <v>75</v>
      </c>
      <c r="F77" s="61">
        <f>IF(FT!A77&lt;&gt;"",FT!A77*10,"")</f>
        <v>3.5280699999999996</v>
      </c>
      <c r="G77" s="61">
        <f>IF(FT!B77&lt;&gt;"",FT!B77*100,"")</f>
        <v>37.697299999999998</v>
      </c>
      <c r="H77" s="61">
        <f t="shared" si="9"/>
        <v>1</v>
      </c>
      <c r="I77" t="str">
        <f>IF(FT!B77&lt;&gt;"",FT!E77,"")</f>
        <v>2 [30.489465]</v>
      </c>
      <c r="J77">
        <f>IF(FT!B77&lt;&gt;"",FT!C77,"")</f>
        <v>30.4895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3.5497399999999999</v>
      </c>
      <c r="G78" s="61">
        <f>IF(FT!B78&lt;&gt;"",FT!B78*100,"")</f>
        <v>38.043300000000002</v>
      </c>
      <c r="H78" s="61">
        <f t="shared" si="9"/>
        <v>1</v>
      </c>
      <c r="I78" t="str">
        <f>IF(FT!B78&lt;&gt;"",FT!E78,"")</f>
        <v>2 [30.890898]</v>
      </c>
      <c r="J78">
        <f>IF(FT!B78&lt;&gt;"",FT!C78,"")</f>
        <v>30.890899999999998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3.5691600000000001</v>
      </c>
      <c r="G79" s="61">
        <f>IF(FT!B79&lt;&gt;"",FT!B79*100,"")</f>
        <v>38.424199999999999</v>
      </c>
      <c r="H79" s="61">
        <f t="shared" si="9"/>
        <v>1</v>
      </c>
      <c r="I79" t="str">
        <f>IF(FT!B79&lt;&gt;"",FT!E79,"")</f>
        <v>2 [31.298377]</v>
      </c>
      <c r="J79">
        <f>IF(FT!B79&lt;&gt;"",FT!C79,"")</f>
        <v>31.298400000000001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165593</v>
      </c>
      <c r="D80" s="61">
        <f>FH!B80*1</f>
        <v>165593</v>
      </c>
      <c r="E80">
        <f t="shared" si="11"/>
        <v>78</v>
      </c>
      <c r="F80" s="61">
        <f>IF(FT!A80&lt;&gt;"",FT!A80*10,"")</f>
        <v>3.5873500000000003</v>
      </c>
      <c r="G80" s="61">
        <f>IF(FT!B80&lt;&gt;"",FT!B80*100,"")</f>
        <v>38.798400000000001</v>
      </c>
      <c r="H80" s="61">
        <f t="shared" si="9"/>
        <v>1</v>
      </c>
      <c r="I80" t="str">
        <f>IF(FT!B80&lt;&gt;"",FT!E80,"")</f>
        <v>2 [31.698203]</v>
      </c>
      <c r="J80">
        <f>IF(FT!B80&lt;&gt;"",FT!C80,"")</f>
        <v>31.6982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3.6053600000000001</v>
      </c>
      <c r="G81" s="61">
        <f>IF(FT!B81&lt;&gt;"",FT!B81*100,"")</f>
        <v>39.190199999999997</v>
      </c>
      <c r="H81" s="61">
        <f t="shared" si="9"/>
        <v>1</v>
      </c>
      <c r="I81" t="str">
        <f>IF(FT!B81&lt;&gt;"",FT!E81,"")</f>
        <v>2 [32.112089]</v>
      </c>
      <c r="J81">
        <f>IF(FT!B81&lt;&gt;"",FT!C81,"")</f>
        <v>32.112099999999998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153599</v>
      </c>
      <c r="D82" s="61">
        <f>FH!B82*1</f>
        <v>153599</v>
      </c>
      <c r="E82">
        <f t="shared" si="11"/>
        <v>80</v>
      </c>
      <c r="F82" s="61">
        <f>IF(FT!A82&lt;&gt;"",FT!A82*10,"")</f>
        <v>3.6195200000000001</v>
      </c>
      <c r="G82" s="61">
        <f>IF(FT!B82&lt;&gt;"",FT!B82*100,"")</f>
        <v>39.574300000000001</v>
      </c>
      <c r="H82" s="61">
        <f t="shared" si="9"/>
        <v>1</v>
      </c>
      <c r="I82" t="str">
        <f>IF(FT!B82&lt;&gt;"",FT!E82,"")</f>
        <v>2 [32.519465]</v>
      </c>
      <c r="J82">
        <f>IF(FT!B82&lt;&gt;"",FT!C82,"")</f>
        <v>32.519500000000001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3.6345999999999998</v>
      </c>
      <c r="G83" s="61">
        <f>IF(FT!B83&lt;&gt;"",FT!B83*100,"")</f>
        <v>39.872800000000005</v>
      </c>
      <c r="H83" s="61">
        <f t="shared" si="9"/>
        <v>1</v>
      </c>
      <c r="I83" t="str">
        <f>IF(FT!B83&lt;&gt;"",FT!E83,"")</f>
        <v>2 [32.922926]</v>
      </c>
      <c r="J83">
        <f>IF(FT!B83&lt;&gt;"",FT!C83,"")</f>
        <v>32.922899999999998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3.6507899999999998</v>
      </c>
      <c r="G84" s="61">
        <f>IF(FT!B84&lt;&gt;"",FT!B84*100,"")</f>
        <v>40.150999999999996</v>
      </c>
      <c r="H84" s="61">
        <f t="shared" si="9"/>
        <v>1</v>
      </c>
      <c r="I84" t="str">
        <f>IF(FT!B84&lt;&gt;"",FT!E84,"")</f>
        <v>2 [33.330932]</v>
      </c>
      <c r="J84">
        <f>IF(FT!B84&lt;&gt;"",FT!C84,"")</f>
        <v>33.3309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152172</v>
      </c>
      <c r="D85" s="61">
        <f>FH!B85*1</f>
        <v>152172</v>
      </c>
      <c r="E85">
        <f t="shared" si="11"/>
        <v>83</v>
      </c>
      <c r="F85" s="61">
        <f>IF(FT!A85&lt;&gt;"",FT!A85*10,"")</f>
        <v>3.6670599999999998</v>
      </c>
      <c r="G85" s="61">
        <f>IF(FT!B85&lt;&gt;"",FT!B85*100,"")</f>
        <v>40.408999999999999</v>
      </c>
      <c r="H85" s="61">
        <f t="shared" si="9"/>
        <v>1</v>
      </c>
      <c r="I85" t="str">
        <f>IF(FT!B85&lt;&gt;"",FT!E85,"")</f>
        <v>2 [33.736947]</v>
      </c>
      <c r="J85">
        <f>IF(FT!B85&lt;&gt;"",FT!C85,"")</f>
        <v>33.736899999999999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3.6844000000000001</v>
      </c>
      <c r="G86" s="61">
        <f>IF(FT!B86&lt;&gt;"",FT!B86*100,"")</f>
        <v>40.631099999999996</v>
      </c>
      <c r="H86" s="61">
        <f t="shared" si="9"/>
        <v>1</v>
      </c>
      <c r="I86" t="str">
        <f>IF(FT!B86&lt;&gt;"",FT!E86,"")</f>
        <v>2 [34.139887]</v>
      </c>
      <c r="J86">
        <f>IF(FT!B86&lt;&gt;"",FT!C86,"")</f>
        <v>34.139899999999997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3.69875</v>
      </c>
      <c r="G87" s="61">
        <f>IF(FT!B87&lt;&gt;"",FT!B87*100,"")</f>
        <v>40.891599999999997</v>
      </c>
      <c r="H87" s="61">
        <f t="shared" si="9"/>
        <v>1</v>
      </c>
      <c r="I87" t="str">
        <f>IF(FT!B87&lt;&gt;"",FT!E87,"")</f>
        <v>2 [34.551689]</v>
      </c>
      <c r="J87">
        <f>IF(FT!B87&lt;&gt;"",FT!C87,"")</f>
        <v>34.551699999999997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147317</v>
      </c>
      <c r="D88" s="61">
        <f>FH!B88*1</f>
        <v>147317</v>
      </c>
      <c r="E88">
        <f t="shared" si="11"/>
        <v>86</v>
      </c>
      <c r="F88" s="61">
        <f>IF(FT!A88&lt;&gt;"",FT!A88*10,"")</f>
        <v>3.7110500000000002</v>
      </c>
      <c r="G88" s="61">
        <f>IF(FT!B88&lt;&gt;"",FT!B88*100,"")</f>
        <v>41.248800000000003</v>
      </c>
      <c r="H88" s="61">
        <f t="shared" si="9"/>
        <v>1</v>
      </c>
      <c r="I88" t="str">
        <f>IF(FT!B88&lt;&gt;"",FT!E88,"")</f>
        <v>2 [34.956480]</v>
      </c>
      <c r="J88">
        <f>IF(FT!B88&lt;&gt;"",FT!C88,"")</f>
        <v>34.956499999999998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3.7220900000000001</v>
      </c>
      <c r="G89" s="61">
        <f>IF(FT!B89&lt;&gt;"",FT!B89*100,"")</f>
        <v>41.588700000000003</v>
      </c>
      <c r="H89" s="61">
        <f t="shared" si="9"/>
        <v>1</v>
      </c>
      <c r="I89" t="str">
        <f>IF(FT!B89&lt;&gt;"",FT!E89,"")</f>
        <v>2 [35.359497]</v>
      </c>
      <c r="J89">
        <f>IF(FT!B89&lt;&gt;"",FT!C89,"")</f>
        <v>35.359499999999997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133874</v>
      </c>
      <c r="D90" s="61">
        <f>FH!B90*1</f>
        <v>133874</v>
      </c>
      <c r="E90">
        <f t="shared" si="11"/>
        <v>88</v>
      </c>
      <c r="F90" s="61">
        <f>IF(FT!A90&lt;&gt;"",FT!A90*10,"")</f>
        <v>3.7322100000000002</v>
      </c>
      <c r="G90" s="61">
        <f>IF(FT!B90&lt;&gt;"",FT!B90*100,"")</f>
        <v>41.917999999999999</v>
      </c>
      <c r="H90" s="61">
        <f t="shared" si="9"/>
        <v>1</v>
      </c>
      <c r="I90" t="str">
        <f>IF(FT!B90&lt;&gt;"",FT!E90,"")</f>
        <v>2 [35.764414]</v>
      </c>
      <c r="J90">
        <f>IF(FT!B90&lt;&gt;"",FT!C90,"")</f>
        <v>35.764400000000002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3.7402800000000003</v>
      </c>
      <c r="G91" s="61">
        <f>IF(FT!B91&lt;&gt;"",FT!B91*100,"")</f>
        <v>42.241900000000001</v>
      </c>
      <c r="H91" s="61">
        <f t="shared" si="9"/>
        <v>1</v>
      </c>
      <c r="I91" t="str">
        <f>IF(FT!B91&lt;&gt;"",FT!E91,"")</f>
        <v>2 [36.174372]</v>
      </c>
      <c r="J91">
        <f>IF(FT!B91&lt;&gt;"",FT!C91,"")</f>
        <v>36.174399999999999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3.7469000000000001</v>
      </c>
      <c r="G92" s="61">
        <f>IF(FT!B92&lt;&gt;"",FT!B92*100,"")</f>
        <v>42.575899999999997</v>
      </c>
      <c r="H92" s="61">
        <f t="shared" si="9"/>
        <v>1</v>
      </c>
      <c r="I92" t="str">
        <f>IF(FT!B92&lt;&gt;"",FT!E92,"")</f>
        <v>2 [36.583088]</v>
      </c>
      <c r="J92">
        <f>IF(FT!B92&lt;&gt;"",FT!C92,"")</f>
        <v>36.583100000000002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127718</v>
      </c>
      <c r="D93" s="61">
        <f>FH!B93*1</f>
        <v>127718</v>
      </c>
      <c r="E93">
        <f t="shared" si="11"/>
        <v>91</v>
      </c>
      <c r="F93" s="61">
        <f>IF(FT!A93&lt;&gt;"",FT!A93*10,"")</f>
        <v>3.7494399999999999</v>
      </c>
      <c r="G93" s="61">
        <f>IF(FT!B93&lt;&gt;"",FT!B93*100,"")</f>
        <v>42.904899999999998</v>
      </c>
      <c r="H93" s="61">
        <f t="shared" si="9"/>
        <v>1</v>
      </c>
      <c r="I93" t="str">
        <f>IF(FT!B93&lt;&gt;"",FT!E93,"")</f>
        <v>2 [36.984580]</v>
      </c>
      <c r="J93">
        <f>IF(FT!B93&lt;&gt;"",FT!C93,"")</f>
        <v>36.9846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3.7494899999999998</v>
      </c>
      <c r="G94" s="61">
        <f>IF(FT!B94&lt;&gt;"",FT!B94*100,"")</f>
        <v>43.121200000000002</v>
      </c>
      <c r="H94" s="61">
        <f t="shared" si="9"/>
        <v>1</v>
      </c>
      <c r="I94" t="str">
        <f>IF(FT!B94&lt;&gt;"",FT!E94,"")</f>
        <v>2 [37.388145]</v>
      </c>
      <c r="J94">
        <f>IF(FT!B94&lt;&gt;"",FT!C94,"")</f>
        <v>37.388100000000001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116275</v>
      </c>
      <c r="D95" s="61">
        <f>FH!B95*1</f>
        <v>116275</v>
      </c>
      <c r="E95">
        <f t="shared" si="11"/>
        <v>93</v>
      </c>
      <c r="F95" s="61">
        <f>IF(FT!A95&lt;&gt;"",FT!A95*10,"")</f>
        <v>3.7473400000000003</v>
      </c>
      <c r="G95" s="61">
        <f>IF(FT!B95&lt;&gt;"",FT!B95*100,"")</f>
        <v>43.2453</v>
      </c>
      <c r="H95" s="61">
        <f t="shared" si="9"/>
        <v>1</v>
      </c>
      <c r="I95" t="str">
        <f>IF(FT!B95&lt;&gt;"",FT!E95,"")</f>
        <v>2 [37.796422]</v>
      </c>
      <c r="J95">
        <f>IF(FT!B95&lt;&gt;"",FT!C95,"")</f>
        <v>37.796399999999998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3.7400699999999998</v>
      </c>
      <c r="G96" s="61">
        <f>IF(FT!B96&lt;&gt;"",FT!B96*100,"")</f>
        <v>43.332100000000004</v>
      </c>
      <c r="H96" s="61">
        <f t="shared" si="9"/>
        <v>1</v>
      </c>
      <c r="I96" t="str">
        <f>IF(FT!B96&lt;&gt;"",FT!E96,"")</f>
        <v>2 [38.203066]</v>
      </c>
      <c r="J96">
        <f>IF(FT!B96&lt;&gt;"",FT!C96,"")</f>
        <v>38.203099999999999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3.7279600000000004</v>
      </c>
      <c r="G97" s="61">
        <f>IF(FT!B97&lt;&gt;"",FT!B97*100,"")</f>
        <v>43.3354</v>
      </c>
      <c r="H97" s="61">
        <f t="shared" si="9"/>
        <v>1</v>
      </c>
      <c r="I97" t="str">
        <f>IF(FT!B97&lt;&gt;"",FT!E97,"")</f>
        <v>2 [38.607711]</v>
      </c>
      <c r="J97">
        <f>IF(FT!B97&lt;&gt;"",FT!C97,"")</f>
        <v>38.607700000000001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116114</v>
      </c>
      <c r="D98" s="61">
        <f>FH!B98*1</f>
        <v>116114</v>
      </c>
      <c r="E98">
        <f t="shared" si="11"/>
        <v>96</v>
      </c>
      <c r="F98" s="61">
        <f>IF(FT!A98&lt;&gt;"",FT!A98*10,"")</f>
        <v>3.7108000000000003</v>
      </c>
      <c r="G98" s="61">
        <f>IF(FT!B98&lt;&gt;"",FT!B98*100,"")</f>
        <v>43.263100000000001</v>
      </c>
      <c r="H98" s="61">
        <f t="shared" si="9"/>
        <v>1</v>
      </c>
      <c r="I98" t="str">
        <f>IF(FT!B98&lt;&gt;"",FT!E98,"")</f>
        <v>2 [39.015708]</v>
      </c>
      <c r="J98">
        <f>IF(FT!B98&lt;&gt;"",FT!C98,"")</f>
        <v>39.015700000000002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3.6940200000000001</v>
      </c>
      <c r="G99" s="61">
        <f>IF(FT!B99&lt;&gt;"",FT!B99*100,"")</f>
        <v>43.2072</v>
      </c>
      <c r="H99" s="61">
        <f t="shared" si="9"/>
        <v>1</v>
      </c>
      <c r="I99" t="str">
        <f>IF(FT!B99&lt;&gt;"",FT!E99,"")</f>
        <v>2 [39.422619]</v>
      </c>
      <c r="J99">
        <f>IF(FT!B99&lt;&gt;"",FT!C99,"")</f>
        <v>39.422600000000003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104410</v>
      </c>
      <c r="D100" s="61">
        <f>FH!B100*1</f>
        <v>104410</v>
      </c>
      <c r="E100">
        <f t="shared" si="11"/>
        <v>98</v>
      </c>
      <c r="F100" s="61">
        <f>IF(FT!A100&lt;&gt;"",FT!A100*10,"")</f>
        <v>3.6752099999999999</v>
      </c>
      <c r="G100" s="61">
        <f>IF(FT!B100&lt;&gt;"",FT!B100*100,"")</f>
        <v>43.123899999999999</v>
      </c>
      <c r="H100" s="61">
        <f t="shared" si="9"/>
        <v>1</v>
      </c>
      <c r="I100" t="str">
        <f>IF(FT!B100&lt;&gt;"",FT!E100,"")</f>
        <v>2 [39.825440]</v>
      </c>
      <c r="J100">
        <f>IF(FT!B100&lt;&gt;"",FT!C100,"")</f>
        <v>39.825400000000002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3.6547800000000001</v>
      </c>
      <c r="G101" s="61">
        <f>IF(FT!B101&lt;&gt;"",FT!B101*100,"")</f>
        <v>42.975099999999998</v>
      </c>
      <c r="H101" s="61">
        <f t="shared" si="9"/>
        <v>1</v>
      </c>
      <c r="I101" t="str">
        <f>IF(FT!B101&lt;&gt;"",FT!E101,"")</f>
        <v>2 [40.232738]</v>
      </c>
      <c r="J101">
        <f>IF(FT!B101&lt;&gt;"",FT!C101,"")</f>
        <v>40.232700000000001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3.6350300000000004</v>
      </c>
      <c r="G102" s="61">
        <f>IF(FT!B102&lt;&gt;"",FT!B102*100,"")</f>
        <v>42.802</v>
      </c>
      <c r="H102" s="61">
        <f t="shared" si="9"/>
        <v>1</v>
      </c>
      <c r="I102" t="str">
        <f>IF(FT!B102&lt;&gt;"",FT!E102,"")</f>
        <v>2 [40.642256]</v>
      </c>
      <c r="J102">
        <f>IF(FT!B102&lt;&gt;"",FT!C102,"")</f>
        <v>40.642299999999999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104005</v>
      </c>
      <c r="D103" s="61">
        <f>FH!B103*1</f>
        <v>104005</v>
      </c>
      <c r="E103">
        <f t="shared" si="11"/>
        <v>101</v>
      </c>
      <c r="F103" s="61">
        <f>IF(FT!A103&lt;&gt;"",FT!A103*10,"")</f>
        <v>3.61395</v>
      </c>
      <c r="G103" s="61">
        <f>IF(FT!B103&lt;&gt;"",FT!B103*100,"")</f>
        <v>42.659399999999998</v>
      </c>
      <c r="H103" s="61">
        <f t="shared" si="9"/>
        <v>1</v>
      </c>
      <c r="I103" t="str">
        <f>IF(FT!B103&lt;&gt;"",FT!E103,"")</f>
        <v>2 [41.047263]</v>
      </c>
      <c r="J103">
        <f>IF(FT!B103&lt;&gt;"",FT!C103,"")</f>
        <v>41.0473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3.59368</v>
      </c>
      <c r="G104" s="61">
        <f>IF(FT!B104&lt;&gt;"",FT!B104*100,"")</f>
        <v>42.480899999999998</v>
      </c>
      <c r="H104" s="61">
        <f t="shared" si="9"/>
        <v>1</v>
      </c>
      <c r="I104" t="str">
        <f>IF(FT!B104&lt;&gt;"",FT!E104,"")</f>
        <v>2 [41.453073]</v>
      </c>
      <c r="J104">
        <f>IF(FT!B104&lt;&gt;"",FT!C104,"")</f>
        <v>41.453099999999999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3.5720800000000001</v>
      </c>
      <c r="G105" s="61">
        <f>IF(FT!B105&lt;&gt;"",FT!B105*100,"")</f>
        <v>42.295899999999996</v>
      </c>
      <c r="H105" s="61">
        <f t="shared" si="9"/>
        <v>1</v>
      </c>
      <c r="I105" t="str">
        <f>IF(FT!B105&lt;&gt;"",FT!E105,"")</f>
        <v>2 [41.858033]</v>
      </c>
      <c r="J105">
        <f>IF(FT!B105&lt;&gt;"",FT!C105,"")</f>
        <v>41.857999999999997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94555</v>
      </c>
      <c r="D106" s="61">
        <f>FH!B106*1</f>
        <v>94555</v>
      </c>
      <c r="E106">
        <f t="shared" si="11"/>
        <v>104</v>
      </c>
      <c r="F106" s="61">
        <f>IF(FT!A106&lt;&gt;"",FT!A106*10,"")</f>
        <v>3.5498099999999999</v>
      </c>
      <c r="G106" s="61">
        <f>IF(FT!B106&lt;&gt;"",FT!B106*100,"")</f>
        <v>42.054099999999998</v>
      </c>
      <c r="H106" s="61">
        <f t="shared" si="9"/>
        <v>1</v>
      </c>
      <c r="I106" t="str">
        <f>IF(FT!B106&lt;&gt;"",FT!E106,"")</f>
        <v>2 [42.264073]</v>
      </c>
      <c r="J106">
        <f>IF(FT!B106&lt;&gt;"",FT!C106,"")</f>
        <v>42.264099999999999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3.5291600000000001</v>
      </c>
      <c r="G107" s="61">
        <f>IF(FT!B107&lt;&gt;"",FT!B107*100,"")</f>
        <v>41.7134</v>
      </c>
      <c r="H107" s="61">
        <f t="shared" si="9"/>
        <v>1</v>
      </c>
      <c r="I107" t="str">
        <f>IF(FT!B107&lt;&gt;"",FT!E107,"")</f>
        <v>2 [42.669863]</v>
      </c>
      <c r="J107">
        <f>IF(FT!B107&lt;&gt;"",FT!C107,"")</f>
        <v>42.669899999999998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91546</v>
      </c>
      <c r="D108" s="61">
        <f>FH!B108*1</f>
        <v>91546</v>
      </c>
      <c r="E108">
        <f t="shared" si="11"/>
        <v>106</v>
      </c>
      <c r="F108" s="61">
        <f>IF(FT!A108&lt;&gt;"",FT!A108*10,"")</f>
        <v>3.5067900000000001</v>
      </c>
      <c r="G108" s="61">
        <f>IF(FT!B108&lt;&gt;"",FT!B108*100,"")</f>
        <v>41.406599999999997</v>
      </c>
      <c r="H108" s="61">
        <f t="shared" si="9"/>
        <v>1</v>
      </c>
      <c r="I108" t="str">
        <f>IF(FT!B108&lt;&gt;"",FT!E108,"")</f>
        <v>2 [43.080063]</v>
      </c>
      <c r="J108">
        <f>IF(FT!B108&lt;&gt;"",FT!C108,"")</f>
        <v>43.080100000000002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3.4849400000000004</v>
      </c>
      <c r="G109" s="61">
        <f>IF(FT!B109&lt;&gt;"",FT!B109*100,"")</f>
        <v>41.098399999999998</v>
      </c>
      <c r="H109" s="61">
        <f t="shared" si="9"/>
        <v>1</v>
      </c>
      <c r="I109" t="str">
        <f>IF(FT!B109&lt;&gt;"",FT!E109,"")</f>
        <v>2 [43.483651]</v>
      </c>
      <c r="J109">
        <f>IF(FT!B109&lt;&gt;"",FT!C109,"")</f>
        <v>43.483699999999999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3.4637000000000002</v>
      </c>
      <c r="G110" s="61">
        <f>IF(FT!B110&lt;&gt;"",FT!B110*100,"")</f>
        <v>40.761800000000001</v>
      </c>
      <c r="H110" s="61">
        <f t="shared" si="9"/>
        <v>1</v>
      </c>
      <c r="I110" t="str">
        <f>IF(FT!B110&lt;&gt;"",FT!E110,"")</f>
        <v>2 [43.889576]</v>
      </c>
      <c r="J110">
        <f>IF(FT!B110&lt;&gt;"",FT!C110,"")</f>
        <v>43.889600000000002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88714</v>
      </c>
      <c r="D111" s="61">
        <f>FH!B111*1</f>
        <v>88714</v>
      </c>
      <c r="E111">
        <f t="shared" si="11"/>
        <v>109</v>
      </c>
      <c r="F111" s="61">
        <f>IF(FT!A111&lt;&gt;"",FT!A111*10,"")</f>
        <v>3.4400900000000001</v>
      </c>
      <c r="G111" s="61">
        <f>IF(FT!B111&lt;&gt;"",FT!B111*100,"")</f>
        <v>40.433999999999997</v>
      </c>
      <c r="H111" s="61">
        <f t="shared" si="9"/>
        <v>1</v>
      </c>
      <c r="I111" t="str">
        <f>IF(FT!B111&lt;&gt;"",FT!E111,"")</f>
        <v>2 [44.295479]</v>
      </c>
      <c r="J111">
        <f>IF(FT!B111&lt;&gt;"",FT!C111,"")</f>
        <v>44.295499999999997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3.4185100000000004</v>
      </c>
      <c r="G112" s="61">
        <f>IF(FT!B112&lt;&gt;"",FT!B112*100,"")</f>
        <v>40.048499999999997</v>
      </c>
      <c r="H112" s="61">
        <f t="shared" si="9"/>
        <v>1</v>
      </c>
      <c r="I112" t="str">
        <f>IF(FT!B112&lt;&gt;"",FT!E112,"")</f>
        <v>2 [44.703492]</v>
      </c>
      <c r="J112">
        <f>IF(FT!B112&lt;&gt;"",FT!C112,"")</f>
        <v>44.703499999999998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84894</v>
      </c>
      <c r="D113" s="61">
        <f>FH!B113*1</f>
        <v>84894</v>
      </c>
      <c r="E113">
        <f t="shared" si="11"/>
        <v>111</v>
      </c>
      <c r="F113" s="61">
        <f>IF(FT!A113&lt;&gt;"",FT!A113*10,"")</f>
        <v>3.3982200000000002</v>
      </c>
      <c r="G113" s="61">
        <f>IF(FT!B113&lt;&gt;"",FT!B113*100,"")</f>
        <v>39.645699999999998</v>
      </c>
      <c r="H113" s="61">
        <f t="shared" si="9"/>
        <v>1</v>
      </c>
      <c r="I113" t="str">
        <f>IF(FT!B113&lt;&gt;"",FT!E113,"")</f>
        <v>2 [45.110451]</v>
      </c>
      <c r="J113">
        <f>IF(FT!B113&lt;&gt;"",FT!C113,"")</f>
        <v>45.110500000000002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3.3765000000000001</v>
      </c>
      <c r="G114" s="61">
        <f>IF(FT!B114&lt;&gt;"",FT!B114*100,"")</f>
        <v>39.277099999999997</v>
      </c>
      <c r="H114" s="61">
        <f t="shared" si="9"/>
        <v>1</v>
      </c>
      <c r="I114" t="str">
        <f>IF(FT!B114&lt;&gt;"",FT!E114,"")</f>
        <v>2 [45.515273]</v>
      </c>
      <c r="J114">
        <f>IF(FT!B114&lt;&gt;"",FT!C114,"")</f>
        <v>45.515300000000003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3.3534000000000002</v>
      </c>
      <c r="G115" s="61">
        <f>IF(FT!B115&lt;&gt;"",FT!B115*100,"")</f>
        <v>38.9497</v>
      </c>
      <c r="H115" s="61">
        <f t="shared" si="9"/>
        <v>1</v>
      </c>
      <c r="I115" t="str">
        <f>IF(FT!B115&lt;&gt;"",FT!E115,"")</f>
        <v>2 [45.921124]</v>
      </c>
      <c r="J115">
        <f>IF(FT!B115&lt;&gt;"",FT!C115,"")</f>
        <v>45.921100000000003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78231</v>
      </c>
      <c r="D116" s="61">
        <f>FH!B116*1</f>
        <v>78231</v>
      </c>
      <c r="E116">
        <f t="shared" si="11"/>
        <v>114</v>
      </c>
      <c r="F116" s="61">
        <f>IF(FT!A116&lt;&gt;"",FT!A116*10,"")</f>
        <v>3.3316699999999999</v>
      </c>
      <c r="G116" s="61">
        <f>IF(FT!B116&lt;&gt;"",FT!B116*100,"")</f>
        <v>38.563199999999995</v>
      </c>
      <c r="H116" s="61">
        <f t="shared" si="9"/>
        <v>1</v>
      </c>
      <c r="I116" t="str">
        <f>IF(FT!B116&lt;&gt;"",FT!E116,"")</f>
        <v>2 [46.326070]</v>
      </c>
      <c r="J116">
        <f>IF(FT!B116&lt;&gt;"",FT!C116,"")</f>
        <v>46.326099999999997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3.3102199999999997</v>
      </c>
      <c r="G117" s="61">
        <f>IF(FT!B117&lt;&gt;"",FT!B117*100,"")</f>
        <v>38.181699999999999</v>
      </c>
      <c r="H117" s="61">
        <f t="shared" si="9"/>
        <v>1</v>
      </c>
      <c r="I117" t="str">
        <f>IF(FT!B117&lt;&gt;"",FT!E117,"")</f>
        <v>2 [46.733996]</v>
      </c>
      <c r="J117">
        <f>IF(FT!B117&lt;&gt;"",FT!C117,"")</f>
        <v>46.734000000000002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70621</v>
      </c>
      <c r="D118" s="61">
        <f>FH!B118*1</f>
        <v>70621</v>
      </c>
      <c r="E118">
        <f t="shared" si="11"/>
        <v>116</v>
      </c>
      <c r="F118" s="61">
        <f>IF(FT!A118&lt;&gt;"",FT!A118*10,"")</f>
        <v>3.2906900000000001</v>
      </c>
      <c r="G118" s="61">
        <f>IF(FT!B118&lt;&gt;"",FT!B118*100,"")</f>
        <v>37.780099999999997</v>
      </c>
      <c r="H118" s="61">
        <f t="shared" si="9"/>
        <v>1</v>
      </c>
      <c r="I118" t="str">
        <f>IF(FT!B118&lt;&gt;"",FT!E118,"")</f>
        <v>2 [47.140968]</v>
      </c>
      <c r="J118">
        <f>IF(FT!B118&lt;&gt;"",FT!C118,"")</f>
        <v>47.140999999999998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3.2743899999999999</v>
      </c>
      <c r="G119" s="61">
        <f>IF(FT!B119&lt;&gt;"",FT!B119*100,"")</f>
        <v>37.331699999999998</v>
      </c>
      <c r="H119" s="61">
        <f t="shared" si="9"/>
        <v>1</v>
      </c>
      <c r="I119" t="str">
        <f>IF(FT!B119&lt;&gt;"",FT!E119,"")</f>
        <v>2 [47.548840]</v>
      </c>
      <c r="J119">
        <f>IF(FT!B119&lt;&gt;"",FT!C119,"")</f>
        <v>47.5488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3.2607499999999998</v>
      </c>
      <c r="G120" s="61">
        <f>IF(FT!B120&lt;&gt;"",FT!B120*100,"")</f>
        <v>36.892899999999997</v>
      </c>
      <c r="H120" s="61">
        <f t="shared" si="9"/>
        <v>1</v>
      </c>
      <c r="I120" t="str">
        <f>IF(FT!B120&lt;&gt;"",FT!E120,"")</f>
        <v>2 [47.953715]</v>
      </c>
      <c r="J120">
        <f>IF(FT!B120&lt;&gt;"",FT!C120,"")</f>
        <v>47.953699999999998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68878</v>
      </c>
      <c r="D121" s="61">
        <f>FH!B121*1</f>
        <v>68878</v>
      </c>
      <c r="E121">
        <f t="shared" si="11"/>
        <v>119</v>
      </c>
      <c r="F121" s="61">
        <f>IF(FT!A121&lt;&gt;"",FT!A121*10,"")</f>
        <v>3.2504200000000001</v>
      </c>
      <c r="G121" s="61">
        <f>IF(FT!B121&lt;&gt;"",FT!B121*100,"")</f>
        <v>36.432500000000005</v>
      </c>
      <c r="H121" s="61">
        <f t="shared" si="9"/>
        <v>1</v>
      </c>
      <c r="I121" t="str">
        <f>IF(FT!B121&lt;&gt;"",FT!E121,"")</f>
        <v>2 [48.357614]</v>
      </c>
      <c r="J121">
        <f>IF(FT!B121&lt;&gt;"",FT!C121,"")</f>
        <v>48.357599999999998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3.24139</v>
      </c>
      <c r="G122" s="61">
        <f>IF(FT!B122&lt;&gt;"",FT!B122*100,"")</f>
        <v>35.957999999999998</v>
      </c>
      <c r="H122" s="61">
        <f t="shared" si="9"/>
        <v>1</v>
      </c>
      <c r="I122" t="str">
        <f>IF(FT!B122&lt;&gt;"",FT!E122,"")</f>
        <v>2 [48.762853]</v>
      </c>
      <c r="J122">
        <f>IF(FT!B122&lt;&gt;"",FT!C122,"")</f>
        <v>48.762900000000002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3.2373800000000004</v>
      </c>
      <c r="G123" s="61">
        <f>IF(FT!B123&lt;&gt;"",FT!B123*100,"")</f>
        <v>35.428599999999996</v>
      </c>
      <c r="H123" s="61">
        <f t="shared" si="9"/>
        <v>1</v>
      </c>
      <c r="I123" t="str">
        <f>IF(FT!B123&lt;&gt;"",FT!E123,"")</f>
        <v>2 [49.169463]</v>
      </c>
      <c r="J123">
        <f>IF(FT!B123&lt;&gt;"",FT!C123,"")</f>
        <v>49.169499999999999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65821</v>
      </c>
      <c r="D124" s="61">
        <f>FH!B124*1</f>
        <v>65821</v>
      </c>
      <c r="E124">
        <f t="shared" si="11"/>
        <v>122</v>
      </c>
      <c r="F124" s="61">
        <f>IF(FT!A124&lt;&gt;"",FT!A124*10,"")</f>
        <v>3.2337799999999999</v>
      </c>
      <c r="G124" s="61">
        <f>IF(FT!B124&lt;&gt;"",FT!B124*100,"")</f>
        <v>34.8703</v>
      </c>
      <c r="H124" s="61">
        <f t="shared" si="9"/>
        <v>1</v>
      </c>
      <c r="I124" t="str">
        <f>IF(FT!B124&lt;&gt;"",FT!E124,"")</f>
        <v>2 [49.580516]</v>
      </c>
      <c r="J124">
        <f>IF(FT!B124&lt;&gt;"",FT!C124,"")</f>
        <v>49.580500000000001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3.2271800000000002</v>
      </c>
      <c r="G125" s="61">
        <f>IF(FT!B125&lt;&gt;"",FT!B125*100,"")</f>
        <v>34.3352</v>
      </c>
      <c r="H125" s="61">
        <f t="shared" si="9"/>
        <v>1</v>
      </c>
      <c r="I125" t="str">
        <f>IF(FT!B125&lt;&gt;"",FT!E125,"")</f>
        <v>2 [49.984292]</v>
      </c>
      <c r="J125">
        <f>IF(FT!B125&lt;&gt;"",FT!C125,"")</f>
        <v>49.984299999999998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63747</v>
      </c>
      <c r="D126" s="61">
        <f>FH!B126*1</f>
        <v>63747</v>
      </c>
      <c r="E126">
        <f t="shared" si="11"/>
        <v>124</v>
      </c>
      <c r="F126" s="61">
        <f>IF(FT!A126&lt;&gt;"",FT!A126*10,"")</f>
        <v>3.2292300000000003</v>
      </c>
      <c r="G126" s="61">
        <f>IF(FT!B126&lt;&gt;"",FT!B126*100,"")</f>
        <v>34.046900000000001</v>
      </c>
      <c r="H126" s="61">
        <f t="shared" si="9"/>
        <v>1</v>
      </c>
      <c r="I126" t="str">
        <f>IF(FT!B126&lt;&gt;"",FT!E126,"")</f>
        <v>2 [50.389218]</v>
      </c>
      <c r="J126">
        <f>IF(FT!B126&lt;&gt;"",FT!C126,"")</f>
        <v>50.389200000000002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3.2284099999999998</v>
      </c>
      <c r="G127" s="61">
        <f>IF(FT!B127&lt;&gt;"",FT!B127*100,"")</f>
        <v>33.769500000000001</v>
      </c>
      <c r="H127" s="61">
        <f t="shared" si="9"/>
        <v>1</v>
      </c>
      <c r="I127" t="str">
        <f>IF(FT!B127&lt;&gt;"",FT!E127,"")</f>
        <v>2 [50.799043]</v>
      </c>
      <c r="J127">
        <f>IF(FT!B127&lt;&gt;"",FT!C127,"")</f>
        <v>50.798999999999999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3.2283200000000001</v>
      </c>
      <c r="G128" s="61">
        <f>IF(FT!B128&lt;&gt;"",FT!B128*100,"")</f>
        <v>33.426600000000001</v>
      </c>
      <c r="H128" s="61">
        <f t="shared" si="9"/>
        <v>1</v>
      </c>
      <c r="I128" t="str">
        <f>IF(FT!B128&lt;&gt;"",FT!E128,"")</f>
        <v>2 [51.203008]</v>
      </c>
      <c r="J128">
        <f>IF(FT!B128&lt;&gt;"",FT!C128,"")</f>
        <v>51.203000000000003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64628</v>
      </c>
      <c r="D129" s="61">
        <f>FH!B129*1</f>
        <v>64628</v>
      </c>
      <c r="E129">
        <f t="shared" si="11"/>
        <v>127</v>
      </c>
      <c r="F129" s="61">
        <f>IF(FT!A129&lt;&gt;"",FT!A129*10,"")</f>
        <v>3.2286900000000003</v>
      </c>
      <c r="G129" s="61">
        <f>IF(FT!B129&lt;&gt;"",FT!B129*100,"")</f>
        <v>33.080500000000001</v>
      </c>
      <c r="H129" s="61">
        <f t="shared" si="9"/>
        <v>1</v>
      </c>
      <c r="I129" t="str">
        <f>IF(FT!B129&lt;&gt;"",FT!E129,"")</f>
        <v>2 [51.608928]</v>
      </c>
      <c r="J129">
        <f>IF(FT!B129&lt;&gt;"",FT!C129,"")</f>
        <v>51.608899999999998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3.23102</v>
      </c>
      <c r="G130" s="61">
        <f>IF(FT!B130&lt;&gt;"",FT!B130*100,"")</f>
        <v>32.685199999999995</v>
      </c>
      <c r="H130" s="61">
        <f t="shared" si="9"/>
        <v>1</v>
      </c>
      <c r="I130" t="str">
        <f>IF(FT!B130&lt;&gt;"",FT!E130,"")</f>
        <v>2 [52.015815]</v>
      </c>
      <c r="J130">
        <f>IF(FT!B130&lt;&gt;"",FT!C130,"")</f>
        <v>52.015799999999999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55047</v>
      </c>
      <c r="D131" s="61">
        <f>FH!B131*1</f>
        <v>55047</v>
      </c>
      <c r="E131">
        <f t="shared" si="11"/>
        <v>129</v>
      </c>
      <c r="F131" s="61">
        <f>IF(FT!A131&lt;&gt;"",FT!A131*10,"")</f>
        <v>3.23306</v>
      </c>
      <c r="G131" s="61">
        <f>IF(FT!B131&lt;&gt;"",FT!B131*100,"")</f>
        <v>32.328899999999997</v>
      </c>
      <c r="H131" s="61">
        <f t="shared" ref="H131:H194" si="13">(IF(F131&lt;&gt;"",1,""))</f>
        <v>1</v>
      </c>
      <c r="I131" t="str">
        <f>IF(FT!B131&lt;&gt;"",FT!E131,"")</f>
        <v>2 [52.419763]</v>
      </c>
      <c r="J131">
        <f>IF(FT!B131&lt;&gt;"",FT!C131,"")</f>
        <v>52.419800000000002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3.2355800000000001</v>
      </c>
      <c r="G132" s="61">
        <f>IF(FT!B132&lt;&gt;"",FT!B132*100,"")</f>
        <v>32.034700000000001</v>
      </c>
      <c r="H132" s="61">
        <f t="shared" si="13"/>
        <v>1</v>
      </c>
      <c r="I132" t="str">
        <f>IF(FT!B132&lt;&gt;"",FT!E132,"")</f>
        <v>2 [52.828794]</v>
      </c>
      <c r="J132">
        <f>IF(FT!B132&lt;&gt;"",FT!C132,"")</f>
        <v>52.828800000000001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3.2362899999999999</v>
      </c>
      <c r="G133" s="61">
        <f>IF(FT!B133&lt;&gt;"",FT!B133*100,"")</f>
        <v>31.781500000000001</v>
      </c>
      <c r="H133" s="61">
        <f t="shared" si="13"/>
        <v>1</v>
      </c>
      <c r="I133" t="str">
        <f>IF(FT!B133&lt;&gt;"",FT!E133,"")</f>
        <v>2 [53.237631]</v>
      </c>
      <c r="J133">
        <f>IF(FT!B133&lt;&gt;"",FT!C133,"")</f>
        <v>53.2376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54648</v>
      </c>
      <c r="D134" s="61">
        <f>FH!B134*1</f>
        <v>54648</v>
      </c>
      <c r="E134">
        <f t="shared" si="15"/>
        <v>132</v>
      </c>
      <c r="F134" s="61">
        <f>IF(FT!A134&lt;&gt;"",FT!A134*10,"")</f>
        <v>3.2331300000000001</v>
      </c>
      <c r="G134" s="61">
        <f>IF(FT!B134&lt;&gt;"",FT!B134*100,"")</f>
        <v>31.557600000000001</v>
      </c>
      <c r="H134" s="61">
        <f t="shared" si="13"/>
        <v>1</v>
      </c>
      <c r="I134" t="str">
        <f>IF(FT!B134&lt;&gt;"",FT!E134,"")</f>
        <v>2 [53.642469]</v>
      </c>
      <c r="J134">
        <f>IF(FT!B134&lt;&gt;"",FT!C134,"")</f>
        <v>53.642499999999998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3.2282699999999998</v>
      </c>
      <c r="G135" s="61">
        <f>IF(FT!B135&lt;&gt;"",FT!B135*100,"")</f>
        <v>31.325199999999999</v>
      </c>
      <c r="H135" s="61">
        <f t="shared" si="13"/>
        <v>1</v>
      </c>
      <c r="I135" t="str">
        <f>IF(FT!B135&lt;&gt;"",FT!E135,"")</f>
        <v>2 [54.046645]</v>
      </c>
      <c r="J135">
        <f>IF(FT!B135&lt;&gt;"",FT!C135,"")</f>
        <v>54.046599999999998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50500</v>
      </c>
      <c r="D136" s="61">
        <f>FH!B136*1</f>
        <v>50500</v>
      </c>
      <c r="E136">
        <f t="shared" si="15"/>
        <v>134</v>
      </c>
      <c r="F136" s="61">
        <f>IF(FT!A136&lt;&gt;"",FT!A136*10,"")</f>
        <v>3.2231100000000001</v>
      </c>
      <c r="G136" s="61">
        <f>IF(FT!B136&lt;&gt;"",FT!B136*100,"")</f>
        <v>31.173000000000002</v>
      </c>
      <c r="H136" s="61">
        <f t="shared" si="13"/>
        <v>1</v>
      </c>
      <c r="I136" t="str">
        <f>IF(FT!B136&lt;&gt;"",FT!E136,"")</f>
        <v>2 [54.450500]</v>
      </c>
      <c r="J136">
        <f>IF(FT!B136&lt;&gt;"",FT!C136,"")</f>
        <v>54.450499999999998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3.2170999999999998</v>
      </c>
      <c r="G137" s="61">
        <f>IF(FT!B137&lt;&gt;"",FT!B137*100,"")</f>
        <v>31.005199999999999</v>
      </c>
      <c r="H137" s="61">
        <f t="shared" si="13"/>
        <v>1</v>
      </c>
      <c r="I137" t="str">
        <f>IF(FT!B137&lt;&gt;"",FT!E137,"")</f>
        <v>2 [54.856535]</v>
      </c>
      <c r="J137">
        <f>IF(FT!B137&lt;&gt;"",FT!C137,"")</f>
        <v>54.856499999999997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3.2112099999999999</v>
      </c>
      <c r="G138" s="61">
        <f>IF(FT!B138&lt;&gt;"",FT!B138*100,"")</f>
        <v>30.706600000000002</v>
      </c>
      <c r="H138" s="61">
        <f t="shared" si="13"/>
        <v>1</v>
      </c>
      <c r="I138" t="str">
        <f>IF(FT!B138&lt;&gt;"",FT!E138,"")</f>
        <v>2 [55.265183]</v>
      </c>
      <c r="J138">
        <f>IF(FT!B138&lt;&gt;"",FT!C138,"")</f>
        <v>55.2652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43125</v>
      </c>
      <c r="D139" s="61">
        <f>FH!B139*1</f>
        <v>43125</v>
      </c>
      <c r="E139">
        <f t="shared" si="15"/>
        <v>137</v>
      </c>
      <c r="F139" s="61">
        <f>IF(FT!A139&lt;&gt;"",FT!A139*10,"")</f>
        <v>3.2071399999999999</v>
      </c>
      <c r="G139" s="61">
        <f>IF(FT!B139&lt;&gt;"",FT!B139*100,"")</f>
        <v>30.3474</v>
      </c>
      <c r="H139" s="61">
        <f t="shared" si="13"/>
        <v>1</v>
      </c>
      <c r="I139" t="str">
        <f>IF(FT!B139&lt;&gt;"",FT!E139,"")</f>
        <v>2 [55.669060]</v>
      </c>
      <c r="J139">
        <f>IF(FT!B139&lt;&gt;"",FT!C139,"")</f>
        <v>55.6691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3.2037300000000002</v>
      </c>
      <c r="G140" s="61">
        <f>IF(FT!B140&lt;&gt;"",FT!B140*100,"")</f>
        <v>29.9404</v>
      </c>
      <c r="H140" s="61">
        <f t="shared" si="13"/>
        <v>1</v>
      </c>
      <c r="I140" t="str">
        <f>IF(FT!B140&lt;&gt;"",FT!E140,"")</f>
        <v>2 [56.076088]</v>
      </c>
      <c r="J140">
        <f>IF(FT!B140&lt;&gt;"",FT!C140,"")</f>
        <v>56.076099999999997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3.1980599999999999</v>
      </c>
      <c r="G141" s="61">
        <f>IF(FT!B141&lt;&gt;"",FT!B141*100,"")</f>
        <v>29.626899999999999</v>
      </c>
      <c r="H141" s="61">
        <f t="shared" si="13"/>
        <v>1</v>
      </c>
      <c r="I141" t="str">
        <f>IF(FT!B141&lt;&gt;"",FT!E141,"")</f>
        <v>2 [56.482921]</v>
      </c>
      <c r="J141">
        <f>IF(FT!B141&lt;&gt;"",FT!C141,"")</f>
        <v>56.482900000000001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39055</v>
      </c>
      <c r="D142" s="61">
        <f>FH!B142*1</f>
        <v>39055</v>
      </c>
      <c r="E142">
        <f t="shared" si="15"/>
        <v>140</v>
      </c>
      <c r="F142" s="61">
        <f>IF(FT!A142&lt;&gt;"",FT!A142*10,"")</f>
        <v>3.19075</v>
      </c>
      <c r="G142" s="61">
        <f>IF(FT!B142&lt;&gt;"",FT!B142*100,"")</f>
        <v>29.276299999999999</v>
      </c>
      <c r="H142" s="61">
        <f t="shared" si="13"/>
        <v>1</v>
      </c>
      <c r="I142" t="str">
        <f>IF(FT!B142&lt;&gt;"",FT!E142,"")</f>
        <v>2 [56.888840]</v>
      </c>
      <c r="J142">
        <f>IF(FT!B142&lt;&gt;"",FT!C142,"")</f>
        <v>56.888800000000003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3.1812800000000001</v>
      </c>
      <c r="G143" s="61">
        <f>IF(FT!B143&lt;&gt;"",FT!B143*100,"")</f>
        <v>28.939399999999999</v>
      </c>
      <c r="H143" s="61">
        <f t="shared" si="13"/>
        <v>1</v>
      </c>
      <c r="I143" t="str">
        <f>IF(FT!B143&lt;&gt;"",FT!E143,"")</f>
        <v>2 [57.292756]</v>
      </c>
      <c r="J143">
        <f>IF(FT!B143&lt;&gt;"",FT!C143,"")</f>
        <v>57.2928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37077</v>
      </c>
      <c r="D144" s="61">
        <f>FH!B144*1</f>
        <v>37077</v>
      </c>
      <c r="E144">
        <f t="shared" si="15"/>
        <v>142</v>
      </c>
      <c r="F144" s="61">
        <f>IF(FT!A144&lt;&gt;"",FT!A144*10,"")</f>
        <v>3.1636500000000001</v>
      </c>
      <c r="G144" s="61">
        <f>IF(FT!B144&lt;&gt;"",FT!B144*100,"")</f>
        <v>28.818700000000003</v>
      </c>
      <c r="H144" s="61">
        <f t="shared" si="13"/>
        <v>1</v>
      </c>
      <c r="I144" t="str">
        <f>IF(FT!B144&lt;&gt;"",FT!E144,"")</f>
        <v>2 [57.702617]</v>
      </c>
      <c r="J144">
        <f>IF(FT!B144&lt;&gt;"",FT!C144,"")</f>
        <v>57.702599999999997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3.14263</v>
      </c>
      <c r="G145" s="61">
        <f>IF(FT!B145&lt;&gt;"",FT!B145*100,"")</f>
        <v>28.638999999999999</v>
      </c>
      <c r="H145" s="61">
        <f t="shared" si="13"/>
        <v>1</v>
      </c>
      <c r="I145" t="str">
        <f>IF(FT!B145&lt;&gt;"",FT!E145,"")</f>
        <v>2 [58.107998]</v>
      </c>
      <c r="J145">
        <f>IF(FT!B145&lt;&gt;"",FT!C145,"")</f>
        <v>58.107999999999997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3.1196600000000001</v>
      </c>
      <c r="G146" s="61">
        <f>IF(FT!B146&lt;&gt;"",FT!B146*100,"")</f>
        <v>28.226600000000001</v>
      </c>
      <c r="H146" s="61">
        <f t="shared" si="13"/>
        <v>1</v>
      </c>
      <c r="I146" t="str">
        <f>IF(FT!B146&lt;&gt;"",FT!E146,"")</f>
        <v>2 [58.519514]</v>
      </c>
      <c r="J146">
        <f>IF(FT!B146&lt;&gt;"",FT!C146,"")</f>
        <v>58.519500000000001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35761</v>
      </c>
      <c r="D147" s="61">
        <f>FH!B147*1</f>
        <v>35761</v>
      </c>
      <c r="E147">
        <f t="shared" si="15"/>
        <v>145</v>
      </c>
      <c r="F147" s="61">
        <f>IF(FT!A147&lt;&gt;"",FT!A147*10,"")</f>
        <v>3.09626</v>
      </c>
      <c r="G147" s="61">
        <f>IF(FT!B147&lt;&gt;"",FT!B147*100,"")</f>
        <v>27.981200000000001</v>
      </c>
      <c r="H147" s="61">
        <f t="shared" si="13"/>
        <v>1</v>
      </c>
      <c r="I147" t="str">
        <f>IF(FT!B147&lt;&gt;"",FT!E147,"")</f>
        <v>2 [58.923388]</v>
      </c>
      <c r="J147">
        <f>IF(FT!B147&lt;&gt;"",FT!C147,"")</f>
        <v>58.923400000000001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3.0658600000000003</v>
      </c>
      <c r="G148" s="61">
        <f>IF(FT!B148&lt;&gt;"",FT!B148*100,"")</f>
        <v>28.075400000000002</v>
      </c>
      <c r="H148" s="61">
        <f t="shared" si="13"/>
        <v>1</v>
      </c>
      <c r="I148" t="str">
        <f>IF(FT!B148&lt;&gt;"",FT!E148,"")</f>
        <v>2 [59.327289]</v>
      </c>
      <c r="J148">
        <f>IF(FT!B148&lt;&gt;"",FT!C148,"")</f>
        <v>59.327300000000001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27958</v>
      </c>
      <c r="D149" s="61">
        <f>FH!B149*1</f>
        <v>27958</v>
      </c>
      <c r="E149">
        <f t="shared" si="15"/>
        <v>147</v>
      </c>
      <c r="F149" s="61">
        <f>IF(FT!A149&lt;&gt;"",FT!A149*10,"")</f>
        <v>3.0195100000000004</v>
      </c>
      <c r="G149" s="61">
        <f>IF(FT!B149&lt;&gt;"",FT!B149*100,"")</f>
        <v>28.3003</v>
      </c>
      <c r="H149" s="61">
        <f t="shared" si="13"/>
        <v>1</v>
      </c>
      <c r="I149" t="str">
        <f>IF(FT!B149&lt;&gt;"",FT!E149,"")</f>
        <v>2 [59.734325]</v>
      </c>
      <c r="J149">
        <f>IF(FT!B149&lt;&gt;"",FT!C149,"")</f>
        <v>59.734299999999998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23003</v>
      </c>
      <c r="D152" s="61">
        <f>FH!B152*1</f>
        <v>23003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22742</v>
      </c>
      <c r="D154" s="61">
        <f>FH!B154*1</f>
        <v>22742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23128</v>
      </c>
      <c r="D157" s="61">
        <f>FH!B157*1</f>
        <v>23128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23047</v>
      </c>
      <c r="D160" s="61">
        <f>FH!B160*1</f>
        <v>23047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20291</v>
      </c>
      <c r="D162" s="61">
        <f>FH!B162*1</f>
        <v>20291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18198</v>
      </c>
      <c r="D165" s="61">
        <f>FH!B165*1</f>
        <v>18198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17468</v>
      </c>
      <c r="D167" s="61">
        <f>FH!B167*1</f>
        <v>17468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15098</v>
      </c>
      <c r="D170" s="61">
        <f>FH!B170*1</f>
        <v>15098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12408</v>
      </c>
      <c r="D173" s="61">
        <f>FH!B173*1</f>
        <v>12408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11447</v>
      </c>
      <c r="D175" s="61">
        <f>FH!B175*1</f>
        <v>11447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9699</v>
      </c>
      <c r="D178" s="61">
        <f>FH!B178*1</f>
        <v>9699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12729</v>
      </c>
      <c r="D180" s="61">
        <f>FH!B180*1</f>
        <v>12729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11680</v>
      </c>
      <c r="D183" s="61">
        <f>FH!B183*1</f>
        <v>11680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7661</v>
      </c>
      <c r="D185" s="61">
        <f>FH!B185*1</f>
        <v>7661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6854</v>
      </c>
      <c r="D188" s="61">
        <f>FH!B188*1</f>
        <v>6854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5692</v>
      </c>
      <c r="D191" s="61">
        <f>FH!B191*1</f>
        <v>5692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3679</v>
      </c>
      <c r="D193" s="61">
        <f>FH!B193*1</f>
        <v>3679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1480</v>
      </c>
      <c r="D196" s="61">
        <f>FH!B196*1</f>
        <v>1480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1557</v>
      </c>
      <c r="D198" s="61">
        <f>FH!B198*1</f>
        <v>1557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916</v>
      </c>
      <c r="D201" s="61">
        <f>FH!B201*1</f>
        <v>916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289</v>
      </c>
      <c r="D203" s="61">
        <f>FH!B203*1</f>
        <v>289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175</v>
      </c>
      <c r="D206" s="61">
        <f>FH!B206*1</f>
        <v>175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236</v>
      </c>
      <c r="D209" s="61">
        <f>FH!B209*1</f>
        <v>236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41.367600000000003</v>
      </c>
      <c r="C5" s="66">
        <v>5.0800200000000002</v>
      </c>
      <c r="D5" s="66">
        <v>12.280200000000001</v>
      </c>
      <c r="E5" s="66">
        <v>20</v>
      </c>
      <c r="F5" s="66">
        <v>22.709</v>
      </c>
      <c r="G5" s="66">
        <v>50</v>
      </c>
      <c r="H5" s="66">
        <v>52.199199999999998</v>
      </c>
    </row>
    <row r="6" spans="1:8">
      <c r="A6" s="58" t="s">
        <v>303</v>
      </c>
      <c r="B6" s="66">
        <v>24.768599999999999</v>
      </c>
      <c r="C6" s="66">
        <v>3.5064199999999999</v>
      </c>
      <c r="D6" s="66">
        <v>14.156700000000001</v>
      </c>
      <c r="E6" s="66">
        <v>20</v>
      </c>
      <c r="F6" s="66">
        <v>20.954999999999998</v>
      </c>
      <c r="G6" s="66">
        <v>40</v>
      </c>
      <c r="H6" s="66">
        <v>34.910899999999998</v>
      </c>
    </row>
    <row r="7" spans="1:8">
      <c r="A7" s="58" t="s">
        <v>304</v>
      </c>
      <c r="B7" s="66">
        <v>24.7836</v>
      </c>
      <c r="C7" s="66">
        <v>5.8456200000000003</v>
      </c>
      <c r="D7" s="66">
        <v>23.5867</v>
      </c>
      <c r="E7" s="66">
        <v>15</v>
      </c>
      <c r="F7" s="66">
        <v>7.5225900000000001</v>
      </c>
      <c r="G7" s="66">
        <v>40</v>
      </c>
      <c r="H7" s="66">
        <v>38.231999999999999</v>
      </c>
    </row>
    <row r="8" spans="1:8">
      <c r="A8" s="58" t="s">
        <v>305</v>
      </c>
      <c r="B8" s="66">
        <v>30.559200000000001</v>
      </c>
      <c r="C8" s="66">
        <v>2.8466399999999998</v>
      </c>
      <c r="D8" s="66">
        <v>9.3151700000000002</v>
      </c>
      <c r="E8" s="66">
        <v>20</v>
      </c>
      <c r="F8" s="66">
        <v>24.3367</v>
      </c>
      <c r="G8" s="66">
        <v>50</v>
      </c>
      <c r="H8" s="66">
        <v>36.204300000000003</v>
      </c>
    </row>
    <row r="9" spans="1:8">
      <c r="A9" s="58" t="s">
        <v>306</v>
      </c>
      <c r="B9" s="66">
        <v>62.8596</v>
      </c>
      <c r="C9" s="66">
        <v>12.0847</v>
      </c>
      <c r="D9" s="66">
        <v>19.224799999999998</v>
      </c>
      <c r="E9" s="66">
        <v>50</v>
      </c>
      <c r="F9" s="66">
        <v>32.2727</v>
      </c>
      <c r="G9" s="66">
        <v>100</v>
      </c>
      <c r="H9" s="66">
        <v>85.230099999999993</v>
      </c>
    </row>
    <row r="10" spans="1:8">
      <c r="A10" s="58" t="s">
        <v>307</v>
      </c>
      <c r="B10" s="66">
        <v>82.831500000000005</v>
      </c>
      <c r="C10" s="66">
        <v>2.8027700000000002</v>
      </c>
      <c r="D10" s="66">
        <v>3.3837000000000002</v>
      </c>
      <c r="E10" s="66">
        <v>40</v>
      </c>
      <c r="F10" s="66">
        <v>76.844499999999996</v>
      </c>
      <c r="G10" s="66">
        <v>100</v>
      </c>
      <c r="H10" s="66">
        <v>87.0428</v>
      </c>
    </row>
    <row r="11" spans="1:8">
      <c r="A11" s="58" t="s">
        <v>308</v>
      </c>
      <c r="B11" s="66">
        <v>20.3613</v>
      </c>
      <c r="C11" s="66">
        <v>4.13131</v>
      </c>
      <c r="D11" s="66">
        <v>20.29</v>
      </c>
      <c r="E11" s="66">
        <v>10</v>
      </c>
      <c r="F11" s="66">
        <v>13.283099999999999</v>
      </c>
      <c r="G11" s="66">
        <v>50</v>
      </c>
      <c r="H11" s="66">
        <v>29.2988</v>
      </c>
    </row>
    <row r="12" spans="1:8">
      <c r="A12" s="58" t="s">
        <v>309</v>
      </c>
      <c r="B12" s="66">
        <v>72.993600000000001</v>
      </c>
      <c r="C12" s="66">
        <v>5.1978900000000001</v>
      </c>
      <c r="D12" s="66">
        <v>7.1210199999999997</v>
      </c>
      <c r="E12" s="66">
        <v>50</v>
      </c>
      <c r="F12" s="66">
        <v>58.928699999999999</v>
      </c>
      <c r="G12" s="66">
        <v>100</v>
      </c>
      <c r="H12" s="66">
        <v>83.281099999999995</v>
      </c>
    </row>
    <row r="13" spans="1:8">
      <c r="A13" s="58" t="s">
        <v>310</v>
      </c>
      <c r="B13" s="66">
        <v>21.339200000000002</v>
      </c>
      <c r="C13" s="66">
        <v>2.8348499999999999</v>
      </c>
      <c r="D13" s="66">
        <v>13.284700000000001</v>
      </c>
      <c r="E13" s="66">
        <v>10</v>
      </c>
      <c r="F13" s="66">
        <v>17.029299999999999</v>
      </c>
      <c r="G13" s="66">
        <v>25</v>
      </c>
      <c r="H13" s="66">
        <v>31.215</v>
      </c>
    </row>
    <row r="14" spans="1:8">
      <c r="A14" s="58" t="s">
        <v>311</v>
      </c>
      <c r="B14" s="66">
        <v>28.348500000000001</v>
      </c>
      <c r="C14" s="66">
        <v>8.9280299999999997</v>
      </c>
      <c r="D14" s="66">
        <v>31.4938</v>
      </c>
      <c r="E14" s="66">
        <v>10</v>
      </c>
      <c r="F14" s="66">
        <v>3.17767</v>
      </c>
      <c r="G14" s="66">
        <v>50</v>
      </c>
      <c r="H14" s="66">
        <v>37.448700000000002</v>
      </c>
    </row>
    <row r="15" spans="1:8">
      <c r="A15" s="58" t="s">
        <v>312</v>
      </c>
      <c r="B15" s="66">
        <v>-5.4082899999999996E-3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1.9605299999999999E-2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15.4137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0.38001400000000002</v>
      </c>
      <c r="C18" s="66">
        <v>4.3206199999999998E-3</v>
      </c>
      <c r="D18" s="66">
        <v>1.1369600000000001E-2</v>
      </c>
      <c r="E18" s="66">
        <v>0</v>
      </c>
      <c r="F18" s="66">
        <v>0.375693</v>
      </c>
      <c r="G18" s="66">
        <v>0</v>
      </c>
      <c r="H18" s="66">
        <v>0.38433499999999998</v>
      </c>
    </row>
    <row r="19" spans="1:8">
      <c r="A19" s="58" t="s">
        <v>316</v>
      </c>
      <c r="B19" s="66">
        <v>0.63250300000000004</v>
      </c>
      <c r="C19" s="66">
        <v>4.8869500000000003E-2</v>
      </c>
      <c r="D19" s="66">
        <v>7.7263600000000002E-2</v>
      </c>
      <c r="E19" s="66">
        <v>0</v>
      </c>
      <c r="F19" s="66">
        <v>0.58363399999999999</v>
      </c>
      <c r="G19" s="66">
        <v>0</v>
      </c>
      <c r="H19" s="66">
        <v>0.68137300000000001</v>
      </c>
    </row>
    <row r="20" spans="1:8">
      <c r="A20" s="58" t="s">
        <v>317</v>
      </c>
      <c r="B20" s="66">
        <v>1.25891E-3</v>
      </c>
      <c r="C20" s="66">
        <v>2.7174199999999999E-2</v>
      </c>
      <c r="D20" s="66">
        <v>21.5854</v>
      </c>
      <c r="E20" s="66">
        <v>0</v>
      </c>
      <c r="F20" s="196">
        <v>6.0064500000000001E-5</v>
      </c>
      <c r="G20" s="66">
        <v>0</v>
      </c>
      <c r="H20" s="66">
        <v>0.23960899999999999</v>
      </c>
    </row>
    <row r="21" spans="1:8">
      <c r="A21" s="58" t="s">
        <v>318</v>
      </c>
      <c r="B21" s="66">
        <v>8.5566000000000003E-2</v>
      </c>
      <c r="C21" s="66">
        <v>0.33057999999999998</v>
      </c>
      <c r="D21" s="66">
        <v>3.8634499999999998</v>
      </c>
      <c r="E21" s="66">
        <v>0</v>
      </c>
      <c r="F21" s="66">
        <v>2.0538500000000001E-4</v>
      </c>
      <c r="G21" s="66">
        <v>0</v>
      </c>
      <c r="H21" s="66">
        <v>2.6221700000000001</v>
      </c>
    </row>
    <row r="22" spans="1:8">
      <c r="A22" s="58" t="s">
        <v>319</v>
      </c>
      <c r="B22" s="66">
        <v>56.330800000000004</v>
      </c>
      <c r="C22" s="66">
        <v>22.645900000000001</v>
      </c>
      <c r="D22" s="66">
        <v>0.40201599999999998</v>
      </c>
      <c r="E22" s="66">
        <v>0</v>
      </c>
      <c r="F22" s="66">
        <v>23.456900000000001</v>
      </c>
      <c r="G22" s="66">
        <v>0</v>
      </c>
      <c r="H22" s="66">
        <v>146.03100000000001</v>
      </c>
    </row>
    <row r="23" spans="1:8">
      <c r="A23" s="58" t="s">
        <v>320</v>
      </c>
      <c r="B23" s="66">
        <v>18.2087</v>
      </c>
      <c r="C23" s="66">
        <v>2.1705000000000001</v>
      </c>
      <c r="D23" s="66">
        <v>0.119201</v>
      </c>
      <c r="E23" s="66">
        <v>0</v>
      </c>
      <c r="F23" s="66">
        <v>13.532400000000001</v>
      </c>
      <c r="G23" s="66">
        <v>0</v>
      </c>
      <c r="H23" s="66">
        <v>22.987100000000002</v>
      </c>
    </row>
    <row r="24" spans="1:8">
      <c r="A24" s="58" t="s">
        <v>321</v>
      </c>
      <c r="B24" s="66">
        <v>7.2160699999999998E-3</v>
      </c>
      <c r="C24" s="66">
        <v>2.01047E-2</v>
      </c>
      <c r="D24" s="66">
        <v>2.7860999999999998</v>
      </c>
      <c r="E24" s="66">
        <v>0</v>
      </c>
      <c r="F24" s="66">
        <v>2.0626100000000001E-4</v>
      </c>
      <c r="G24" s="66">
        <v>0</v>
      </c>
      <c r="H24" s="66">
        <v>0.19881099999999999</v>
      </c>
    </row>
    <row r="25" spans="1:8">
      <c r="A25" s="58" t="s">
        <v>322</v>
      </c>
      <c r="B25" s="66">
        <v>8.6612599999999998E-2</v>
      </c>
      <c r="C25" s="66">
        <v>0.23221600000000001</v>
      </c>
      <c r="D25" s="66">
        <v>2.6810800000000001</v>
      </c>
      <c r="E25" s="66">
        <v>0</v>
      </c>
      <c r="F25" s="66">
        <v>2.1177999999999999E-2</v>
      </c>
      <c r="G25" s="66">
        <v>0</v>
      </c>
      <c r="H25" s="66">
        <v>1.3121700000000001</v>
      </c>
    </row>
    <row r="26" spans="1:8">
      <c r="A26" s="58" t="s">
        <v>323</v>
      </c>
      <c r="B26" s="66">
        <v>3.9719000000000001E-4</v>
      </c>
      <c r="C26" s="66">
        <v>2.8225099999999999E-3</v>
      </c>
      <c r="D26" s="66">
        <v>7.1061899999999998</v>
      </c>
      <c r="E26" s="66">
        <v>0</v>
      </c>
      <c r="F26" s="196">
        <v>1.31303E-5</v>
      </c>
      <c r="G26" s="66">
        <v>0</v>
      </c>
      <c r="H26" s="66">
        <v>2.5600700000000001E-2</v>
      </c>
    </row>
    <row r="27" spans="1:8">
      <c r="A27" s="58" t="s">
        <v>324</v>
      </c>
      <c r="B27" s="196">
        <v>-9.8476899999999999E-6</v>
      </c>
      <c r="C27" s="66">
        <v>1.05882E-3</v>
      </c>
      <c r="D27" s="66">
        <v>-107.52</v>
      </c>
      <c r="E27" s="66">
        <v>0</v>
      </c>
      <c r="F27" s="66">
        <v>-1.09473E-2</v>
      </c>
      <c r="G27" s="66">
        <v>0</v>
      </c>
      <c r="H27" s="66">
        <v>5.4195099999999998E-3</v>
      </c>
    </row>
    <row r="28" spans="1:8">
      <c r="A28" s="58" t="s">
        <v>325</v>
      </c>
      <c r="B28" s="66">
        <v>7.7425100000000002E-3</v>
      </c>
      <c r="C28" s="66">
        <v>2.2086100000000001E-2</v>
      </c>
      <c r="D28" s="66">
        <v>2.8525800000000001</v>
      </c>
      <c r="E28" s="66">
        <v>0</v>
      </c>
      <c r="F28" s="196">
        <v>7.8125000000000002E-5</v>
      </c>
      <c r="G28" s="66">
        <v>0</v>
      </c>
      <c r="H28" s="66">
        <v>0.14139599999999999</v>
      </c>
    </row>
    <row r="29" spans="1:8">
      <c r="A29" s="58" t="s">
        <v>326</v>
      </c>
      <c r="B29" s="66">
        <v>77.364500000000007</v>
      </c>
      <c r="C29" s="66">
        <v>11.517799999999999</v>
      </c>
      <c r="D29" s="66">
        <v>0.14887700000000001</v>
      </c>
      <c r="E29" s="66">
        <v>0</v>
      </c>
      <c r="F29" s="66">
        <v>45.357399999999998</v>
      </c>
      <c r="G29" s="66">
        <v>0</v>
      </c>
      <c r="H29" s="66">
        <v>110.49</v>
      </c>
    </row>
    <row r="30" spans="1:8">
      <c r="A30" s="58" t="s">
        <v>327</v>
      </c>
      <c r="B30" s="66">
        <v>21.630600000000001</v>
      </c>
      <c r="C30" s="66">
        <v>2.0914199999999998</v>
      </c>
      <c r="D30" s="66">
        <v>9.6688200000000002E-2</v>
      </c>
      <c r="E30" s="66">
        <v>0</v>
      </c>
      <c r="F30" s="66">
        <v>17.162500000000001</v>
      </c>
      <c r="G30" s="66">
        <v>0</v>
      </c>
      <c r="H30" s="66">
        <v>26.943200000000001</v>
      </c>
    </row>
    <row r="31" spans="1:8">
      <c r="A31" s="58" t="s">
        <v>328</v>
      </c>
      <c r="B31" s="66">
        <v>336.66500000000002</v>
      </c>
      <c r="C31" s="66">
        <v>64.360699999999994</v>
      </c>
      <c r="D31" s="66">
        <v>0.19117100000000001</v>
      </c>
      <c r="E31" s="66">
        <v>0</v>
      </c>
      <c r="F31" s="66">
        <v>160.43</v>
      </c>
      <c r="G31" s="66">
        <v>0</v>
      </c>
      <c r="H31" s="66">
        <v>435.57100000000003</v>
      </c>
    </row>
    <row r="32" spans="1:8">
      <c r="A32" s="58" t="s">
        <v>329</v>
      </c>
      <c r="B32" s="66">
        <v>0.247836</v>
      </c>
      <c r="C32" s="66">
        <v>5.84562E-2</v>
      </c>
      <c r="D32" s="66">
        <v>0.23586699999999999</v>
      </c>
      <c r="E32" s="66">
        <v>0.15</v>
      </c>
      <c r="F32" s="66">
        <v>7.5225899999999998E-2</v>
      </c>
      <c r="G32" s="66">
        <v>0.4</v>
      </c>
      <c r="H32" s="66">
        <v>0.38231999999999999</v>
      </c>
    </row>
    <row r="33" spans="1:8">
      <c r="A33" s="58" t="s">
        <v>330</v>
      </c>
      <c r="B33" s="66">
        <v>0.33471899999999999</v>
      </c>
      <c r="C33" s="66">
        <v>5.0008700000000003E-2</v>
      </c>
      <c r="D33" s="66">
        <v>0.14940500000000001</v>
      </c>
      <c r="E33" s="66">
        <v>0</v>
      </c>
      <c r="F33" s="66">
        <v>0.26187899999999997</v>
      </c>
      <c r="G33" s="66">
        <v>0</v>
      </c>
      <c r="H33" s="66">
        <v>0.44006299999999998</v>
      </c>
    </row>
    <row r="34" spans="1:8">
      <c r="A34" s="58" t="s">
        <v>331</v>
      </c>
      <c r="B34" s="66">
        <v>0.213392</v>
      </c>
      <c r="C34" s="66">
        <v>2.8348499999999999E-2</v>
      </c>
      <c r="D34" s="66">
        <v>0.13284699999999999</v>
      </c>
      <c r="E34" s="66">
        <v>0.1</v>
      </c>
      <c r="F34" s="66">
        <v>0.170293</v>
      </c>
      <c r="G34" s="66">
        <v>0.25</v>
      </c>
      <c r="H34" s="66">
        <v>0.31214999999999998</v>
      </c>
    </row>
    <row r="35" spans="1:8">
      <c r="A35" s="58" t="s">
        <v>332</v>
      </c>
      <c r="B35" s="66">
        <v>9.2425099999999996E-2</v>
      </c>
      <c r="C35" s="66">
        <v>2.56686E-2</v>
      </c>
      <c r="D35" s="66">
        <v>0.27772400000000003</v>
      </c>
      <c r="E35" s="66">
        <v>0</v>
      </c>
      <c r="F35" s="66">
        <v>3.9677700000000003E-2</v>
      </c>
      <c r="G35" s="66">
        <v>0</v>
      </c>
      <c r="H35" s="66">
        <v>0.17114699999999999</v>
      </c>
    </row>
    <row r="36" spans="1:8">
      <c r="A36" s="58" t="s">
        <v>333</v>
      </c>
      <c r="B36" s="66">
        <v>0.195437</v>
      </c>
      <c r="C36" s="66">
        <v>0.1027</v>
      </c>
      <c r="D36" s="66">
        <v>0.52548600000000001</v>
      </c>
      <c r="E36" s="66">
        <v>0</v>
      </c>
      <c r="F36" s="66">
        <v>4.1919600000000001E-2</v>
      </c>
      <c r="G36" s="66">
        <v>0</v>
      </c>
      <c r="H36" s="66">
        <v>0.57784800000000003</v>
      </c>
    </row>
    <row r="37" spans="1:8">
      <c r="A37" s="58" t="s">
        <v>334</v>
      </c>
      <c r="B37" s="66">
        <v>0.28348499999999999</v>
      </c>
      <c r="C37" s="66">
        <v>8.9280300000000007E-2</v>
      </c>
      <c r="D37" s="66">
        <v>0.314938</v>
      </c>
      <c r="E37" s="66">
        <v>0.1</v>
      </c>
      <c r="F37" s="66">
        <v>3.1776699999999998E-2</v>
      </c>
      <c r="G37" s="66">
        <v>0.5</v>
      </c>
      <c r="H37" s="66">
        <v>0.37448700000000001</v>
      </c>
    </row>
    <row r="38" spans="1:8">
      <c r="A38" s="58" t="s">
        <v>335</v>
      </c>
      <c r="B38" s="66">
        <v>-18.816500000000001</v>
      </c>
      <c r="C38" s="66">
        <v>61.234400000000001</v>
      </c>
      <c r="D38" s="66">
        <v>-3.2543000000000002</v>
      </c>
      <c r="E38" s="66">
        <v>0</v>
      </c>
      <c r="F38" s="66">
        <v>-350.76</v>
      </c>
      <c r="G38" s="66">
        <v>0</v>
      </c>
      <c r="H38" s="66">
        <v>280.70400000000001</v>
      </c>
    </row>
    <row r="39" spans="1:8">
      <c r="A39" s="58" t="s">
        <v>336</v>
      </c>
      <c r="B39" s="66">
        <v>-5.7187999999999999</v>
      </c>
      <c r="C39" s="66">
        <v>12.225099999999999</v>
      </c>
      <c r="D39" s="66">
        <v>-2.1377000000000002</v>
      </c>
      <c r="E39" s="66">
        <v>0</v>
      </c>
      <c r="F39" s="66">
        <v>-102.483</v>
      </c>
      <c r="G39" s="66">
        <v>0</v>
      </c>
      <c r="H39" s="66">
        <v>60.165300000000002</v>
      </c>
    </row>
    <row r="40" spans="1:8">
      <c r="A40" s="58" t="s">
        <v>337</v>
      </c>
      <c r="B40" s="66">
        <v>-0.77635100000000001</v>
      </c>
      <c r="C40" s="66">
        <v>1.45137</v>
      </c>
      <c r="D40" s="66">
        <v>-1.86947</v>
      </c>
      <c r="E40" s="66">
        <v>0</v>
      </c>
      <c r="F40" s="66">
        <v>-3.2869799999999998</v>
      </c>
      <c r="G40" s="66">
        <v>0</v>
      </c>
      <c r="H40" s="66">
        <v>1.33284</v>
      </c>
    </row>
    <row r="41" spans="1:8">
      <c r="A41" s="58" t="s">
        <v>338</v>
      </c>
      <c r="B41" s="66">
        <v>-5.8709900000000002E-2</v>
      </c>
      <c r="C41" s="66">
        <v>0.32379200000000002</v>
      </c>
      <c r="D41" s="66">
        <v>-5.51511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-7.1964700000000006E-2</v>
      </c>
      <c r="C42" s="66">
        <v>0.106489</v>
      </c>
      <c r="D42" s="66">
        <v>-1.4797400000000001</v>
      </c>
      <c r="E42" s="66">
        <v>0</v>
      </c>
      <c r="F42" s="66">
        <v>-0.63725799999999999</v>
      </c>
      <c r="G42" s="66">
        <v>0</v>
      </c>
      <c r="H42" s="66">
        <v>0.29422599999999999</v>
      </c>
    </row>
    <row r="43" spans="1:8">
      <c r="A43" s="58" t="s">
        <v>340</v>
      </c>
      <c r="B43" s="66">
        <v>2.0656299999999999E-2</v>
      </c>
      <c r="C43" s="66">
        <v>0.115733</v>
      </c>
      <c r="D43" s="66">
        <v>5.6027899999999997</v>
      </c>
      <c r="E43" s="66">
        <v>0</v>
      </c>
      <c r="F43" s="66">
        <v>-0.25212099999999998</v>
      </c>
      <c r="G43" s="66">
        <v>0</v>
      </c>
      <c r="H43" s="66">
        <v>0.121133</v>
      </c>
    </row>
    <row r="44" spans="1:8">
      <c r="A44" s="58" t="s">
        <v>341</v>
      </c>
      <c r="B44" s="66">
        <v>-49.814799999999998</v>
      </c>
      <c r="C44" s="66">
        <v>15.007999999999999</v>
      </c>
      <c r="D44" s="66">
        <v>-0.30127700000000002</v>
      </c>
      <c r="E44" s="66">
        <v>0</v>
      </c>
      <c r="F44" s="66">
        <v>-73.480800000000002</v>
      </c>
      <c r="G44" s="66">
        <v>0</v>
      </c>
      <c r="H44" s="66">
        <v>-6.8416600000000001</v>
      </c>
    </row>
    <row r="45" spans="1:8">
      <c r="A45" s="58" t="s">
        <v>342</v>
      </c>
      <c r="B45" s="66">
        <v>52.37</v>
      </c>
      <c r="C45" s="66">
        <v>9.1737800000000007</v>
      </c>
      <c r="D45" s="66">
        <v>0.175173</v>
      </c>
      <c r="E45" s="66">
        <v>0</v>
      </c>
      <c r="F45" s="66">
        <v>30.883800000000001</v>
      </c>
      <c r="G45" s="66">
        <v>0</v>
      </c>
      <c r="H45" s="66">
        <v>74.256200000000007</v>
      </c>
    </row>
    <row r="46" spans="1:8">
      <c r="A46" s="58" t="s">
        <v>343</v>
      </c>
      <c r="B46" s="66">
        <v>28.567299999999999</v>
      </c>
      <c r="C46" s="66">
        <v>3.1028799999999999</v>
      </c>
      <c r="D46" s="66">
        <v>0.10861700000000001</v>
      </c>
      <c r="E46" s="66">
        <v>0</v>
      </c>
      <c r="F46" s="66">
        <v>15.63</v>
      </c>
      <c r="G46" s="66">
        <v>0</v>
      </c>
      <c r="H46" s="66">
        <v>35.372999999999998</v>
      </c>
    </row>
    <row r="47" spans="1:8">
      <c r="A47" s="58" t="s">
        <v>344</v>
      </c>
      <c r="B47" s="66">
        <v>0.78772900000000001</v>
      </c>
      <c r="C47" s="66">
        <v>0.80672100000000002</v>
      </c>
      <c r="D47" s="66">
        <v>1.0241100000000001</v>
      </c>
      <c r="E47" s="66">
        <v>0</v>
      </c>
      <c r="F47" s="66">
        <v>0.21008199999999999</v>
      </c>
      <c r="G47" s="66">
        <v>0</v>
      </c>
      <c r="H47" s="66">
        <v>3.8961399999999999</v>
      </c>
    </row>
    <row r="48" spans="1:8">
      <c r="A48" s="58" t="s">
        <v>345</v>
      </c>
      <c r="B48" s="66">
        <v>0.75714800000000004</v>
      </c>
      <c r="C48" s="66">
        <v>0.265681</v>
      </c>
      <c r="D48" s="66">
        <v>0.35089700000000001</v>
      </c>
      <c r="E48" s="66">
        <v>0</v>
      </c>
      <c r="F48" s="66">
        <v>0.40919100000000003</v>
      </c>
      <c r="G48" s="66">
        <v>0</v>
      </c>
      <c r="H48" s="66">
        <v>1.44354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-1.3376999999999981</v>
      </c>
      <c r="C5" s="66">
        <f>'M2'!C5-'M1'!C5</f>
        <v>-3.9827199999999996</v>
      </c>
      <c r="D5" s="66">
        <f>'M2'!D5-'M1'!D5</f>
        <v>-9.2495100000000008</v>
      </c>
      <c r="E5" s="66">
        <f>'M2'!E5-'M1'!E5</f>
        <v>0</v>
      </c>
      <c r="F5" s="66">
        <f>'M2'!F5-'M1'!F5</f>
        <v>11.833000000000002</v>
      </c>
      <c r="G5" s="66">
        <f>'M2'!G5-'M1'!G5</f>
        <v>0</v>
      </c>
      <c r="H5" s="66">
        <f>'M2'!H5-'M1'!H5</f>
        <v>-4.3400999999999996</v>
      </c>
    </row>
    <row r="6" spans="1:8">
      <c r="A6" s="66" t="s">
        <v>244</v>
      </c>
      <c r="B6" s="66">
        <f>'M2'!B6-'M1'!B6</f>
        <v>-5.2409999999999997</v>
      </c>
      <c r="C6" s="66">
        <f>'M2'!C6-'M1'!C6</f>
        <v>-2.7508300000000001</v>
      </c>
      <c r="D6" s="66">
        <f>'M2'!D6-'M1'!D6</f>
        <v>-8.50549</v>
      </c>
      <c r="E6" s="66">
        <f>'M2'!E6-'M1'!E6</f>
        <v>0</v>
      </c>
      <c r="F6" s="66">
        <f>'M2'!F6-'M1'!F6</f>
        <v>-0.36950000000000216</v>
      </c>
      <c r="G6" s="66">
        <f>'M2'!G6-'M1'!G6</f>
        <v>0</v>
      </c>
      <c r="H6" s="66">
        <f>'M2'!H6-'M1'!H6</f>
        <v>-9.002399999999998</v>
      </c>
    </row>
    <row r="7" spans="1:8">
      <c r="A7" s="66" t="s">
        <v>245</v>
      </c>
      <c r="B7" s="66">
        <f>'M2'!B7-'M1'!B7</f>
        <v>-2.2230999999999987</v>
      </c>
      <c r="C7" s="66">
        <f>'M2'!C7-'M1'!C7</f>
        <v>0.11256999999999984</v>
      </c>
      <c r="D7" s="66">
        <f>'M2'!D7-'M1'!D7</f>
        <v>2.5293000000000028</v>
      </c>
      <c r="E7" s="66">
        <f>'M2'!E7-'M1'!E7</f>
        <v>0</v>
      </c>
      <c r="F7" s="66">
        <f>'M2'!F7-'M1'!F7</f>
        <v>0.42263999999999946</v>
      </c>
      <c r="G7" s="66">
        <f>'M2'!G7-'M1'!G7</f>
        <v>0</v>
      </c>
      <c r="H7" s="66">
        <f>'M2'!H7-'M1'!H7</f>
        <v>-2.7501999999999995</v>
      </c>
    </row>
    <row r="8" spans="1:8">
      <c r="A8" s="66" t="s">
        <v>246</v>
      </c>
      <c r="B8" s="66">
        <f>'M2'!B8-'M1'!B8</f>
        <v>-2.3955999999999982</v>
      </c>
      <c r="C8" s="66">
        <f>'M2'!C8-'M1'!C8</f>
        <v>-1.0068000000000001</v>
      </c>
      <c r="D8" s="66">
        <f>'M2'!D8-'M1'!D8</f>
        <v>-2.6391299999999998</v>
      </c>
      <c r="E8" s="66">
        <f>'M2'!E8-'M1'!E8</f>
        <v>0</v>
      </c>
      <c r="F8" s="66">
        <f>'M2'!F8-'M1'!F8</f>
        <v>0.35739999999999839</v>
      </c>
      <c r="G8" s="66">
        <f>'M2'!G8-'M1'!G8</f>
        <v>0</v>
      </c>
      <c r="H8" s="66">
        <f>'M2'!H8-'M1'!H8</f>
        <v>-3.9814000000000007</v>
      </c>
    </row>
    <row r="9" spans="1:8">
      <c r="A9" s="66" t="s">
        <v>247</v>
      </c>
      <c r="B9" s="66">
        <f>'M2'!B9-'M1'!B9</f>
        <v>-7.0894999999999939</v>
      </c>
      <c r="C9" s="66">
        <f>'M2'!C9-'M1'!C9</f>
        <v>-8.8621499999999997</v>
      </c>
      <c r="D9" s="66">
        <f>'M2'!D9-'M1'!D9</f>
        <v>-11.710199999999999</v>
      </c>
      <c r="E9" s="66">
        <f>'M2'!E9-'M1'!E9</f>
        <v>0</v>
      </c>
      <c r="F9" s="66">
        <f>'M2'!F9-'M1'!F9</f>
        <v>9.8477999999999994</v>
      </c>
      <c r="G9" s="66">
        <f>'M2'!G9-'M1'!G9</f>
        <v>0</v>
      </c>
      <c r="H9" s="66">
        <f>'M2'!H9-'M1'!H9</f>
        <v>-14.660299999999992</v>
      </c>
    </row>
    <row r="10" spans="1:8">
      <c r="A10" s="66" t="s">
        <v>248</v>
      </c>
      <c r="B10" s="66">
        <f>'M2'!B10-'M1'!B10</f>
        <v>2.3914000000000044</v>
      </c>
      <c r="C10" s="66">
        <f>'M2'!C10-'M1'!C10</f>
        <v>-1.5286699999999998</v>
      </c>
      <c r="D10" s="66">
        <f>'M2'!D10-'M1'!D10</f>
        <v>-1.9552200000000002</v>
      </c>
      <c r="E10" s="66">
        <f>'M2'!E10-'M1'!E10</f>
        <v>0</v>
      </c>
      <c r="F10" s="66">
        <f>'M2'!F10-'M1'!F10</f>
        <v>5.0576000000000079</v>
      </c>
      <c r="G10" s="66">
        <f>'M2'!G10-'M1'!G10</f>
        <v>0</v>
      </c>
      <c r="H10" s="66">
        <f>'M2'!H10-'M1'!H10</f>
        <v>0.36289999999999623</v>
      </c>
    </row>
    <row r="11" spans="1:8">
      <c r="A11" s="66" t="s">
        <v>249</v>
      </c>
      <c r="B11" s="66">
        <f>'M2'!B11-'M1'!B11</f>
        <v>3.4071999999999996</v>
      </c>
      <c r="C11" s="66">
        <f>'M2'!C11-'M1'!C11</f>
        <v>-1.5558999999999998</v>
      </c>
      <c r="D11" s="66">
        <f>'M2'!D11-'M1'!D11</f>
        <v>-11.0052</v>
      </c>
      <c r="E11" s="66">
        <f>'M2'!E11-'M1'!E11</f>
        <v>0</v>
      </c>
      <c r="F11" s="66">
        <f>'M2'!F11-'M1'!F11</f>
        <v>2.746599999999999</v>
      </c>
      <c r="G11" s="66">
        <f>'M2'!G11-'M1'!G11</f>
        <v>0</v>
      </c>
      <c r="H11" s="66">
        <f>'M2'!H11-'M1'!H11</f>
        <v>-2.1563000000000017</v>
      </c>
    </row>
    <row r="12" spans="1:8">
      <c r="A12" s="66" t="s">
        <v>250</v>
      </c>
      <c r="B12" s="66">
        <f>'M2'!B12-'M1'!B12</f>
        <v>-1.2695000000000078</v>
      </c>
      <c r="C12" s="66">
        <f>'M2'!C12-'M1'!C12</f>
        <v>-2.9639699999999998</v>
      </c>
      <c r="D12" s="66">
        <f>'M2'!D12-'M1'!D12</f>
        <v>-3.9220500000000005</v>
      </c>
      <c r="E12" s="66">
        <f>'M2'!E12-'M1'!E12</f>
        <v>0</v>
      </c>
      <c r="F12" s="66">
        <f>'M2'!F12-'M1'!F12</f>
        <v>3.6225999999999985</v>
      </c>
      <c r="G12" s="66">
        <f>'M2'!G12-'M1'!G12</f>
        <v>0</v>
      </c>
      <c r="H12" s="66">
        <f>'M2'!H12-'M1'!H12</f>
        <v>-4.5662999999999982</v>
      </c>
    </row>
    <row r="13" spans="1:8">
      <c r="A13" s="66" t="s">
        <v>251</v>
      </c>
      <c r="B13" s="66">
        <f>'M2'!B13-'M1'!B13</f>
        <v>-1.617799999999999</v>
      </c>
      <c r="C13" s="66">
        <f>'M2'!C13-'M1'!C13</f>
        <v>-0.33272999999999975</v>
      </c>
      <c r="D13" s="66">
        <f>'M2'!D13-'M1'!D13</f>
        <v>-0.58689999999999998</v>
      </c>
      <c r="E13" s="66">
        <f>'M2'!E13-'M1'!E13</f>
        <v>0</v>
      </c>
      <c r="F13" s="66">
        <f>'M2'!F13-'M1'!F13</f>
        <v>-0.3813999999999993</v>
      </c>
      <c r="G13" s="66">
        <f>'M2'!G13-'M1'!G13</f>
        <v>0</v>
      </c>
      <c r="H13" s="66">
        <f>'M2'!H13-'M1'!H13</f>
        <v>0.90889999999999915</v>
      </c>
    </row>
    <row r="14" spans="1:8">
      <c r="A14" s="66" t="s">
        <v>252</v>
      </c>
      <c r="B14" s="66">
        <f>'M2'!B14-'M1'!B14</f>
        <v>-3.327300000000001</v>
      </c>
      <c r="C14" s="66">
        <f>'M2'!C14-'M1'!C14</f>
        <v>2.2376000000000005</v>
      </c>
      <c r="D14" s="66">
        <f>'M2'!D14-'M1'!D14</f>
        <v>12.052000000000003</v>
      </c>
      <c r="E14" s="66">
        <f>'M2'!E14-'M1'!E14</f>
        <v>0</v>
      </c>
      <c r="F14" s="66">
        <f>'M2'!F14-'M1'!F14</f>
        <v>-0.22019000000000011</v>
      </c>
      <c r="G14" s="66">
        <f>'M2'!G14-'M1'!G14</f>
        <v>0</v>
      </c>
      <c r="H14" s="66">
        <f>'M2'!H14-'M1'!H14</f>
        <v>-1.5253000000000014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-8.3156000000000008E-2</v>
      </c>
      <c r="C18" s="66">
        <f>'M2'!C18-'M1'!C18</f>
        <v>4.3206199999999998E-3</v>
      </c>
      <c r="D18" s="66">
        <f>'M2'!D18-'M1'!D18</f>
        <v>1.1369600000000001E-2</v>
      </c>
      <c r="E18" s="66">
        <f>'M2'!E18-'M1'!E18</f>
        <v>0</v>
      </c>
      <c r="F18" s="66">
        <f>'M2'!F18-'M1'!F18</f>
        <v>0.375693</v>
      </c>
      <c r="G18" s="66">
        <f>'M2'!G18-'M1'!G18</f>
        <v>0</v>
      </c>
      <c r="H18" s="66">
        <f>'M2'!H18-'M1'!H18</f>
        <v>0.38433499999999998</v>
      </c>
    </row>
    <row r="19" spans="1:8">
      <c r="A19" s="66" t="s">
        <v>256</v>
      </c>
      <c r="B19" s="66">
        <f>'M2'!B19-'M1'!B19</f>
        <v>6.0647000000000006E-2</v>
      </c>
      <c r="C19" s="66">
        <f>'M2'!C19-'M1'!C19</f>
        <v>4.8869500000000003E-2</v>
      </c>
      <c r="D19" s="66">
        <f>'M2'!D19-'M1'!D19</f>
        <v>7.7263600000000002E-2</v>
      </c>
      <c r="E19" s="66">
        <f>'M2'!E19-'M1'!E19</f>
        <v>0</v>
      </c>
      <c r="F19" s="66">
        <f>'M2'!F19-'M1'!F19</f>
        <v>0.58363399999999999</v>
      </c>
      <c r="G19" s="66">
        <f>'M2'!G19-'M1'!G19</f>
        <v>0</v>
      </c>
      <c r="H19" s="66">
        <f>'M2'!H19-'M1'!H19</f>
        <v>0.68137300000000001</v>
      </c>
    </row>
    <row r="20" spans="1:8">
      <c r="A20" s="66" t="s">
        <v>63</v>
      </c>
      <c r="B20" s="66">
        <f>'M2'!B20-'M1'!B20</f>
        <v>-7.93704E-4</v>
      </c>
      <c r="C20" s="66">
        <f>'M2'!C20-'M1'!C20</f>
        <v>-1.2865599999999998E-2</v>
      </c>
      <c r="D20" s="66">
        <f>'M2'!D20-'M1'!D20</f>
        <v>2.4881999999999991</v>
      </c>
      <c r="E20" s="66">
        <f>'M2'!E20-'M1'!E20</f>
        <v>0</v>
      </c>
      <c r="F20" s="66">
        <f>'M2'!F20-'M1'!F20</f>
        <v>-1.132799999999997E-6</v>
      </c>
      <c r="G20" s="66">
        <f>'M2'!G20-'M1'!G20</f>
        <v>0</v>
      </c>
      <c r="H20" s="66">
        <f>'M2'!H20-'M1'!H20</f>
        <v>-0.10002499999999998</v>
      </c>
    </row>
    <row r="21" spans="1:8">
      <c r="A21" s="66" t="s">
        <v>64</v>
      </c>
      <c r="B21" s="66">
        <f>'M2'!B21-'M1'!B21</f>
        <v>-1.6716000000000092E-3</v>
      </c>
      <c r="C21" s="66">
        <f>'M2'!C21-'M1'!C21</f>
        <v>-0.18147400000000002</v>
      </c>
      <c r="D21" s="66">
        <f>'M2'!D21-'M1'!D21</f>
        <v>-2.0682299999999998</v>
      </c>
      <c r="E21" s="66">
        <f>'M2'!E21-'M1'!E21</f>
        <v>0</v>
      </c>
      <c r="F21" s="66">
        <f>'M2'!F21-'M1'!F21</f>
        <v>-6.7990400000000006E-4</v>
      </c>
      <c r="G21" s="66">
        <f>'M2'!G21-'M1'!G21</f>
        <v>0</v>
      </c>
      <c r="H21" s="66">
        <f>'M2'!H21-'M1'!H21</f>
        <v>-1.31515</v>
      </c>
    </row>
    <row r="22" spans="1:8">
      <c r="A22" s="66" t="s">
        <v>65</v>
      </c>
      <c r="B22" s="66">
        <f>'M2'!B22-'M1'!B22</f>
        <v>4.0105999999999966</v>
      </c>
      <c r="C22" s="66">
        <f>'M2'!C22-'M1'!C22</f>
        <v>7.6949000000000005</v>
      </c>
      <c r="D22" s="66">
        <f>'M2'!D22-'M1'!D22</f>
        <v>0.10716700000000001</v>
      </c>
      <c r="E22" s="66">
        <f>'M2'!E22-'M1'!E22</f>
        <v>0</v>
      </c>
      <c r="F22" s="66">
        <f>'M2'!F22-'M1'!F22</f>
        <v>-6.7857999999999983</v>
      </c>
      <c r="G22" s="66">
        <f>'M2'!G22-'M1'!G22</f>
        <v>0</v>
      </c>
      <c r="H22" s="66">
        <f>'M2'!H22-'M1'!H22</f>
        <v>36.478000000000009</v>
      </c>
    </row>
    <row r="23" spans="1:8">
      <c r="A23" s="66" t="s">
        <v>66</v>
      </c>
      <c r="B23" s="66">
        <f>'M2'!B23-'M1'!B23</f>
        <v>2.7298000000000009</v>
      </c>
      <c r="C23" s="66">
        <f>'M2'!C23-'M1'!C23</f>
        <v>0.38441999999999998</v>
      </c>
      <c r="D23" s="66">
        <f>'M2'!D23-'M1'!D23</f>
        <v>9.5712000000000019E-3</v>
      </c>
      <c r="E23" s="66">
        <f>'M2'!E23-'M1'!E23</f>
        <v>0</v>
      </c>
      <c r="F23" s="66">
        <f>'M2'!F23-'M1'!F23</f>
        <v>3.9121000000000006</v>
      </c>
      <c r="G23" s="66">
        <f>'M2'!G23-'M1'!G23</f>
        <v>0</v>
      </c>
      <c r="H23" s="66">
        <f>'M2'!H23-'M1'!H23</f>
        <v>3.7883000000000031</v>
      </c>
    </row>
    <row r="24" spans="1:8">
      <c r="A24" s="66" t="s">
        <v>67</v>
      </c>
      <c r="B24" s="66">
        <f>'M2'!B24-'M1'!B24</f>
        <v>-2.3157700000000008E-3</v>
      </c>
      <c r="C24" s="66">
        <f>'M2'!C24-'M1'!C24</f>
        <v>-1.46144E-2</v>
      </c>
      <c r="D24" s="66">
        <f>'M2'!D24-'M1'!D24</f>
        <v>-1.2437400000000001</v>
      </c>
      <c r="E24" s="66">
        <f>'M2'!E24-'M1'!E24</f>
        <v>0</v>
      </c>
      <c r="F24" s="66">
        <f>'M2'!F24-'M1'!F24</f>
        <v>-3.085099999999998E-5</v>
      </c>
      <c r="G24" s="66">
        <f>'M2'!G24-'M1'!G24</f>
        <v>0</v>
      </c>
      <c r="H24" s="66">
        <f>'M2'!H24-'M1'!H24</f>
        <v>-0.14598</v>
      </c>
    </row>
    <row r="25" spans="1:8">
      <c r="A25" s="66" t="s">
        <v>68</v>
      </c>
      <c r="B25" s="66">
        <f>'M2'!B25-'M1'!B25</f>
        <v>7.086099999999998E-3</v>
      </c>
      <c r="C25" s="66">
        <f>'M2'!C25-'M1'!C25</f>
        <v>-0.105328</v>
      </c>
      <c r="D25" s="66">
        <f>'M2'!D25-'M1'!D25</f>
        <v>-1.4447800000000002</v>
      </c>
      <c r="E25" s="66">
        <f>'M2'!E25-'M1'!E25</f>
        <v>0</v>
      </c>
      <c r="F25" s="66">
        <f>'M2'!F25-'M1'!F25</f>
        <v>1.2361600000000004E-2</v>
      </c>
      <c r="G25" s="66">
        <f>'M2'!G25-'M1'!G25</f>
        <v>0</v>
      </c>
      <c r="H25" s="66">
        <f>'M2'!H25-'M1'!H25</f>
        <v>-0.57657700000000001</v>
      </c>
    </row>
    <row r="26" spans="1:8">
      <c r="A26" s="66" t="s">
        <v>69</v>
      </c>
      <c r="B26" s="66">
        <f>'M2'!B26-'M1'!B26</f>
        <v>-1.9859500000000003E-4</v>
      </c>
      <c r="C26" s="66">
        <f>'M2'!C26-'M1'!C26</f>
        <v>-1.8523000000000001E-3</v>
      </c>
      <c r="D26" s="66">
        <f>'M2'!D26-'M1'!D26</f>
        <v>-1.3587400000000001</v>
      </c>
      <c r="E26" s="66">
        <f>'M2'!E26-'M1'!E26</f>
        <v>0</v>
      </c>
      <c r="F26" s="66">
        <f>'M2'!F26-'M1'!F26</f>
        <v>-3.2824999999999995E-6</v>
      </c>
      <c r="G26" s="66">
        <f>'M2'!G26-'M1'!G26</f>
        <v>0</v>
      </c>
      <c r="H26" s="66">
        <f>'M2'!H26-'M1'!H26</f>
        <v>-1.5966380000000002E-2</v>
      </c>
    </row>
    <row r="27" spans="1:8">
      <c r="A27" s="66" t="s">
        <v>70</v>
      </c>
      <c r="B27" s="66">
        <f>'M2'!B27-'M1'!B27</f>
        <v>6.5651700000000007E-6</v>
      </c>
      <c r="C27" s="66">
        <f>'M2'!C27-'M1'!C27</f>
        <v>-2.5163299999999991E-4</v>
      </c>
      <c r="D27" s="66">
        <f>'M2'!D27-'M1'!D27</f>
        <v>-51.171700000000001</v>
      </c>
      <c r="E27" s="66">
        <f>'M2'!E27-'M1'!E27</f>
        <v>0</v>
      </c>
      <c r="F27" s="66">
        <f>'M2'!F27-'M1'!F27</f>
        <v>6.7226400000000002E-3</v>
      </c>
      <c r="G27" s="66">
        <f>'M2'!G27-'M1'!G27</f>
        <v>0</v>
      </c>
      <c r="H27" s="66">
        <f>'M2'!H27-'M1'!H27</f>
        <v>-8.2064000000000008E-4</v>
      </c>
    </row>
    <row r="28" spans="1:8">
      <c r="A28" s="66" t="s">
        <v>71</v>
      </c>
      <c r="B28" s="66">
        <f>'M2'!B28-'M1'!B28</f>
        <v>-1.2320899999999999E-3</v>
      </c>
      <c r="C28" s="66">
        <f>'M2'!C28-'M1'!C28</f>
        <v>-7.2172E-3</v>
      </c>
      <c r="D28" s="66">
        <f>'M2'!D28-'M1'!D28</f>
        <v>-0.48849000000000009</v>
      </c>
      <c r="E28" s="66">
        <f>'M2'!E28-'M1'!E28</f>
        <v>0</v>
      </c>
      <c r="F28" s="66">
        <f>'M2'!F28-'M1'!F28</f>
        <v>-2.7994799999999997E-4</v>
      </c>
      <c r="G28" s="66">
        <f>'M2'!G28-'M1'!G28</f>
        <v>0</v>
      </c>
      <c r="H28" s="66">
        <f>'M2'!H28-'M1'!H28</f>
        <v>-4.573519999999999E-2</v>
      </c>
    </row>
    <row r="29" spans="1:8">
      <c r="A29" s="66" t="s">
        <v>72</v>
      </c>
      <c r="B29" s="66">
        <f>'M2'!B29-'M1'!B29</f>
        <v>-0.50560000000000116</v>
      </c>
      <c r="C29" s="66">
        <f>'M2'!C29-'M1'!C29</f>
        <v>1.8287999999999993</v>
      </c>
      <c r="D29" s="66">
        <f>'M2'!D29-'M1'!D29</f>
        <v>2.4693999999999994E-2</v>
      </c>
      <c r="E29" s="66">
        <f>'M2'!E29-'M1'!E29</f>
        <v>0</v>
      </c>
      <c r="F29" s="66">
        <f>'M2'!F29-'M1'!F29</f>
        <v>12.826000000000001</v>
      </c>
      <c r="G29" s="66">
        <f>'M2'!G29-'M1'!G29</f>
        <v>0</v>
      </c>
      <c r="H29" s="66">
        <f>'M2'!H29-'M1'!H29</f>
        <v>9.9669999999999987</v>
      </c>
    </row>
    <row r="30" spans="1:8">
      <c r="A30" s="66" t="s">
        <v>73</v>
      </c>
      <c r="B30" s="66">
        <f>'M2'!B30-'M1'!B30</f>
        <v>1.9040999999999997</v>
      </c>
      <c r="C30" s="66">
        <f>'M2'!C30-'M1'!C30</f>
        <v>0.63163999999999998</v>
      </c>
      <c r="D30" s="66">
        <f>'M2'!D30-'M1'!D30</f>
        <v>2.2884399999999999E-2</v>
      </c>
      <c r="E30" s="66">
        <f>'M2'!E30-'M1'!E30</f>
        <v>0</v>
      </c>
      <c r="F30" s="66">
        <f>'M2'!F30-'M1'!F30</f>
        <v>2.0619999999999976</v>
      </c>
      <c r="G30" s="66">
        <f>'M2'!G30-'M1'!G30</f>
        <v>0</v>
      </c>
      <c r="H30" s="66">
        <f>'M2'!H30-'M1'!H30</f>
        <v>3.9999000000000002</v>
      </c>
    </row>
    <row r="31" spans="1:8">
      <c r="A31" s="66" t="s">
        <v>74</v>
      </c>
      <c r="B31" s="66">
        <f>'M2'!B31-'M1'!B31</f>
        <v>22.603000000000009</v>
      </c>
      <c r="C31" s="66">
        <f>'M2'!C31-'M1'!C31</f>
        <v>-11.061099999999996</v>
      </c>
      <c r="D31" s="66">
        <f>'M2'!D31-'M1'!D31</f>
        <v>-4.614299999999999E-2</v>
      </c>
      <c r="E31" s="66">
        <f>'M2'!E31-'M1'!E31</f>
        <v>0</v>
      </c>
      <c r="F31" s="66">
        <f>'M2'!F31-'M1'!F31</f>
        <v>71.486999999999995</v>
      </c>
      <c r="G31" s="66">
        <f>'M2'!G31-'M1'!G31</f>
        <v>0</v>
      </c>
      <c r="H31" s="66">
        <f>'M2'!H31-'M1'!H31</f>
        <v>21.196000000000026</v>
      </c>
    </row>
    <row r="32" spans="1:8">
      <c r="A32" s="66" t="s">
        <v>75</v>
      </c>
      <c r="B32" s="66">
        <f>'M2'!B32-'M1'!B32</f>
        <v>-2.2231000000000001E-2</v>
      </c>
      <c r="C32" s="66">
        <f>'M2'!C32-'M1'!C32</f>
        <v>1.1257000000000003E-3</v>
      </c>
      <c r="D32" s="66">
        <f>'M2'!D32-'M1'!D32</f>
        <v>2.529300000000001E-2</v>
      </c>
      <c r="E32" s="66">
        <f>'M2'!E32-'M1'!E32</f>
        <v>0</v>
      </c>
      <c r="F32" s="66">
        <f>'M2'!F32-'M1'!F32</f>
        <v>4.2264000000000052E-3</v>
      </c>
      <c r="G32" s="66">
        <f>'M2'!G32-'M1'!G32</f>
        <v>0</v>
      </c>
      <c r="H32" s="66">
        <f>'M2'!H32-'M1'!H32</f>
        <v>-2.7501999999999971E-2</v>
      </c>
    </row>
    <row r="33" spans="1:8">
      <c r="A33" s="66" t="s">
        <v>76</v>
      </c>
      <c r="B33" s="66">
        <f>'M2'!B33-'M1'!B33</f>
        <v>-7.5539000000000023E-2</v>
      </c>
      <c r="C33" s="66">
        <f>'M2'!C33-'M1'!C33</f>
        <v>-1.3913699999999998E-2</v>
      </c>
      <c r="D33" s="66">
        <f>'M2'!D33-'M1'!D33</f>
        <v>-2.2700499999999998E-2</v>
      </c>
      <c r="E33" s="66">
        <f>'M2'!E33-'M1'!E33</f>
        <v>0</v>
      </c>
      <c r="F33" s="66">
        <f>'M2'!F33-'M1'!F33</f>
        <v>-2.2769000000000039E-2</v>
      </c>
      <c r="G33" s="66">
        <f>'M2'!G33-'M1'!G33</f>
        <v>0</v>
      </c>
      <c r="H33" s="66">
        <f>'M2'!H33-'M1'!H33</f>
        <v>-8.0613999999999963E-2</v>
      </c>
    </row>
    <row r="34" spans="1:8">
      <c r="A34" s="66" t="s">
        <v>77</v>
      </c>
      <c r="B34" s="66">
        <f>'M2'!B34-'M1'!B34</f>
        <v>-1.6177999999999998E-2</v>
      </c>
      <c r="C34" s="66">
        <f>'M2'!C34-'M1'!C34</f>
        <v>-3.3272999999999983E-3</v>
      </c>
      <c r="D34" s="66">
        <f>'M2'!D34-'M1'!D34</f>
        <v>-5.8689999999999992E-3</v>
      </c>
      <c r="E34" s="66">
        <f>'M2'!E34-'M1'!E34</f>
        <v>0</v>
      </c>
      <c r="F34" s="66">
        <f>'M2'!F34-'M1'!F34</f>
        <v>-3.8140000000000118E-3</v>
      </c>
      <c r="G34" s="66">
        <f>'M2'!G34-'M1'!G34</f>
        <v>0</v>
      </c>
      <c r="H34" s="66">
        <f>'M2'!H34-'M1'!H34</f>
        <v>9.0889999999999582E-3</v>
      </c>
    </row>
    <row r="35" spans="1:8">
      <c r="A35" s="66" t="s">
        <v>78</v>
      </c>
      <c r="B35" s="66">
        <f>'M2'!B35-'M1'!B35</f>
        <v>-1.8361500000000003E-2</v>
      </c>
      <c r="C35" s="66">
        <f>'M2'!C35-'M1'!C35</f>
        <v>1.1772999999999992E-3</v>
      </c>
      <c r="D35" s="66">
        <f>'M2'!D35-'M1'!D35</f>
        <v>6.6912000000000027E-2</v>
      </c>
      <c r="E35" s="66">
        <f>'M2'!E35-'M1'!E35</f>
        <v>0</v>
      </c>
      <c r="F35" s="66">
        <f>'M2'!F35-'M1'!F35</f>
        <v>-9.1599999999999945E-3</v>
      </c>
      <c r="G35" s="66">
        <f>'M2'!G35-'M1'!G35</f>
        <v>0</v>
      </c>
      <c r="H35" s="66">
        <f>'M2'!H35-'M1'!H35</f>
        <v>3.8310000000000011E-3</v>
      </c>
    </row>
    <row r="36" spans="1:8">
      <c r="A36" s="66" t="s">
        <v>79</v>
      </c>
      <c r="B36" s="66">
        <f>'M2'!B36-'M1'!B36</f>
        <v>-1.1202999999999991E-2</v>
      </c>
      <c r="C36" s="66">
        <f>'M2'!C36-'M1'!C36</f>
        <v>-1.1534100000000005E-2</v>
      </c>
      <c r="D36" s="66">
        <f>'M2'!D36-'M1'!D36</f>
        <v>-2.8976000000000002E-2</v>
      </c>
      <c r="E36" s="66">
        <f>'M2'!E36-'M1'!E36</f>
        <v>0</v>
      </c>
      <c r="F36" s="66">
        <f>'M2'!F36-'M1'!F36</f>
        <v>-1.076599999999997E-3</v>
      </c>
      <c r="G36" s="66">
        <f>'M2'!G36-'M1'!G36</f>
        <v>0</v>
      </c>
      <c r="H36" s="66">
        <f>'M2'!H36-'M1'!H36</f>
        <v>-4.0020000000000611E-3</v>
      </c>
    </row>
    <row r="37" spans="1:8">
      <c r="A37" s="66" t="s">
        <v>80</v>
      </c>
      <c r="B37" s="66">
        <f>'M2'!B37-'M1'!B37</f>
        <v>-3.3272999999999997E-2</v>
      </c>
      <c r="C37" s="66">
        <f>'M2'!C37-'M1'!C37</f>
        <v>2.2376000000000007E-2</v>
      </c>
      <c r="D37" s="66">
        <f>'M2'!D37-'M1'!D37</f>
        <v>0.12051999999999996</v>
      </c>
      <c r="E37" s="66">
        <f>'M2'!E37-'M1'!E37</f>
        <v>0</v>
      </c>
      <c r="F37" s="66">
        <f>'M2'!F37-'M1'!F37</f>
        <v>-2.2018999999999997E-3</v>
      </c>
      <c r="G37" s="66">
        <f>'M2'!G37-'M1'!G37</f>
        <v>0</v>
      </c>
      <c r="H37" s="66">
        <f>'M2'!H37-'M1'!H37</f>
        <v>-1.5253000000000017E-2</v>
      </c>
    </row>
    <row r="38" spans="1:8">
      <c r="A38" s="66" t="s">
        <v>81</v>
      </c>
      <c r="B38" s="66">
        <f>'M2'!B38-'M1'!B38</f>
        <v>5.4779</v>
      </c>
      <c r="C38" s="66">
        <f>'M2'!C38-'M1'!C38</f>
        <v>0.25009999999999621</v>
      </c>
      <c r="D38" s="66">
        <f>'M2'!D38-'M1'!D38</f>
        <v>-1.0009100000000002</v>
      </c>
      <c r="E38" s="66">
        <f>'M2'!E38-'M1'!E38</f>
        <v>0</v>
      </c>
      <c r="F38" s="66">
        <f>'M2'!F38-'M1'!F38</f>
        <v>146.233</v>
      </c>
      <c r="G38" s="66">
        <f>'M2'!G38-'M1'!G38</f>
        <v>0</v>
      </c>
      <c r="H38" s="66">
        <f>'M2'!H38-'M1'!H38</f>
        <v>135.714</v>
      </c>
    </row>
    <row r="39" spans="1:8">
      <c r="A39" s="66" t="s">
        <v>82</v>
      </c>
      <c r="B39" s="66">
        <f>'M2'!B39-'M1'!B39</f>
        <v>1.25936</v>
      </c>
      <c r="C39" s="66">
        <f>'M2'!C39-'M1'!C39</f>
        <v>10.28359</v>
      </c>
      <c r="D39" s="66">
        <f>'M2'!D39-'M1'!D39</f>
        <v>-2.2316569999999998</v>
      </c>
      <c r="E39" s="66">
        <f>'M2'!E39-'M1'!E39</f>
        <v>0</v>
      </c>
      <c r="F39" s="66">
        <f>'M2'!F39-'M1'!F39</f>
        <v>-84.634800000000013</v>
      </c>
      <c r="G39" s="66">
        <f>'M2'!G39-'M1'!G39</f>
        <v>0</v>
      </c>
      <c r="H39" s="66">
        <f>'M2'!H39-'M1'!H39</f>
        <v>49.189500000000002</v>
      </c>
    </row>
    <row r="40" spans="1:8">
      <c r="A40" s="66" t="s">
        <v>83</v>
      </c>
      <c r="B40" s="66">
        <f>'M2'!B40-'M1'!B40</f>
        <v>2.6245860000000003</v>
      </c>
      <c r="C40" s="66">
        <f>'M2'!C40-'M1'!C40</f>
        <v>0.13150799999999996</v>
      </c>
      <c r="D40" s="66">
        <f>'M2'!D40-'M1'!D40</f>
        <v>5.3628400000000003</v>
      </c>
      <c r="E40" s="66">
        <f>'M2'!E40-'M1'!E40</f>
        <v>0</v>
      </c>
      <c r="F40" s="66">
        <f>'M2'!F40-'M1'!F40</f>
        <v>1.7048099999999997</v>
      </c>
      <c r="G40" s="66">
        <f>'M2'!G40-'M1'!G40</f>
        <v>0</v>
      </c>
      <c r="H40" s="66">
        <f>'M2'!H40-'M1'!H40</f>
        <v>1.586417</v>
      </c>
    </row>
    <row r="41" spans="1:8">
      <c r="A41" s="66" t="s">
        <v>84</v>
      </c>
      <c r="B41" s="66">
        <f>'M2'!B41-'M1'!B41</f>
        <v>5.7560400000000005E-2</v>
      </c>
      <c r="C41" s="66">
        <f>'M2'!C41-'M1'!C41</f>
        <v>-8.7499999999995914E-4</v>
      </c>
      <c r="D41" s="66">
        <f>'M2'!D41-'M1'!D41</f>
        <v>-6.74336</v>
      </c>
      <c r="E41" s="66">
        <f>'M2'!E41-'M1'!E41</f>
        <v>0</v>
      </c>
      <c r="F41" s="66">
        <f>'M2'!F41-'M1'!F41</f>
        <v>0.29268300000000003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3.9577399999999992E-2</v>
      </c>
      <c r="C42" s="66">
        <f>'M2'!C42-'M1'!C42</f>
        <v>3.2517600000000008E-2</v>
      </c>
      <c r="D42" s="66">
        <f>'M2'!D42-'M1'!D42</f>
        <v>-1.4000570000000001</v>
      </c>
      <c r="E42" s="66">
        <f>'M2'!E42-'M1'!E42</f>
        <v>0</v>
      </c>
      <c r="F42" s="66">
        <f>'M2'!F42-'M1'!F42</f>
        <v>-0.38695299999999999</v>
      </c>
      <c r="G42" s="66">
        <f>'M2'!G42-'M1'!G42</f>
        <v>0</v>
      </c>
      <c r="H42" s="66">
        <f>'M2'!H42-'M1'!H42</f>
        <v>0.11077899999999999</v>
      </c>
    </row>
    <row r="43" spans="1:8">
      <c r="A43" s="66" t="s">
        <v>86</v>
      </c>
      <c r="B43" s="66">
        <f>'M2'!B43-'M1'!B43</f>
        <v>0.21586849999999999</v>
      </c>
      <c r="C43" s="66">
        <f>'M2'!C43-'M1'!C43</f>
        <v>-4.3735299999999998E-2</v>
      </c>
      <c r="D43" s="66">
        <f>'M2'!D43-'M1'!D43</f>
        <v>0.975441</v>
      </c>
      <c r="E43" s="66">
        <f>'M2'!E43-'M1'!E43</f>
        <v>0</v>
      </c>
      <c r="F43" s="66">
        <f>'M2'!F43-'M1'!F43</f>
        <v>0.19720869999999999</v>
      </c>
      <c r="G43" s="66">
        <f>'M2'!G43-'M1'!G43</f>
        <v>0</v>
      </c>
      <c r="H43" s="66">
        <f>'M2'!H43-'M1'!H43</f>
        <v>7.5081200000000015E-2</v>
      </c>
    </row>
    <row r="44" spans="1:8">
      <c r="A44" s="66" t="s">
        <v>87</v>
      </c>
      <c r="B44" s="66">
        <f>'M2'!B44-'M1'!B44</f>
        <v>-5.4618000000000038</v>
      </c>
      <c r="C44" s="66">
        <f>'M2'!C44-'M1'!C44</f>
        <v>5.4627999999999997</v>
      </c>
      <c r="D44" s="66">
        <f>'M2'!D44-'M1'!D44</f>
        <v>-7.6990000000000003E-2</v>
      </c>
      <c r="E44" s="66">
        <f>'M2'!E44-'M1'!E44</f>
        <v>0</v>
      </c>
      <c r="F44" s="66">
        <f>'M2'!F44-'M1'!F44</f>
        <v>-2.2327999999999975</v>
      </c>
      <c r="G44" s="66">
        <f>'M2'!G44-'M1'!G44</f>
        <v>0</v>
      </c>
      <c r="H44" s="66">
        <f>'M2'!H44-'M1'!H44</f>
        <v>8.2076400000000014</v>
      </c>
    </row>
    <row r="45" spans="1:8">
      <c r="A45" s="66" t="s">
        <v>88</v>
      </c>
      <c r="B45" s="66">
        <f>'M2'!B45-'M1'!B45</f>
        <v>-1.7406999999999968</v>
      </c>
      <c r="C45" s="66">
        <f>'M2'!C45-'M1'!C45</f>
        <v>-2.4935799999999997</v>
      </c>
      <c r="D45" s="66">
        <f>'M2'!D45-'M1'!D45</f>
        <v>-4.1756000000000015E-2</v>
      </c>
      <c r="E45" s="66">
        <f>'M2'!E45-'M1'!E45</f>
        <v>0</v>
      </c>
      <c r="F45" s="66">
        <f>'M2'!F45-'M1'!F45</f>
        <v>5.9136000000000024</v>
      </c>
      <c r="G45" s="66">
        <f>'M2'!G45-'M1'!G45</f>
        <v>0</v>
      </c>
      <c r="H45" s="66">
        <f>'M2'!H45-'M1'!H45</f>
        <v>3.3429000000000002</v>
      </c>
    </row>
    <row r="46" spans="1:8">
      <c r="A46" s="66" t="s">
        <v>89</v>
      </c>
      <c r="B46" s="66">
        <f>'M2'!B46-'M1'!B46</f>
        <v>-0.98110000000000142</v>
      </c>
      <c r="C46" s="66">
        <f>'M2'!C46-'M1'!C46</f>
        <v>-3.6519659999999998</v>
      </c>
      <c r="D46" s="66">
        <f>'M2'!D46-'M1'!D46</f>
        <v>-0.12474169999999998</v>
      </c>
      <c r="E46" s="66">
        <f>'M2'!E46-'M1'!E46</f>
        <v>0</v>
      </c>
      <c r="F46" s="66">
        <f>'M2'!F46-'M1'!F46</f>
        <v>11.1366</v>
      </c>
      <c r="G46" s="66">
        <f>'M2'!G46-'M1'!G46</f>
        <v>0</v>
      </c>
      <c r="H46" s="66">
        <f>'M2'!H46-'M1'!H46</f>
        <v>-5.7166999999999959</v>
      </c>
    </row>
    <row r="47" spans="1:8">
      <c r="A47" s="66" t="s">
        <v>90</v>
      </c>
      <c r="B47" s="66">
        <f>'M2'!B47-'M1'!B47</f>
        <v>-0.17064800000000002</v>
      </c>
      <c r="C47" s="66">
        <f>'M2'!C47-'M1'!C47</f>
        <v>0.11418099999999998</v>
      </c>
      <c r="D47" s="66">
        <f>'M2'!D47-'M1'!D47</f>
        <v>0.35974399999999995</v>
      </c>
      <c r="E47" s="66">
        <f>'M2'!E47-'M1'!E47</f>
        <v>0</v>
      </c>
      <c r="F47" s="66">
        <f>'M2'!F47-'M1'!F47</f>
        <v>-4.1551000000000005E-2</v>
      </c>
      <c r="G47" s="66">
        <f>'M2'!G47-'M1'!G47</f>
        <v>0</v>
      </c>
      <c r="H47" s="66">
        <f>'M2'!H47-'M1'!H47</f>
        <v>-0.41446000000000005</v>
      </c>
    </row>
    <row r="48" spans="1:8">
      <c r="A48" s="66" t="s">
        <v>91</v>
      </c>
      <c r="B48" s="66">
        <f>'M2'!B48-'M1'!B48</f>
        <v>3.0029999999999779E-3</v>
      </c>
      <c r="C48" s="66">
        <f>'M2'!C48-'M1'!C48</f>
        <v>-1.4689999999999981E-3</v>
      </c>
      <c r="D48" s="66">
        <f>'M2'!D48-'M1'!D48</f>
        <v>-3.3040000000000291E-3</v>
      </c>
      <c r="E48" s="66">
        <f>'M2'!E48-'M1'!E48</f>
        <v>0</v>
      </c>
      <c r="F48" s="66">
        <f>'M2'!F48-'M1'!F48</f>
        <v>0.12431299999999995</v>
      </c>
      <c r="G48" s="66">
        <f>'M2'!G48-'M1'!G48</f>
        <v>0</v>
      </c>
      <c r="H48" s="66">
        <f>'M2'!H48-'M1'!H48</f>
        <v>0.29820000000000002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42.106400000000001</v>
      </c>
      <c r="C5" s="66">
        <v>6.6669299999999998</v>
      </c>
      <c r="D5" s="66">
        <v>15.833500000000001</v>
      </c>
      <c r="E5" s="66">
        <v>20</v>
      </c>
      <c r="F5" s="66">
        <v>22.709</v>
      </c>
      <c r="G5" s="66">
        <v>50</v>
      </c>
      <c r="H5" s="66">
        <v>52.199199999999998</v>
      </c>
    </row>
    <row r="6" spans="1:8">
      <c r="A6" s="66" t="s">
        <v>303</v>
      </c>
      <c r="B6" s="66">
        <v>29.419599999999999</v>
      </c>
      <c r="C6" s="66">
        <v>3.89758</v>
      </c>
      <c r="D6" s="66">
        <v>13.2483</v>
      </c>
      <c r="E6" s="66">
        <v>20</v>
      </c>
      <c r="F6" s="66">
        <v>21.3245</v>
      </c>
      <c r="G6" s="66">
        <v>40</v>
      </c>
      <c r="H6" s="66">
        <v>34.910899999999998</v>
      </c>
    </row>
    <row r="7" spans="1:8">
      <c r="A7" s="66" t="s">
        <v>304</v>
      </c>
      <c r="B7" s="66">
        <v>25.796099999999999</v>
      </c>
      <c r="C7" s="66">
        <v>5.6120400000000004</v>
      </c>
      <c r="D7" s="66">
        <v>21.755299999999998</v>
      </c>
      <c r="E7" s="66">
        <v>15</v>
      </c>
      <c r="F7" s="66">
        <v>7.5225900000000001</v>
      </c>
      <c r="G7" s="66">
        <v>40</v>
      </c>
      <c r="H7" s="66">
        <v>38.231999999999999</v>
      </c>
    </row>
    <row r="8" spans="1:8">
      <c r="A8" s="66" t="s">
        <v>305</v>
      </c>
      <c r="B8" s="66">
        <v>31.776</v>
      </c>
      <c r="C8" s="66">
        <v>3.0694699999999999</v>
      </c>
      <c r="D8" s="66">
        <v>9.6596899999999994</v>
      </c>
      <c r="E8" s="66">
        <v>20</v>
      </c>
      <c r="F8" s="66">
        <v>24.3367</v>
      </c>
      <c r="G8" s="66">
        <v>50</v>
      </c>
      <c r="H8" s="66">
        <v>36.204300000000003</v>
      </c>
    </row>
    <row r="9" spans="1:8">
      <c r="A9" s="66" t="s">
        <v>306</v>
      </c>
      <c r="B9" s="66">
        <v>69.086299999999994</v>
      </c>
      <c r="C9" s="66">
        <v>15.613200000000001</v>
      </c>
      <c r="D9" s="66">
        <v>22.599599999999999</v>
      </c>
      <c r="E9" s="66">
        <v>50</v>
      </c>
      <c r="F9" s="66">
        <v>32.2727</v>
      </c>
      <c r="G9" s="66">
        <v>100</v>
      </c>
      <c r="H9" s="66">
        <v>85.230099999999993</v>
      </c>
    </row>
    <row r="10" spans="1:8">
      <c r="A10" s="66" t="s">
        <v>307</v>
      </c>
      <c r="B10" s="66">
        <v>80.638199999999998</v>
      </c>
      <c r="C10" s="66">
        <v>3.1947299999999998</v>
      </c>
      <c r="D10" s="66">
        <v>3.9618000000000002</v>
      </c>
      <c r="E10" s="66">
        <v>40</v>
      </c>
      <c r="F10" s="66">
        <v>76.844499999999996</v>
      </c>
      <c r="G10" s="66">
        <v>100</v>
      </c>
      <c r="H10" s="66">
        <v>86.679900000000004</v>
      </c>
    </row>
    <row r="11" spans="1:8">
      <c r="A11" s="66" t="s">
        <v>308</v>
      </c>
      <c r="B11" s="66">
        <v>18.452200000000001</v>
      </c>
      <c r="C11" s="66">
        <v>4.6020399999999997</v>
      </c>
      <c r="D11" s="66">
        <v>24.940300000000001</v>
      </c>
      <c r="E11" s="66">
        <v>10</v>
      </c>
      <c r="F11" s="66">
        <v>13.283099999999999</v>
      </c>
      <c r="G11" s="66">
        <v>50</v>
      </c>
      <c r="H11" s="66">
        <v>29.2988</v>
      </c>
    </row>
    <row r="12" spans="1:8">
      <c r="A12" s="66" t="s">
        <v>309</v>
      </c>
      <c r="B12" s="66">
        <v>74.031000000000006</v>
      </c>
      <c r="C12" s="66">
        <v>6.4277499999999996</v>
      </c>
      <c r="D12" s="66">
        <v>8.6825100000000006</v>
      </c>
      <c r="E12" s="66">
        <v>50</v>
      </c>
      <c r="F12" s="66">
        <v>58.928699999999999</v>
      </c>
      <c r="G12" s="66">
        <v>100</v>
      </c>
      <c r="H12" s="66">
        <v>83.281099999999995</v>
      </c>
    </row>
    <row r="13" spans="1:8">
      <c r="A13" s="66" t="s">
        <v>310</v>
      </c>
      <c r="B13" s="66">
        <v>22.306699999999999</v>
      </c>
      <c r="C13" s="66">
        <v>2.9134199999999999</v>
      </c>
      <c r="D13" s="66">
        <v>13.060700000000001</v>
      </c>
      <c r="E13" s="66">
        <v>10</v>
      </c>
      <c r="F13" s="66">
        <v>17.410699999999999</v>
      </c>
      <c r="G13" s="66">
        <v>25</v>
      </c>
      <c r="H13" s="66">
        <v>30.306100000000001</v>
      </c>
    </row>
    <row r="14" spans="1:8">
      <c r="A14" s="66" t="s">
        <v>311</v>
      </c>
      <c r="B14" s="66">
        <v>29.1342</v>
      </c>
      <c r="C14" s="66">
        <v>7.64072</v>
      </c>
      <c r="D14" s="66">
        <v>26.225899999999999</v>
      </c>
      <c r="E14" s="66">
        <v>10</v>
      </c>
      <c r="F14" s="66">
        <v>3.3978600000000001</v>
      </c>
      <c r="G14" s="66">
        <v>50</v>
      </c>
      <c r="H14" s="66">
        <v>37.448700000000002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0.46317000000000003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0.57185600000000003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346</v>
      </c>
      <c r="B20" s="66">
        <v>1.70988E-3</v>
      </c>
      <c r="C20" s="66">
        <v>3.2627299999999998E-2</v>
      </c>
      <c r="D20" s="66">
        <v>19.081600000000002</v>
      </c>
      <c r="E20" s="66">
        <v>0</v>
      </c>
      <c r="F20" s="196">
        <v>6.1197299999999998E-5</v>
      </c>
      <c r="G20" s="66">
        <v>0</v>
      </c>
      <c r="H20" s="66">
        <v>0.23960899999999999</v>
      </c>
    </row>
    <row r="21" spans="1:8">
      <c r="A21" s="66" t="s">
        <v>318</v>
      </c>
      <c r="B21" s="66">
        <v>8.5566000000000003E-2</v>
      </c>
      <c r="C21" s="66">
        <v>0.40751900000000002</v>
      </c>
      <c r="D21" s="66">
        <v>4.7626299999999997</v>
      </c>
      <c r="E21" s="66">
        <v>0</v>
      </c>
      <c r="F21" s="66">
        <v>8.8528900000000004E-4</v>
      </c>
      <c r="G21" s="66">
        <v>0</v>
      </c>
      <c r="H21" s="66">
        <v>2.6221700000000001</v>
      </c>
    </row>
    <row r="22" spans="1:8">
      <c r="A22" s="66" t="s">
        <v>319</v>
      </c>
      <c r="B22" s="66">
        <v>55.354100000000003</v>
      </c>
      <c r="C22" s="66">
        <v>18.3979</v>
      </c>
      <c r="D22" s="66">
        <v>0.332368</v>
      </c>
      <c r="E22" s="66">
        <v>0</v>
      </c>
      <c r="F22" s="66">
        <v>30.242699999999999</v>
      </c>
      <c r="G22" s="66">
        <v>0</v>
      </c>
      <c r="H22" s="66">
        <v>109.553</v>
      </c>
    </row>
    <row r="23" spans="1:8">
      <c r="A23" s="66" t="s">
        <v>320</v>
      </c>
      <c r="B23" s="66">
        <v>16.864599999999999</v>
      </c>
      <c r="C23" s="66">
        <v>1.2163299999999999</v>
      </c>
      <c r="D23" s="66">
        <v>7.2122800000000001E-2</v>
      </c>
      <c r="E23" s="66">
        <v>0</v>
      </c>
      <c r="F23" s="66">
        <v>13.532400000000001</v>
      </c>
      <c r="G23" s="66">
        <v>0</v>
      </c>
      <c r="H23" s="66">
        <v>19.198799999999999</v>
      </c>
    </row>
    <row r="24" spans="1:8">
      <c r="A24" s="66" t="s">
        <v>321</v>
      </c>
      <c r="B24" s="66">
        <v>8.1439300000000006E-3</v>
      </c>
      <c r="C24" s="66">
        <v>2.5902999999999999E-2</v>
      </c>
      <c r="D24" s="66">
        <v>3.18065</v>
      </c>
      <c r="E24" s="66">
        <v>0</v>
      </c>
      <c r="F24" s="66">
        <v>2.3711199999999999E-4</v>
      </c>
      <c r="G24" s="66">
        <v>0</v>
      </c>
      <c r="H24" s="66">
        <v>0.19881099999999999</v>
      </c>
    </row>
    <row r="25" spans="1:8">
      <c r="A25" s="66" t="s">
        <v>322</v>
      </c>
      <c r="B25" s="66">
        <v>8.2358500000000001E-2</v>
      </c>
      <c r="C25" s="66">
        <v>0.277777</v>
      </c>
      <c r="D25" s="66">
        <v>3.3727800000000001</v>
      </c>
      <c r="E25" s="66">
        <v>0</v>
      </c>
      <c r="F25" s="66">
        <v>2.1177999999999999E-2</v>
      </c>
      <c r="G25" s="66">
        <v>0</v>
      </c>
      <c r="H25" s="66">
        <v>1.3121700000000001</v>
      </c>
    </row>
    <row r="26" spans="1:8">
      <c r="A26" s="66" t="s">
        <v>323</v>
      </c>
      <c r="B26" s="66">
        <v>4.8581900000000002E-4</v>
      </c>
      <c r="C26" s="66">
        <v>3.57654E-3</v>
      </c>
      <c r="D26" s="66">
        <v>7.3618699999999997</v>
      </c>
      <c r="E26" s="66">
        <v>0</v>
      </c>
      <c r="F26" s="196">
        <v>1.64128E-5</v>
      </c>
      <c r="G26" s="66">
        <v>0</v>
      </c>
      <c r="H26" s="66">
        <v>2.5600700000000001E-2</v>
      </c>
    </row>
    <row r="27" spans="1:8">
      <c r="A27" s="66" t="s">
        <v>324</v>
      </c>
      <c r="B27" s="196">
        <v>-1.31303E-5</v>
      </c>
      <c r="C27" s="66">
        <v>1.17516E-3</v>
      </c>
      <c r="D27" s="66">
        <v>-89.500299999999996</v>
      </c>
      <c r="E27" s="66">
        <v>0</v>
      </c>
      <c r="F27" s="66">
        <v>-1.09473E-2</v>
      </c>
      <c r="G27" s="66">
        <v>0</v>
      </c>
      <c r="H27" s="66">
        <v>5.4195099999999998E-3</v>
      </c>
    </row>
    <row r="28" spans="1:8">
      <c r="A28" s="66" t="s">
        <v>325</v>
      </c>
      <c r="B28" s="66">
        <v>8.3935499999999996E-3</v>
      </c>
      <c r="C28" s="66">
        <v>2.5333999999999999E-2</v>
      </c>
      <c r="D28" s="66">
        <v>3.0182600000000002</v>
      </c>
      <c r="E28" s="66">
        <v>0</v>
      </c>
      <c r="F28" s="66">
        <v>3.5807299999999999E-4</v>
      </c>
      <c r="G28" s="66">
        <v>0</v>
      </c>
      <c r="H28" s="66">
        <v>0.14139599999999999</v>
      </c>
    </row>
    <row r="29" spans="1:8">
      <c r="A29" s="66" t="s">
        <v>326</v>
      </c>
      <c r="B29" s="66">
        <v>77.364500000000007</v>
      </c>
      <c r="C29" s="66">
        <v>10.582000000000001</v>
      </c>
      <c r="D29" s="66">
        <v>0.13678100000000001</v>
      </c>
      <c r="E29" s="66">
        <v>0</v>
      </c>
      <c r="F29" s="66">
        <v>45.357399999999998</v>
      </c>
      <c r="G29" s="66">
        <v>0</v>
      </c>
      <c r="H29" s="66">
        <v>100.523</v>
      </c>
    </row>
    <row r="30" spans="1:8">
      <c r="A30" s="66" t="s">
        <v>327</v>
      </c>
      <c r="B30" s="66">
        <v>20.562000000000001</v>
      </c>
      <c r="C30" s="66">
        <v>1.26908</v>
      </c>
      <c r="D30" s="66">
        <v>6.1719700000000002E-2</v>
      </c>
      <c r="E30" s="66">
        <v>0</v>
      </c>
      <c r="F30" s="66">
        <v>17.162500000000001</v>
      </c>
      <c r="G30" s="66">
        <v>0</v>
      </c>
      <c r="H30" s="66">
        <v>22.943300000000001</v>
      </c>
    </row>
    <row r="31" spans="1:8">
      <c r="A31" s="66" t="s">
        <v>328</v>
      </c>
      <c r="B31" s="66">
        <v>322.01400000000001</v>
      </c>
      <c r="C31" s="66">
        <v>68.957099999999997</v>
      </c>
      <c r="D31" s="66">
        <v>0.214144</v>
      </c>
      <c r="E31" s="66">
        <v>0</v>
      </c>
      <c r="F31" s="66">
        <v>160.43</v>
      </c>
      <c r="G31" s="66">
        <v>0</v>
      </c>
      <c r="H31" s="66">
        <v>414.375</v>
      </c>
    </row>
    <row r="32" spans="1:8">
      <c r="A32" s="66" t="s">
        <v>329</v>
      </c>
      <c r="B32" s="66">
        <v>0.257961</v>
      </c>
      <c r="C32" s="66">
        <v>5.6120400000000001E-2</v>
      </c>
      <c r="D32" s="66">
        <v>0.217553</v>
      </c>
      <c r="E32" s="66">
        <v>0.15</v>
      </c>
      <c r="F32" s="66">
        <v>7.5225899999999998E-2</v>
      </c>
      <c r="G32" s="66">
        <v>0.4</v>
      </c>
      <c r="H32" s="66">
        <v>0.38231999999999999</v>
      </c>
    </row>
    <row r="33" spans="1:8">
      <c r="A33" s="66" t="s">
        <v>330</v>
      </c>
      <c r="B33" s="66">
        <v>0.37624600000000002</v>
      </c>
      <c r="C33" s="66">
        <v>3.5301399999999997E-2</v>
      </c>
      <c r="D33" s="66">
        <v>9.38253E-2</v>
      </c>
      <c r="E33" s="66">
        <v>0</v>
      </c>
      <c r="F33" s="66">
        <v>0.28464800000000001</v>
      </c>
      <c r="G33" s="66">
        <v>0</v>
      </c>
      <c r="H33" s="66">
        <v>0.44006299999999998</v>
      </c>
    </row>
    <row r="34" spans="1:8">
      <c r="A34" s="66" t="s">
        <v>331</v>
      </c>
      <c r="B34" s="66">
        <v>0.22306699999999999</v>
      </c>
      <c r="C34" s="66">
        <v>2.9134199999999999E-2</v>
      </c>
      <c r="D34" s="66">
        <v>0.130607</v>
      </c>
      <c r="E34" s="66">
        <v>0.1</v>
      </c>
      <c r="F34" s="66">
        <v>0.17410700000000001</v>
      </c>
      <c r="G34" s="66">
        <v>0.25</v>
      </c>
      <c r="H34" s="66">
        <v>0.30306100000000002</v>
      </c>
    </row>
    <row r="35" spans="1:8">
      <c r="A35" s="66" t="s">
        <v>332</v>
      </c>
      <c r="B35" s="66">
        <v>0.102202</v>
      </c>
      <c r="C35" s="66">
        <v>2.4673400000000002E-2</v>
      </c>
      <c r="D35" s="66">
        <v>0.24141899999999999</v>
      </c>
      <c r="E35" s="66">
        <v>0</v>
      </c>
      <c r="F35" s="66">
        <v>4.8837699999999998E-2</v>
      </c>
      <c r="G35" s="66">
        <v>0</v>
      </c>
      <c r="H35" s="66">
        <v>0.16731599999999999</v>
      </c>
    </row>
    <row r="36" spans="1:8">
      <c r="A36" s="66" t="s">
        <v>333</v>
      </c>
      <c r="B36" s="66">
        <v>0.202372</v>
      </c>
      <c r="C36" s="66">
        <v>0.108296</v>
      </c>
      <c r="D36" s="66">
        <v>0.535134</v>
      </c>
      <c r="E36" s="66">
        <v>0</v>
      </c>
      <c r="F36" s="66">
        <v>4.2996199999999998E-2</v>
      </c>
      <c r="G36" s="66">
        <v>0</v>
      </c>
      <c r="H36" s="66">
        <v>0.57784800000000003</v>
      </c>
    </row>
    <row r="37" spans="1:8">
      <c r="A37" s="66" t="s">
        <v>334</v>
      </c>
      <c r="B37" s="66">
        <v>0.29134199999999999</v>
      </c>
      <c r="C37" s="66">
        <v>7.6407199999999995E-2</v>
      </c>
      <c r="D37" s="66">
        <v>0.26225900000000002</v>
      </c>
      <c r="E37" s="66">
        <v>0.1</v>
      </c>
      <c r="F37" s="66">
        <v>3.3978599999999998E-2</v>
      </c>
      <c r="G37" s="66">
        <v>0.5</v>
      </c>
      <c r="H37" s="66">
        <v>0.37448700000000001</v>
      </c>
    </row>
    <row r="38" spans="1:8">
      <c r="A38" s="66" t="s">
        <v>335</v>
      </c>
      <c r="B38" s="66">
        <v>-21.3476</v>
      </c>
      <c r="C38" s="66">
        <v>60.926600000000001</v>
      </c>
      <c r="D38" s="66">
        <v>-2.8540299999999998</v>
      </c>
      <c r="E38" s="66">
        <v>0</v>
      </c>
      <c r="F38" s="66">
        <v>-350.76</v>
      </c>
      <c r="G38" s="66">
        <v>0</v>
      </c>
      <c r="H38" s="66">
        <v>144.99</v>
      </c>
    </row>
    <row r="39" spans="1:8">
      <c r="A39" s="66" t="s">
        <v>336</v>
      </c>
      <c r="B39" s="66">
        <v>-6.3954399999999998</v>
      </c>
      <c r="C39" s="66">
        <v>5.98461</v>
      </c>
      <c r="D39" s="66">
        <v>-0.93576300000000001</v>
      </c>
      <c r="E39" s="66">
        <v>0</v>
      </c>
      <c r="F39" s="66">
        <v>-17.848199999999999</v>
      </c>
      <c r="G39" s="66">
        <v>0</v>
      </c>
      <c r="H39" s="66">
        <v>10.9758</v>
      </c>
    </row>
    <row r="40" spans="1:8">
      <c r="A40" s="66" t="s">
        <v>337</v>
      </c>
      <c r="B40" s="66">
        <v>-2.4806300000000001</v>
      </c>
      <c r="C40" s="66">
        <v>0.60537200000000002</v>
      </c>
      <c r="D40" s="66">
        <v>-0.24404000000000001</v>
      </c>
      <c r="E40" s="66">
        <v>0</v>
      </c>
      <c r="F40" s="66">
        <v>-3.2869799999999998</v>
      </c>
      <c r="G40" s="66">
        <v>0</v>
      </c>
      <c r="H40" s="66">
        <v>-0.253577</v>
      </c>
    </row>
    <row r="41" spans="1:8">
      <c r="A41" s="66" t="s">
        <v>338</v>
      </c>
      <c r="B41" s="66">
        <v>-8.8500800000000004E-2</v>
      </c>
      <c r="C41" s="66">
        <v>0.32213799999999998</v>
      </c>
      <c r="D41" s="66">
        <v>-3.6399400000000002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-9.0499899999999994E-2</v>
      </c>
      <c r="C42" s="66">
        <v>8.8669399999999995E-2</v>
      </c>
      <c r="D42" s="66">
        <v>-0.97977300000000001</v>
      </c>
      <c r="E42" s="66">
        <v>0</v>
      </c>
      <c r="F42" s="66">
        <v>-0.250305</v>
      </c>
      <c r="G42" s="66">
        <v>0</v>
      </c>
      <c r="H42" s="66">
        <v>0.183447</v>
      </c>
    </row>
    <row r="43" spans="1:8">
      <c r="A43" s="66" t="s">
        <v>340</v>
      </c>
      <c r="B43" s="66">
        <v>-0.156191</v>
      </c>
      <c r="C43" s="66">
        <v>7.3763599999999999E-2</v>
      </c>
      <c r="D43" s="66">
        <v>-0.47226499999999999</v>
      </c>
      <c r="E43" s="66">
        <v>0</v>
      </c>
      <c r="F43" s="66">
        <v>-0.25212099999999998</v>
      </c>
      <c r="G43" s="66">
        <v>0</v>
      </c>
      <c r="H43" s="66">
        <v>4.6051799999999997E-2</v>
      </c>
    </row>
    <row r="44" spans="1:8">
      <c r="A44" s="66" t="s">
        <v>341</v>
      </c>
      <c r="B44" s="66">
        <v>-47.647799999999997</v>
      </c>
      <c r="C44" s="66">
        <v>11.9854</v>
      </c>
      <c r="D44" s="66">
        <v>-0.25154199999999999</v>
      </c>
      <c r="E44" s="66">
        <v>0</v>
      </c>
      <c r="F44" s="66">
        <v>-71.248000000000005</v>
      </c>
      <c r="G44" s="66">
        <v>0</v>
      </c>
      <c r="H44" s="66">
        <v>-15.049300000000001</v>
      </c>
    </row>
    <row r="45" spans="1:8">
      <c r="A45" s="66" t="s">
        <v>342</v>
      </c>
      <c r="B45" s="66">
        <v>53.4328</v>
      </c>
      <c r="C45" s="66">
        <v>10.286</v>
      </c>
      <c r="D45" s="66">
        <v>0.19250300000000001</v>
      </c>
      <c r="E45" s="66">
        <v>0</v>
      </c>
      <c r="F45" s="66">
        <v>30.883800000000001</v>
      </c>
      <c r="G45" s="66">
        <v>0</v>
      </c>
      <c r="H45" s="66">
        <v>70.913300000000007</v>
      </c>
    </row>
    <row r="46" spans="1:8">
      <c r="A46" s="66" t="s">
        <v>343</v>
      </c>
      <c r="B46" s="66">
        <v>29.089400000000001</v>
      </c>
      <c r="C46" s="66">
        <v>4.3196300000000001</v>
      </c>
      <c r="D46" s="66">
        <v>0.14849499999999999</v>
      </c>
      <c r="E46" s="66">
        <v>0</v>
      </c>
      <c r="F46" s="66">
        <v>15.63</v>
      </c>
      <c r="G46" s="66">
        <v>0</v>
      </c>
      <c r="H46" s="66">
        <v>35.372999999999998</v>
      </c>
    </row>
    <row r="47" spans="1:8">
      <c r="A47" s="66" t="s">
        <v>344</v>
      </c>
      <c r="B47" s="66">
        <v>0.88776500000000003</v>
      </c>
      <c r="C47" s="66">
        <v>0.74806300000000003</v>
      </c>
      <c r="D47" s="66">
        <v>0.84263600000000005</v>
      </c>
      <c r="E47" s="66">
        <v>0</v>
      </c>
      <c r="F47" s="66">
        <v>0.251633</v>
      </c>
      <c r="G47" s="66">
        <v>0</v>
      </c>
      <c r="H47" s="66">
        <v>3.8961399999999999</v>
      </c>
    </row>
    <row r="48" spans="1:8">
      <c r="A48" s="66" t="s">
        <v>345</v>
      </c>
      <c r="B48" s="66">
        <v>0.75648599999999999</v>
      </c>
      <c r="C48" s="66">
        <v>0.26210099999999997</v>
      </c>
      <c r="D48" s="66">
        <v>0.346472</v>
      </c>
      <c r="E48" s="66">
        <v>0</v>
      </c>
      <c r="F48" s="66">
        <v>0.40919100000000003</v>
      </c>
      <c r="G48" s="66">
        <v>0</v>
      </c>
      <c r="H48" s="66">
        <v>1.14534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40.768700000000003</v>
      </c>
      <c r="C5" s="66">
        <v>2.6842100000000002</v>
      </c>
      <c r="D5" s="66">
        <v>6.58399</v>
      </c>
      <c r="E5" s="66">
        <v>20</v>
      </c>
      <c r="F5" s="66">
        <v>34.542000000000002</v>
      </c>
      <c r="G5" s="66">
        <v>50</v>
      </c>
      <c r="H5" s="66">
        <v>47.859099999999998</v>
      </c>
    </row>
    <row r="6" spans="1:8">
      <c r="A6" s="66" t="s">
        <v>303</v>
      </c>
      <c r="B6" s="66">
        <v>24.178599999999999</v>
      </c>
      <c r="C6" s="66">
        <v>1.1467499999999999</v>
      </c>
      <c r="D6" s="66">
        <v>4.7428100000000004</v>
      </c>
      <c r="E6" s="66">
        <v>20</v>
      </c>
      <c r="F6" s="66">
        <v>20.954999999999998</v>
      </c>
      <c r="G6" s="66">
        <v>40</v>
      </c>
      <c r="H6" s="66">
        <v>25.9085</v>
      </c>
    </row>
    <row r="7" spans="1:8">
      <c r="A7" s="66" t="s">
        <v>304</v>
      </c>
      <c r="B7" s="66">
        <v>23.573</v>
      </c>
      <c r="C7" s="66">
        <v>5.7246100000000002</v>
      </c>
      <c r="D7" s="66">
        <v>24.284600000000001</v>
      </c>
      <c r="E7" s="66">
        <v>15</v>
      </c>
      <c r="F7" s="66">
        <v>7.9452299999999996</v>
      </c>
      <c r="G7" s="66">
        <v>40</v>
      </c>
      <c r="H7" s="66">
        <v>35.4818</v>
      </c>
    </row>
    <row r="8" spans="1:8">
      <c r="A8" s="66" t="s">
        <v>305</v>
      </c>
      <c r="B8" s="66">
        <v>29.380400000000002</v>
      </c>
      <c r="C8" s="66">
        <v>2.0626699999999998</v>
      </c>
      <c r="D8" s="66">
        <v>7.0205599999999997</v>
      </c>
      <c r="E8" s="66">
        <v>20</v>
      </c>
      <c r="F8" s="66">
        <v>24.694099999999999</v>
      </c>
      <c r="G8" s="66">
        <v>50</v>
      </c>
      <c r="H8" s="66">
        <v>32.222900000000003</v>
      </c>
    </row>
    <row r="9" spans="1:8">
      <c r="A9" s="66" t="s">
        <v>306</v>
      </c>
      <c r="B9" s="66">
        <v>61.9968</v>
      </c>
      <c r="C9" s="66">
        <v>6.7510500000000002</v>
      </c>
      <c r="D9" s="66">
        <v>10.8894</v>
      </c>
      <c r="E9" s="66">
        <v>50</v>
      </c>
      <c r="F9" s="66">
        <v>42.1205</v>
      </c>
      <c r="G9" s="66">
        <v>100</v>
      </c>
      <c r="H9" s="66">
        <v>70.569800000000001</v>
      </c>
    </row>
    <row r="10" spans="1:8">
      <c r="A10" s="66" t="s">
        <v>307</v>
      </c>
      <c r="B10" s="66">
        <v>83.029600000000002</v>
      </c>
      <c r="C10" s="66">
        <v>1.6660600000000001</v>
      </c>
      <c r="D10" s="66">
        <v>2.00658</v>
      </c>
      <c r="E10" s="66">
        <v>40</v>
      </c>
      <c r="F10" s="66">
        <v>81.902100000000004</v>
      </c>
      <c r="G10" s="66">
        <v>100</v>
      </c>
      <c r="H10" s="66">
        <v>87.0428</v>
      </c>
    </row>
    <row r="11" spans="1:8">
      <c r="A11" s="66" t="s">
        <v>308</v>
      </c>
      <c r="B11" s="66">
        <v>21.859400000000001</v>
      </c>
      <c r="C11" s="66">
        <v>3.0461399999999998</v>
      </c>
      <c r="D11" s="66">
        <v>13.9351</v>
      </c>
      <c r="E11" s="66">
        <v>10</v>
      </c>
      <c r="F11" s="66">
        <v>16.029699999999998</v>
      </c>
      <c r="G11" s="66">
        <v>50</v>
      </c>
      <c r="H11" s="66">
        <v>27.142499999999998</v>
      </c>
    </row>
    <row r="12" spans="1:8">
      <c r="A12" s="66" t="s">
        <v>309</v>
      </c>
      <c r="B12" s="66">
        <v>72.761499999999998</v>
      </c>
      <c r="C12" s="66">
        <v>3.4637799999999999</v>
      </c>
      <c r="D12" s="66">
        <v>4.7604600000000001</v>
      </c>
      <c r="E12" s="66">
        <v>50</v>
      </c>
      <c r="F12" s="66">
        <v>62.551299999999998</v>
      </c>
      <c r="G12" s="66">
        <v>100</v>
      </c>
      <c r="H12" s="66">
        <v>78.714799999999997</v>
      </c>
    </row>
    <row r="13" spans="1:8">
      <c r="A13" s="66" t="s">
        <v>310</v>
      </c>
      <c r="B13" s="66">
        <v>20.6889</v>
      </c>
      <c r="C13" s="66">
        <v>2.5806900000000002</v>
      </c>
      <c r="D13" s="66">
        <v>12.473800000000001</v>
      </c>
      <c r="E13" s="66">
        <v>10</v>
      </c>
      <c r="F13" s="66">
        <v>17.029299999999999</v>
      </c>
      <c r="G13" s="66">
        <v>25</v>
      </c>
      <c r="H13" s="66">
        <v>31.215</v>
      </c>
    </row>
    <row r="14" spans="1:8">
      <c r="A14" s="66" t="s">
        <v>311</v>
      </c>
      <c r="B14" s="66">
        <v>25.806899999999999</v>
      </c>
      <c r="C14" s="66">
        <v>9.8783200000000004</v>
      </c>
      <c r="D14" s="66">
        <v>38.277900000000002</v>
      </c>
      <c r="E14" s="66">
        <v>10</v>
      </c>
      <c r="F14" s="66">
        <v>3.17767</v>
      </c>
      <c r="G14" s="66">
        <v>50</v>
      </c>
      <c r="H14" s="66">
        <v>35.923400000000001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0.38001400000000002</v>
      </c>
      <c r="C18" s="66">
        <v>4.3206199999999998E-3</v>
      </c>
      <c r="D18" s="66">
        <v>1.1369600000000001E-2</v>
      </c>
      <c r="E18" s="66">
        <v>0</v>
      </c>
      <c r="F18" s="66">
        <v>0.375693</v>
      </c>
      <c r="G18" s="66">
        <v>0</v>
      </c>
      <c r="H18" s="66">
        <v>0.38433499999999998</v>
      </c>
    </row>
    <row r="19" spans="1:8">
      <c r="A19" s="66" t="s">
        <v>316</v>
      </c>
      <c r="B19" s="66">
        <v>0.63250300000000004</v>
      </c>
      <c r="C19" s="66">
        <v>4.8869500000000003E-2</v>
      </c>
      <c r="D19" s="66">
        <v>7.7263600000000002E-2</v>
      </c>
      <c r="E19" s="66">
        <v>0</v>
      </c>
      <c r="F19" s="66">
        <v>0.58363399999999999</v>
      </c>
      <c r="G19" s="66">
        <v>0</v>
      </c>
      <c r="H19" s="66">
        <v>0.68137300000000001</v>
      </c>
    </row>
    <row r="20" spans="1:8">
      <c r="A20" s="66" t="s">
        <v>317</v>
      </c>
      <c r="B20" s="66">
        <v>9.1617599999999999E-4</v>
      </c>
      <c r="C20" s="66">
        <v>1.97617E-2</v>
      </c>
      <c r="D20" s="66">
        <v>21.569800000000001</v>
      </c>
      <c r="E20" s="66">
        <v>0</v>
      </c>
      <c r="F20" s="196">
        <v>6.0064500000000001E-5</v>
      </c>
      <c r="G20" s="66">
        <v>0</v>
      </c>
      <c r="H20" s="66">
        <v>0.13958400000000001</v>
      </c>
    </row>
    <row r="21" spans="1:8">
      <c r="A21" s="66" t="s">
        <v>318</v>
      </c>
      <c r="B21" s="66">
        <v>8.3894399999999994E-2</v>
      </c>
      <c r="C21" s="66">
        <v>0.226045</v>
      </c>
      <c r="D21" s="66">
        <v>2.6943999999999999</v>
      </c>
      <c r="E21" s="66">
        <v>0</v>
      </c>
      <c r="F21" s="66">
        <v>2.0538500000000001E-4</v>
      </c>
      <c r="G21" s="66">
        <v>0</v>
      </c>
      <c r="H21" s="66">
        <v>1.3070200000000001</v>
      </c>
    </row>
    <row r="22" spans="1:8">
      <c r="A22" s="66" t="s">
        <v>319</v>
      </c>
      <c r="B22" s="66">
        <v>59.364699999999999</v>
      </c>
      <c r="C22" s="66">
        <v>26.0928</v>
      </c>
      <c r="D22" s="66">
        <v>0.43953500000000001</v>
      </c>
      <c r="E22" s="66">
        <v>0</v>
      </c>
      <c r="F22" s="66">
        <v>23.456900000000001</v>
      </c>
      <c r="G22" s="66">
        <v>0</v>
      </c>
      <c r="H22" s="66">
        <v>146.03100000000001</v>
      </c>
    </row>
    <row r="23" spans="1:8">
      <c r="A23" s="66" t="s">
        <v>320</v>
      </c>
      <c r="B23" s="66">
        <v>19.5944</v>
      </c>
      <c r="C23" s="66">
        <v>1.6007499999999999</v>
      </c>
      <c r="D23" s="66">
        <v>8.1694000000000003E-2</v>
      </c>
      <c r="E23" s="66">
        <v>0</v>
      </c>
      <c r="F23" s="66">
        <v>17.444500000000001</v>
      </c>
      <c r="G23" s="66">
        <v>0</v>
      </c>
      <c r="H23" s="66">
        <v>22.987100000000002</v>
      </c>
    </row>
    <row r="24" spans="1:8">
      <c r="A24" s="66" t="s">
        <v>321</v>
      </c>
      <c r="B24" s="66">
        <v>5.8281599999999998E-3</v>
      </c>
      <c r="C24" s="66">
        <v>1.1288599999999999E-2</v>
      </c>
      <c r="D24" s="66">
        <v>1.9369099999999999</v>
      </c>
      <c r="E24" s="66">
        <v>0</v>
      </c>
      <c r="F24" s="66">
        <v>2.0626100000000001E-4</v>
      </c>
      <c r="G24" s="66">
        <v>0</v>
      </c>
      <c r="H24" s="66">
        <v>5.2831000000000003E-2</v>
      </c>
    </row>
    <row r="25" spans="1:8">
      <c r="A25" s="66" t="s">
        <v>322</v>
      </c>
      <c r="B25" s="66">
        <v>8.9444599999999999E-2</v>
      </c>
      <c r="C25" s="66">
        <v>0.17244899999999999</v>
      </c>
      <c r="D25" s="66">
        <v>1.9279999999999999</v>
      </c>
      <c r="E25" s="66">
        <v>0</v>
      </c>
      <c r="F25" s="66">
        <v>3.3539600000000003E-2</v>
      </c>
      <c r="G25" s="66">
        <v>0</v>
      </c>
      <c r="H25" s="66">
        <v>0.73559300000000005</v>
      </c>
    </row>
    <row r="26" spans="1:8">
      <c r="A26" s="66" t="s">
        <v>323</v>
      </c>
      <c r="B26" s="66">
        <v>2.8722399999999999E-4</v>
      </c>
      <c r="C26" s="66">
        <v>1.7242399999999999E-3</v>
      </c>
      <c r="D26" s="66">
        <v>6.0031299999999996</v>
      </c>
      <c r="E26" s="66">
        <v>0</v>
      </c>
      <c r="F26" s="196">
        <v>1.31303E-5</v>
      </c>
      <c r="G26" s="66">
        <v>0</v>
      </c>
      <c r="H26" s="66">
        <v>9.63432E-3</v>
      </c>
    </row>
    <row r="27" spans="1:8">
      <c r="A27" s="66" t="s">
        <v>324</v>
      </c>
      <c r="B27" s="196">
        <v>-6.5651299999999996E-6</v>
      </c>
      <c r="C27" s="66">
        <v>9.2352700000000005E-4</v>
      </c>
      <c r="D27" s="66">
        <v>-140.672</v>
      </c>
      <c r="E27" s="66">
        <v>0</v>
      </c>
      <c r="F27" s="66">
        <v>-4.2246599999999999E-3</v>
      </c>
      <c r="G27" s="66">
        <v>0</v>
      </c>
      <c r="H27" s="66">
        <v>4.5988699999999997E-3</v>
      </c>
    </row>
    <row r="28" spans="1:8">
      <c r="A28" s="66" t="s">
        <v>325</v>
      </c>
      <c r="B28" s="66">
        <v>7.1614599999999997E-3</v>
      </c>
      <c r="C28" s="66">
        <v>1.8116799999999999E-2</v>
      </c>
      <c r="D28" s="66">
        <v>2.5297700000000001</v>
      </c>
      <c r="E28" s="66">
        <v>0</v>
      </c>
      <c r="F28" s="196">
        <v>7.8125000000000002E-5</v>
      </c>
      <c r="G28" s="66">
        <v>0</v>
      </c>
      <c r="H28" s="66">
        <v>9.5660800000000004E-2</v>
      </c>
    </row>
    <row r="29" spans="1:8">
      <c r="A29" s="66" t="s">
        <v>326</v>
      </c>
      <c r="B29" s="66">
        <v>76.858900000000006</v>
      </c>
      <c r="C29" s="66">
        <v>12.4108</v>
      </c>
      <c r="D29" s="66">
        <v>0.16147500000000001</v>
      </c>
      <c r="E29" s="66">
        <v>0</v>
      </c>
      <c r="F29" s="66">
        <v>58.183399999999999</v>
      </c>
      <c r="G29" s="66">
        <v>0</v>
      </c>
      <c r="H29" s="66">
        <v>110.49</v>
      </c>
    </row>
    <row r="30" spans="1:8">
      <c r="A30" s="66" t="s">
        <v>327</v>
      </c>
      <c r="B30" s="66">
        <v>22.466100000000001</v>
      </c>
      <c r="C30" s="66">
        <v>1.90072</v>
      </c>
      <c r="D30" s="66">
        <v>8.4604100000000002E-2</v>
      </c>
      <c r="E30" s="66">
        <v>0</v>
      </c>
      <c r="F30" s="66">
        <v>19.224499999999999</v>
      </c>
      <c r="G30" s="66">
        <v>0</v>
      </c>
      <c r="H30" s="66">
        <v>26.943200000000001</v>
      </c>
    </row>
    <row r="31" spans="1:8">
      <c r="A31" s="66" t="s">
        <v>328</v>
      </c>
      <c r="B31" s="66">
        <v>344.61700000000002</v>
      </c>
      <c r="C31" s="66">
        <v>57.896000000000001</v>
      </c>
      <c r="D31" s="66">
        <v>0.16800100000000001</v>
      </c>
      <c r="E31" s="66">
        <v>0</v>
      </c>
      <c r="F31" s="66">
        <v>231.917</v>
      </c>
      <c r="G31" s="66">
        <v>0</v>
      </c>
      <c r="H31" s="66">
        <v>435.57100000000003</v>
      </c>
    </row>
    <row r="32" spans="1:8">
      <c r="A32" s="66" t="s">
        <v>329</v>
      </c>
      <c r="B32" s="66">
        <v>0.23573</v>
      </c>
      <c r="C32" s="66">
        <v>5.7246100000000001E-2</v>
      </c>
      <c r="D32" s="66">
        <v>0.24284600000000001</v>
      </c>
      <c r="E32" s="66">
        <v>0.15</v>
      </c>
      <c r="F32" s="66">
        <v>7.9452300000000003E-2</v>
      </c>
      <c r="G32" s="66">
        <v>0.4</v>
      </c>
      <c r="H32" s="66">
        <v>0.35481800000000002</v>
      </c>
    </row>
    <row r="33" spans="1:8">
      <c r="A33" s="66" t="s">
        <v>330</v>
      </c>
      <c r="B33" s="66">
        <v>0.300707</v>
      </c>
      <c r="C33" s="66">
        <v>2.1387699999999999E-2</v>
      </c>
      <c r="D33" s="66">
        <v>7.1124800000000002E-2</v>
      </c>
      <c r="E33" s="66">
        <v>0</v>
      </c>
      <c r="F33" s="66">
        <v>0.26187899999999997</v>
      </c>
      <c r="G33" s="66">
        <v>0</v>
      </c>
      <c r="H33" s="66">
        <v>0.35944900000000002</v>
      </c>
    </row>
    <row r="34" spans="1:8">
      <c r="A34" s="66" t="s">
        <v>331</v>
      </c>
      <c r="B34" s="66">
        <v>0.20688899999999999</v>
      </c>
      <c r="C34" s="66">
        <v>2.5806900000000001E-2</v>
      </c>
      <c r="D34" s="66">
        <v>0.124738</v>
      </c>
      <c r="E34" s="66">
        <v>0.1</v>
      </c>
      <c r="F34" s="66">
        <v>0.170293</v>
      </c>
      <c r="G34" s="66">
        <v>0.25</v>
      </c>
      <c r="H34" s="66">
        <v>0.31214999999999998</v>
      </c>
    </row>
    <row r="35" spans="1:8">
      <c r="A35" s="66" t="s">
        <v>332</v>
      </c>
      <c r="B35" s="66">
        <v>8.3840499999999998E-2</v>
      </c>
      <c r="C35" s="66">
        <v>2.5850700000000001E-2</v>
      </c>
      <c r="D35" s="66">
        <v>0.30833100000000002</v>
      </c>
      <c r="E35" s="66">
        <v>0</v>
      </c>
      <c r="F35" s="66">
        <v>3.9677700000000003E-2</v>
      </c>
      <c r="G35" s="66">
        <v>0</v>
      </c>
      <c r="H35" s="66">
        <v>0.17114699999999999</v>
      </c>
    </row>
    <row r="36" spans="1:8">
      <c r="A36" s="66" t="s">
        <v>333</v>
      </c>
      <c r="B36" s="66">
        <v>0.19116900000000001</v>
      </c>
      <c r="C36" s="66">
        <v>9.6761899999999998E-2</v>
      </c>
      <c r="D36" s="66">
        <v>0.506158</v>
      </c>
      <c r="E36" s="66">
        <v>0</v>
      </c>
      <c r="F36" s="66">
        <v>4.1919600000000001E-2</v>
      </c>
      <c r="G36" s="66">
        <v>0</v>
      </c>
      <c r="H36" s="66">
        <v>0.57384599999999997</v>
      </c>
    </row>
    <row r="37" spans="1:8">
      <c r="A37" s="66" t="s">
        <v>334</v>
      </c>
      <c r="B37" s="66">
        <v>0.25806899999999999</v>
      </c>
      <c r="C37" s="66">
        <v>9.8783200000000002E-2</v>
      </c>
      <c r="D37" s="66">
        <v>0.38277899999999998</v>
      </c>
      <c r="E37" s="66">
        <v>0.1</v>
      </c>
      <c r="F37" s="66">
        <v>3.1776699999999998E-2</v>
      </c>
      <c r="G37" s="66">
        <v>0.5</v>
      </c>
      <c r="H37" s="66">
        <v>0.359234</v>
      </c>
    </row>
    <row r="38" spans="1:8">
      <c r="A38" s="66" t="s">
        <v>335</v>
      </c>
      <c r="B38" s="66">
        <v>-15.8697</v>
      </c>
      <c r="C38" s="66">
        <v>61.176699999999997</v>
      </c>
      <c r="D38" s="66">
        <v>-3.85494</v>
      </c>
      <c r="E38" s="66">
        <v>0</v>
      </c>
      <c r="F38" s="66">
        <v>-204.52699999999999</v>
      </c>
      <c r="G38" s="66">
        <v>0</v>
      </c>
      <c r="H38" s="66">
        <v>280.70400000000001</v>
      </c>
    </row>
    <row r="39" spans="1:8">
      <c r="A39" s="66" t="s">
        <v>336</v>
      </c>
      <c r="B39" s="66">
        <v>-5.1360799999999998</v>
      </c>
      <c r="C39" s="66">
        <v>16.2682</v>
      </c>
      <c r="D39" s="66">
        <v>-3.1674199999999999</v>
      </c>
      <c r="E39" s="66">
        <v>0</v>
      </c>
      <c r="F39" s="66">
        <v>-102.483</v>
      </c>
      <c r="G39" s="66">
        <v>0</v>
      </c>
      <c r="H39" s="66">
        <v>60.165300000000002</v>
      </c>
    </row>
    <row r="40" spans="1:8">
      <c r="A40" s="66" t="s">
        <v>337</v>
      </c>
      <c r="B40" s="66">
        <v>0.143956</v>
      </c>
      <c r="C40" s="66">
        <v>0.73687999999999998</v>
      </c>
      <c r="D40" s="66">
        <v>5.1188000000000002</v>
      </c>
      <c r="E40" s="66">
        <v>0</v>
      </c>
      <c r="F40" s="66">
        <v>-1.5821700000000001</v>
      </c>
      <c r="G40" s="66">
        <v>0</v>
      </c>
      <c r="H40" s="66">
        <v>1.33284</v>
      </c>
    </row>
    <row r="41" spans="1:8">
      <c r="A41" s="66" t="s">
        <v>338</v>
      </c>
      <c r="B41" s="66">
        <v>-3.09404E-2</v>
      </c>
      <c r="C41" s="66">
        <v>0.32126300000000002</v>
      </c>
      <c r="D41" s="66">
        <v>-10.3833</v>
      </c>
      <c r="E41" s="66">
        <v>0</v>
      </c>
      <c r="F41" s="66">
        <v>-0.70731699999999997</v>
      </c>
      <c r="G41" s="66">
        <v>0</v>
      </c>
      <c r="H41" s="66">
        <v>1</v>
      </c>
    </row>
    <row r="42" spans="1:8">
      <c r="A42" s="66" t="s">
        <v>339</v>
      </c>
      <c r="B42" s="66">
        <v>-5.0922500000000002E-2</v>
      </c>
      <c r="C42" s="66">
        <v>0.121187</v>
      </c>
      <c r="D42" s="66">
        <v>-2.3798300000000001</v>
      </c>
      <c r="E42" s="66">
        <v>0</v>
      </c>
      <c r="F42" s="66">
        <v>-0.63725799999999999</v>
      </c>
      <c r="G42" s="66">
        <v>0</v>
      </c>
      <c r="H42" s="66">
        <v>0.29422599999999999</v>
      </c>
    </row>
    <row r="43" spans="1:8">
      <c r="A43" s="66" t="s">
        <v>340</v>
      </c>
      <c r="B43" s="66">
        <v>5.9677500000000001E-2</v>
      </c>
      <c r="C43" s="66">
        <v>3.0028300000000001E-2</v>
      </c>
      <c r="D43" s="66">
        <v>0.50317599999999996</v>
      </c>
      <c r="E43" s="66">
        <v>0</v>
      </c>
      <c r="F43" s="66">
        <v>-5.4912299999999997E-2</v>
      </c>
      <c r="G43" s="66">
        <v>0</v>
      </c>
      <c r="H43" s="66">
        <v>0.121133</v>
      </c>
    </row>
    <row r="44" spans="1:8">
      <c r="A44" s="66" t="s">
        <v>341</v>
      </c>
      <c r="B44" s="66">
        <v>-53.1096</v>
      </c>
      <c r="C44" s="66">
        <v>17.4482</v>
      </c>
      <c r="D44" s="66">
        <v>-0.32853199999999999</v>
      </c>
      <c r="E44" s="66">
        <v>0</v>
      </c>
      <c r="F44" s="66">
        <v>-73.480800000000002</v>
      </c>
      <c r="G44" s="66">
        <v>0</v>
      </c>
      <c r="H44" s="66">
        <v>-6.8416600000000001</v>
      </c>
    </row>
    <row r="45" spans="1:8">
      <c r="A45" s="66" t="s">
        <v>342</v>
      </c>
      <c r="B45" s="66">
        <v>51.692100000000003</v>
      </c>
      <c r="C45" s="66">
        <v>7.7924199999999999</v>
      </c>
      <c r="D45" s="66">
        <v>0.15074699999999999</v>
      </c>
      <c r="E45" s="66">
        <v>0</v>
      </c>
      <c r="F45" s="66">
        <v>36.797400000000003</v>
      </c>
      <c r="G45" s="66">
        <v>0</v>
      </c>
      <c r="H45" s="66">
        <v>74.256200000000007</v>
      </c>
    </row>
    <row r="46" spans="1:8">
      <c r="A46" s="66" t="s">
        <v>343</v>
      </c>
      <c r="B46" s="66">
        <v>28.1083</v>
      </c>
      <c r="C46" s="66">
        <v>0.66766400000000004</v>
      </c>
      <c r="D46" s="66">
        <v>2.3753300000000001E-2</v>
      </c>
      <c r="E46" s="66">
        <v>0</v>
      </c>
      <c r="F46" s="66">
        <v>26.7666</v>
      </c>
      <c r="G46" s="66">
        <v>0</v>
      </c>
      <c r="H46" s="66">
        <v>29.656300000000002</v>
      </c>
    </row>
    <row r="47" spans="1:8">
      <c r="A47" s="66" t="s">
        <v>344</v>
      </c>
      <c r="B47" s="66">
        <v>0.717117</v>
      </c>
      <c r="C47" s="66">
        <v>0.86224400000000001</v>
      </c>
      <c r="D47" s="66">
        <v>1.20238</v>
      </c>
      <c r="E47" s="66">
        <v>0</v>
      </c>
      <c r="F47" s="66">
        <v>0.21008199999999999</v>
      </c>
      <c r="G47" s="66">
        <v>0</v>
      </c>
      <c r="H47" s="66">
        <v>3.4816799999999999</v>
      </c>
    </row>
    <row r="48" spans="1:8">
      <c r="A48" s="66" t="s">
        <v>345</v>
      </c>
      <c r="B48" s="66">
        <v>0.75948899999999997</v>
      </c>
      <c r="C48" s="66">
        <v>0.26063199999999997</v>
      </c>
      <c r="D48" s="66">
        <v>0.34316799999999997</v>
      </c>
      <c r="E48" s="66">
        <v>0</v>
      </c>
      <c r="F48" s="66">
        <v>0.53350399999999998</v>
      </c>
      <c r="G48" s="66">
        <v>0</v>
      </c>
      <c r="H48" s="66">
        <v>1.44354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86.046122035291148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1.660426955378423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0.64790452592412306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1168</v>
      </c>
      <c r="B8" s="66">
        <v>1168</v>
      </c>
      <c r="D8">
        <f t="shared" si="0"/>
        <v>6.9045831535264803E-3</v>
      </c>
      <c r="E8">
        <f t="shared" si="0"/>
        <v>6.9045831535264803E-3</v>
      </c>
      <c r="G8">
        <f t="shared" ca="1" si="1"/>
        <v>6</v>
      </c>
      <c r="H8">
        <f t="shared" ca="1" si="2"/>
        <v>4.1427498921158878E-2</v>
      </c>
      <c r="I8">
        <f t="shared" ca="1" si="3"/>
        <v>44.240299418750126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1067</v>
      </c>
      <c r="B10" s="66">
        <v>1067</v>
      </c>
      <c r="D10">
        <f t="shared" si="0"/>
        <v>6.3075258774081804E-3</v>
      </c>
      <c r="E10">
        <f t="shared" si="0"/>
        <v>6.3075258774081804E-3</v>
      </c>
      <c r="G10">
        <f t="shared" ca="1" si="1"/>
        <v>8</v>
      </c>
      <c r="H10">
        <f t="shared" ca="1" si="2"/>
        <v>5.0460207019265443E-2</v>
      </c>
      <c r="I10">
        <f t="shared" ca="1" si="3"/>
        <v>38.420383741040567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1926</v>
      </c>
      <c r="B13" s="66">
        <v>1926</v>
      </c>
      <c r="D13">
        <f t="shared" si="0"/>
        <v>1.1385468453503425E-2</v>
      </c>
      <c r="E13">
        <f t="shared" si="0"/>
        <v>1.1385468453503425E-2</v>
      </c>
      <c r="G13">
        <f t="shared" ca="1" si="1"/>
        <v>11</v>
      </c>
      <c r="H13">
        <f t="shared" ca="1" si="2"/>
        <v>0.12524015298853769</v>
      </c>
      <c r="I13">
        <f t="shared" ca="1" si="3"/>
        <v>64.122052417277843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5037</v>
      </c>
      <c r="B15" s="66">
        <v>5037</v>
      </c>
      <c r="D15">
        <f t="shared" si="0"/>
        <v>2.9776014849582946E-2</v>
      </c>
      <c r="E15">
        <f t="shared" si="0"/>
        <v>2.9776014849582946E-2</v>
      </c>
      <c r="G15">
        <f t="shared" ca="1" si="1"/>
        <v>13</v>
      </c>
      <c r="H15">
        <f t="shared" ca="1" si="2"/>
        <v>0.38708819304457831</v>
      </c>
      <c r="I15">
        <f t="shared" ca="1" si="3"/>
        <v>158.87695271374849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7092</v>
      </c>
      <c r="B18" s="66">
        <v>7092</v>
      </c>
      <c r="D18">
        <f t="shared" si="0"/>
        <v>4.1924061408227568E-2</v>
      </c>
      <c r="E18">
        <f t="shared" si="0"/>
        <v>4.1924061408227568E-2</v>
      </c>
      <c r="G18">
        <f t="shared" ca="1" si="1"/>
        <v>16</v>
      </c>
      <c r="H18">
        <f t="shared" ca="1" si="2"/>
        <v>0.67078498253164109</v>
      </c>
      <c r="I18">
        <f t="shared" ca="1" si="3"/>
        <v>205.69869730851977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8941</v>
      </c>
      <c r="B21" s="66">
        <v>8941</v>
      </c>
      <c r="D21">
        <f t="shared" si="0"/>
        <v>5.2854347581918031E-2</v>
      </c>
      <c r="E21">
        <f t="shared" si="0"/>
        <v>5.2854347581918031E-2</v>
      </c>
      <c r="G21">
        <f t="shared" ca="1" si="1"/>
        <v>19</v>
      </c>
      <c r="H21">
        <f t="shared" ca="1" si="2"/>
        <v>1.0042326040564427</v>
      </c>
      <c r="I21">
        <f t="shared" ca="1" si="3"/>
        <v>237.58993724054361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13256</v>
      </c>
      <c r="B23" s="66">
        <v>13256</v>
      </c>
      <c r="D23">
        <f t="shared" si="0"/>
        <v>7.8362289625982046E-2</v>
      </c>
      <c r="E23">
        <f t="shared" si="0"/>
        <v>7.8362289625982046E-2</v>
      </c>
      <c r="G23">
        <f t="shared" ca="1" si="1"/>
        <v>21</v>
      </c>
      <c r="H23">
        <f t="shared" ca="1" si="2"/>
        <v>1.6456080821456229</v>
      </c>
      <c r="I23">
        <f t="shared" ca="1" si="3"/>
        <v>331.55069004272997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12197</v>
      </c>
      <c r="B26" s="66">
        <v>12197</v>
      </c>
      <c r="D26">
        <f t="shared" si="0"/>
        <v>7.2102055414008978E-2</v>
      </c>
      <c r="E26">
        <f t="shared" si="0"/>
        <v>7.2102055414008978E-2</v>
      </c>
      <c r="G26">
        <f t="shared" ca="1" si="1"/>
        <v>24</v>
      </c>
      <c r="H26">
        <f t="shared" ca="1" si="2"/>
        <v>1.7304493299362154</v>
      </c>
      <c r="I26">
        <f t="shared" ca="1" si="3"/>
        <v>277.5728155894829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18237</v>
      </c>
      <c r="B28" s="66">
        <v>18237</v>
      </c>
      <c r="D28">
        <f t="shared" si="0"/>
        <v>0.10780726281751919</v>
      </c>
      <c r="E28">
        <f t="shared" si="0"/>
        <v>0.10780726281751919</v>
      </c>
      <c r="G28">
        <f t="shared" ca="1" si="1"/>
        <v>26</v>
      </c>
      <c r="H28">
        <f t="shared" ca="1" si="2"/>
        <v>2.8029888332554989</v>
      </c>
      <c r="I28">
        <f t="shared" ca="1" si="3"/>
        <v>388.70305032085889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23171</v>
      </c>
      <c r="B31" s="66">
        <v>23171</v>
      </c>
      <c r="D31">
        <f t="shared" si="0"/>
        <v>0.13697439747462506</v>
      </c>
      <c r="E31">
        <f t="shared" si="0"/>
        <v>0.13697439747462506</v>
      </c>
      <c r="G31">
        <f t="shared" ca="1" si="1"/>
        <v>29</v>
      </c>
      <c r="H31">
        <f t="shared" ca="1" si="2"/>
        <v>3.9722575267641269</v>
      </c>
      <c r="I31">
        <f t="shared" ca="1" si="3"/>
        <v>445.75030810411829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31177</v>
      </c>
      <c r="B33" s="66">
        <v>31177</v>
      </c>
      <c r="D33">
        <f t="shared" si="0"/>
        <v>0.18430153165881427</v>
      </c>
      <c r="E33">
        <f t="shared" si="0"/>
        <v>0.18430153165881427</v>
      </c>
      <c r="G33">
        <f t="shared" ca="1" si="1"/>
        <v>31</v>
      </c>
      <c r="H33">
        <f t="shared" ca="1" si="2"/>
        <v>5.7133474814232423</v>
      </c>
      <c r="I33">
        <f t="shared" ca="1" si="3"/>
        <v>558.44756511410947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36234</v>
      </c>
      <c r="B36" s="66">
        <v>36234</v>
      </c>
      <c r="D36">
        <f t="shared" si="0"/>
        <v>0.214195775671985</v>
      </c>
      <c r="E36">
        <f t="shared" si="0"/>
        <v>0.214195775671985</v>
      </c>
      <c r="G36">
        <f t="shared" ca="1" si="1"/>
        <v>34</v>
      </c>
      <c r="H36">
        <f t="shared" ca="1" si="2"/>
        <v>7.28265637284749</v>
      </c>
      <c r="I36">
        <f t="shared" ca="1" si="3"/>
        <v>580.21326415630244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49073</v>
      </c>
      <c r="B39" s="66">
        <v>49073</v>
      </c>
      <c r="D39">
        <f t="shared" si="0"/>
        <v>0.29009298723716181</v>
      </c>
      <c r="E39">
        <f t="shared" si="0"/>
        <v>0.29009298723716181</v>
      </c>
      <c r="G39">
        <f t="shared" ca="1" si="1"/>
        <v>37</v>
      </c>
      <c r="H39">
        <f t="shared" ca="1" si="2"/>
        <v>10.733440527774988</v>
      </c>
      <c r="I39">
        <f t="shared" ca="1" si="3"/>
        <v>697.82508799596883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58462</v>
      </c>
      <c r="B41" s="66">
        <v>58462</v>
      </c>
      <c r="D41">
        <f t="shared" si="0"/>
        <v>0.34559566808344616</v>
      </c>
      <c r="E41">
        <f t="shared" si="0"/>
        <v>0.34559566808344616</v>
      </c>
      <c r="G41">
        <f t="shared" ca="1" si="1"/>
        <v>39</v>
      </c>
      <c r="H41">
        <f t="shared" ca="1" si="2"/>
        <v>13.478231055254401</v>
      </c>
      <c r="I41">
        <f t="shared" ca="1" si="3"/>
        <v>764.91988606838322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70965</v>
      </c>
      <c r="B44" s="66">
        <v>70965</v>
      </c>
      <c r="D44">
        <f t="shared" si="0"/>
        <v>0.41950662970034819</v>
      </c>
      <c r="E44">
        <f t="shared" si="0"/>
        <v>0.41950662970034819</v>
      </c>
      <c r="G44">
        <f t="shared" ca="1" si="1"/>
        <v>42</v>
      </c>
      <c r="H44">
        <f t="shared" ca="1" si="2"/>
        <v>17.619278447414622</v>
      </c>
      <c r="I44">
        <f t="shared" ca="1" si="3"/>
        <v>813.86839545508656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90151</v>
      </c>
      <c r="B46" s="66">
        <v>90151</v>
      </c>
      <c r="D46">
        <f t="shared" si="0"/>
        <v>0.53292386633010769</v>
      </c>
      <c r="E46">
        <f t="shared" si="0"/>
        <v>0.53292386633010769</v>
      </c>
      <c r="G46">
        <f t="shared" ca="1" si="1"/>
        <v>44</v>
      </c>
      <c r="H46">
        <f t="shared" ca="1" si="2"/>
        <v>23.448650118524739</v>
      </c>
      <c r="I46">
        <f t="shared" ca="1" si="3"/>
        <v>942.14351466752669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101868</v>
      </c>
      <c r="B49" s="66">
        <v>101868</v>
      </c>
      <c r="D49">
        <f t="shared" si="0"/>
        <v>0.6021884218180098</v>
      </c>
      <c r="E49">
        <f t="shared" si="0"/>
        <v>0.6021884218180098</v>
      </c>
      <c r="G49">
        <f t="shared" ca="1" si="1"/>
        <v>47</v>
      </c>
      <c r="H49">
        <f t="shared" ca="1" si="2"/>
        <v>28.302855825446461</v>
      </c>
      <c r="I49">
        <f t="shared" ca="1" si="3"/>
        <v>918.0962547259345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104365</v>
      </c>
      <c r="B51" s="66">
        <v>104365</v>
      </c>
      <c r="D51">
        <f t="shared" si="0"/>
        <v>0.61694933289194442</v>
      </c>
      <c r="E51">
        <f t="shared" si="0"/>
        <v>0.61694933289194442</v>
      </c>
      <c r="G51">
        <f t="shared" ca="1" si="1"/>
        <v>49</v>
      </c>
      <c r="H51">
        <f t="shared" ca="1" si="2"/>
        <v>30.230517311705277</v>
      </c>
      <c r="I51">
        <f t="shared" ca="1" si="3"/>
        <v>846.71061608862317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111991</v>
      </c>
      <c r="B54" s="66">
        <v>111991</v>
      </c>
      <c r="D54">
        <f t="shared" si="0"/>
        <v>0.66203011296796577</v>
      </c>
      <c r="E54">
        <f t="shared" si="0"/>
        <v>0.66203011296796577</v>
      </c>
      <c r="G54">
        <f t="shared" ca="1" si="1"/>
        <v>52</v>
      </c>
      <c r="H54">
        <f t="shared" ca="1" si="2"/>
        <v>34.425565874334218</v>
      </c>
      <c r="I54">
        <f t="shared" ca="1" si="3"/>
        <v>767.3845428732418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120620</v>
      </c>
      <c r="B57" s="66">
        <v>120620</v>
      </c>
      <c r="D57">
        <f t="shared" si="0"/>
        <v>0.71304008559791443</v>
      </c>
      <c r="E57">
        <f t="shared" si="0"/>
        <v>0.71304008559791443</v>
      </c>
      <c r="G57">
        <f t="shared" ca="1" si="1"/>
        <v>55</v>
      </c>
      <c r="H57">
        <f t="shared" ca="1" si="2"/>
        <v>39.217204707885294</v>
      </c>
      <c r="I57">
        <f t="shared" ca="1" si="3"/>
        <v>687.27202438801385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134773</v>
      </c>
      <c r="B59" s="66">
        <v>134773</v>
      </c>
      <c r="D59">
        <f t="shared" si="0"/>
        <v>0.79670495321080848</v>
      </c>
      <c r="E59">
        <f t="shared" si="0"/>
        <v>0.79670495321080848</v>
      </c>
      <c r="G59">
        <f t="shared" ca="1" si="1"/>
        <v>57</v>
      </c>
      <c r="H59">
        <f t="shared" ca="1" si="2"/>
        <v>45.412182333016084</v>
      </c>
      <c r="I59">
        <f t="shared" ca="1" si="3"/>
        <v>672.16180836481908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149713</v>
      </c>
      <c r="B62" s="66">
        <v>149713</v>
      </c>
      <c r="D62">
        <f t="shared" si="0"/>
        <v>0.88502213841088184</v>
      </c>
      <c r="E62">
        <f t="shared" si="0"/>
        <v>0.88502213841088184</v>
      </c>
      <c r="G62">
        <f t="shared" ca="1" si="1"/>
        <v>60</v>
      </c>
      <c r="H62">
        <f t="shared" ca="1" si="2"/>
        <v>53.10132830465291</v>
      </c>
      <c r="I62">
        <f t="shared" ca="1" si="3"/>
        <v>600.39943738180739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168781</v>
      </c>
      <c r="B64" s="66">
        <v>168781</v>
      </c>
      <c r="D64">
        <f t="shared" si="0"/>
        <v>0.99774182297547331</v>
      </c>
      <c r="E64">
        <f t="shared" si="0"/>
        <v>0.99774182297547331</v>
      </c>
      <c r="G64">
        <f t="shared" ca="1" si="1"/>
        <v>62</v>
      </c>
      <c r="H64">
        <f t="shared" ca="1" si="2"/>
        <v>61.859993024479344</v>
      </c>
      <c r="I64">
        <f t="shared" ca="1" si="3"/>
        <v>576.91027088371777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169163</v>
      </c>
      <c r="B67" s="66">
        <v>169163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442.93925272436763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164656</v>
      </c>
      <c r="B69" s="66">
        <v>164656</v>
      </c>
      <c r="D69">
        <f t="shared" si="4"/>
        <v>0.97335705798549332</v>
      </c>
      <c r="E69">
        <f t="shared" si="4"/>
        <v>0.97335705798549332</v>
      </c>
      <c r="G69">
        <f t="shared" ca="1" si="5"/>
        <v>67</v>
      </c>
      <c r="H69">
        <f t="shared" ca="1" si="6"/>
        <v>65.214922885028059</v>
      </c>
      <c r="I69">
        <f t="shared" ca="1" si="7"/>
        <v>353.08991042492676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164393</v>
      </c>
      <c r="B72" s="66">
        <v>164393</v>
      </c>
      <c r="D72">
        <f t="shared" si="4"/>
        <v>0.97180234448431391</v>
      </c>
      <c r="E72">
        <f t="shared" si="4"/>
        <v>0.97180234448431391</v>
      </c>
      <c r="G72">
        <f t="shared" ca="1" si="5"/>
        <v>70</v>
      </c>
      <c r="H72">
        <f t="shared" ca="1" si="6"/>
        <v>68.02616411390197</v>
      </c>
      <c r="I72">
        <f t="shared" ca="1" si="7"/>
        <v>250.21775551178916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162501</v>
      </c>
      <c r="B75" s="66">
        <v>162501</v>
      </c>
      <c r="D75">
        <f t="shared" si="4"/>
        <v>0.96061786560890972</v>
      </c>
      <c r="E75">
        <f t="shared" si="4"/>
        <v>0.96061786560890972</v>
      </c>
      <c r="G75">
        <f t="shared" ca="1" si="5"/>
        <v>73</v>
      </c>
      <c r="H75">
        <f t="shared" ca="1" si="6"/>
        <v>70.125104189450411</v>
      </c>
      <c r="I75">
        <f t="shared" ca="1" si="7"/>
        <v>163.4984096832813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157365</v>
      </c>
      <c r="B77" s="66">
        <v>157365</v>
      </c>
      <c r="D77">
        <f t="shared" si="4"/>
        <v>0.93025661639956725</v>
      </c>
      <c r="E77">
        <f t="shared" si="4"/>
        <v>0.93025661639956725</v>
      </c>
      <c r="G77">
        <f t="shared" ca="1" si="5"/>
        <v>75</v>
      </c>
      <c r="H77">
        <f t="shared" ca="1" si="6"/>
        <v>69.76924622996755</v>
      </c>
      <c r="I77">
        <f t="shared" ca="1" si="7"/>
        <v>113.5069466922334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165593</v>
      </c>
      <c r="B80" s="66">
        <v>165593</v>
      </c>
      <c r="D80">
        <f t="shared" si="4"/>
        <v>0.97889609429958091</v>
      </c>
      <c r="E80">
        <f t="shared" si="4"/>
        <v>0.97889609429958091</v>
      </c>
      <c r="G80">
        <f t="shared" ca="1" si="5"/>
        <v>78</v>
      </c>
      <c r="H80">
        <f t="shared" ca="1" si="6"/>
        <v>76.353895355367314</v>
      </c>
      <c r="I80">
        <f t="shared" ca="1" si="7"/>
        <v>63.373811267517503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153599</v>
      </c>
      <c r="B82" s="66">
        <v>153599</v>
      </c>
      <c r="D82">
        <f t="shared" si="4"/>
        <v>0.90799406489598788</v>
      </c>
      <c r="E82">
        <f t="shared" si="4"/>
        <v>0.90799406489598788</v>
      </c>
      <c r="G82">
        <f t="shared" ca="1" si="5"/>
        <v>80</v>
      </c>
      <c r="H82">
        <f t="shared" ca="1" si="6"/>
        <v>72.639525191679027</v>
      </c>
      <c r="I82">
        <f t="shared" ca="1" si="7"/>
        <v>33.192260271156158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152172</v>
      </c>
      <c r="B85" s="66">
        <v>152172</v>
      </c>
      <c r="D85">
        <f t="shared" si="4"/>
        <v>0.89955841407399961</v>
      </c>
      <c r="E85">
        <f t="shared" si="4"/>
        <v>0.89955841407399961</v>
      </c>
      <c r="G85">
        <f t="shared" ca="1" si="5"/>
        <v>83</v>
      </c>
      <c r="H85">
        <f t="shared" ca="1" si="6"/>
        <v>74.663348368141968</v>
      </c>
      <c r="I85">
        <f t="shared" ca="1" si="7"/>
        <v>8.3468760947534868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147317</v>
      </c>
      <c r="B88" s="66">
        <v>147317</v>
      </c>
      <c r="D88">
        <f t="shared" si="4"/>
        <v>0.87085828461306547</v>
      </c>
      <c r="E88">
        <f t="shared" si="4"/>
        <v>0.87085828461306547</v>
      </c>
      <c r="G88">
        <f t="shared" ca="1" si="5"/>
        <v>86</v>
      </c>
      <c r="H88">
        <f t="shared" ca="1" si="6"/>
        <v>74.893812476723625</v>
      </c>
      <c r="I88">
        <f t="shared" ca="1" si="7"/>
        <v>1.8525264404727019E-3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133874</v>
      </c>
      <c r="B90" s="66">
        <v>133874</v>
      </c>
      <c r="D90">
        <f t="shared" si="4"/>
        <v>0.79139055230753774</v>
      </c>
      <c r="E90">
        <f t="shared" si="4"/>
        <v>0.79139055230753774</v>
      </c>
      <c r="G90">
        <f t="shared" ca="1" si="5"/>
        <v>88</v>
      </c>
      <c r="H90">
        <f t="shared" ca="1" si="6"/>
        <v>69.642368603063318</v>
      </c>
      <c r="I90">
        <f t="shared" ca="1" si="7"/>
        <v>3.0212435166313028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127718</v>
      </c>
      <c r="B93" s="66">
        <v>127718</v>
      </c>
      <c r="D93">
        <f t="shared" si="4"/>
        <v>0.75499961575521835</v>
      </c>
      <c r="E93">
        <f t="shared" si="4"/>
        <v>0.75499961575521835</v>
      </c>
      <c r="G93">
        <f t="shared" ca="1" si="5"/>
        <v>91</v>
      </c>
      <c r="H93">
        <f t="shared" ca="1" si="6"/>
        <v>68.704965033724875</v>
      </c>
      <c r="I93">
        <f t="shared" ca="1" si="7"/>
        <v>18.528375271651669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116275</v>
      </c>
      <c r="B95" s="66">
        <v>116275</v>
      </c>
      <c r="D95">
        <f t="shared" si="4"/>
        <v>0.68735479980846881</v>
      </c>
      <c r="E95">
        <f t="shared" si="4"/>
        <v>0.68735479980846881</v>
      </c>
      <c r="G95">
        <f t="shared" ca="1" si="5"/>
        <v>93</v>
      </c>
      <c r="H95">
        <f t="shared" ca="1" si="6"/>
        <v>63.923996382187596</v>
      </c>
      <c r="I95">
        <f t="shared" ca="1" si="7"/>
        <v>33.238016528029554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116114</v>
      </c>
      <c r="B98" s="66">
        <v>116114</v>
      </c>
      <c r="D98">
        <f t="shared" si="4"/>
        <v>0.68640305504158716</v>
      </c>
      <c r="E98">
        <f t="shared" si="4"/>
        <v>0.68640305504158716</v>
      </c>
      <c r="G98">
        <f t="shared" ca="1" si="5"/>
        <v>96</v>
      </c>
      <c r="H98">
        <f t="shared" ca="1" si="6"/>
        <v>65.894693283992368</v>
      </c>
      <c r="I98">
        <f t="shared" ca="1" si="7"/>
        <v>68.008599531090411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104410</v>
      </c>
      <c r="B100" s="66">
        <v>104410</v>
      </c>
      <c r="D100">
        <f t="shared" si="4"/>
        <v>0.61721534851001691</v>
      </c>
      <c r="E100">
        <f t="shared" si="4"/>
        <v>0.61721534851001691</v>
      </c>
      <c r="G100">
        <f t="shared" ca="1" si="5"/>
        <v>98</v>
      </c>
      <c r="H100">
        <f t="shared" ca="1" si="6"/>
        <v>60.487104153981655</v>
      </c>
      <c r="I100">
        <f t="shared" ca="1" si="7"/>
        <v>88.197109677871666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104005</v>
      </c>
      <c r="B103" s="66">
        <v>104005</v>
      </c>
      <c r="D103">
        <f t="shared" si="4"/>
        <v>0.61482120794736439</v>
      </c>
      <c r="E103">
        <f t="shared" si="4"/>
        <v>0.61482120794736439</v>
      </c>
      <c r="G103">
        <f t="shared" ca="1" si="5"/>
        <v>101</v>
      </c>
      <c r="H103">
        <f t="shared" ca="1" si="6"/>
        <v>62.096942002683804</v>
      </c>
      <c r="I103">
        <f t="shared" ca="1" si="7"/>
        <v>137.48537549821791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94555</v>
      </c>
      <c r="B106" s="66">
        <v>94555</v>
      </c>
      <c r="D106">
        <f t="shared" si="4"/>
        <v>0.5589579281521373</v>
      </c>
      <c r="E106">
        <f t="shared" si="4"/>
        <v>0.5589579281521373</v>
      </c>
      <c r="G106">
        <f t="shared" ca="1" si="5"/>
        <v>104</v>
      </c>
      <c r="H106">
        <f t="shared" ca="1" si="6"/>
        <v>58.131624527822282</v>
      </c>
      <c r="I106">
        <f t="shared" ca="1" si="7"/>
        <v>180.17546777776542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91546</v>
      </c>
      <c r="B108" s="66">
        <v>91546</v>
      </c>
      <c r="D108">
        <f t="shared" si="4"/>
        <v>0.54117035049035545</v>
      </c>
      <c r="E108">
        <f t="shared" si="4"/>
        <v>0.54117035049035545</v>
      </c>
      <c r="G108">
        <f t="shared" ca="1" si="5"/>
        <v>106</v>
      </c>
      <c r="H108">
        <f t="shared" ca="1" si="6"/>
        <v>57.364057151977676</v>
      </c>
      <c r="I108">
        <f t="shared" ca="1" si="7"/>
        <v>215.47089627636277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88714</v>
      </c>
      <c r="B111" s="66">
        <v>88714</v>
      </c>
      <c r="D111">
        <f t="shared" si="4"/>
        <v>0.52442910092632544</v>
      </c>
      <c r="E111">
        <f t="shared" si="4"/>
        <v>0.52442910092632544</v>
      </c>
      <c r="G111">
        <f t="shared" ca="1" si="5"/>
        <v>109</v>
      </c>
      <c r="H111">
        <f t="shared" ca="1" si="6"/>
        <v>57.162772000969476</v>
      </c>
      <c r="I111">
        <f t="shared" ca="1" si="7"/>
        <v>276.31147405267984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84894</v>
      </c>
      <c r="B113" s="66">
        <v>84894</v>
      </c>
      <c r="D113">
        <f t="shared" si="4"/>
        <v>0.50184733068105913</v>
      </c>
      <c r="E113">
        <f t="shared" si="4"/>
        <v>0.50184733068105913</v>
      </c>
      <c r="G113">
        <f t="shared" ca="1" si="5"/>
        <v>111</v>
      </c>
      <c r="H113">
        <f t="shared" ca="1" si="6"/>
        <v>55.705053705597564</v>
      </c>
      <c r="I113">
        <f t="shared" ca="1" si="7"/>
        <v>312.49833821162929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78231</v>
      </c>
      <c r="B116" s="66">
        <v>78231</v>
      </c>
      <c r="D116">
        <f t="shared" si="4"/>
        <v>0.46245928483178944</v>
      </c>
      <c r="E116">
        <f t="shared" si="4"/>
        <v>0.46245928483178944</v>
      </c>
      <c r="G116">
        <f t="shared" ca="1" si="5"/>
        <v>114</v>
      </c>
      <c r="H116">
        <f t="shared" ca="1" si="6"/>
        <v>52.720358470823996</v>
      </c>
      <c r="I116">
        <f t="shared" ca="1" si="7"/>
        <v>361.37460751748046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70621</v>
      </c>
      <c r="B118" s="66">
        <v>70621</v>
      </c>
      <c r="D118">
        <f t="shared" si="4"/>
        <v>0.41747308808663836</v>
      </c>
      <c r="E118">
        <f t="shared" si="4"/>
        <v>0.41747308808663836</v>
      </c>
      <c r="G118">
        <f t="shared" ca="1" si="5"/>
        <v>116</v>
      </c>
      <c r="H118">
        <f t="shared" ca="1" si="6"/>
        <v>48.426878218050049</v>
      </c>
      <c r="I118">
        <f t="shared" ca="1" si="7"/>
        <v>374.57138483420937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68878</v>
      </c>
      <c r="B121" s="66">
        <v>68878</v>
      </c>
      <c r="D121">
        <f t="shared" si="4"/>
        <v>0.40716941647996313</v>
      </c>
      <c r="E121">
        <f t="shared" si="4"/>
        <v>0.40716941647996313</v>
      </c>
      <c r="G121">
        <f t="shared" ca="1" si="5"/>
        <v>119</v>
      </c>
      <c r="H121">
        <f t="shared" ca="1" si="6"/>
        <v>48.45316056111561</v>
      </c>
      <c r="I121">
        <f t="shared" ca="1" si="7"/>
        <v>442.16891486966034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65821</v>
      </c>
      <c r="B124" s="66">
        <v>65821</v>
      </c>
      <c r="D124">
        <f t="shared" si="4"/>
        <v>0.38909808882557062</v>
      </c>
      <c r="E124">
        <f t="shared" si="4"/>
        <v>0.38909808882557062</v>
      </c>
      <c r="G124">
        <f t="shared" ca="1" si="5"/>
        <v>122</v>
      </c>
      <c r="H124">
        <f t="shared" ca="1" si="6"/>
        <v>47.469966836719614</v>
      </c>
      <c r="I124">
        <f t="shared" ca="1" si="7"/>
        <v>502.97983912730416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63747</v>
      </c>
      <c r="B126" s="66">
        <v>63747</v>
      </c>
      <c r="D126">
        <f t="shared" si="4"/>
        <v>0.3768377245615176</v>
      </c>
      <c r="E126">
        <f t="shared" si="4"/>
        <v>0.3768377245615176</v>
      </c>
      <c r="G126">
        <f t="shared" ca="1" si="5"/>
        <v>124</v>
      </c>
      <c r="H126">
        <f t="shared" ca="1" si="6"/>
        <v>46.727877845628178</v>
      </c>
      <c r="I126">
        <f t="shared" ca="1" si="7"/>
        <v>542.83355615674282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64628</v>
      </c>
      <c r="B129" s="66">
        <v>64628</v>
      </c>
      <c r="D129">
        <f t="shared" si="4"/>
        <v>0.38204571921755942</v>
      </c>
      <c r="E129">
        <f t="shared" si="4"/>
        <v>0.38204571921755942</v>
      </c>
      <c r="G129">
        <f t="shared" ca="1" si="5"/>
        <v>127</v>
      </c>
      <c r="H129">
        <f t="shared" ca="1" si="6"/>
        <v>48.519806340630048</v>
      </c>
      <c r="I129">
        <f t="shared" ca="1" si="7"/>
        <v>640.77476716461456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55047</v>
      </c>
      <c r="B131" s="66">
        <v>55047</v>
      </c>
      <c r="D131">
        <f t="shared" ref="D131:E194" si="8">IFERROR( A131/MAX(A$2:A$257), 0 )</f>
        <v>0.32540803840083232</v>
      </c>
      <c r="E131">
        <f t="shared" si="8"/>
        <v>0.32540803840083232</v>
      </c>
      <c r="G131">
        <f t="shared" ref="G131:G194" ca="1" si="9">CELL("row",D131)-2</f>
        <v>129</v>
      </c>
      <c r="H131">
        <f t="shared" ref="H131:H194" ca="1" si="10">D131*G131</f>
        <v>41.977636953707368</v>
      </c>
      <c r="I131">
        <f t="shared" ref="I131:I194" ca="1" si="11">D131*((G131-$L$1)^2)</f>
        <v>600.38942585615212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54648</v>
      </c>
      <c r="B134" s="66">
        <v>54648</v>
      </c>
      <c r="D134">
        <f t="shared" si="8"/>
        <v>0.32304936658725608</v>
      </c>
      <c r="E134">
        <f t="shared" si="8"/>
        <v>0.32304936658725608</v>
      </c>
      <c r="G134">
        <f t="shared" ca="1" si="9"/>
        <v>132</v>
      </c>
      <c r="H134">
        <f t="shared" ca="1" si="10"/>
        <v>42.642516389517802</v>
      </c>
      <c r="I134">
        <f t="shared" ca="1" si="11"/>
        <v>682.20237502849966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50500</v>
      </c>
      <c r="B136" s="66">
        <v>50500</v>
      </c>
      <c r="D136">
        <f t="shared" si="8"/>
        <v>0.29852863805915003</v>
      </c>
      <c r="E136">
        <f t="shared" si="8"/>
        <v>0.29852863805915003</v>
      </c>
      <c r="G136">
        <f t="shared" ca="1" si="9"/>
        <v>134</v>
      </c>
      <c r="H136">
        <f t="shared" ca="1" si="10"/>
        <v>40.002837499926102</v>
      </c>
      <c r="I136">
        <f t="shared" ca="1" si="11"/>
        <v>686.48881728650213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43125</v>
      </c>
      <c r="B139" s="66">
        <v>43125</v>
      </c>
      <c r="D139">
        <f t="shared" si="8"/>
        <v>0.25493163398615537</v>
      </c>
      <c r="E139">
        <f t="shared" si="8"/>
        <v>0.25493163398615537</v>
      </c>
      <c r="G139">
        <f t="shared" ca="1" si="9"/>
        <v>137</v>
      </c>
      <c r="H139">
        <f t="shared" ca="1" si="10"/>
        <v>34.925633856103289</v>
      </c>
      <c r="I139">
        <f t="shared" ca="1" si="11"/>
        <v>661.8784097857116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39055</v>
      </c>
      <c r="B142" s="66">
        <v>39055</v>
      </c>
      <c r="D142">
        <f t="shared" si="8"/>
        <v>0.23087199919604168</v>
      </c>
      <c r="E142">
        <f t="shared" si="8"/>
        <v>0.23087199919604168</v>
      </c>
      <c r="G142">
        <f t="shared" ca="1" si="9"/>
        <v>140</v>
      </c>
      <c r="H142">
        <f t="shared" ca="1" si="10"/>
        <v>32.322079887445838</v>
      </c>
      <c r="I142">
        <f t="shared" ca="1" si="11"/>
        <v>672.07322583487996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37077</v>
      </c>
      <c r="B144" s="66">
        <v>37077</v>
      </c>
      <c r="D144">
        <f t="shared" si="8"/>
        <v>0.21917913491721003</v>
      </c>
      <c r="E144">
        <f t="shared" si="8"/>
        <v>0.21917913491721003</v>
      </c>
      <c r="G144">
        <f t="shared" ca="1" si="9"/>
        <v>142</v>
      </c>
      <c r="H144">
        <f t="shared" ca="1" si="10"/>
        <v>31.123437158243824</v>
      </c>
      <c r="I144">
        <f t="shared" ca="1" si="11"/>
        <v>686.21402671434021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35761</v>
      </c>
      <c r="B147" s="66">
        <v>35761</v>
      </c>
      <c r="D147">
        <f t="shared" si="8"/>
        <v>0.21139965595313395</v>
      </c>
      <c r="E147">
        <f t="shared" si="8"/>
        <v>0.21139965595313395</v>
      </c>
      <c r="G147">
        <f t="shared" ca="1" si="9"/>
        <v>145</v>
      </c>
      <c r="H147">
        <f t="shared" ca="1" si="10"/>
        <v>30.652950113204422</v>
      </c>
      <c r="I147">
        <f t="shared" ca="1" si="11"/>
        <v>734.73213054881171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27958</v>
      </c>
      <c r="B149" s="66">
        <v>27958</v>
      </c>
      <c r="D149">
        <f t="shared" si="8"/>
        <v>0.16527254777936073</v>
      </c>
      <c r="E149">
        <f t="shared" si="8"/>
        <v>0.16527254777936073</v>
      </c>
      <c r="G149">
        <f t="shared" ca="1" si="9"/>
        <v>147</v>
      </c>
      <c r="H149">
        <f t="shared" ca="1" si="10"/>
        <v>24.29506452356603</v>
      </c>
      <c r="I149">
        <f t="shared" ca="1" si="11"/>
        <v>614.04953169540613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23003</v>
      </c>
      <c r="B152" s="66">
        <v>23003</v>
      </c>
      <c r="D152">
        <f t="shared" si="8"/>
        <v>0.13598127250048769</v>
      </c>
      <c r="E152">
        <f t="shared" si="8"/>
        <v>0.13598127250048769</v>
      </c>
      <c r="G152">
        <f t="shared" ca="1" si="9"/>
        <v>150</v>
      </c>
      <c r="H152">
        <f t="shared" ca="1" si="10"/>
        <v>20.397190875073154</v>
      </c>
      <c r="I152">
        <f t="shared" ca="1" si="11"/>
        <v>556.17679959679265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22742</v>
      </c>
      <c r="B154" s="66">
        <v>22742</v>
      </c>
      <c r="D154">
        <f t="shared" si="8"/>
        <v>0.13443838191566715</v>
      </c>
      <c r="E154">
        <f t="shared" si="8"/>
        <v>0.13443838191566715</v>
      </c>
      <c r="G154">
        <f t="shared" ca="1" si="9"/>
        <v>152</v>
      </c>
      <c r="H154">
        <f t="shared" ca="1" si="10"/>
        <v>20.434634051181405</v>
      </c>
      <c r="I154">
        <f t="shared" ca="1" si="11"/>
        <v>584.79540213067094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23128</v>
      </c>
      <c r="B157" s="66">
        <v>23128</v>
      </c>
      <c r="D157">
        <f t="shared" si="8"/>
        <v>0.13672020477291133</v>
      </c>
      <c r="E157">
        <f t="shared" si="8"/>
        <v>0.13672020477291133</v>
      </c>
      <c r="G157">
        <f t="shared" ca="1" si="9"/>
        <v>155</v>
      </c>
      <c r="H157">
        <f t="shared" ca="1" si="10"/>
        <v>21.191631739801256</v>
      </c>
      <c r="I157">
        <f t="shared" ca="1" si="11"/>
        <v>650.05498341369389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23047</v>
      </c>
      <c r="B160" s="66">
        <v>23047</v>
      </c>
      <c r="D160">
        <f t="shared" si="8"/>
        <v>0.1362413766603808</v>
      </c>
      <c r="E160">
        <f t="shared" si="8"/>
        <v>0.1362413766603808</v>
      </c>
      <c r="G160">
        <f t="shared" ca="1" si="9"/>
        <v>158</v>
      </c>
      <c r="H160">
        <f t="shared" ca="1" si="10"/>
        <v>21.526137512340167</v>
      </c>
      <c r="I160">
        <f t="shared" ca="1" si="11"/>
        <v>705.37072936593961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20291</v>
      </c>
      <c r="B162" s="66">
        <v>20291</v>
      </c>
      <c r="D162">
        <f t="shared" si="8"/>
        <v>0.11994939791798442</v>
      </c>
      <c r="E162">
        <f t="shared" si="8"/>
        <v>0.11994939791798442</v>
      </c>
      <c r="G162">
        <f t="shared" ca="1" si="9"/>
        <v>160</v>
      </c>
      <c r="H162">
        <f t="shared" ca="1" si="10"/>
        <v>19.191903666877508</v>
      </c>
      <c r="I162">
        <f t="shared" ca="1" si="11"/>
        <v>656.02437622643561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18198</v>
      </c>
      <c r="B165" s="66">
        <v>18198</v>
      </c>
      <c r="D165">
        <f t="shared" si="8"/>
        <v>0.10757671594852303</v>
      </c>
      <c r="E165">
        <f t="shared" si="8"/>
        <v>0.10757671594852303</v>
      </c>
      <c r="G165">
        <f t="shared" ca="1" si="9"/>
        <v>163</v>
      </c>
      <c r="H165">
        <f t="shared" ca="1" si="10"/>
        <v>17.535004699609253</v>
      </c>
      <c r="I165">
        <f t="shared" ca="1" si="11"/>
        <v>637.05848250873589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17468</v>
      </c>
      <c r="B167" s="66">
        <v>17468</v>
      </c>
      <c r="D167">
        <f t="shared" si="8"/>
        <v>0.10326135147756897</v>
      </c>
      <c r="E167">
        <f t="shared" si="8"/>
        <v>0.10326135147756897</v>
      </c>
      <c r="G167">
        <f t="shared" ca="1" si="9"/>
        <v>165</v>
      </c>
      <c r="H167">
        <f t="shared" ca="1" si="10"/>
        <v>17.038122993798879</v>
      </c>
      <c r="I167">
        <f t="shared" ca="1" si="11"/>
        <v>643.70181968927068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15098</v>
      </c>
      <c r="B170" s="66">
        <v>15098</v>
      </c>
      <c r="D170">
        <f t="shared" si="8"/>
        <v>8.9251195592416788E-2</v>
      </c>
      <c r="E170">
        <f t="shared" si="8"/>
        <v>8.9251195592416788E-2</v>
      </c>
      <c r="G170">
        <f t="shared" ca="1" si="9"/>
        <v>168</v>
      </c>
      <c r="H170">
        <f t="shared" ca="1" si="10"/>
        <v>14.994200859526021</v>
      </c>
      <c r="I170">
        <f t="shared" ca="1" si="11"/>
        <v>599.45013174828068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12408</v>
      </c>
      <c r="B173" s="66">
        <v>12408</v>
      </c>
      <c r="D173">
        <f t="shared" si="8"/>
        <v>7.3349373089860073E-2</v>
      </c>
      <c r="E173">
        <f t="shared" si="8"/>
        <v>7.3349373089860073E-2</v>
      </c>
      <c r="G173">
        <f t="shared" ca="1" si="9"/>
        <v>171</v>
      </c>
      <c r="H173">
        <f t="shared" ca="1" si="10"/>
        <v>12.542742798366072</v>
      </c>
      <c r="I173">
        <f t="shared" ca="1" si="11"/>
        <v>529.37426280249656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11447</v>
      </c>
      <c r="B175" s="66">
        <v>11447</v>
      </c>
      <c r="D175">
        <f t="shared" si="8"/>
        <v>6.7668461779467143E-2</v>
      </c>
      <c r="E175">
        <f t="shared" si="8"/>
        <v>6.7668461779467143E-2</v>
      </c>
      <c r="G175">
        <f t="shared" ca="1" si="9"/>
        <v>173</v>
      </c>
      <c r="H175">
        <f t="shared" ca="1" si="10"/>
        <v>11.706643887847816</v>
      </c>
      <c r="I175">
        <f t="shared" ca="1" si="11"/>
        <v>511.63967590627169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9699</v>
      </c>
      <c r="B178" s="66">
        <v>9699</v>
      </c>
      <c r="D178">
        <f t="shared" si="8"/>
        <v>5.7335232881894974E-2</v>
      </c>
      <c r="E178">
        <f t="shared" si="8"/>
        <v>5.7335232881894974E-2</v>
      </c>
      <c r="G178">
        <f t="shared" ca="1" si="9"/>
        <v>176</v>
      </c>
      <c r="H178">
        <f t="shared" ca="1" si="10"/>
        <v>10.091000987213516</v>
      </c>
      <c r="I178">
        <f t="shared" ca="1" si="11"/>
        <v>463.93951313507984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12729</v>
      </c>
      <c r="B180" s="66">
        <v>12729</v>
      </c>
      <c r="D180">
        <f t="shared" si="8"/>
        <v>7.5246951165443984E-2</v>
      </c>
      <c r="E180">
        <f t="shared" si="8"/>
        <v>7.5246951165443984E-2</v>
      </c>
      <c r="G180">
        <f t="shared" ca="1" si="9"/>
        <v>178</v>
      </c>
      <c r="H180">
        <f t="shared" ca="1" si="10"/>
        <v>13.393957307449028</v>
      </c>
      <c r="I180">
        <f t="shared" ca="1" si="11"/>
        <v>636.25177490595775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11680</v>
      </c>
      <c r="B183" s="66">
        <v>11680</v>
      </c>
      <c r="D183">
        <f t="shared" si="8"/>
        <v>6.9045831535264807E-2</v>
      </c>
      <c r="E183">
        <f t="shared" si="8"/>
        <v>6.9045831535264807E-2</v>
      </c>
      <c r="G183">
        <f t="shared" ca="1" si="9"/>
        <v>181</v>
      </c>
      <c r="H183">
        <f t="shared" ca="1" si="10"/>
        <v>12.49729550788293</v>
      </c>
      <c r="I183">
        <f t="shared" ca="1" si="11"/>
        <v>622.53371496999978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7661</v>
      </c>
      <c r="B185" s="66">
        <v>7661</v>
      </c>
      <c r="D185">
        <f t="shared" si="8"/>
        <v>4.5287681112299971E-2</v>
      </c>
      <c r="E185">
        <f t="shared" si="8"/>
        <v>4.5287681112299971E-2</v>
      </c>
      <c r="G185">
        <f t="shared" ca="1" si="9"/>
        <v>183</v>
      </c>
      <c r="H185">
        <f t="shared" ca="1" si="10"/>
        <v>8.2876456435508956</v>
      </c>
      <c r="I185">
        <f t="shared" ca="1" si="11"/>
        <v>425.70666847835002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6854</v>
      </c>
      <c r="B188" s="66">
        <v>6854</v>
      </c>
      <c r="D188">
        <f t="shared" si="8"/>
        <v>4.051713436153296E-2</v>
      </c>
      <c r="E188">
        <f t="shared" si="8"/>
        <v>4.051713436153296E-2</v>
      </c>
      <c r="G188">
        <f t="shared" ca="1" si="9"/>
        <v>186</v>
      </c>
      <c r="H188">
        <f t="shared" ca="1" si="10"/>
        <v>7.5361869912451303</v>
      </c>
      <c r="I188">
        <f t="shared" ca="1" si="11"/>
        <v>404.79768326490137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5692</v>
      </c>
      <c r="B191" s="66">
        <v>5692</v>
      </c>
      <c r="D191">
        <f t="shared" si="8"/>
        <v>3.3648019957082817E-2</v>
      </c>
      <c r="E191">
        <f t="shared" si="8"/>
        <v>3.3648019957082817E-2</v>
      </c>
      <c r="G191">
        <f t="shared" ca="1" si="9"/>
        <v>189</v>
      </c>
      <c r="H191">
        <f t="shared" ca="1" si="10"/>
        <v>6.3594757718886523</v>
      </c>
      <c r="I191">
        <f t="shared" ca="1" si="11"/>
        <v>356.65222077840633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3679</v>
      </c>
      <c r="B193" s="66">
        <v>3679</v>
      </c>
      <c r="D193">
        <f t="shared" si="8"/>
        <v>2.1748254641972536E-2</v>
      </c>
      <c r="E193">
        <f t="shared" si="8"/>
        <v>2.1748254641972536E-2</v>
      </c>
      <c r="G193">
        <f t="shared" ca="1" si="9"/>
        <v>191</v>
      </c>
      <c r="H193">
        <f t="shared" ca="1" si="10"/>
        <v>4.1539166366167546</v>
      </c>
      <c r="I193">
        <f t="shared" ca="1" si="11"/>
        <v>239.56390820024617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1480</v>
      </c>
      <c r="B196" s="66">
        <v>1480</v>
      </c>
      <c r="D196">
        <f t="shared" si="12"/>
        <v>8.7489581054958823E-3</v>
      </c>
      <c r="E196">
        <f t="shared" si="12"/>
        <v>8.7489581054958823E-3</v>
      </c>
      <c r="G196">
        <f t="shared" ca="1" si="13"/>
        <v>194</v>
      </c>
      <c r="H196">
        <f t="shared" ca="1" si="14"/>
        <v>1.6972978724662011</v>
      </c>
      <c r="I196">
        <f t="shared" ca="1" si="15"/>
        <v>101.9607056866838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1557</v>
      </c>
      <c r="B198" s="66">
        <v>1557</v>
      </c>
      <c r="D198">
        <f t="shared" si="12"/>
        <v>9.2041403853088434E-3</v>
      </c>
      <c r="E198">
        <f t="shared" si="12"/>
        <v>9.2041403853088434E-3</v>
      </c>
      <c r="G198">
        <f t="shared" ca="1" si="13"/>
        <v>196</v>
      </c>
      <c r="H198">
        <f t="shared" ca="1" si="14"/>
        <v>1.8040115155205334</v>
      </c>
      <c r="I198">
        <f t="shared" ca="1" si="15"/>
        <v>111.27672523038359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916</v>
      </c>
      <c r="B201" s="66">
        <v>916</v>
      </c>
      <c r="D201">
        <f t="shared" si="12"/>
        <v>5.4148956923204244E-3</v>
      </c>
      <c r="E201">
        <f t="shared" si="12"/>
        <v>5.4148956923204244E-3</v>
      </c>
      <c r="G201">
        <f t="shared" ca="1" si="13"/>
        <v>199</v>
      </c>
      <c r="H201">
        <f t="shared" ca="1" si="14"/>
        <v>1.0775642427717644</v>
      </c>
      <c r="I201">
        <f t="shared" ca="1" si="15"/>
        <v>69.08637201572428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289</v>
      </c>
      <c r="B203" s="66">
        <v>289</v>
      </c>
      <c r="D203">
        <f t="shared" si="12"/>
        <v>1.7084114138434527E-3</v>
      </c>
      <c r="E203">
        <f t="shared" si="12"/>
        <v>1.7084114138434527E-3</v>
      </c>
      <c r="G203">
        <f t="shared" ca="1" si="13"/>
        <v>201</v>
      </c>
      <c r="H203">
        <f t="shared" ca="1" si="14"/>
        <v>0.34339069418253398</v>
      </c>
      <c r="I203">
        <f t="shared" ca="1" si="15"/>
        <v>22.575621637634566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175</v>
      </c>
      <c r="B206" s="66">
        <v>175</v>
      </c>
      <c r="D206">
        <f t="shared" si="12"/>
        <v>1.0345051813930941E-3</v>
      </c>
      <c r="E206">
        <f t="shared" si="12"/>
        <v>1.0345051813930941E-3</v>
      </c>
      <c r="G206">
        <f t="shared" ca="1" si="13"/>
        <v>204</v>
      </c>
      <c r="H206">
        <f t="shared" ca="1" si="14"/>
        <v>0.21103905700419121</v>
      </c>
      <c r="I206">
        <f t="shared" ca="1" si="15"/>
        <v>14.393191964021979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236</v>
      </c>
      <c r="B209" s="66">
        <v>236</v>
      </c>
      <c r="D209">
        <f t="shared" si="12"/>
        <v>1.3951041303358299E-3</v>
      </c>
      <c r="E209">
        <f t="shared" si="12"/>
        <v>1.3951041303358299E-3</v>
      </c>
      <c r="G209">
        <f t="shared" ca="1" si="13"/>
        <v>207</v>
      </c>
      <c r="H209">
        <f t="shared" ca="1" si="14"/>
        <v>0.28878655497951677</v>
      </c>
      <c r="I209">
        <f t="shared" ca="1" si="15"/>
        <v>20.410151039823109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82.886706174910245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1.5994598933686446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0.68143234273896447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907</v>
      </c>
      <c r="B8" s="66">
        <v>907</v>
      </c>
      <c r="D8">
        <f t="shared" si="0"/>
        <v>1.0453041985040741</v>
      </c>
      <c r="E8">
        <f t="shared" si="1"/>
        <v>1.0453041985040741</v>
      </c>
      <c r="G8">
        <f t="shared" ca="1" si="2"/>
        <v>6</v>
      </c>
      <c r="H8">
        <f t="shared" ca="1" si="3"/>
        <v>6.271825191024444</v>
      </c>
      <c r="I8">
        <f t="shared" ca="1" si="4"/>
        <v>6179.3843272243221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821</v>
      </c>
      <c r="B10" s="66">
        <v>821</v>
      </c>
      <c r="D10">
        <f t="shared" si="0"/>
        <v>0.94619045972640003</v>
      </c>
      <c r="E10">
        <f t="shared" si="1"/>
        <v>0.94619045972640003</v>
      </c>
      <c r="G10">
        <f t="shared" ca="1" si="2"/>
        <v>8</v>
      </c>
      <c r="H10">
        <f t="shared" ca="1" si="3"/>
        <v>7.5695236778112003</v>
      </c>
      <c r="I10">
        <f t="shared" ca="1" si="4"/>
        <v>5306.2538503130691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1207</v>
      </c>
      <c r="B13" s="66">
        <v>1207</v>
      </c>
      <c r="D13">
        <f t="shared" si="0"/>
        <v>1.3910497988913091</v>
      </c>
      <c r="E13">
        <f t="shared" si="1"/>
        <v>1.3910497988913091</v>
      </c>
      <c r="G13">
        <f t="shared" ca="1" si="2"/>
        <v>11</v>
      </c>
      <c r="H13">
        <f t="shared" ca="1" si="3"/>
        <v>15.301547787804401</v>
      </c>
      <c r="I13">
        <f t="shared" ca="1" si="4"/>
        <v>7188.5259934840778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4222</v>
      </c>
      <c r="B15" s="66">
        <v>4222</v>
      </c>
      <c r="D15">
        <f t="shared" si="0"/>
        <v>4.8657930827830214</v>
      </c>
      <c r="E15">
        <f t="shared" si="1"/>
        <v>4.8657930827830214</v>
      </c>
      <c r="G15">
        <f t="shared" ca="1" si="2"/>
        <v>13</v>
      </c>
      <c r="H15">
        <f t="shared" ca="1" si="3"/>
        <v>63.255310076179278</v>
      </c>
      <c r="I15">
        <f t="shared" ca="1" si="4"/>
        <v>23765.271557017044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4395</v>
      </c>
      <c r="B18" s="66">
        <v>4395</v>
      </c>
      <c r="D18">
        <f t="shared" si="0"/>
        <v>5.065173045672994</v>
      </c>
      <c r="E18">
        <f t="shared" si="1"/>
        <v>5.065173045672994</v>
      </c>
      <c r="G18">
        <f t="shared" ca="1" si="2"/>
        <v>16</v>
      </c>
      <c r="H18">
        <f t="shared" ca="1" si="3"/>
        <v>81.042768730767904</v>
      </c>
      <c r="I18">
        <f t="shared" ca="1" si="4"/>
        <v>22660.730536910614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7270</v>
      </c>
      <c r="B21" s="66">
        <v>7270</v>
      </c>
      <c r="D21">
        <f t="shared" si="0"/>
        <v>8.3785683827173294</v>
      </c>
      <c r="E21">
        <f t="shared" si="1"/>
        <v>8.3785683827173294</v>
      </c>
      <c r="G21">
        <f t="shared" ca="1" si="2"/>
        <v>19</v>
      </c>
      <c r="H21">
        <f t="shared" ca="1" si="3"/>
        <v>159.19279927162927</v>
      </c>
      <c r="I21">
        <f t="shared" ca="1" si="4"/>
        <v>34197.220910858276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11811</v>
      </c>
      <c r="B23" s="66">
        <v>11811</v>
      </c>
      <c r="D23">
        <f t="shared" si="0"/>
        <v>13.612004287245444</v>
      </c>
      <c r="E23">
        <f t="shared" si="1"/>
        <v>13.612004287245444</v>
      </c>
      <c r="G23">
        <f t="shared" ca="1" si="2"/>
        <v>21</v>
      </c>
      <c r="H23">
        <f t="shared" ca="1" si="3"/>
        <v>285.85209003215431</v>
      </c>
      <c r="I23">
        <f t="shared" ca="1" si="4"/>
        <v>52133.491848855148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9144</v>
      </c>
      <c r="B26" s="66">
        <v>9144</v>
      </c>
      <c r="D26">
        <f t="shared" si="0"/>
        <v>10.538325899802926</v>
      </c>
      <c r="E26">
        <f t="shared" si="1"/>
        <v>10.538325899802926</v>
      </c>
      <c r="G26">
        <f t="shared" ca="1" si="2"/>
        <v>24</v>
      </c>
      <c r="H26">
        <f t="shared" ca="1" si="3"/>
        <v>252.91982159527021</v>
      </c>
      <c r="I26">
        <f t="shared" ca="1" si="4"/>
        <v>36543.164306153885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12413</v>
      </c>
      <c r="B28" s="66">
        <v>12413</v>
      </c>
      <c r="D28">
        <f t="shared" si="0"/>
        <v>14.305800458689163</v>
      </c>
      <c r="E28">
        <f t="shared" si="1"/>
        <v>14.305800458689163</v>
      </c>
      <c r="G28">
        <f t="shared" ca="1" si="2"/>
        <v>26</v>
      </c>
      <c r="H28">
        <f t="shared" ca="1" si="3"/>
        <v>371.95081192591823</v>
      </c>
      <c r="I28">
        <f t="shared" ca="1" si="4"/>
        <v>46294.96280278865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14524</v>
      </c>
      <c r="B31" s="66">
        <v>14524</v>
      </c>
      <c r="D31">
        <f t="shared" si="0"/>
        <v>16.738697000080673</v>
      </c>
      <c r="E31">
        <f t="shared" si="1"/>
        <v>16.738697000080673</v>
      </c>
      <c r="G31">
        <f t="shared" ca="1" si="2"/>
        <v>29</v>
      </c>
      <c r="H31">
        <f t="shared" ca="1" si="3"/>
        <v>485.4222130023395</v>
      </c>
      <c r="I31">
        <f t="shared" ca="1" si="4"/>
        <v>48605.445072529641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19789</v>
      </c>
      <c r="B33" s="66">
        <v>19789</v>
      </c>
      <c r="D33">
        <f t="shared" si="0"/>
        <v>22.806532286876649</v>
      </c>
      <c r="E33">
        <f t="shared" si="1"/>
        <v>22.806532286876649</v>
      </c>
      <c r="G33">
        <f t="shared" ca="1" si="2"/>
        <v>31</v>
      </c>
      <c r="H33">
        <f t="shared" ca="1" si="3"/>
        <v>707.00250089317615</v>
      </c>
      <c r="I33">
        <f t="shared" ca="1" si="4"/>
        <v>61400.436751649308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21105</v>
      </c>
      <c r="B36" s="66">
        <v>21105</v>
      </c>
      <c r="D36">
        <f t="shared" si="0"/>
        <v>24.323202987241988</v>
      </c>
      <c r="E36">
        <f t="shared" si="1"/>
        <v>24.323202987241988</v>
      </c>
      <c r="G36">
        <f t="shared" ca="1" si="2"/>
        <v>34</v>
      </c>
      <c r="H36">
        <f t="shared" ca="1" si="3"/>
        <v>826.98890156622758</v>
      </c>
      <c r="I36">
        <f t="shared" ca="1" si="4"/>
        <v>58130.267039540071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33732</v>
      </c>
      <c r="B39" s="66">
        <v>33732</v>
      </c>
      <c r="D39">
        <f t="shared" si="0"/>
        <v>38.875635307540712</v>
      </c>
      <c r="E39">
        <f t="shared" si="1"/>
        <v>38.875635307540712</v>
      </c>
      <c r="G39">
        <f t="shared" ca="1" si="2"/>
        <v>37</v>
      </c>
      <c r="H39">
        <f t="shared" ca="1" si="3"/>
        <v>1438.3985063790064</v>
      </c>
      <c r="I39">
        <f t="shared" ca="1" si="4"/>
        <v>81856.141311351326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35637</v>
      </c>
      <c r="B41" s="66">
        <v>35637</v>
      </c>
      <c r="D41">
        <f t="shared" si="0"/>
        <v>41.071119869999656</v>
      </c>
      <c r="E41">
        <f t="shared" si="1"/>
        <v>41.071119869999656</v>
      </c>
      <c r="G41">
        <f t="shared" ca="1" si="2"/>
        <v>39</v>
      </c>
      <c r="H41">
        <f t="shared" ca="1" si="3"/>
        <v>1601.7736749299866</v>
      </c>
      <c r="I41">
        <f t="shared" ca="1" si="4"/>
        <v>79104.742060471006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41883</v>
      </c>
      <c r="B44" s="66">
        <v>41883</v>
      </c>
      <c r="D44">
        <f t="shared" si="0"/>
        <v>48.269543270061888</v>
      </c>
      <c r="E44">
        <f t="shared" si="1"/>
        <v>48.269543270061888</v>
      </c>
      <c r="G44">
        <f t="shared" ca="1" si="2"/>
        <v>42</v>
      </c>
      <c r="H44">
        <f t="shared" ca="1" si="3"/>
        <v>2027.3208173425992</v>
      </c>
      <c r="I44">
        <f t="shared" ca="1" si="4"/>
        <v>80693.293222475899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48330</v>
      </c>
      <c r="B46" s="66">
        <v>48330</v>
      </c>
      <c r="D46">
        <f t="shared" si="0"/>
        <v>55.699616222383568</v>
      </c>
      <c r="E46">
        <f t="shared" si="1"/>
        <v>55.699616222383568</v>
      </c>
      <c r="G46">
        <f t="shared" ca="1" si="2"/>
        <v>44</v>
      </c>
      <c r="H46">
        <f t="shared" ca="1" si="3"/>
        <v>2450.7831137848771</v>
      </c>
      <c r="I46">
        <f t="shared" ca="1" si="4"/>
        <v>84227.618245083708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58015</v>
      </c>
      <c r="B49" s="66">
        <v>58015</v>
      </c>
      <c r="D49">
        <f t="shared" si="0"/>
        <v>66.861436688218149</v>
      </c>
      <c r="E49">
        <f t="shared" si="1"/>
        <v>66.861436688218149</v>
      </c>
      <c r="G49">
        <f t="shared" ca="1" si="2"/>
        <v>47</v>
      </c>
      <c r="H49">
        <f t="shared" ca="1" si="3"/>
        <v>3142.4875243462529</v>
      </c>
      <c r="I49">
        <f t="shared" ca="1" si="4"/>
        <v>86107.8810175213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58896</v>
      </c>
      <c r="B51" s="66">
        <v>58896</v>
      </c>
      <c r="D51">
        <f t="shared" si="0"/>
        <v>67.876776268021985</v>
      </c>
      <c r="E51">
        <f t="shared" si="1"/>
        <v>67.876776268021985</v>
      </c>
      <c r="G51">
        <f t="shared" ca="1" si="2"/>
        <v>49</v>
      </c>
      <c r="H51">
        <f t="shared" ca="1" si="3"/>
        <v>3325.962037133077</v>
      </c>
      <c r="I51">
        <f t="shared" ca="1" si="4"/>
        <v>77943.503263535706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66433</v>
      </c>
      <c r="B54" s="66">
        <v>66433</v>
      </c>
      <c r="D54">
        <f t="shared" si="0"/>
        <v>76.563058235083957</v>
      </c>
      <c r="E54">
        <f t="shared" si="1"/>
        <v>76.563058235083957</v>
      </c>
      <c r="G54">
        <f t="shared" ca="1" si="2"/>
        <v>52</v>
      </c>
      <c r="H54">
        <f t="shared" ca="1" si="3"/>
        <v>3981.2790282243659</v>
      </c>
      <c r="I54">
        <f t="shared" ca="1" si="4"/>
        <v>73040.286141208169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69436</v>
      </c>
      <c r="B57" s="66">
        <v>69436</v>
      </c>
      <c r="D57">
        <f t="shared" si="0"/>
        <v>80.023971694960181</v>
      </c>
      <c r="E57">
        <f t="shared" si="1"/>
        <v>80.023971694960181</v>
      </c>
      <c r="G57">
        <f t="shared" ca="1" si="2"/>
        <v>55</v>
      </c>
      <c r="H57">
        <f t="shared" ca="1" si="3"/>
        <v>4401.3184432228099</v>
      </c>
      <c r="I57">
        <f t="shared" ca="1" si="4"/>
        <v>62232.112532078536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71499</v>
      </c>
      <c r="B59" s="66">
        <v>71499</v>
      </c>
      <c r="D59">
        <f t="shared" si="0"/>
        <v>82.401548940289729</v>
      </c>
      <c r="E59">
        <f t="shared" si="1"/>
        <v>82.401548940289729</v>
      </c>
      <c r="G59">
        <f t="shared" ca="1" si="2"/>
        <v>57</v>
      </c>
      <c r="H59">
        <f t="shared" ca="1" si="3"/>
        <v>4696.8882895965144</v>
      </c>
      <c r="I59">
        <f t="shared" ca="1" si="4"/>
        <v>55219.054240975631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79880</v>
      </c>
      <c r="B62" s="66">
        <v>79880</v>
      </c>
      <c r="D62">
        <f t="shared" si="0"/>
        <v>92.060528529774459</v>
      </c>
      <c r="E62">
        <f t="shared" si="1"/>
        <v>92.060528529774459</v>
      </c>
      <c r="G62">
        <f t="shared" ca="1" si="2"/>
        <v>60</v>
      </c>
      <c r="H62">
        <f t="shared" ca="1" si="3"/>
        <v>5523.6317117864673</v>
      </c>
      <c r="I62">
        <f t="shared" ca="1" si="4"/>
        <v>48221.426321139559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81538</v>
      </c>
      <c r="B64" s="66">
        <v>81538</v>
      </c>
      <c r="D64">
        <f t="shared" si="0"/>
        <v>93.971349214581238</v>
      </c>
      <c r="E64">
        <f t="shared" si="1"/>
        <v>93.971349214581238</v>
      </c>
      <c r="G64">
        <f t="shared" ca="1" si="2"/>
        <v>62</v>
      </c>
      <c r="H64">
        <f t="shared" ca="1" si="3"/>
        <v>5826.223651304037</v>
      </c>
      <c r="I64">
        <f t="shared" ca="1" si="4"/>
        <v>40995.423480761623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86769</v>
      </c>
      <c r="B67" s="66">
        <v>86769</v>
      </c>
      <c r="D67">
        <f t="shared" ref="D67:D130" si="5">IFERROR( 100*A67/MAX(A$2:A$257), 0 )</f>
        <v>100</v>
      </c>
      <c r="E67">
        <f t="shared" ref="E67:E130" si="6">IFERROR( 100*B67/MAX(B$2:B$257), 0 )</f>
        <v>100</v>
      </c>
      <c r="G67">
        <f t="shared" ref="G67:G130" ca="1" si="7">CELL("row",D67)-2</f>
        <v>65</v>
      </c>
      <c r="H67">
        <f t="shared" ref="H67:H130" ca="1" si="8">D67*G67</f>
        <v>6500</v>
      </c>
      <c r="I67">
        <f t="shared" ref="I67:I130" ca="1" si="9">D67*((G67-$L$1)^2)</f>
        <v>31993.425778757228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72802</v>
      </c>
      <c r="B69" s="66">
        <v>72802</v>
      </c>
      <c r="D69">
        <f t="shared" si="5"/>
        <v>83.903237331304965</v>
      </c>
      <c r="E69">
        <f t="shared" si="6"/>
        <v>83.903237331304965</v>
      </c>
      <c r="G69">
        <f t="shared" ca="1" si="7"/>
        <v>67</v>
      </c>
      <c r="H69">
        <f t="shared" ca="1" si="8"/>
        <v>5621.5169011974331</v>
      </c>
      <c r="I69">
        <f t="shared" ca="1" si="9"/>
        <v>21176.12269781555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72319</v>
      </c>
      <c r="B72" s="66">
        <v>72319</v>
      </c>
      <c r="D72">
        <f t="shared" si="5"/>
        <v>83.346586914681509</v>
      </c>
      <c r="E72">
        <f t="shared" si="6"/>
        <v>83.346586914681509</v>
      </c>
      <c r="G72">
        <f t="shared" ca="1" si="7"/>
        <v>70</v>
      </c>
      <c r="H72">
        <f t="shared" ca="1" si="8"/>
        <v>5834.2610840277057</v>
      </c>
      <c r="I72">
        <f t="shared" ca="1" si="9"/>
        <v>13841.133988297779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72800</v>
      </c>
      <c r="B75" s="66">
        <v>72800</v>
      </c>
      <c r="D75">
        <f t="shared" si="5"/>
        <v>83.900932360635707</v>
      </c>
      <c r="E75">
        <f t="shared" si="6"/>
        <v>83.900932360635707</v>
      </c>
      <c r="G75">
        <f t="shared" ca="1" si="7"/>
        <v>73</v>
      </c>
      <c r="H75">
        <f t="shared" ca="1" si="8"/>
        <v>6124.7680623264068</v>
      </c>
      <c r="I75">
        <f t="shared" ca="1" si="9"/>
        <v>8201.0609945946235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69411</v>
      </c>
      <c r="B77" s="66">
        <v>69411</v>
      </c>
      <c r="D77">
        <f t="shared" si="5"/>
        <v>79.995159561594576</v>
      </c>
      <c r="E77">
        <f t="shared" si="6"/>
        <v>79.995159561594576</v>
      </c>
      <c r="G77">
        <f t="shared" ca="1" si="7"/>
        <v>75</v>
      </c>
      <c r="H77">
        <f t="shared" ca="1" si="8"/>
        <v>5999.6369671195935</v>
      </c>
      <c r="I77">
        <f t="shared" ca="1" si="9"/>
        <v>4975.7096672305543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68850</v>
      </c>
      <c r="B80" s="66">
        <v>68850</v>
      </c>
      <c r="D80">
        <f t="shared" si="5"/>
        <v>79.348615288870448</v>
      </c>
      <c r="E80">
        <f t="shared" si="6"/>
        <v>79.348615288870448</v>
      </c>
      <c r="G80">
        <f t="shared" ca="1" si="7"/>
        <v>78</v>
      </c>
      <c r="H80">
        <f t="shared" ca="1" si="8"/>
        <v>6189.1919925318953</v>
      </c>
      <c r="I80">
        <f t="shared" ca="1" si="9"/>
        <v>1894.8367792270537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65234</v>
      </c>
      <c r="B82" s="66">
        <v>65234</v>
      </c>
      <c r="D82">
        <f t="shared" si="5"/>
        <v>75.181228318869643</v>
      </c>
      <c r="E82">
        <f t="shared" si="6"/>
        <v>75.181228318869643</v>
      </c>
      <c r="G82">
        <f t="shared" ca="1" si="7"/>
        <v>80</v>
      </c>
      <c r="H82">
        <f t="shared" ca="1" si="8"/>
        <v>6014.4982655095719</v>
      </c>
      <c r="I82">
        <f t="shared" ca="1" si="9"/>
        <v>626.4906292473612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66163</v>
      </c>
      <c r="B85" s="66">
        <v>66163</v>
      </c>
      <c r="D85">
        <f t="shared" si="5"/>
        <v>76.251887194735446</v>
      </c>
      <c r="E85">
        <f t="shared" si="6"/>
        <v>76.251887194735446</v>
      </c>
      <c r="G85">
        <f t="shared" ca="1" si="7"/>
        <v>83</v>
      </c>
      <c r="H85">
        <f t="shared" ca="1" si="8"/>
        <v>6328.9066371630415</v>
      </c>
      <c r="I85">
        <f t="shared" ca="1" si="9"/>
        <v>0.97873039683511076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59480</v>
      </c>
      <c r="B88" s="66">
        <v>59480</v>
      </c>
      <c r="D88">
        <f t="shared" si="5"/>
        <v>68.549827703442475</v>
      </c>
      <c r="E88">
        <f t="shared" si="6"/>
        <v>68.549827703442475</v>
      </c>
      <c r="G88">
        <f t="shared" ca="1" si="7"/>
        <v>86</v>
      </c>
      <c r="H88">
        <f t="shared" ca="1" si="8"/>
        <v>5895.2851824960526</v>
      </c>
      <c r="I88">
        <f t="shared" ca="1" si="9"/>
        <v>664.42595315264919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55403</v>
      </c>
      <c r="B90" s="66">
        <v>55403</v>
      </c>
      <c r="D90">
        <f t="shared" si="5"/>
        <v>63.851144994179947</v>
      </c>
      <c r="E90">
        <f t="shared" si="6"/>
        <v>63.851144994179947</v>
      </c>
      <c r="G90">
        <f t="shared" ca="1" si="7"/>
        <v>88</v>
      </c>
      <c r="H90">
        <f t="shared" ca="1" si="8"/>
        <v>5618.9007594878349</v>
      </c>
      <c r="I90">
        <f t="shared" ca="1" si="9"/>
        <v>1669.4375901663745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53816</v>
      </c>
      <c r="B93" s="66">
        <v>53816</v>
      </c>
      <c r="D93">
        <f t="shared" si="5"/>
        <v>62.022150768131475</v>
      </c>
      <c r="E93">
        <f t="shared" si="6"/>
        <v>62.022150768131475</v>
      </c>
      <c r="G93">
        <f t="shared" ca="1" si="7"/>
        <v>91</v>
      </c>
      <c r="H93">
        <f t="shared" ca="1" si="8"/>
        <v>5644.0157198999641</v>
      </c>
      <c r="I93">
        <f t="shared" ca="1" si="9"/>
        <v>4082.641361119252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52018</v>
      </c>
      <c r="B95" s="66">
        <v>52018</v>
      </c>
      <c r="D95">
        <f t="shared" si="5"/>
        <v>59.94998213647731</v>
      </c>
      <c r="E95">
        <f t="shared" si="6"/>
        <v>59.94998213647731</v>
      </c>
      <c r="G95">
        <f t="shared" ca="1" si="7"/>
        <v>93</v>
      </c>
      <c r="H95">
        <f t="shared" ca="1" si="8"/>
        <v>5575.3483386923899</v>
      </c>
      <c r="I95">
        <f t="shared" ca="1" si="9"/>
        <v>6131.606956898192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49348</v>
      </c>
      <c r="B98" s="66">
        <v>49348</v>
      </c>
      <c r="D98">
        <f t="shared" si="5"/>
        <v>56.872846293030918</v>
      </c>
      <c r="E98">
        <f t="shared" si="6"/>
        <v>56.872846293030918</v>
      </c>
      <c r="G98">
        <f t="shared" ca="1" si="7"/>
        <v>96</v>
      </c>
      <c r="H98">
        <f t="shared" ca="1" si="8"/>
        <v>5459.7932441309677</v>
      </c>
      <c r="I98">
        <f t="shared" ca="1" si="9"/>
        <v>9779.7679142250454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43371</v>
      </c>
      <c r="B100" s="66">
        <v>43371</v>
      </c>
      <c r="D100">
        <f t="shared" si="5"/>
        <v>49.984441447982576</v>
      </c>
      <c r="E100">
        <f t="shared" si="6"/>
        <v>49.984441447982576</v>
      </c>
      <c r="G100">
        <f t="shared" ca="1" si="7"/>
        <v>98</v>
      </c>
      <c r="H100">
        <f t="shared" ca="1" si="8"/>
        <v>4898.475261902292</v>
      </c>
      <c r="I100">
        <f t="shared" ca="1" si="9"/>
        <v>11417.028757633107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43499</v>
      </c>
      <c r="B103" s="66">
        <v>43499</v>
      </c>
      <c r="D103">
        <f t="shared" si="5"/>
        <v>50.131959570814459</v>
      </c>
      <c r="E103">
        <f t="shared" si="6"/>
        <v>50.131959570814459</v>
      </c>
      <c r="G103">
        <f t="shared" ca="1" si="7"/>
        <v>101</v>
      </c>
      <c r="H103">
        <f t="shared" ca="1" si="8"/>
        <v>5063.3279166522607</v>
      </c>
      <c r="I103">
        <f t="shared" ca="1" si="9"/>
        <v>16447.865461774727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41235</v>
      </c>
      <c r="B106" s="66">
        <v>41235</v>
      </c>
      <c r="D106">
        <f t="shared" si="5"/>
        <v>47.522732773225464</v>
      </c>
      <c r="E106">
        <f t="shared" si="6"/>
        <v>47.522732773225464</v>
      </c>
      <c r="G106">
        <f t="shared" ca="1" si="7"/>
        <v>104</v>
      </c>
      <c r="H106">
        <f t="shared" ca="1" si="8"/>
        <v>4942.364208415448</v>
      </c>
      <c r="I106">
        <f t="shared" ca="1" si="9"/>
        <v>21184.264481924969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37615</v>
      </c>
      <c r="B108" s="66">
        <v>37615</v>
      </c>
      <c r="D108">
        <f t="shared" si="5"/>
        <v>43.350735861886157</v>
      </c>
      <c r="E108">
        <f t="shared" si="6"/>
        <v>43.350735861886157</v>
      </c>
      <c r="G108">
        <f t="shared" ca="1" si="7"/>
        <v>106</v>
      </c>
      <c r="H108">
        <f t="shared" ca="1" si="8"/>
        <v>4595.1780013599328</v>
      </c>
      <c r="I108">
        <f t="shared" ca="1" si="9"/>
        <v>23159.018750476698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33905</v>
      </c>
      <c r="B111" s="66">
        <v>33905</v>
      </c>
      <c r="D111">
        <f t="shared" si="5"/>
        <v>39.075015270430683</v>
      </c>
      <c r="E111">
        <f t="shared" si="6"/>
        <v>39.075015270430683</v>
      </c>
      <c r="G111">
        <f t="shared" ca="1" si="7"/>
        <v>109</v>
      </c>
      <c r="H111">
        <f t="shared" ca="1" si="8"/>
        <v>4259.1766644769441</v>
      </c>
      <c r="I111">
        <f t="shared" ca="1" si="9"/>
        <v>26645.413682972532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34358</v>
      </c>
      <c r="B113" s="66">
        <v>34358</v>
      </c>
      <c r="D113">
        <f t="shared" si="5"/>
        <v>39.59709112701541</v>
      </c>
      <c r="E113">
        <f t="shared" si="6"/>
        <v>39.59709112701541</v>
      </c>
      <c r="G113">
        <f t="shared" ca="1" si="7"/>
        <v>111</v>
      </c>
      <c r="H113">
        <f t="shared" ca="1" si="8"/>
        <v>4395.277115098711</v>
      </c>
      <c r="I113">
        <f t="shared" ca="1" si="9"/>
        <v>31295.849622986691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30405</v>
      </c>
      <c r="B116" s="66">
        <v>30405</v>
      </c>
      <c r="D116">
        <f t="shared" si="5"/>
        <v>35.041316599246272</v>
      </c>
      <c r="E116">
        <f t="shared" si="6"/>
        <v>35.041316599246272</v>
      </c>
      <c r="G116">
        <f t="shared" ca="1" si="7"/>
        <v>114</v>
      </c>
      <c r="H116">
        <f t="shared" ca="1" si="8"/>
        <v>3994.7100923140752</v>
      </c>
      <c r="I116">
        <f t="shared" ca="1" si="9"/>
        <v>33921.292841582625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27607</v>
      </c>
      <c r="B118" s="66">
        <v>27607</v>
      </c>
      <c r="D118">
        <f t="shared" si="5"/>
        <v>31.816662632967997</v>
      </c>
      <c r="E118">
        <f t="shared" si="6"/>
        <v>31.816662632967997</v>
      </c>
      <c r="G118">
        <f t="shared" ca="1" si="7"/>
        <v>116</v>
      </c>
      <c r="H118">
        <f t="shared" ca="1" si="8"/>
        <v>3690.7328654242879</v>
      </c>
      <c r="I118">
        <f t="shared" ca="1" si="9"/>
        <v>34886.659662927203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26451</v>
      </c>
      <c r="B121" s="66">
        <v>26451</v>
      </c>
      <c r="D121">
        <f t="shared" si="5"/>
        <v>30.484389586142516</v>
      </c>
      <c r="E121">
        <f t="shared" si="6"/>
        <v>30.484389586142516</v>
      </c>
      <c r="G121">
        <f t="shared" ca="1" si="7"/>
        <v>119</v>
      </c>
      <c r="H121">
        <f t="shared" ca="1" si="8"/>
        <v>3627.6423607509596</v>
      </c>
      <c r="I121">
        <f t="shared" ca="1" si="9"/>
        <v>39756.826089068192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26941</v>
      </c>
      <c r="B124" s="66">
        <v>26941</v>
      </c>
      <c r="D124">
        <f t="shared" si="5"/>
        <v>31.049107400108333</v>
      </c>
      <c r="E124">
        <f t="shared" si="6"/>
        <v>31.049107400108333</v>
      </c>
      <c r="G124">
        <f t="shared" ca="1" si="7"/>
        <v>122</v>
      </c>
      <c r="H124">
        <f t="shared" ca="1" si="8"/>
        <v>3787.9911028132165</v>
      </c>
      <c r="I124">
        <f t="shared" ca="1" si="9"/>
        <v>47500.46931324977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24132</v>
      </c>
      <c r="B126" s="66">
        <v>24132</v>
      </c>
      <c r="D126">
        <f t="shared" si="5"/>
        <v>27.811776095149188</v>
      </c>
      <c r="E126">
        <f t="shared" si="6"/>
        <v>27.811776095149188</v>
      </c>
      <c r="G126">
        <f t="shared" ca="1" si="7"/>
        <v>124</v>
      </c>
      <c r="H126">
        <f t="shared" ca="1" si="8"/>
        <v>3448.6602357984993</v>
      </c>
      <c r="I126">
        <f t="shared" ca="1" si="9"/>
        <v>47010.326598443542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24639</v>
      </c>
      <c r="B129" s="66">
        <v>24639</v>
      </c>
      <c r="D129">
        <f t="shared" si="5"/>
        <v>28.396086159803616</v>
      </c>
      <c r="E129">
        <f t="shared" si="6"/>
        <v>28.396086159803616</v>
      </c>
      <c r="G129">
        <f t="shared" ca="1" si="7"/>
        <v>127</v>
      </c>
      <c r="H129">
        <f t="shared" ca="1" si="8"/>
        <v>3606.3029422950594</v>
      </c>
      <c r="I129">
        <f t="shared" ca="1" si="9"/>
        <v>55258.292190321336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21150</v>
      </c>
      <c r="B131" s="66">
        <v>21150</v>
      </c>
      <c r="D131">
        <f t="shared" ref="D131:D194" si="10">IFERROR( 100*A131/MAX(A$2:A$257), 0 )</f>
        <v>24.375064827300072</v>
      </c>
      <c r="E131">
        <f t="shared" ref="E131:E194" si="11">IFERROR( 100*B131/MAX(B$2:B$257), 0 )</f>
        <v>24.375064827300072</v>
      </c>
      <c r="G131">
        <f t="shared" ref="G131:G194" ca="1" si="12">CELL("row",D131)-2</f>
        <v>129</v>
      </c>
      <c r="H131">
        <f t="shared" ref="H131:H194" ca="1" si="13">D131*G131</f>
        <v>3144.3833627217091</v>
      </c>
      <c r="I131">
        <f t="shared" ref="I131:I194" ca="1" si="14">D131*((G131-$L$1)^2)</f>
        <v>51832.012118948172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21368</v>
      </c>
      <c r="B134" s="66">
        <v>21368</v>
      </c>
      <c r="D134">
        <f t="shared" si="10"/>
        <v>24.626306630248131</v>
      </c>
      <c r="E134">
        <f t="shared" si="11"/>
        <v>24.626306630248131</v>
      </c>
      <c r="G134">
        <f t="shared" ca="1" si="12"/>
        <v>132</v>
      </c>
      <c r="H134">
        <f t="shared" ca="1" si="13"/>
        <v>3250.6724751927532</v>
      </c>
      <c r="I134">
        <f t="shared" ca="1" si="14"/>
        <v>59401.49914060349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19704</v>
      </c>
      <c r="B136" s="66">
        <v>19704</v>
      </c>
      <c r="D136">
        <f t="shared" si="10"/>
        <v>22.7085710334336</v>
      </c>
      <c r="E136">
        <f t="shared" si="11"/>
        <v>22.7085710334336</v>
      </c>
      <c r="G136">
        <f t="shared" ca="1" si="12"/>
        <v>134</v>
      </c>
      <c r="H136">
        <f t="shared" ca="1" si="13"/>
        <v>3042.9485184801024</v>
      </c>
      <c r="I136">
        <f t="shared" ca="1" si="14"/>
        <v>59327.704302834863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16292</v>
      </c>
      <c r="B139" s="66">
        <v>16292</v>
      </c>
      <c r="D139">
        <f t="shared" si="10"/>
        <v>18.776291071696114</v>
      </c>
      <c r="E139">
        <f t="shared" si="11"/>
        <v>18.776291071696114</v>
      </c>
      <c r="G139">
        <f t="shared" ca="1" si="12"/>
        <v>137</v>
      </c>
      <c r="H139">
        <f t="shared" ca="1" si="13"/>
        <v>2572.3518768223676</v>
      </c>
      <c r="I139">
        <f t="shared" ca="1" si="14"/>
        <v>54981.647454320439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16314</v>
      </c>
      <c r="B142" s="66">
        <v>16314</v>
      </c>
      <c r="D142">
        <f t="shared" si="10"/>
        <v>18.801645749057844</v>
      </c>
      <c r="E142">
        <f t="shared" si="11"/>
        <v>18.801645749057844</v>
      </c>
      <c r="G142">
        <f t="shared" ca="1" si="12"/>
        <v>140</v>
      </c>
      <c r="H142">
        <f t="shared" ca="1" si="13"/>
        <v>2632.230404868098</v>
      </c>
      <c r="I142">
        <f t="shared" ca="1" si="14"/>
        <v>61329.620948637872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16472</v>
      </c>
      <c r="B144" s="66">
        <v>16472</v>
      </c>
      <c r="D144">
        <f t="shared" si="10"/>
        <v>18.983738431928455</v>
      </c>
      <c r="E144">
        <f t="shared" si="11"/>
        <v>18.983738431928455</v>
      </c>
      <c r="G144">
        <f t="shared" ca="1" si="12"/>
        <v>142</v>
      </c>
      <c r="H144">
        <f t="shared" ca="1" si="13"/>
        <v>2695.6908573338405</v>
      </c>
      <c r="I144">
        <f t="shared" ca="1" si="14"/>
        <v>66336.424507434887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16493</v>
      </c>
      <c r="B147" s="66">
        <v>16493</v>
      </c>
      <c r="D147">
        <f t="shared" si="10"/>
        <v>19.007940623955559</v>
      </c>
      <c r="E147">
        <f t="shared" si="11"/>
        <v>19.007940623955559</v>
      </c>
      <c r="G147">
        <f t="shared" ca="1" si="12"/>
        <v>145</v>
      </c>
      <c r="H147">
        <f t="shared" ca="1" si="13"/>
        <v>2756.1513904735561</v>
      </c>
      <c r="I147">
        <f t="shared" ca="1" si="14"/>
        <v>73333.799539977728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11515</v>
      </c>
      <c r="B149" s="66">
        <v>11515</v>
      </c>
      <c r="D149">
        <f t="shared" si="10"/>
        <v>13.270868628196705</v>
      </c>
      <c r="E149">
        <f t="shared" si="11"/>
        <v>13.270868628196705</v>
      </c>
      <c r="G149">
        <f t="shared" ca="1" si="12"/>
        <v>147</v>
      </c>
      <c r="H149">
        <f t="shared" ca="1" si="13"/>
        <v>1950.8176883449157</v>
      </c>
      <c r="I149">
        <f t="shared" ca="1" si="14"/>
        <v>54550.097195257404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10360</v>
      </c>
      <c r="B152" s="66">
        <v>10360</v>
      </c>
      <c r="D152">
        <f t="shared" si="10"/>
        <v>11.939748066705851</v>
      </c>
      <c r="E152">
        <f t="shared" si="11"/>
        <v>11.939748066705851</v>
      </c>
      <c r="G152">
        <f t="shared" ca="1" si="12"/>
        <v>150</v>
      </c>
      <c r="H152">
        <f t="shared" ca="1" si="13"/>
        <v>1790.9622100058778</v>
      </c>
      <c r="I152">
        <f t="shared" ca="1" si="14"/>
        <v>53778.944087666474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9375</v>
      </c>
      <c r="B154" s="66">
        <v>9375</v>
      </c>
      <c r="D154">
        <f t="shared" si="10"/>
        <v>10.804550012101096</v>
      </c>
      <c r="E154">
        <f t="shared" si="11"/>
        <v>10.804550012101096</v>
      </c>
      <c r="G154">
        <f t="shared" ca="1" si="12"/>
        <v>152</v>
      </c>
      <c r="H154">
        <f t="shared" ca="1" si="13"/>
        <v>1642.2916018393666</v>
      </c>
      <c r="I154">
        <f t="shared" ca="1" si="14"/>
        <v>51609.52554361138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10831</v>
      </c>
      <c r="B157" s="66">
        <v>10831</v>
      </c>
      <c r="D157">
        <f t="shared" si="10"/>
        <v>12.482568659313809</v>
      </c>
      <c r="E157">
        <f t="shared" si="11"/>
        <v>12.482568659313809</v>
      </c>
      <c r="G157">
        <f t="shared" ca="1" si="12"/>
        <v>155</v>
      </c>
      <c r="H157">
        <f t="shared" ca="1" si="13"/>
        <v>1934.7981421936404</v>
      </c>
      <c r="I157">
        <f t="shared" ca="1" si="14"/>
        <v>64913.44065462974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10799</v>
      </c>
      <c r="B160" s="66">
        <v>10799</v>
      </c>
      <c r="D160">
        <f t="shared" si="10"/>
        <v>12.445689128605839</v>
      </c>
      <c r="E160">
        <f t="shared" si="11"/>
        <v>12.445689128605839</v>
      </c>
      <c r="G160">
        <f t="shared" ca="1" si="12"/>
        <v>158</v>
      </c>
      <c r="H160">
        <f t="shared" ca="1" si="13"/>
        <v>1966.4188823197226</v>
      </c>
      <c r="I160">
        <f t="shared" ca="1" si="14"/>
        <v>70218.664054024863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11128</v>
      </c>
      <c r="B162" s="66">
        <v>11128</v>
      </c>
      <c r="D162">
        <f t="shared" si="10"/>
        <v>12.824856803697173</v>
      </c>
      <c r="E162">
        <f t="shared" si="11"/>
        <v>12.824856803697173</v>
      </c>
      <c r="G162">
        <f t="shared" ca="1" si="12"/>
        <v>160</v>
      </c>
      <c r="H162">
        <f t="shared" ca="1" si="13"/>
        <v>2051.9770885915477</v>
      </c>
      <c r="I162">
        <f t="shared" ca="1" si="14"/>
        <v>76262.499073314058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9509</v>
      </c>
      <c r="B165" s="66">
        <v>9509</v>
      </c>
      <c r="D165">
        <f t="shared" si="10"/>
        <v>10.958983046940729</v>
      </c>
      <c r="E165">
        <f t="shared" si="11"/>
        <v>10.958983046940729</v>
      </c>
      <c r="G165">
        <f t="shared" ca="1" si="12"/>
        <v>163</v>
      </c>
      <c r="H165">
        <f t="shared" ca="1" si="13"/>
        <v>1786.3142366513387</v>
      </c>
      <c r="I165">
        <f t="shared" ca="1" si="14"/>
        <v>70336.285781703846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8991</v>
      </c>
      <c r="B167" s="66">
        <v>8991</v>
      </c>
      <c r="D167">
        <f t="shared" si="10"/>
        <v>10.361995643605436</v>
      </c>
      <c r="E167">
        <f t="shared" si="11"/>
        <v>10.361995643605436</v>
      </c>
      <c r="G167">
        <f t="shared" ca="1" si="12"/>
        <v>165</v>
      </c>
      <c r="H167">
        <f t="shared" ca="1" si="13"/>
        <v>1709.7292811948969</v>
      </c>
      <c r="I167">
        <f t="shared" ca="1" si="14"/>
        <v>69866.719528915244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6943</v>
      </c>
      <c r="B170" s="66">
        <v>6943</v>
      </c>
      <c r="D170">
        <f t="shared" si="10"/>
        <v>8.0017056782952434</v>
      </c>
      <c r="E170">
        <f t="shared" si="11"/>
        <v>8.0017056782952434</v>
      </c>
      <c r="G170">
        <f t="shared" ca="1" si="12"/>
        <v>168</v>
      </c>
      <c r="H170">
        <f t="shared" ca="1" si="13"/>
        <v>1344.2865539536008</v>
      </c>
      <c r="I170">
        <f t="shared" ca="1" si="14"/>
        <v>57966.538684903986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6015</v>
      </c>
      <c r="B173" s="66">
        <v>6015</v>
      </c>
      <c r="D173">
        <f t="shared" si="10"/>
        <v>6.932199287764063</v>
      </c>
      <c r="E173">
        <f t="shared" si="11"/>
        <v>6.932199287764063</v>
      </c>
      <c r="G173">
        <f t="shared" ca="1" si="12"/>
        <v>171</v>
      </c>
      <c r="H173">
        <f t="shared" ca="1" si="13"/>
        <v>1185.4060782076547</v>
      </c>
      <c r="I173">
        <f t="shared" ca="1" si="14"/>
        <v>53821.266328377875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5064</v>
      </c>
      <c r="B175" s="66">
        <v>5064</v>
      </c>
      <c r="D175">
        <f t="shared" si="10"/>
        <v>5.836185734536528</v>
      </c>
      <c r="E175">
        <f t="shared" si="11"/>
        <v>5.836185734536528</v>
      </c>
      <c r="G175">
        <f t="shared" ca="1" si="12"/>
        <v>173</v>
      </c>
      <c r="H175">
        <f t="shared" ca="1" si="13"/>
        <v>1009.6601320748193</v>
      </c>
      <c r="I175">
        <f t="shared" ca="1" si="14"/>
        <v>47392.196045098186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4308</v>
      </c>
      <c r="B178" s="66">
        <v>4308</v>
      </c>
      <c r="D178">
        <f t="shared" si="10"/>
        <v>4.964906821560696</v>
      </c>
      <c r="E178">
        <f t="shared" si="11"/>
        <v>4.964906821560696</v>
      </c>
      <c r="G178">
        <f t="shared" ca="1" si="12"/>
        <v>176</v>
      </c>
      <c r="H178">
        <f t="shared" ca="1" si="13"/>
        <v>873.82360059468249</v>
      </c>
      <c r="I178">
        <f t="shared" ca="1" si="14"/>
        <v>43046.166577709671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7922</v>
      </c>
      <c r="B180" s="66">
        <v>7922</v>
      </c>
      <c r="D180">
        <f t="shared" si="10"/>
        <v>9.1299888208922546</v>
      </c>
      <c r="E180">
        <f t="shared" si="11"/>
        <v>9.1299888208922546</v>
      </c>
      <c r="G180">
        <f t="shared" ca="1" si="12"/>
        <v>178</v>
      </c>
      <c r="H180">
        <f t="shared" ca="1" si="13"/>
        <v>1625.1380101188213</v>
      </c>
      <c r="I180">
        <f t="shared" ca="1" si="14"/>
        <v>82594.796854183805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7474</v>
      </c>
      <c r="B183" s="66">
        <v>7474</v>
      </c>
      <c r="D183">
        <f t="shared" si="10"/>
        <v>8.6136753909806494</v>
      </c>
      <c r="E183">
        <f t="shared" si="11"/>
        <v>8.6136753909806494</v>
      </c>
      <c r="G183">
        <f t="shared" ca="1" si="12"/>
        <v>181</v>
      </c>
      <c r="H183">
        <f t="shared" ca="1" si="13"/>
        <v>1559.0752457674976</v>
      </c>
      <c r="I183">
        <f t="shared" ca="1" si="14"/>
        <v>82917.120757422061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4460</v>
      </c>
      <c r="B185" s="66">
        <v>4460</v>
      </c>
      <c r="D185">
        <f t="shared" si="10"/>
        <v>5.1400845924235616</v>
      </c>
      <c r="E185">
        <f t="shared" si="11"/>
        <v>5.1400845924235616</v>
      </c>
      <c r="G185">
        <f t="shared" ca="1" si="12"/>
        <v>183</v>
      </c>
      <c r="H185">
        <f t="shared" ca="1" si="13"/>
        <v>940.6354804135118</v>
      </c>
      <c r="I185">
        <f t="shared" ca="1" si="14"/>
        <v>51517.379868696247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5010</v>
      </c>
      <c r="B188" s="66">
        <v>5010</v>
      </c>
      <c r="D188">
        <f t="shared" si="10"/>
        <v>5.773951526466826</v>
      </c>
      <c r="E188">
        <f t="shared" si="11"/>
        <v>5.773951526466826</v>
      </c>
      <c r="G188">
        <f t="shared" ca="1" si="12"/>
        <v>186</v>
      </c>
      <c r="H188">
        <f t="shared" ca="1" si="13"/>
        <v>1073.9549839228296</v>
      </c>
      <c r="I188">
        <f t="shared" ca="1" si="14"/>
        <v>61390.681384977419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4101</v>
      </c>
      <c r="B191" s="66">
        <v>4101</v>
      </c>
      <c r="D191">
        <f t="shared" si="10"/>
        <v>4.726342357293503</v>
      </c>
      <c r="E191">
        <f t="shared" si="11"/>
        <v>4.726342357293503</v>
      </c>
      <c r="G191">
        <f t="shared" ca="1" si="12"/>
        <v>189</v>
      </c>
      <c r="H191">
        <f t="shared" ca="1" si="13"/>
        <v>893.27870552847207</v>
      </c>
      <c r="I191">
        <f t="shared" ca="1" si="14"/>
        <v>53218.762057194057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3085</v>
      </c>
      <c r="B193" s="66">
        <v>3085</v>
      </c>
      <c r="D193">
        <f t="shared" si="10"/>
        <v>3.5554172573154008</v>
      </c>
      <c r="E193">
        <f t="shared" si="11"/>
        <v>3.5554172573154008</v>
      </c>
      <c r="G193">
        <f t="shared" ca="1" si="12"/>
        <v>191</v>
      </c>
      <c r="H193">
        <f t="shared" ca="1" si="13"/>
        <v>679.08469614724152</v>
      </c>
      <c r="I193">
        <f t="shared" ca="1" si="14"/>
        <v>41557.438798160561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1480</v>
      </c>
      <c r="B196" s="66">
        <v>1480</v>
      </c>
      <c r="D196">
        <f t="shared" si="15"/>
        <v>1.7056782952436931</v>
      </c>
      <c r="E196">
        <f t="shared" si="16"/>
        <v>1.7056782952436931</v>
      </c>
      <c r="G196">
        <f t="shared" ca="1" si="17"/>
        <v>194</v>
      </c>
      <c r="H196">
        <f t="shared" ca="1" si="18"/>
        <v>330.90158927727646</v>
      </c>
      <c r="I196">
        <f t="shared" ca="1" si="19"/>
        <v>21058.584074609455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1557</v>
      </c>
      <c r="B198" s="66">
        <v>1557</v>
      </c>
      <c r="D198">
        <f t="shared" si="15"/>
        <v>1.79441966600975</v>
      </c>
      <c r="E198">
        <f t="shared" si="16"/>
        <v>1.79441966600975</v>
      </c>
      <c r="G198">
        <f t="shared" ca="1" si="17"/>
        <v>196</v>
      </c>
      <c r="H198">
        <f t="shared" ca="1" si="18"/>
        <v>351.70625453791098</v>
      </c>
      <c r="I198">
        <f t="shared" ca="1" si="19"/>
        <v>22958.912794453565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916</v>
      </c>
      <c r="B201" s="66">
        <v>916</v>
      </c>
      <c r="D201">
        <f t="shared" si="15"/>
        <v>1.0556765665156911</v>
      </c>
      <c r="E201">
        <f t="shared" si="16"/>
        <v>1.0556765665156911</v>
      </c>
      <c r="G201">
        <f t="shared" ca="1" si="17"/>
        <v>199</v>
      </c>
      <c r="H201">
        <f t="shared" ca="1" si="18"/>
        <v>210.07963673662252</v>
      </c>
      <c r="I201">
        <f t="shared" ca="1" si="19"/>
        <v>14232.945008778537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289</v>
      </c>
      <c r="B203" s="66">
        <v>289</v>
      </c>
      <c r="D203">
        <f t="shared" si="15"/>
        <v>0.33306826170636977</v>
      </c>
      <c r="E203">
        <f t="shared" si="16"/>
        <v>0.33306826170636977</v>
      </c>
      <c r="G203">
        <f t="shared" ca="1" si="17"/>
        <v>201</v>
      </c>
      <c r="H203">
        <f t="shared" ca="1" si="18"/>
        <v>66.946720602980321</v>
      </c>
      <c r="I203">
        <f t="shared" ca="1" si="19"/>
        <v>4646.5521113568939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175</v>
      </c>
      <c r="B206" s="66">
        <v>175</v>
      </c>
      <c r="D206">
        <f t="shared" si="15"/>
        <v>0.20168493355922046</v>
      </c>
      <c r="E206">
        <f t="shared" si="16"/>
        <v>0.20168493355922046</v>
      </c>
      <c r="G206">
        <f t="shared" ca="1" si="17"/>
        <v>204</v>
      </c>
      <c r="H206">
        <f t="shared" ca="1" si="18"/>
        <v>41.143726446080976</v>
      </c>
      <c r="I206">
        <f t="shared" ca="1" si="19"/>
        <v>2958.4013181014434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236</v>
      </c>
      <c r="B209" s="66">
        <v>236</v>
      </c>
      <c r="D209">
        <f t="shared" si="15"/>
        <v>0.2719865389712916</v>
      </c>
      <c r="E209">
        <f t="shared" si="16"/>
        <v>0.2719865389712916</v>
      </c>
      <c r="G209">
        <f t="shared" ca="1" si="17"/>
        <v>207</v>
      </c>
      <c r="H209">
        <f t="shared" ca="1" si="18"/>
        <v>56.30121356705736</v>
      </c>
      <c r="I209">
        <f t="shared" ca="1" si="19"/>
        <v>4189.7104843557991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88.635069734972845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1.7103857268481395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0.61480017562342448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261</v>
      </c>
      <c r="B8" s="66">
        <v>261</v>
      </c>
      <c r="D8">
        <f t="shared" si="0"/>
        <v>0.25877453896490182</v>
      </c>
      <c r="E8">
        <f t="shared" si="1"/>
        <v>0.25877453896490182</v>
      </c>
      <c r="G8">
        <f t="shared" ca="1" si="2"/>
        <v>6</v>
      </c>
      <c r="H8">
        <f t="shared" ca="1" si="3"/>
        <v>1.5526472337894108</v>
      </c>
      <c r="I8">
        <f t="shared" ca="1" si="4"/>
        <v>1767.0561072547077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246</v>
      </c>
      <c r="B10" s="66">
        <v>246</v>
      </c>
      <c r="D10">
        <f t="shared" si="0"/>
        <v>0.24390243902439024</v>
      </c>
      <c r="E10">
        <f t="shared" si="1"/>
        <v>0.24390243902439024</v>
      </c>
      <c r="G10">
        <f t="shared" ca="1" si="2"/>
        <v>8</v>
      </c>
      <c r="H10">
        <f t="shared" ca="1" si="3"/>
        <v>1.9512195121951219</v>
      </c>
      <c r="I10">
        <f t="shared" ca="1" si="4"/>
        <v>1585.8571880887644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798</v>
      </c>
      <c r="B13" s="66">
        <v>798</v>
      </c>
      <c r="D13">
        <f t="shared" si="0"/>
        <v>0.79119571683521717</v>
      </c>
      <c r="E13">
        <f t="shared" si="1"/>
        <v>0.79119571683521717</v>
      </c>
      <c r="G13">
        <f t="shared" ca="1" si="2"/>
        <v>11</v>
      </c>
      <c r="H13">
        <f t="shared" ca="1" si="3"/>
        <v>8.7031528851873894</v>
      </c>
      <c r="I13">
        <f t="shared" ca="1" si="4"/>
        <v>4768.6980310309036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857</v>
      </c>
      <c r="B15" s="66">
        <v>857</v>
      </c>
      <c r="D15">
        <f t="shared" si="0"/>
        <v>0.84969264326789606</v>
      </c>
      <c r="E15">
        <f t="shared" si="1"/>
        <v>0.84969264326789606</v>
      </c>
      <c r="G15">
        <f t="shared" ca="1" si="2"/>
        <v>13</v>
      </c>
      <c r="H15">
        <f t="shared" ca="1" si="3"/>
        <v>11.046004362482648</v>
      </c>
      <c r="I15">
        <f t="shared" ca="1" si="4"/>
        <v>4860.8059232190899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2803</v>
      </c>
      <c r="B18" s="66">
        <v>2803</v>
      </c>
      <c r="D18">
        <f t="shared" si="0"/>
        <v>2.7790997422169346</v>
      </c>
      <c r="E18">
        <f t="shared" si="1"/>
        <v>2.7790997422169346</v>
      </c>
      <c r="G18">
        <f t="shared" ca="1" si="2"/>
        <v>16</v>
      </c>
      <c r="H18">
        <f t="shared" ca="1" si="3"/>
        <v>44.465595875470953</v>
      </c>
      <c r="I18">
        <f t="shared" ca="1" si="4"/>
        <v>14662.122699978629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1797</v>
      </c>
      <c r="B21" s="66">
        <v>1797</v>
      </c>
      <c r="D21">
        <f t="shared" si="0"/>
        <v>1.7816775728732896</v>
      </c>
      <c r="E21">
        <f t="shared" si="1"/>
        <v>1.7816775728732896</v>
      </c>
      <c r="G21">
        <f t="shared" ca="1" si="2"/>
        <v>19</v>
      </c>
      <c r="H21">
        <f t="shared" ca="1" si="3"/>
        <v>33.8518738845925</v>
      </c>
      <c r="I21">
        <f t="shared" ca="1" si="4"/>
        <v>8639.4310507427854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1445</v>
      </c>
      <c r="B23" s="66">
        <v>1445</v>
      </c>
      <c r="D23">
        <f t="shared" si="0"/>
        <v>1.4326789609359509</v>
      </c>
      <c r="E23">
        <f t="shared" si="1"/>
        <v>1.4326789609359509</v>
      </c>
      <c r="G23">
        <f t="shared" ca="1" si="2"/>
        <v>21</v>
      </c>
      <c r="H23">
        <f t="shared" ca="1" si="3"/>
        <v>30.086258179654969</v>
      </c>
      <c r="I23">
        <f t="shared" ca="1" si="4"/>
        <v>6553.793714940467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3234</v>
      </c>
      <c r="B26" s="66">
        <v>3234</v>
      </c>
      <c r="D26">
        <f t="shared" si="0"/>
        <v>3.2064247471743008</v>
      </c>
      <c r="E26">
        <f t="shared" si="1"/>
        <v>3.2064247471743008</v>
      </c>
      <c r="G26">
        <f t="shared" ca="1" si="2"/>
        <v>24</v>
      </c>
      <c r="H26">
        <f t="shared" ca="1" si="3"/>
        <v>76.954193932183216</v>
      </c>
      <c r="I26">
        <f t="shared" ca="1" si="4"/>
        <v>13395.455783275125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6266</v>
      </c>
      <c r="B28" s="66">
        <v>6266</v>
      </c>
      <c r="D28">
        <f t="shared" si="0"/>
        <v>6.2125718818163795</v>
      </c>
      <c r="E28">
        <f t="shared" si="1"/>
        <v>6.2125718818163795</v>
      </c>
      <c r="G28">
        <f t="shared" ca="1" si="2"/>
        <v>26</v>
      </c>
      <c r="H28">
        <f t="shared" ca="1" si="3"/>
        <v>161.52686892722588</v>
      </c>
      <c r="I28">
        <f t="shared" ca="1" si="4"/>
        <v>24372.86355916813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8959</v>
      </c>
      <c r="B31" s="66">
        <v>8959</v>
      </c>
      <c r="D31">
        <f t="shared" si="0"/>
        <v>8.8826095578028958</v>
      </c>
      <c r="E31">
        <f t="shared" si="1"/>
        <v>8.8826095578028958</v>
      </c>
      <c r="G31">
        <f t="shared" ca="1" si="2"/>
        <v>29</v>
      </c>
      <c r="H31">
        <f t="shared" ca="1" si="3"/>
        <v>257.59567717628397</v>
      </c>
      <c r="I31">
        <f t="shared" ca="1" si="4"/>
        <v>31589.59337440172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11867</v>
      </c>
      <c r="B33" s="66">
        <v>11867</v>
      </c>
      <c r="D33">
        <f t="shared" si="0"/>
        <v>11.765813999603411</v>
      </c>
      <c r="E33">
        <f t="shared" si="1"/>
        <v>11.765813999603411</v>
      </c>
      <c r="G33">
        <f t="shared" ca="1" si="2"/>
        <v>31</v>
      </c>
      <c r="H33">
        <f t="shared" ca="1" si="3"/>
        <v>364.74023398770572</v>
      </c>
      <c r="I33">
        <f t="shared" ca="1" si="4"/>
        <v>39083.695808284712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15755</v>
      </c>
      <c r="B36" s="66">
        <v>15755</v>
      </c>
      <c r="D36">
        <f t="shared" si="0"/>
        <v>15.620662304184018</v>
      </c>
      <c r="E36">
        <f t="shared" si="1"/>
        <v>15.620662304184018</v>
      </c>
      <c r="G36">
        <f t="shared" ca="1" si="2"/>
        <v>34</v>
      </c>
      <c r="H36">
        <f t="shared" ca="1" si="3"/>
        <v>531.10251834225664</v>
      </c>
      <c r="I36">
        <f t="shared" ca="1" si="4"/>
        <v>46627.533969972159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16574</v>
      </c>
      <c r="B39" s="66">
        <v>16574</v>
      </c>
      <c r="D39">
        <f t="shared" si="0"/>
        <v>16.432678960935952</v>
      </c>
      <c r="E39">
        <f t="shared" si="1"/>
        <v>16.432678960935952</v>
      </c>
      <c r="G39">
        <f t="shared" ca="1" si="2"/>
        <v>37</v>
      </c>
      <c r="H39">
        <f t="shared" ca="1" si="3"/>
        <v>608.00912155463027</v>
      </c>
      <c r="I39">
        <f t="shared" ca="1" si="4"/>
        <v>43812.487001189293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24207</v>
      </c>
      <c r="B41" s="66">
        <v>24207</v>
      </c>
      <c r="D41">
        <f t="shared" si="0"/>
        <v>24.000594883997621</v>
      </c>
      <c r="E41">
        <f t="shared" si="1"/>
        <v>24.000594883997621</v>
      </c>
      <c r="G41">
        <f t="shared" ca="1" si="2"/>
        <v>39</v>
      </c>
      <c r="H41">
        <f t="shared" ca="1" si="3"/>
        <v>936.02320047590729</v>
      </c>
      <c r="I41">
        <f t="shared" ca="1" si="4"/>
        <v>59128.829122394513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30871</v>
      </c>
      <c r="B44" s="66">
        <v>30871</v>
      </c>
      <c r="D44">
        <f t="shared" si="0"/>
        <v>30.60777315090224</v>
      </c>
      <c r="E44">
        <f t="shared" si="1"/>
        <v>30.60777315090224</v>
      </c>
      <c r="G44">
        <f t="shared" ca="1" si="2"/>
        <v>42</v>
      </c>
      <c r="H44">
        <f t="shared" ca="1" si="3"/>
        <v>1285.5264723378941</v>
      </c>
      <c r="I44">
        <f t="shared" ca="1" si="4"/>
        <v>66566.694992756515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43754</v>
      </c>
      <c r="B46" s="66">
        <v>43754</v>
      </c>
      <c r="D46">
        <f t="shared" si="0"/>
        <v>43.380924053142969</v>
      </c>
      <c r="E46">
        <f t="shared" si="1"/>
        <v>43.380924053142969</v>
      </c>
      <c r="G46">
        <f t="shared" ca="1" si="2"/>
        <v>44</v>
      </c>
      <c r="H46">
        <f t="shared" ca="1" si="3"/>
        <v>1908.7606583382906</v>
      </c>
      <c r="I46">
        <f t="shared" ca="1" si="4"/>
        <v>86427.35733299487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45685</v>
      </c>
      <c r="B49" s="66">
        <v>45685</v>
      </c>
      <c r="D49">
        <f t="shared" si="0"/>
        <v>45.2954590521515</v>
      </c>
      <c r="E49">
        <f t="shared" si="1"/>
        <v>45.2954590521515</v>
      </c>
      <c r="G49">
        <f t="shared" ca="1" si="2"/>
        <v>47</v>
      </c>
      <c r="H49">
        <f t="shared" ca="1" si="3"/>
        <v>2128.8865754511207</v>
      </c>
      <c r="I49">
        <f t="shared" ca="1" si="4"/>
        <v>78518.728504293103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47674</v>
      </c>
      <c r="B51" s="66">
        <v>47674</v>
      </c>
      <c r="D51">
        <f t="shared" si="0"/>
        <v>47.267499504263334</v>
      </c>
      <c r="E51">
        <f t="shared" si="1"/>
        <v>47.267499504263334</v>
      </c>
      <c r="G51">
        <f t="shared" ca="1" si="2"/>
        <v>49</v>
      </c>
      <c r="H51">
        <f t="shared" ca="1" si="3"/>
        <v>2316.1074757089032</v>
      </c>
      <c r="I51">
        <f t="shared" ca="1" si="4"/>
        <v>74254.346723747323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48224</v>
      </c>
      <c r="B54" s="66">
        <v>48224</v>
      </c>
      <c r="D54">
        <f t="shared" si="0"/>
        <v>47.812809835415429</v>
      </c>
      <c r="E54">
        <f t="shared" si="1"/>
        <v>47.812809835415429</v>
      </c>
      <c r="G54">
        <f t="shared" ca="1" si="2"/>
        <v>52</v>
      </c>
      <c r="H54">
        <f t="shared" ca="1" si="3"/>
        <v>2486.2661114416023</v>
      </c>
      <c r="I54">
        <f t="shared" ca="1" si="4"/>
        <v>64170.926831517412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54072</v>
      </c>
      <c r="B57" s="66">
        <v>54072</v>
      </c>
      <c r="D57">
        <f t="shared" si="0"/>
        <v>53.610945865556218</v>
      </c>
      <c r="E57">
        <f t="shared" si="1"/>
        <v>53.610945865556218</v>
      </c>
      <c r="G57">
        <f t="shared" ca="1" si="2"/>
        <v>55</v>
      </c>
      <c r="H57">
        <f t="shared" ca="1" si="3"/>
        <v>2948.6020226055921</v>
      </c>
      <c r="I57">
        <f t="shared" ca="1" si="4"/>
        <v>60651.023555510372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66581</v>
      </c>
      <c r="B59" s="66">
        <v>66581</v>
      </c>
      <c r="D59">
        <f t="shared" si="0"/>
        <v>66.013285742613519</v>
      </c>
      <c r="E59">
        <f t="shared" si="1"/>
        <v>66.013285742613519</v>
      </c>
      <c r="G59">
        <f t="shared" ca="1" si="2"/>
        <v>57</v>
      </c>
      <c r="H59">
        <f t="shared" ca="1" si="3"/>
        <v>3762.7572873289705</v>
      </c>
      <c r="I59">
        <f t="shared" ca="1" si="4"/>
        <v>66064.620125115631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73595</v>
      </c>
      <c r="B62" s="66">
        <v>73595</v>
      </c>
      <c r="D62">
        <f t="shared" si="0"/>
        <v>72.967479674796749</v>
      </c>
      <c r="E62">
        <f t="shared" si="1"/>
        <v>72.967479674796749</v>
      </c>
      <c r="G62">
        <f t="shared" ca="1" si="2"/>
        <v>60</v>
      </c>
      <c r="H62">
        <f t="shared" ca="1" si="3"/>
        <v>4378.0487804878048</v>
      </c>
      <c r="I62">
        <f t="shared" ca="1" si="4"/>
        <v>59830.94136644432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91221</v>
      </c>
      <c r="B64" s="66">
        <v>91221</v>
      </c>
      <c r="D64">
        <f t="shared" si="0"/>
        <v>90.44318857822725</v>
      </c>
      <c r="E64">
        <f t="shared" si="1"/>
        <v>90.44318857822725</v>
      </c>
      <c r="G64">
        <f t="shared" ca="1" si="2"/>
        <v>62</v>
      </c>
      <c r="H64">
        <f t="shared" ca="1" si="3"/>
        <v>5607.4776918500893</v>
      </c>
      <c r="I64">
        <f t="shared" ca="1" si="4"/>
        <v>64162.834497618234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88079</v>
      </c>
      <c r="B67" s="66">
        <v>88079</v>
      </c>
      <c r="D67">
        <f t="shared" ref="D67:D130" si="5">IFERROR(100*A67/MAX(A$2:A$257), 0 )</f>
        <v>87.327979377354751</v>
      </c>
      <c r="E67">
        <f t="shared" ref="E67:E130" si="6">IFERROR(100*B67/MAX(B$2:B$257), 0 )</f>
        <v>87.327979377354751</v>
      </c>
      <c r="G67">
        <f t="shared" ref="G67:G130" ca="1" si="7">CELL("row",D67)-2</f>
        <v>65</v>
      </c>
      <c r="H67">
        <f t="shared" ref="H67:H130" ca="1" si="8">D67*G67</f>
        <v>5676.3186595280586</v>
      </c>
      <c r="I67">
        <f t="shared" ref="I67:I130" ca="1" si="9">D67*((G67-$L$1)^2)</f>
        <v>48782.852058662866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96138</v>
      </c>
      <c r="B69" s="66">
        <v>96138</v>
      </c>
      <c r="D69">
        <f t="shared" si="5"/>
        <v>95.318262938726946</v>
      </c>
      <c r="E69">
        <f t="shared" si="6"/>
        <v>95.318262938726946</v>
      </c>
      <c r="G69">
        <f t="shared" ca="1" si="7"/>
        <v>67</v>
      </c>
      <c r="H69">
        <f t="shared" ca="1" si="8"/>
        <v>6386.3236168947051</v>
      </c>
      <c r="I69">
        <f t="shared" ca="1" si="9"/>
        <v>44616.214351994415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95918</v>
      </c>
      <c r="B72" s="66">
        <v>95918</v>
      </c>
      <c r="D72">
        <f t="shared" si="5"/>
        <v>95.100138806266116</v>
      </c>
      <c r="E72">
        <f t="shared" si="6"/>
        <v>95.100138806266116</v>
      </c>
      <c r="G72">
        <f t="shared" ca="1" si="7"/>
        <v>70</v>
      </c>
      <c r="H72">
        <f t="shared" ca="1" si="8"/>
        <v>6657.0097164386279</v>
      </c>
      <c r="I72">
        <f t="shared" ca="1" si="9"/>
        <v>33025.028067668696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94414</v>
      </c>
      <c r="B75" s="66">
        <v>94414</v>
      </c>
      <c r="D75">
        <f t="shared" si="5"/>
        <v>93.608962918897475</v>
      </c>
      <c r="E75">
        <f t="shared" si="6"/>
        <v>93.608962918897475</v>
      </c>
      <c r="G75">
        <f t="shared" ca="1" si="7"/>
        <v>73</v>
      </c>
      <c r="H75">
        <f t="shared" ca="1" si="8"/>
        <v>6833.454293079516</v>
      </c>
      <c r="I75">
        <f t="shared" ca="1" si="9"/>
        <v>22883.216999769214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92199</v>
      </c>
      <c r="B77" s="66">
        <v>92199</v>
      </c>
      <c r="D77">
        <f t="shared" si="5"/>
        <v>91.412849494348606</v>
      </c>
      <c r="E77">
        <f t="shared" si="6"/>
        <v>91.412849494348606</v>
      </c>
      <c r="G77">
        <f t="shared" ca="1" si="7"/>
        <v>75</v>
      </c>
      <c r="H77">
        <f t="shared" ca="1" si="8"/>
        <v>6855.9637120761454</v>
      </c>
      <c r="I77">
        <f t="shared" ca="1" si="9"/>
        <v>16995.031493699687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100860</v>
      </c>
      <c r="B80" s="66">
        <v>100860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11310.470826773537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91896</v>
      </c>
      <c r="B82" s="66">
        <v>91896</v>
      </c>
      <c r="D82">
        <f t="shared" si="5"/>
        <v>91.112433075550271</v>
      </c>
      <c r="E82">
        <f t="shared" si="6"/>
        <v>91.112433075550271</v>
      </c>
      <c r="G82">
        <f t="shared" ca="1" si="7"/>
        <v>80</v>
      </c>
      <c r="H82">
        <f t="shared" ca="1" si="8"/>
        <v>7288.9946460440215</v>
      </c>
      <c r="I82">
        <f t="shared" ca="1" si="9"/>
        <v>6793.746576949784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89474</v>
      </c>
      <c r="B85" s="66">
        <v>89474</v>
      </c>
      <c r="D85">
        <f t="shared" si="5"/>
        <v>88.711084671822334</v>
      </c>
      <c r="E85">
        <f t="shared" si="6"/>
        <v>88.711084671822334</v>
      </c>
      <c r="G85">
        <f t="shared" ca="1" si="7"/>
        <v>83</v>
      </c>
      <c r="H85">
        <f t="shared" ca="1" si="8"/>
        <v>7363.0200277612539</v>
      </c>
      <c r="I85">
        <f t="shared" ca="1" si="9"/>
        <v>2816.9327512172836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91090</v>
      </c>
      <c r="B88" s="66">
        <v>91090</v>
      </c>
      <c r="D88">
        <f t="shared" si="5"/>
        <v>90.313305572080111</v>
      </c>
      <c r="E88">
        <f t="shared" si="6"/>
        <v>90.313305572080111</v>
      </c>
      <c r="G88">
        <f t="shared" ca="1" si="7"/>
        <v>86</v>
      </c>
      <c r="H88">
        <f t="shared" ca="1" si="8"/>
        <v>7766.9442791988895</v>
      </c>
      <c r="I88">
        <f t="shared" ca="1" si="9"/>
        <v>627.0987919583506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81957</v>
      </c>
      <c r="B90" s="66">
        <v>81957</v>
      </c>
      <c r="D90">
        <f t="shared" si="5"/>
        <v>81.258179654967279</v>
      </c>
      <c r="E90">
        <f t="shared" si="6"/>
        <v>81.258179654967279</v>
      </c>
      <c r="G90">
        <f t="shared" ca="1" si="7"/>
        <v>88</v>
      </c>
      <c r="H90">
        <f t="shared" ca="1" si="8"/>
        <v>7150.7198096371203</v>
      </c>
      <c r="I90">
        <f t="shared" ca="1" si="9"/>
        <v>32.772526388458594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76376</v>
      </c>
      <c r="B93" s="66">
        <v>76376</v>
      </c>
      <c r="D93">
        <f t="shared" si="5"/>
        <v>75.724767003767596</v>
      </c>
      <c r="E93">
        <f t="shared" si="6"/>
        <v>75.724767003767596</v>
      </c>
      <c r="G93">
        <f t="shared" ca="1" si="7"/>
        <v>91</v>
      </c>
      <c r="H93">
        <f t="shared" ca="1" si="8"/>
        <v>6890.9537973428514</v>
      </c>
      <c r="I93">
        <f t="shared" ca="1" si="9"/>
        <v>423.52068274947561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66210</v>
      </c>
      <c r="B95" s="66">
        <v>66210</v>
      </c>
      <c r="D95">
        <f t="shared" si="5"/>
        <v>65.645449137418197</v>
      </c>
      <c r="E95">
        <f t="shared" si="6"/>
        <v>65.645449137418197</v>
      </c>
      <c r="G95">
        <f t="shared" ca="1" si="7"/>
        <v>93</v>
      </c>
      <c r="H95">
        <f t="shared" ca="1" si="8"/>
        <v>6105.0267697798927</v>
      </c>
      <c r="I95">
        <f t="shared" ca="1" si="9"/>
        <v>1250.717548909575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68012</v>
      </c>
      <c r="B98" s="66">
        <v>68012</v>
      </c>
      <c r="D98">
        <f t="shared" si="5"/>
        <v>67.432084076938324</v>
      </c>
      <c r="E98">
        <f t="shared" si="6"/>
        <v>67.432084076938324</v>
      </c>
      <c r="G98">
        <f t="shared" ca="1" si="7"/>
        <v>96</v>
      </c>
      <c r="H98">
        <f t="shared" ca="1" si="8"/>
        <v>6473.4800713860786</v>
      </c>
      <c r="I98">
        <f t="shared" ca="1" si="9"/>
        <v>3657.6644431550521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61803</v>
      </c>
      <c r="B100" s="66">
        <v>61803</v>
      </c>
      <c r="D100">
        <f t="shared" si="5"/>
        <v>61.276026174895897</v>
      </c>
      <c r="E100">
        <f t="shared" si="6"/>
        <v>61.276026174895897</v>
      </c>
      <c r="G100">
        <f t="shared" ca="1" si="7"/>
        <v>98</v>
      </c>
      <c r="H100">
        <f t="shared" ca="1" si="8"/>
        <v>6005.050565139798</v>
      </c>
      <c r="I100">
        <f t="shared" ca="1" si="9"/>
        <v>5374.0250761945072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61238</v>
      </c>
      <c r="B103" s="66">
        <v>61238</v>
      </c>
      <c r="D103">
        <f t="shared" si="5"/>
        <v>60.715843743803291</v>
      </c>
      <c r="E103">
        <f t="shared" si="6"/>
        <v>60.715843743803291</v>
      </c>
      <c r="G103">
        <f t="shared" ca="1" si="7"/>
        <v>101</v>
      </c>
      <c r="H103">
        <f t="shared" ca="1" si="8"/>
        <v>6132.3002181241327</v>
      </c>
      <c r="I103">
        <f t="shared" ca="1" si="9"/>
        <v>9282.9364516233327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54384</v>
      </c>
      <c r="B106" s="66">
        <v>54384</v>
      </c>
      <c r="D106">
        <f t="shared" si="5"/>
        <v>53.920285544318858</v>
      </c>
      <c r="E106">
        <f t="shared" si="6"/>
        <v>53.920285544318858</v>
      </c>
      <c r="G106">
        <f t="shared" ca="1" si="7"/>
        <v>104</v>
      </c>
      <c r="H106">
        <f t="shared" ca="1" si="8"/>
        <v>5607.7096966091613</v>
      </c>
      <c r="I106">
        <f t="shared" ca="1" si="9"/>
        <v>12729.5593557018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54536</v>
      </c>
      <c r="B108" s="66">
        <v>54536</v>
      </c>
      <c r="D108">
        <f t="shared" si="5"/>
        <v>54.070989490382708</v>
      </c>
      <c r="E108">
        <f t="shared" si="6"/>
        <v>54.070989490382708</v>
      </c>
      <c r="G108">
        <f t="shared" ca="1" si="7"/>
        <v>106</v>
      </c>
      <c r="H108">
        <f t="shared" ca="1" si="8"/>
        <v>5731.524885980567</v>
      </c>
      <c r="I108">
        <f t="shared" ca="1" si="9"/>
        <v>16304.609595842145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55432</v>
      </c>
      <c r="B111" s="66">
        <v>55432</v>
      </c>
      <c r="D111">
        <f t="shared" si="5"/>
        <v>54.959349593495936</v>
      </c>
      <c r="E111">
        <f t="shared" si="6"/>
        <v>54.959349593495936</v>
      </c>
      <c r="G111">
        <f t="shared" ca="1" si="7"/>
        <v>109</v>
      </c>
      <c r="H111">
        <f t="shared" ca="1" si="8"/>
        <v>5990.5691056910573</v>
      </c>
      <c r="I111">
        <f t="shared" ca="1" si="9"/>
        <v>22793.312199740427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51116</v>
      </c>
      <c r="B113" s="66">
        <v>51116</v>
      </c>
      <c r="D113">
        <f t="shared" si="5"/>
        <v>50.680150703946062</v>
      </c>
      <c r="E113">
        <f t="shared" si="6"/>
        <v>50.680150703946062</v>
      </c>
      <c r="G113">
        <f t="shared" ca="1" si="7"/>
        <v>111</v>
      </c>
      <c r="H113">
        <f t="shared" ca="1" si="8"/>
        <v>5625.4967281380132</v>
      </c>
      <c r="I113">
        <f t="shared" ca="1" si="9"/>
        <v>25349.709940515579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48673</v>
      </c>
      <c r="B116" s="66">
        <v>48673</v>
      </c>
      <c r="D116">
        <f t="shared" si="5"/>
        <v>48.257981360301407</v>
      </c>
      <c r="E116">
        <f t="shared" si="6"/>
        <v>48.257981360301407</v>
      </c>
      <c r="G116">
        <f t="shared" ca="1" si="7"/>
        <v>114</v>
      </c>
      <c r="H116">
        <f t="shared" ca="1" si="8"/>
        <v>5501.4098750743606</v>
      </c>
      <c r="I116">
        <f t="shared" ca="1" si="9"/>
        <v>31048.204959717914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43544</v>
      </c>
      <c r="B118" s="66">
        <v>43544</v>
      </c>
      <c r="D118">
        <f t="shared" si="5"/>
        <v>43.17271465397581</v>
      </c>
      <c r="E118">
        <f t="shared" si="6"/>
        <v>43.17271465397581</v>
      </c>
      <c r="G118">
        <f t="shared" ca="1" si="7"/>
        <v>116</v>
      </c>
      <c r="H118">
        <f t="shared" ca="1" si="8"/>
        <v>5008.0348998611935</v>
      </c>
      <c r="I118">
        <f t="shared" ca="1" si="9"/>
        <v>32329.430100928312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43288</v>
      </c>
      <c r="B121" s="66">
        <v>43288</v>
      </c>
      <c r="D121">
        <f t="shared" si="5"/>
        <v>42.918897481657744</v>
      </c>
      <c r="E121">
        <f t="shared" si="6"/>
        <v>42.918897481657744</v>
      </c>
      <c r="G121">
        <f t="shared" ca="1" si="7"/>
        <v>119</v>
      </c>
      <c r="H121">
        <f t="shared" ca="1" si="8"/>
        <v>5107.3488003172715</v>
      </c>
      <c r="I121">
        <f t="shared" ca="1" si="9"/>
        <v>39572.467696924803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39447</v>
      </c>
      <c r="B124" s="66">
        <v>39447</v>
      </c>
      <c r="D124">
        <f t="shared" si="5"/>
        <v>39.110648423557407</v>
      </c>
      <c r="E124">
        <f t="shared" si="6"/>
        <v>39.110648423557407</v>
      </c>
      <c r="G124">
        <f t="shared" ca="1" si="7"/>
        <v>122</v>
      </c>
      <c r="H124">
        <f t="shared" ca="1" si="8"/>
        <v>4771.4991076740034</v>
      </c>
      <c r="I124">
        <f t="shared" ca="1" si="9"/>
        <v>43538.700172036151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40583</v>
      </c>
      <c r="B126" s="66">
        <v>40583</v>
      </c>
      <c r="D126">
        <f t="shared" si="5"/>
        <v>40.236962125718819</v>
      </c>
      <c r="E126">
        <f t="shared" si="6"/>
        <v>40.236962125718819</v>
      </c>
      <c r="G126">
        <f t="shared" ca="1" si="7"/>
        <v>124</v>
      </c>
      <c r="H126">
        <f t="shared" ca="1" si="8"/>
        <v>4989.3833035891339</v>
      </c>
      <c r="I126">
        <f t="shared" ca="1" si="9"/>
        <v>50323.495092826131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40806</v>
      </c>
      <c r="B129" s="66">
        <v>40806</v>
      </c>
      <c r="D129">
        <f t="shared" si="5"/>
        <v>40.458060678167755</v>
      </c>
      <c r="E129">
        <f t="shared" si="6"/>
        <v>40.458060678167755</v>
      </c>
      <c r="G129">
        <f t="shared" ca="1" si="7"/>
        <v>127</v>
      </c>
      <c r="H129">
        <f t="shared" ca="1" si="8"/>
        <v>5138.1737061273052</v>
      </c>
      <c r="I129">
        <f t="shared" ca="1" si="9"/>
        <v>59548.919766263745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34881</v>
      </c>
      <c r="B131" s="66">
        <v>34881</v>
      </c>
      <c r="D131">
        <f t="shared" ref="D131:D194" si="10">IFERROR(100*A131/MAX(A$2:A$257), 0 )</f>
        <v>34.583581201665673</v>
      </c>
      <c r="E131">
        <f t="shared" ref="E131:E194" si="11">IFERROR(100*B131/MAX(B$2:B$257), 0 )</f>
        <v>34.583581201665673</v>
      </c>
      <c r="G131">
        <f t="shared" ref="G131:G194" ca="1" si="12">CELL("row",D131)-2</f>
        <v>129</v>
      </c>
      <c r="H131">
        <f t="shared" ref="H131:H194" ca="1" si="13">D131*G131</f>
        <v>4461.2819750148719</v>
      </c>
      <c r="I131">
        <f t="shared" ref="I131:I194" ca="1" si="14">D131*((G131-$L$1)^2)</f>
        <v>56347.983196189685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34360</v>
      </c>
      <c r="B134" s="66">
        <v>34360</v>
      </c>
      <c r="D134">
        <f t="shared" si="10"/>
        <v>34.067023597065237</v>
      </c>
      <c r="E134">
        <f t="shared" si="11"/>
        <v>34.067023597065237</v>
      </c>
      <c r="G134">
        <f t="shared" ca="1" si="12"/>
        <v>132</v>
      </c>
      <c r="H134">
        <f t="shared" ca="1" si="13"/>
        <v>4496.8471148126109</v>
      </c>
      <c r="I134">
        <f t="shared" ca="1" si="14"/>
        <v>64063.623039820894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31699</v>
      </c>
      <c r="B136" s="66">
        <v>31699</v>
      </c>
      <c r="D136">
        <f t="shared" si="10"/>
        <v>31.428713067618482</v>
      </c>
      <c r="E136">
        <f t="shared" si="11"/>
        <v>31.428713067618482</v>
      </c>
      <c r="G136">
        <f t="shared" ca="1" si="12"/>
        <v>134</v>
      </c>
      <c r="H136">
        <f t="shared" ca="1" si="13"/>
        <v>4211.4475510608763</v>
      </c>
      <c r="I136">
        <f t="shared" ca="1" si="14"/>
        <v>64679.56542548252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27887</v>
      </c>
      <c r="B139" s="66">
        <v>27887</v>
      </c>
      <c r="D139">
        <f t="shared" si="10"/>
        <v>27.6492167360698</v>
      </c>
      <c r="E139">
        <f t="shared" si="11"/>
        <v>27.6492167360698</v>
      </c>
      <c r="G139">
        <f t="shared" ca="1" si="12"/>
        <v>137</v>
      </c>
      <c r="H139">
        <f t="shared" ca="1" si="13"/>
        <v>3787.9426928415623</v>
      </c>
      <c r="I139">
        <f t="shared" ca="1" si="14"/>
        <v>64676.120974576821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23356</v>
      </c>
      <c r="B142" s="66">
        <v>23356</v>
      </c>
      <c r="D142">
        <f t="shared" si="10"/>
        <v>23.15685108070593</v>
      </c>
      <c r="E142">
        <f t="shared" si="11"/>
        <v>23.15685108070593</v>
      </c>
      <c r="G142">
        <f t="shared" ca="1" si="12"/>
        <v>140</v>
      </c>
      <c r="H142">
        <f t="shared" ca="1" si="13"/>
        <v>3241.9591512988304</v>
      </c>
      <c r="I142">
        <f t="shared" ca="1" si="14"/>
        <v>61096.018405490817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21384</v>
      </c>
      <c r="B144" s="66">
        <v>21384</v>
      </c>
      <c r="D144">
        <f t="shared" si="10"/>
        <v>21.201665675193336</v>
      </c>
      <c r="E144">
        <f t="shared" si="11"/>
        <v>21.201665675193336</v>
      </c>
      <c r="G144">
        <f t="shared" ca="1" si="12"/>
        <v>142</v>
      </c>
      <c r="H144">
        <f t="shared" ca="1" si="13"/>
        <v>3010.6365258774536</v>
      </c>
      <c r="I144">
        <f t="shared" ca="1" si="14"/>
        <v>60378.438118557271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19761</v>
      </c>
      <c r="B147" s="66">
        <v>19761</v>
      </c>
      <c r="D147">
        <f t="shared" si="10"/>
        <v>19.592504461629982</v>
      </c>
      <c r="E147">
        <f t="shared" si="11"/>
        <v>19.592504461629982</v>
      </c>
      <c r="G147">
        <f t="shared" ca="1" si="12"/>
        <v>145</v>
      </c>
      <c r="H147">
        <f t="shared" ca="1" si="13"/>
        <v>2840.9131469363474</v>
      </c>
      <c r="I147">
        <f t="shared" ca="1" si="14"/>
        <v>62245.491764508952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17168</v>
      </c>
      <c r="B149" s="66">
        <v>17168</v>
      </c>
      <c r="D149">
        <f t="shared" si="10"/>
        <v>17.02161411858021</v>
      </c>
      <c r="E149">
        <f t="shared" si="11"/>
        <v>17.02161411858021</v>
      </c>
      <c r="G149">
        <f t="shared" ca="1" si="12"/>
        <v>147</v>
      </c>
      <c r="H149">
        <f t="shared" ca="1" si="13"/>
        <v>2502.177275431291</v>
      </c>
      <c r="I149">
        <f t="shared" ca="1" si="14"/>
        <v>57983.534182588315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12702</v>
      </c>
      <c r="B152" s="66">
        <v>12702</v>
      </c>
      <c r="D152">
        <f t="shared" si="10"/>
        <v>12.593694229625223</v>
      </c>
      <c r="E152">
        <f t="shared" si="11"/>
        <v>12.593694229625223</v>
      </c>
      <c r="G152">
        <f t="shared" ca="1" si="12"/>
        <v>150</v>
      </c>
      <c r="H152">
        <f t="shared" ca="1" si="13"/>
        <v>1889.0541344437834</v>
      </c>
      <c r="I152">
        <f t="shared" ca="1" si="14"/>
        <v>47423.503443401511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13687</v>
      </c>
      <c r="B154" s="66">
        <v>13687</v>
      </c>
      <c r="D154">
        <f t="shared" si="10"/>
        <v>13.570295459052151</v>
      </c>
      <c r="E154">
        <f t="shared" si="11"/>
        <v>13.570295459052151</v>
      </c>
      <c r="G154">
        <f t="shared" ca="1" si="12"/>
        <v>152</v>
      </c>
      <c r="H154">
        <f t="shared" ca="1" si="13"/>
        <v>2062.6849097759268</v>
      </c>
      <c r="I154">
        <f t="shared" ca="1" si="14"/>
        <v>54486.28854015431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13114</v>
      </c>
      <c r="B157" s="66">
        <v>13114</v>
      </c>
      <c r="D157">
        <f t="shared" si="10"/>
        <v>13.002181241324609</v>
      </c>
      <c r="E157">
        <f t="shared" si="11"/>
        <v>13.002181241324609</v>
      </c>
      <c r="G157">
        <f t="shared" ca="1" si="12"/>
        <v>155</v>
      </c>
      <c r="H157">
        <f t="shared" ca="1" si="13"/>
        <v>2015.3380924053142</v>
      </c>
      <c r="I157">
        <f t="shared" ca="1" si="14"/>
        <v>57265.558447888419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13394</v>
      </c>
      <c r="B160" s="66">
        <v>13394</v>
      </c>
      <c r="D160">
        <f t="shared" si="10"/>
        <v>13.279793773547491</v>
      </c>
      <c r="E160">
        <f t="shared" si="11"/>
        <v>13.279793773547491</v>
      </c>
      <c r="G160">
        <f t="shared" ca="1" si="12"/>
        <v>158</v>
      </c>
      <c r="H160">
        <f t="shared" ca="1" si="13"/>
        <v>2098.2074162205035</v>
      </c>
      <c r="I160">
        <f t="shared" ca="1" si="14"/>
        <v>63895.642095679003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9813</v>
      </c>
      <c r="B162" s="66">
        <v>9813</v>
      </c>
      <c r="D162">
        <f t="shared" si="10"/>
        <v>9.7293277810826897</v>
      </c>
      <c r="E162">
        <f t="shared" si="11"/>
        <v>9.7293277810826897</v>
      </c>
      <c r="G162">
        <f t="shared" ca="1" si="12"/>
        <v>160</v>
      </c>
      <c r="H162">
        <f t="shared" ca="1" si="13"/>
        <v>1556.6924449732303</v>
      </c>
      <c r="I162">
        <f t="shared" ca="1" si="14"/>
        <v>49551.01175441996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9125</v>
      </c>
      <c r="B165" s="66">
        <v>9125</v>
      </c>
      <c r="D165">
        <f t="shared" si="10"/>
        <v>9.0471941304778909</v>
      </c>
      <c r="E165">
        <f t="shared" si="11"/>
        <v>9.0471941304778909</v>
      </c>
      <c r="G165">
        <f t="shared" ca="1" si="12"/>
        <v>163</v>
      </c>
      <c r="H165">
        <f t="shared" ca="1" si="13"/>
        <v>1474.6926432678963</v>
      </c>
      <c r="I165">
        <f t="shared" ca="1" si="14"/>
        <v>50032.275963282234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8780</v>
      </c>
      <c r="B167" s="66">
        <v>8780</v>
      </c>
      <c r="D167">
        <f t="shared" si="10"/>
        <v>8.7051358318461229</v>
      </c>
      <c r="E167">
        <f t="shared" si="11"/>
        <v>8.7051358318461229</v>
      </c>
      <c r="G167">
        <f t="shared" ca="1" si="12"/>
        <v>165</v>
      </c>
      <c r="H167">
        <f t="shared" ca="1" si="13"/>
        <v>1436.3474122546104</v>
      </c>
      <c r="I167">
        <f t="shared" ca="1" si="14"/>
        <v>50764.892527342847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8663</v>
      </c>
      <c r="B170" s="66">
        <v>8663</v>
      </c>
      <c r="D170">
        <f t="shared" si="10"/>
        <v>8.5891334523101328</v>
      </c>
      <c r="E170">
        <f t="shared" si="11"/>
        <v>8.5891334523101328</v>
      </c>
      <c r="G170">
        <f t="shared" ca="1" si="12"/>
        <v>168</v>
      </c>
      <c r="H170">
        <f t="shared" ca="1" si="13"/>
        <v>1442.9744199881022</v>
      </c>
      <c r="I170">
        <f t="shared" ca="1" si="14"/>
        <v>54101.166416013126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6727</v>
      </c>
      <c r="B173" s="66">
        <v>6727</v>
      </c>
      <c r="D173">
        <f t="shared" si="10"/>
        <v>6.6696410866547691</v>
      </c>
      <c r="E173">
        <f t="shared" si="11"/>
        <v>6.6696410866547691</v>
      </c>
      <c r="G173">
        <f t="shared" ca="1" si="12"/>
        <v>171</v>
      </c>
      <c r="H173">
        <f t="shared" ca="1" si="13"/>
        <v>1140.5086258179656</v>
      </c>
      <c r="I173">
        <f t="shared" ca="1" si="14"/>
        <v>45246.72332796437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6646</v>
      </c>
      <c r="B175" s="66">
        <v>6646</v>
      </c>
      <c r="D175">
        <f t="shared" si="10"/>
        <v>6.589331746976006</v>
      </c>
      <c r="E175">
        <f t="shared" si="11"/>
        <v>6.589331746976006</v>
      </c>
      <c r="G175">
        <f t="shared" ca="1" si="12"/>
        <v>173</v>
      </c>
      <c r="H175">
        <f t="shared" ca="1" si="13"/>
        <v>1139.954392226849</v>
      </c>
      <c r="I175">
        <f t="shared" ca="1" si="14"/>
        <v>46899.182960547056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5719</v>
      </c>
      <c r="B178" s="66">
        <v>5719</v>
      </c>
      <c r="D178">
        <f t="shared" si="10"/>
        <v>5.6702359706523895</v>
      </c>
      <c r="E178">
        <f t="shared" si="11"/>
        <v>5.6702359706523895</v>
      </c>
      <c r="G178">
        <f t="shared" ca="1" si="12"/>
        <v>176</v>
      </c>
      <c r="H178">
        <f t="shared" ca="1" si="13"/>
        <v>997.96153083482056</v>
      </c>
      <c r="I178">
        <f t="shared" ca="1" si="14"/>
        <v>43278.819074934043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5553</v>
      </c>
      <c r="B180" s="66">
        <v>5553</v>
      </c>
      <c r="D180">
        <f t="shared" si="10"/>
        <v>5.5056513979773944</v>
      </c>
      <c r="E180">
        <f t="shared" si="11"/>
        <v>5.5056513979773944</v>
      </c>
      <c r="G180">
        <f t="shared" ca="1" si="12"/>
        <v>178</v>
      </c>
      <c r="H180">
        <f t="shared" ca="1" si="13"/>
        <v>980.00594883997621</v>
      </c>
      <c r="I180">
        <f t="shared" ca="1" si="14"/>
        <v>43968.631764177961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4528</v>
      </c>
      <c r="B183" s="66">
        <v>4528</v>
      </c>
      <c r="D183">
        <f t="shared" si="10"/>
        <v>4.4893912353757681</v>
      </c>
      <c r="E183">
        <f t="shared" si="11"/>
        <v>4.4893912353757681</v>
      </c>
      <c r="G183">
        <f t="shared" ca="1" si="12"/>
        <v>181</v>
      </c>
      <c r="H183">
        <f t="shared" ca="1" si="13"/>
        <v>812.57981360301403</v>
      </c>
      <c r="I183">
        <f t="shared" ca="1" si="14"/>
        <v>38300.255197784209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3533</v>
      </c>
      <c r="B185" s="66">
        <v>3533</v>
      </c>
      <c r="D185">
        <f t="shared" si="10"/>
        <v>3.5028752726551655</v>
      </c>
      <c r="E185">
        <f t="shared" si="11"/>
        <v>3.5028752726551655</v>
      </c>
      <c r="G185">
        <f t="shared" ca="1" si="12"/>
        <v>183</v>
      </c>
      <c r="H185">
        <f t="shared" ca="1" si="13"/>
        <v>641.02617489589534</v>
      </c>
      <c r="I185">
        <f t="shared" ca="1" si="14"/>
        <v>31192.193779339192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2256</v>
      </c>
      <c r="B188" s="66">
        <v>2256</v>
      </c>
      <c r="D188">
        <f t="shared" si="10"/>
        <v>2.2367638310529445</v>
      </c>
      <c r="E188">
        <f t="shared" si="11"/>
        <v>2.2367638310529445</v>
      </c>
      <c r="G188">
        <f t="shared" ca="1" si="12"/>
        <v>186</v>
      </c>
      <c r="H188">
        <f t="shared" ca="1" si="13"/>
        <v>416.03807257584771</v>
      </c>
      <c r="I188">
        <f t="shared" ca="1" si="14"/>
        <v>21204.363752011384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1736</v>
      </c>
      <c r="B191" s="66">
        <v>1736</v>
      </c>
      <c r="D191">
        <f t="shared" si="10"/>
        <v>1.7211976997818759</v>
      </c>
      <c r="E191">
        <f t="shared" si="11"/>
        <v>1.7211976997818759</v>
      </c>
      <c r="G191">
        <f t="shared" ca="1" si="12"/>
        <v>189</v>
      </c>
      <c r="H191">
        <f t="shared" ca="1" si="13"/>
        <v>325.30636525877452</v>
      </c>
      <c r="I191">
        <f t="shared" ca="1" si="14"/>
        <v>17337.829643319586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741</v>
      </c>
      <c r="B193" s="66">
        <v>741</v>
      </c>
      <c r="D193">
        <f t="shared" si="10"/>
        <v>0.73468173706127304</v>
      </c>
      <c r="E193">
        <f t="shared" si="11"/>
        <v>0.73468173706127304</v>
      </c>
      <c r="G193">
        <f t="shared" ca="1" si="12"/>
        <v>191</v>
      </c>
      <c r="H193">
        <f t="shared" ca="1" si="13"/>
        <v>140.32421177870316</v>
      </c>
      <c r="I193">
        <f t="shared" ca="1" si="14"/>
        <v>7698.4205835707216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145</v>
      </c>
      <c r="B196" s="66">
        <v>145</v>
      </c>
      <c r="D196">
        <f t="shared" si="15"/>
        <v>0.1437636327582788</v>
      </c>
      <c r="E196">
        <f t="shared" si="16"/>
        <v>0.1437636327582788</v>
      </c>
      <c r="G196">
        <f t="shared" ca="1" si="17"/>
        <v>194</v>
      </c>
      <c r="H196">
        <f t="shared" ca="1" si="18"/>
        <v>27.890144755106089</v>
      </c>
      <c r="I196">
        <f t="shared" ca="1" si="19"/>
        <v>1596.0305738789759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0.29930499999999999</v>
      </c>
      <c r="B2" s="68">
        <v>0.44317099999999998</v>
      </c>
      <c r="C2" s="68">
        <v>0</v>
      </c>
      <c r="D2" s="68">
        <v>1</v>
      </c>
      <c r="E2" s="68" t="s">
        <v>355</v>
      </c>
    </row>
    <row r="3" spans="1:5">
      <c r="A3" s="68">
        <v>0.30755300000000002</v>
      </c>
      <c r="B3" s="68">
        <v>0.426145</v>
      </c>
      <c r="C3" s="68">
        <v>0.40689799999999998</v>
      </c>
      <c r="D3" s="89">
        <v>1</v>
      </c>
      <c r="E3" s="68" t="s">
        <v>356</v>
      </c>
    </row>
    <row r="4" spans="1:5">
      <c r="A4" s="68">
        <v>0.315807</v>
      </c>
      <c r="B4" s="68">
        <v>0.41020699999999999</v>
      </c>
      <c r="C4" s="68">
        <v>0.81577</v>
      </c>
      <c r="D4" s="89">
        <v>1</v>
      </c>
      <c r="E4" s="68" t="s">
        <v>357</v>
      </c>
    </row>
    <row r="5" spans="1:5">
      <c r="A5" s="89">
        <v>0.323936</v>
      </c>
      <c r="B5" s="89">
        <v>0.39602799999999999</v>
      </c>
      <c r="C5" s="89">
        <v>1.21566</v>
      </c>
      <c r="D5" s="89">
        <v>1</v>
      </c>
      <c r="E5" s="68" t="s">
        <v>358</v>
      </c>
    </row>
    <row r="6" spans="1:5">
      <c r="A6" s="68">
        <v>0.33183600000000002</v>
      </c>
      <c r="B6" s="68">
        <v>0.38394400000000001</v>
      </c>
      <c r="C6" s="68">
        <v>1.6248199999999999</v>
      </c>
      <c r="D6" s="68">
        <v>1</v>
      </c>
      <c r="E6" s="68" t="s">
        <v>359</v>
      </c>
    </row>
    <row r="7" spans="1:5">
      <c r="A7" s="68">
        <v>0.33903299999999997</v>
      </c>
      <c r="B7" s="68">
        <v>0.37525199999999997</v>
      </c>
      <c r="C7" s="68">
        <v>2.0326399999999998</v>
      </c>
      <c r="D7" s="68">
        <v>1</v>
      </c>
      <c r="E7" s="68" t="s">
        <v>360</v>
      </c>
    </row>
    <row r="8" spans="1:5">
      <c r="A8" s="68">
        <v>0.34553800000000001</v>
      </c>
      <c r="B8" s="68">
        <v>0.36943399999999998</v>
      </c>
      <c r="C8" s="68">
        <v>2.4394499999999999</v>
      </c>
      <c r="D8" s="68">
        <v>1</v>
      </c>
      <c r="E8" s="68" t="s">
        <v>361</v>
      </c>
    </row>
    <row r="9" spans="1:5">
      <c r="A9" s="68">
        <v>0.351186</v>
      </c>
      <c r="B9" s="68">
        <v>0.365645</v>
      </c>
      <c r="C9" s="68">
        <v>2.84666</v>
      </c>
      <c r="D9" s="68">
        <v>1</v>
      </c>
      <c r="E9" s="68" t="s">
        <v>362</v>
      </c>
    </row>
    <row r="10" spans="1:5">
      <c r="A10" s="68">
        <v>0.35634199999999999</v>
      </c>
      <c r="B10" s="68">
        <v>0.36335099999999998</v>
      </c>
      <c r="C10" s="68">
        <v>3.2504400000000002</v>
      </c>
      <c r="D10" s="68">
        <v>1</v>
      </c>
      <c r="E10" s="68" t="s">
        <v>363</v>
      </c>
    </row>
    <row r="11" spans="1:5">
      <c r="A11" s="68">
        <v>0.36079299999999997</v>
      </c>
      <c r="B11" s="68">
        <v>0.36174800000000001</v>
      </c>
      <c r="C11" s="68">
        <v>3.6542400000000002</v>
      </c>
      <c r="D11" s="68">
        <v>1</v>
      </c>
      <c r="E11" s="68" t="s">
        <v>364</v>
      </c>
    </row>
    <row r="12" spans="1:5">
      <c r="A12" s="68">
        <v>0.36448900000000001</v>
      </c>
      <c r="B12" s="68">
        <v>0.36103600000000002</v>
      </c>
      <c r="C12" s="68">
        <v>4.0634300000000003</v>
      </c>
      <c r="D12" s="68">
        <v>1</v>
      </c>
      <c r="E12" s="68" t="s">
        <v>365</v>
      </c>
    </row>
    <row r="13" spans="1:5">
      <c r="A13" s="68">
        <v>0.36784899999999998</v>
      </c>
      <c r="B13" s="68">
        <v>0.35971399999999998</v>
      </c>
      <c r="C13" s="68">
        <v>4.46896</v>
      </c>
      <c r="D13" s="68">
        <v>1</v>
      </c>
      <c r="E13" s="68" t="s">
        <v>366</v>
      </c>
    </row>
    <row r="14" spans="1:5">
      <c r="A14" s="68">
        <v>0.37095699999999998</v>
      </c>
      <c r="B14" s="68">
        <v>0.35864499999999999</v>
      </c>
      <c r="C14" s="68">
        <v>4.8759899999999998</v>
      </c>
      <c r="D14" s="68">
        <v>1</v>
      </c>
      <c r="E14" s="68" t="s">
        <v>367</v>
      </c>
    </row>
    <row r="15" spans="1:5">
      <c r="A15" s="68">
        <v>0.37377300000000002</v>
      </c>
      <c r="B15" s="68">
        <v>0.357487</v>
      </c>
      <c r="C15" s="68">
        <v>5.27888</v>
      </c>
      <c r="D15" s="68">
        <v>1</v>
      </c>
      <c r="E15" s="68" t="s">
        <v>368</v>
      </c>
    </row>
    <row r="16" spans="1:5">
      <c r="A16" s="68">
        <v>0.37627300000000002</v>
      </c>
      <c r="B16" s="68">
        <v>0.35567100000000001</v>
      </c>
      <c r="C16" s="68">
        <v>5.6884100000000002</v>
      </c>
      <c r="D16" s="68">
        <v>1</v>
      </c>
      <c r="E16" s="68" t="s">
        <v>369</v>
      </c>
    </row>
    <row r="17" spans="1:5">
      <c r="A17" s="68">
        <v>0.37825900000000001</v>
      </c>
      <c r="B17" s="68">
        <v>0.353126</v>
      </c>
      <c r="C17" s="68">
        <v>6.0956799999999998</v>
      </c>
      <c r="D17" s="68">
        <v>1</v>
      </c>
      <c r="E17" s="68" t="s">
        <v>370</v>
      </c>
    </row>
    <row r="18" spans="1:5">
      <c r="A18" s="68">
        <v>0.37976700000000002</v>
      </c>
      <c r="B18" s="68">
        <v>0.35014600000000001</v>
      </c>
      <c r="C18" s="68">
        <v>6.4985600000000003</v>
      </c>
      <c r="D18" s="68">
        <v>1</v>
      </c>
      <c r="E18" s="68" t="s">
        <v>371</v>
      </c>
    </row>
    <row r="19" spans="1:5">
      <c r="A19" s="68">
        <v>0.38083099999999998</v>
      </c>
      <c r="B19" s="68">
        <v>0.346273</v>
      </c>
      <c r="C19" s="68">
        <v>6.9055400000000002</v>
      </c>
      <c r="D19" s="68">
        <v>1</v>
      </c>
      <c r="E19" s="68" t="s">
        <v>372</v>
      </c>
    </row>
    <row r="20" spans="1:5">
      <c r="A20" s="68">
        <v>0.381384</v>
      </c>
      <c r="B20" s="68">
        <v>0.341169</v>
      </c>
      <c r="C20" s="68">
        <v>7.3093899999999996</v>
      </c>
      <c r="D20" s="68">
        <v>1</v>
      </c>
      <c r="E20" s="68" t="s">
        <v>373</v>
      </c>
    </row>
    <row r="21" spans="1:5">
      <c r="A21" s="68">
        <v>0.38134400000000002</v>
      </c>
      <c r="B21" s="68">
        <v>0.33481699999999998</v>
      </c>
      <c r="C21" s="68">
        <v>7.7205300000000001</v>
      </c>
      <c r="D21" s="68">
        <v>1</v>
      </c>
      <c r="E21" s="68" t="s">
        <v>374</v>
      </c>
    </row>
    <row r="22" spans="1:5">
      <c r="A22" s="68">
        <v>0.38053799999999999</v>
      </c>
      <c r="B22" s="68">
        <v>0.32832299999999998</v>
      </c>
      <c r="C22" s="68">
        <v>8.1252099999999992</v>
      </c>
      <c r="D22" s="68">
        <v>1</v>
      </c>
      <c r="E22" s="68" t="s">
        <v>375</v>
      </c>
    </row>
    <row r="23" spans="1:5">
      <c r="A23" s="68">
        <v>0.37912299999999999</v>
      </c>
      <c r="B23" s="68">
        <v>0.32161699999999999</v>
      </c>
      <c r="C23" s="68">
        <v>8.53125</v>
      </c>
      <c r="D23" s="68">
        <v>1</v>
      </c>
      <c r="E23" s="68" t="s">
        <v>376</v>
      </c>
    </row>
    <row r="24" spans="1:5">
      <c r="A24" s="68">
        <v>0.37716</v>
      </c>
      <c r="B24" s="68">
        <v>0.31482599999999999</v>
      </c>
      <c r="C24" s="68">
        <v>8.9371399999999994</v>
      </c>
      <c r="D24" s="68">
        <v>1</v>
      </c>
      <c r="E24" s="68" t="s">
        <v>377</v>
      </c>
    </row>
    <row r="25" spans="1:5">
      <c r="A25" s="68">
        <v>0.37448900000000002</v>
      </c>
      <c r="B25" s="68">
        <v>0.30796600000000002</v>
      </c>
      <c r="C25" s="68">
        <v>9.3449600000000004</v>
      </c>
      <c r="D25" s="68">
        <v>1</v>
      </c>
      <c r="E25" s="68" t="s">
        <v>378</v>
      </c>
    </row>
    <row r="26" spans="1:5">
      <c r="A26" s="68">
        <v>0.37127500000000002</v>
      </c>
      <c r="B26" s="68">
        <v>0.30175200000000002</v>
      </c>
      <c r="C26" s="68">
        <v>9.7520299999999995</v>
      </c>
      <c r="D26" s="68">
        <v>1</v>
      </c>
      <c r="E26" s="68" t="s">
        <v>379</v>
      </c>
    </row>
    <row r="27" spans="1:5">
      <c r="A27" s="68">
        <v>0.36748199999999998</v>
      </c>
      <c r="B27" s="68">
        <v>0.29646</v>
      </c>
      <c r="C27" s="68">
        <v>10.1568</v>
      </c>
      <c r="D27" s="68">
        <v>1</v>
      </c>
      <c r="E27" s="68" t="s">
        <v>380</v>
      </c>
    </row>
    <row r="28" spans="1:5">
      <c r="A28" s="68">
        <v>0.36294799999999999</v>
      </c>
      <c r="B28" s="68">
        <v>0.29233500000000001</v>
      </c>
      <c r="C28" s="68">
        <v>10.5617</v>
      </c>
      <c r="D28" s="68">
        <v>1</v>
      </c>
      <c r="E28" s="68" t="s">
        <v>381</v>
      </c>
    </row>
    <row r="29" spans="1:5">
      <c r="A29" s="68">
        <v>0.357873</v>
      </c>
      <c r="B29" s="68">
        <v>0.289022</v>
      </c>
      <c r="C29" s="68">
        <v>10.967599999999999</v>
      </c>
      <c r="D29" s="68">
        <v>1</v>
      </c>
      <c r="E29" s="68" t="s">
        <v>382</v>
      </c>
    </row>
    <row r="30" spans="1:5">
      <c r="A30" s="68">
        <v>0.35254400000000002</v>
      </c>
      <c r="B30" s="68">
        <v>0.28664499999999998</v>
      </c>
      <c r="C30" s="68">
        <v>11.3735</v>
      </c>
      <c r="D30" s="68">
        <v>1</v>
      </c>
      <c r="E30" s="68" t="s">
        <v>383</v>
      </c>
    </row>
    <row r="31" spans="1:5">
      <c r="A31" s="68">
        <v>0.34702899999999998</v>
      </c>
      <c r="B31" s="68">
        <v>0.28476299999999999</v>
      </c>
      <c r="C31" s="68">
        <v>11.7835</v>
      </c>
      <c r="D31" s="68">
        <v>1</v>
      </c>
      <c r="E31" s="68" t="s">
        <v>384</v>
      </c>
    </row>
    <row r="32" spans="1:5">
      <c r="A32" s="68">
        <v>0.34167199999999998</v>
      </c>
      <c r="B32" s="68">
        <v>0.282497</v>
      </c>
      <c r="C32" s="68">
        <v>12.1914</v>
      </c>
      <c r="D32" s="68">
        <v>1</v>
      </c>
      <c r="E32" s="68" t="s">
        <v>385</v>
      </c>
    </row>
    <row r="33" spans="1:5">
      <c r="A33" s="68">
        <v>0.33654899999999999</v>
      </c>
      <c r="B33" s="68">
        <v>0.28056399999999998</v>
      </c>
      <c r="C33" s="68">
        <v>12.5923</v>
      </c>
      <c r="D33" s="68">
        <v>1</v>
      </c>
      <c r="E33" s="68" t="s">
        <v>386</v>
      </c>
    </row>
    <row r="34" spans="1:5">
      <c r="A34" s="68">
        <v>0.331876</v>
      </c>
      <c r="B34" s="68">
        <v>0.27842699999999998</v>
      </c>
      <c r="C34" s="68">
        <v>12.998200000000001</v>
      </c>
      <c r="D34" s="68">
        <v>1</v>
      </c>
      <c r="E34" s="68" t="s">
        <v>387</v>
      </c>
    </row>
    <row r="35" spans="1:5">
      <c r="A35" s="68">
        <v>0.32750400000000002</v>
      </c>
      <c r="B35" s="68">
        <v>0.27574700000000002</v>
      </c>
      <c r="C35" s="68">
        <v>13.404199999999999</v>
      </c>
      <c r="D35" s="68">
        <v>1</v>
      </c>
      <c r="E35" s="68" t="s">
        <v>388</v>
      </c>
    </row>
    <row r="36" spans="1:5">
      <c r="A36" s="68">
        <v>0.32355299999999998</v>
      </c>
      <c r="B36" s="68">
        <v>0.27257799999999999</v>
      </c>
      <c r="C36" s="68">
        <v>13.8132</v>
      </c>
      <c r="D36" s="68">
        <v>1</v>
      </c>
      <c r="E36" s="68" t="s">
        <v>389</v>
      </c>
    </row>
    <row r="37" spans="1:5">
      <c r="A37" s="68">
        <v>0.32011699999999998</v>
      </c>
      <c r="B37" s="68">
        <v>0.26835999999999999</v>
      </c>
      <c r="C37" s="68">
        <v>14.22</v>
      </c>
      <c r="D37" s="68">
        <v>1</v>
      </c>
      <c r="E37" s="68" t="s">
        <v>390</v>
      </c>
    </row>
    <row r="38" spans="1:5">
      <c r="A38" s="68">
        <v>0.31689499999999998</v>
      </c>
      <c r="B38" s="68">
        <v>0.264374</v>
      </c>
      <c r="C38" s="68">
        <v>14.6226</v>
      </c>
      <c r="D38" s="68">
        <v>1</v>
      </c>
      <c r="E38" s="68" t="s">
        <v>391</v>
      </c>
    </row>
    <row r="39" spans="1:5">
      <c r="A39" s="68">
        <v>0.31376199999999999</v>
      </c>
      <c r="B39" s="68">
        <v>0.260791</v>
      </c>
      <c r="C39" s="68">
        <v>15.030799999999999</v>
      </c>
      <c r="D39" s="68">
        <v>1</v>
      </c>
      <c r="E39" s="68" t="s">
        <v>392</v>
      </c>
    </row>
    <row r="40" spans="1:5">
      <c r="A40" s="68">
        <v>0.31071199999999999</v>
      </c>
      <c r="B40" s="68">
        <v>0.25847500000000001</v>
      </c>
      <c r="C40" s="68">
        <v>15.438700000000001</v>
      </c>
      <c r="D40" s="68">
        <v>1</v>
      </c>
      <c r="E40" s="68" t="s">
        <v>393</v>
      </c>
    </row>
    <row r="41" spans="1:5">
      <c r="A41" s="68">
        <v>0.307952</v>
      </c>
      <c r="B41" s="68">
        <v>0.25717699999999999</v>
      </c>
      <c r="C41" s="68">
        <v>15.8446</v>
      </c>
      <c r="D41" s="68">
        <v>1</v>
      </c>
      <c r="E41" s="68" t="s">
        <v>394</v>
      </c>
    </row>
    <row r="42" spans="1:5">
      <c r="A42" s="68">
        <v>0.30586600000000003</v>
      </c>
      <c r="B42" s="68">
        <v>0.25525199999999998</v>
      </c>
      <c r="C42" s="68">
        <v>16.250599999999999</v>
      </c>
      <c r="D42" s="68">
        <v>1</v>
      </c>
      <c r="E42" s="68" t="s">
        <v>395</v>
      </c>
    </row>
    <row r="43" spans="1:5">
      <c r="A43" s="68">
        <v>0.30442599999999997</v>
      </c>
      <c r="B43" s="68">
        <v>0.25392300000000001</v>
      </c>
      <c r="C43" s="68">
        <v>16.651800000000001</v>
      </c>
      <c r="D43" s="68">
        <v>1</v>
      </c>
      <c r="E43" s="68" t="s">
        <v>396</v>
      </c>
    </row>
    <row r="44" spans="1:5">
      <c r="A44" s="68">
        <v>0.30349300000000001</v>
      </c>
      <c r="B44" s="68">
        <v>0.253438</v>
      </c>
      <c r="C44" s="68">
        <v>17.0623</v>
      </c>
      <c r="D44" s="68">
        <v>1</v>
      </c>
      <c r="E44" s="68" t="s">
        <v>397</v>
      </c>
    </row>
    <row r="45" spans="1:5">
      <c r="A45" s="68">
        <v>0.30287199999999997</v>
      </c>
      <c r="B45" s="68">
        <v>0.25306600000000001</v>
      </c>
      <c r="C45" s="68">
        <v>17.468299999999999</v>
      </c>
      <c r="D45" s="68">
        <v>1</v>
      </c>
      <c r="E45" s="68" t="s">
        <v>398</v>
      </c>
    </row>
    <row r="46" spans="1:5">
      <c r="A46" s="68">
        <v>0.302707</v>
      </c>
      <c r="B46" s="68">
        <v>0.25251299999999999</v>
      </c>
      <c r="C46" s="68">
        <v>17.8751</v>
      </c>
      <c r="D46" s="68">
        <v>1</v>
      </c>
      <c r="E46" s="68" t="s">
        <v>399</v>
      </c>
    </row>
    <row r="47" spans="1:5">
      <c r="A47" s="68">
        <v>0.30269000000000001</v>
      </c>
      <c r="B47" s="68">
        <v>0.25178</v>
      </c>
      <c r="C47" s="68">
        <v>18.281199999999998</v>
      </c>
      <c r="D47" s="68">
        <v>1</v>
      </c>
      <c r="E47" s="68" t="s">
        <v>400</v>
      </c>
    </row>
    <row r="48" spans="1:5">
      <c r="A48" s="68">
        <v>0.30317699999999997</v>
      </c>
      <c r="B48" s="68">
        <v>0.25089299999999998</v>
      </c>
      <c r="C48" s="68">
        <v>18.689</v>
      </c>
      <c r="D48" s="68">
        <v>1</v>
      </c>
      <c r="E48" s="68" t="s">
        <v>401</v>
      </c>
    </row>
    <row r="49" spans="1:5">
      <c r="A49" s="68">
        <v>0.30387599999999998</v>
      </c>
      <c r="B49" s="68">
        <v>0.25055899999999998</v>
      </c>
      <c r="C49" s="68">
        <v>19.094899999999999</v>
      </c>
      <c r="D49" s="68">
        <v>1</v>
      </c>
      <c r="E49" s="68" t="s">
        <v>402</v>
      </c>
    </row>
    <row r="50" spans="1:5">
      <c r="A50" s="68">
        <v>0.30468000000000001</v>
      </c>
      <c r="B50" s="68">
        <v>0.25135000000000002</v>
      </c>
      <c r="C50" s="68">
        <v>19.501100000000001</v>
      </c>
      <c r="D50" s="68">
        <v>1</v>
      </c>
      <c r="E50" s="68" t="s">
        <v>403</v>
      </c>
    </row>
    <row r="51" spans="1:5">
      <c r="A51" s="68">
        <v>0.30573099999999998</v>
      </c>
      <c r="B51" s="68">
        <v>0.252191</v>
      </c>
      <c r="C51" s="68">
        <v>19.9087</v>
      </c>
      <c r="D51" s="68">
        <v>1</v>
      </c>
      <c r="E51" s="68" t="s">
        <v>404</v>
      </c>
    </row>
    <row r="52" spans="1:5">
      <c r="A52" s="68">
        <v>0.30702400000000002</v>
      </c>
      <c r="B52" s="68">
        <v>0.25364100000000001</v>
      </c>
      <c r="C52" s="68">
        <v>20.3108</v>
      </c>
      <c r="D52" s="68">
        <v>1</v>
      </c>
      <c r="E52" s="68" t="s">
        <v>405</v>
      </c>
    </row>
    <row r="53" spans="1:5">
      <c r="A53" s="68">
        <v>0.30826399999999998</v>
      </c>
      <c r="B53" s="68">
        <v>0.256359</v>
      </c>
      <c r="C53" s="68">
        <v>20.718499999999999</v>
      </c>
      <c r="D53" s="68">
        <v>1</v>
      </c>
      <c r="E53" s="68" t="s">
        <v>406</v>
      </c>
    </row>
    <row r="54" spans="1:5">
      <c r="A54" s="68">
        <v>0.30967699999999998</v>
      </c>
      <c r="B54" s="68">
        <v>0.25947799999999999</v>
      </c>
      <c r="C54" s="68">
        <v>21.1265</v>
      </c>
      <c r="D54" s="68">
        <v>1</v>
      </c>
      <c r="E54" s="68" t="s">
        <v>407</v>
      </c>
    </row>
    <row r="55" spans="1:5">
      <c r="A55" s="68">
        <v>0.31110900000000002</v>
      </c>
      <c r="B55" s="68">
        <v>0.26344200000000001</v>
      </c>
      <c r="C55" s="68">
        <v>21.5273</v>
      </c>
      <c r="D55" s="68">
        <v>1</v>
      </c>
      <c r="E55" s="68" t="s">
        <v>408</v>
      </c>
    </row>
    <row r="56" spans="1:5">
      <c r="A56" s="68">
        <v>0.31258900000000001</v>
      </c>
      <c r="B56" s="68">
        <v>0.268341</v>
      </c>
      <c r="C56" s="68">
        <v>21.936299999999999</v>
      </c>
      <c r="D56" s="68">
        <v>1</v>
      </c>
      <c r="E56" s="68" t="s">
        <v>409</v>
      </c>
    </row>
    <row r="57" spans="1:5">
      <c r="A57" s="68">
        <v>0.31432900000000003</v>
      </c>
      <c r="B57" s="68">
        <v>0.27374100000000001</v>
      </c>
      <c r="C57" s="68">
        <v>22.341899999999999</v>
      </c>
      <c r="D57" s="68">
        <v>1</v>
      </c>
      <c r="E57" s="68" t="s">
        <v>410</v>
      </c>
    </row>
    <row r="58" spans="1:5">
      <c r="A58" s="68">
        <v>0.31635099999999999</v>
      </c>
      <c r="B58" s="68">
        <v>0.27888099999999999</v>
      </c>
      <c r="C58" s="68">
        <v>22.7502</v>
      </c>
      <c r="D58" s="68">
        <v>1</v>
      </c>
      <c r="E58" s="68" t="s">
        <v>411</v>
      </c>
    </row>
    <row r="59" spans="1:5">
      <c r="A59" s="68">
        <v>0.31839000000000001</v>
      </c>
      <c r="B59" s="68">
        <v>0.28435899999999997</v>
      </c>
      <c r="C59" s="68">
        <v>23.1571</v>
      </c>
      <c r="D59" s="68">
        <v>1</v>
      </c>
      <c r="E59" s="68" t="s">
        <v>412</v>
      </c>
    </row>
    <row r="60" spans="1:5">
      <c r="A60" s="68">
        <v>0.32027699999999998</v>
      </c>
      <c r="B60" s="68">
        <v>0.29111700000000001</v>
      </c>
      <c r="C60" s="68">
        <v>23.5655</v>
      </c>
      <c r="D60" s="68">
        <v>1</v>
      </c>
      <c r="E60" s="68" t="s">
        <v>413</v>
      </c>
    </row>
    <row r="61" spans="1:5">
      <c r="A61" s="68">
        <v>0.32220199999999999</v>
      </c>
      <c r="B61" s="68">
        <v>0.29827900000000002</v>
      </c>
      <c r="C61" s="68">
        <v>23.969799999999999</v>
      </c>
      <c r="D61" s="68">
        <v>1</v>
      </c>
      <c r="E61" s="68" t="s">
        <v>414</v>
      </c>
    </row>
    <row r="62" spans="1:5">
      <c r="A62" s="68">
        <v>0.32422499999999999</v>
      </c>
      <c r="B62" s="68">
        <v>0.30578300000000003</v>
      </c>
      <c r="C62" s="68">
        <v>24.373899999999999</v>
      </c>
      <c r="D62" s="68">
        <v>1</v>
      </c>
      <c r="E62" s="68" t="s">
        <v>415</v>
      </c>
    </row>
    <row r="63" spans="1:5">
      <c r="A63" s="68">
        <v>0.32604100000000003</v>
      </c>
      <c r="B63" s="68">
        <v>0.313276</v>
      </c>
      <c r="C63" s="68">
        <v>24.7821</v>
      </c>
      <c r="D63" s="68">
        <v>1</v>
      </c>
      <c r="E63" s="68" t="s">
        <v>416</v>
      </c>
    </row>
    <row r="64" spans="1:5">
      <c r="A64" s="68">
        <v>0.32797100000000001</v>
      </c>
      <c r="B64" s="68">
        <v>0.32029800000000003</v>
      </c>
      <c r="C64" s="68">
        <v>25.188700000000001</v>
      </c>
      <c r="D64" s="68">
        <v>1</v>
      </c>
      <c r="E64" s="68" t="s">
        <v>417</v>
      </c>
    </row>
    <row r="65" spans="1:5">
      <c r="A65" s="68">
        <v>0.33006200000000002</v>
      </c>
      <c r="B65" s="68">
        <v>0.326046</v>
      </c>
      <c r="C65" s="68">
        <v>25.593599999999999</v>
      </c>
      <c r="D65" s="68">
        <v>1</v>
      </c>
      <c r="E65" s="68" t="s">
        <v>418</v>
      </c>
    </row>
    <row r="66" spans="1:5">
      <c r="A66" s="68">
        <v>0.33210499999999998</v>
      </c>
      <c r="B66" s="68">
        <v>0.33133299999999999</v>
      </c>
      <c r="C66" s="68">
        <v>25.9953</v>
      </c>
      <c r="D66" s="68">
        <v>1</v>
      </c>
      <c r="E66" s="68" t="s">
        <v>419</v>
      </c>
    </row>
    <row r="67" spans="1:5">
      <c r="A67" s="68">
        <v>0.33403699999999997</v>
      </c>
      <c r="B67" s="68">
        <v>0.33676699999999998</v>
      </c>
      <c r="C67" s="68">
        <v>26.404399999999999</v>
      </c>
      <c r="D67" s="68">
        <v>1</v>
      </c>
      <c r="E67" s="68" t="s">
        <v>420</v>
      </c>
    </row>
    <row r="68" spans="1:5">
      <c r="A68" s="68">
        <v>0.33607599999999999</v>
      </c>
      <c r="B68" s="68">
        <v>0.34063599999999999</v>
      </c>
      <c r="C68" s="68">
        <v>26.815300000000001</v>
      </c>
      <c r="D68" s="68">
        <v>1</v>
      </c>
      <c r="E68" s="68" t="s">
        <v>421</v>
      </c>
    </row>
    <row r="69" spans="1:5">
      <c r="A69" s="68">
        <v>0.33789799999999998</v>
      </c>
      <c r="B69" s="68">
        <v>0.34423500000000001</v>
      </c>
      <c r="C69" s="68">
        <v>27.220300000000002</v>
      </c>
      <c r="D69" s="68">
        <v>1</v>
      </c>
      <c r="E69" s="68" t="s">
        <v>422</v>
      </c>
    </row>
    <row r="70" spans="1:5">
      <c r="A70" s="68">
        <v>0.33945399999999998</v>
      </c>
      <c r="B70" s="68">
        <v>0.34859200000000001</v>
      </c>
      <c r="C70" s="68">
        <v>27.626200000000001</v>
      </c>
      <c r="D70" s="68">
        <v>1</v>
      </c>
      <c r="E70" s="68" t="s">
        <v>423</v>
      </c>
    </row>
    <row r="71" spans="1:5">
      <c r="A71" s="68">
        <v>0.34097</v>
      </c>
      <c r="B71" s="68">
        <v>0.35307500000000003</v>
      </c>
      <c r="C71" s="68">
        <v>28.029</v>
      </c>
      <c r="D71" s="68">
        <v>1</v>
      </c>
      <c r="E71" s="68" t="s">
        <v>424</v>
      </c>
    </row>
    <row r="72" spans="1:5">
      <c r="A72" s="68">
        <v>0.34288099999999999</v>
      </c>
      <c r="B72" s="68">
        <v>0.35752099999999998</v>
      </c>
      <c r="C72" s="68">
        <v>28.4389</v>
      </c>
      <c r="D72" s="68">
        <v>1</v>
      </c>
      <c r="E72" s="68" t="s">
        <v>425</v>
      </c>
    </row>
    <row r="73" spans="1:5">
      <c r="A73" s="68">
        <v>0.34485900000000003</v>
      </c>
      <c r="B73" s="68">
        <v>0.36209799999999998</v>
      </c>
      <c r="C73" s="68">
        <v>28.8459</v>
      </c>
      <c r="D73" s="68">
        <v>1</v>
      </c>
      <c r="E73" s="68" t="s">
        <v>426</v>
      </c>
    </row>
    <row r="74" spans="1:5">
      <c r="A74" s="68">
        <v>0.346665</v>
      </c>
      <c r="B74" s="68">
        <v>0.36613699999999999</v>
      </c>
      <c r="C74" s="68">
        <v>29.252700000000001</v>
      </c>
      <c r="D74" s="68">
        <v>1</v>
      </c>
      <c r="E74" s="68" t="s">
        <v>427</v>
      </c>
    </row>
    <row r="75" spans="1:5">
      <c r="A75" s="68">
        <v>0.348721</v>
      </c>
      <c r="B75" s="68">
        <v>0.369508</v>
      </c>
      <c r="C75" s="68">
        <v>29.654599999999999</v>
      </c>
      <c r="D75" s="68">
        <v>1</v>
      </c>
      <c r="E75" s="68" t="s">
        <v>428</v>
      </c>
    </row>
    <row r="76" spans="1:5">
      <c r="A76" s="68">
        <v>0.350796</v>
      </c>
      <c r="B76" s="68">
        <v>0.37329400000000001</v>
      </c>
      <c r="C76" s="68">
        <v>30.063800000000001</v>
      </c>
      <c r="D76" s="68">
        <v>2</v>
      </c>
      <c r="E76" s="68" t="s">
        <v>429</v>
      </c>
    </row>
    <row r="77" spans="1:5">
      <c r="A77" s="68">
        <v>0.35280699999999998</v>
      </c>
      <c r="B77" s="68">
        <v>0.376973</v>
      </c>
      <c r="C77" s="68">
        <v>30.4895</v>
      </c>
      <c r="D77" s="68">
        <v>2</v>
      </c>
      <c r="E77" s="68" t="s">
        <v>430</v>
      </c>
    </row>
    <row r="78" spans="1:5">
      <c r="A78" s="68">
        <v>0.35497400000000001</v>
      </c>
      <c r="B78" s="68">
        <v>0.38043300000000002</v>
      </c>
      <c r="C78" s="68">
        <v>30.890899999999998</v>
      </c>
      <c r="D78" s="68">
        <v>2</v>
      </c>
      <c r="E78" s="68" t="s">
        <v>431</v>
      </c>
    </row>
    <row r="79" spans="1:5">
      <c r="A79" s="68">
        <v>0.35691600000000001</v>
      </c>
      <c r="B79" s="68">
        <v>0.38424199999999997</v>
      </c>
      <c r="C79" s="68">
        <v>31.298400000000001</v>
      </c>
      <c r="D79" s="68">
        <v>2</v>
      </c>
      <c r="E79" s="68" t="s">
        <v>432</v>
      </c>
    </row>
    <row r="80" spans="1:5">
      <c r="A80" s="68">
        <v>0.35873500000000003</v>
      </c>
      <c r="B80" s="68">
        <v>0.387984</v>
      </c>
      <c r="C80" s="68">
        <v>31.6982</v>
      </c>
      <c r="D80" s="68">
        <v>2</v>
      </c>
      <c r="E80" s="68" t="s">
        <v>433</v>
      </c>
    </row>
    <row r="81" spans="1:5">
      <c r="A81" s="68">
        <v>0.36053600000000002</v>
      </c>
      <c r="B81" s="68">
        <v>0.39190199999999997</v>
      </c>
      <c r="C81" s="68">
        <v>32.112099999999998</v>
      </c>
      <c r="D81" s="68">
        <v>2</v>
      </c>
      <c r="E81" s="68" t="s">
        <v>434</v>
      </c>
    </row>
    <row r="82" spans="1:5">
      <c r="A82" s="68">
        <v>0.361952</v>
      </c>
      <c r="B82" s="68">
        <v>0.39574300000000001</v>
      </c>
      <c r="C82" s="68">
        <v>32.519500000000001</v>
      </c>
      <c r="D82" s="68">
        <v>2</v>
      </c>
      <c r="E82" s="68" t="s">
        <v>435</v>
      </c>
    </row>
    <row r="83" spans="1:5">
      <c r="A83" s="68">
        <v>0.36346000000000001</v>
      </c>
      <c r="B83" s="68">
        <v>0.39872800000000003</v>
      </c>
      <c r="C83" s="68">
        <v>32.922899999999998</v>
      </c>
      <c r="D83" s="68">
        <v>2</v>
      </c>
      <c r="E83" s="68" t="s">
        <v>436</v>
      </c>
    </row>
    <row r="84" spans="1:5">
      <c r="A84" s="68">
        <v>0.36507899999999999</v>
      </c>
      <c r="B84" s="68">
        <v>0.40150999999999998</v>
      </c>
      <c r="C84" s="68">
        <v>33.3309</v>
      </c>
      <c r="D84" s="68">
        <v>2</v>
      </c>
      <c r="E84" s="68" t="s">
        <v>437</v>
      </c>
    </row>
    <row r="85" spans="1:5">
      <c r="A85" s="68">
        <v>0.36670599999999998</v>
      </c>
      <c r="B85" s="68">
        <v>0.40409</v>
      </c>
      <c r="C85" s="68">
        <v>33.736899999999999</v>
      </c>
      <c r="D85" s="68">
        <v>2</v>
      </c>
      <c r="E85" s="68" t="s">
        <v>438</v>
      </c>
    </row>
    <row r="86" spans="1:5">
      <c r="A86" s="68">
        <v>0.36843999999999999</v>
      </c>
      <c r="B86" s="68">
        <v>0.40631099999999998</v>
      </c>
      <c r="C86" s="68">
        <v>34.139899999999997</v>
      </c>
      <c r="D86" s="68">
        <v>2</v>
      </c>
      <c r="E86" s="68" t="s">
        <v>439</v>
      </c>
    </row>
    <row r="87" spans="1:5">
      <c r="A87" s="68">
        <v>0.36987500000000001</v>
      </c>
      <c r="B87" s="68">
        <v>0.408916</v>
      </c>
      <c r="C87" s="68">
        <v>34.551699999999997</v>
      </c>
      <c r="D87" s="68">
        <v>2</v>
      </c>
      <c r="E87" s="68" t="s">
        <v>440</v>
      </c>
    </row>
    <row r="88" spans="1:5">
      <c r="A88" s="68">
        <v>0.37110500000000002</v>
      </c>
      <c r="B88" s="68">
        <v>0.41248800000000002</v>
      </c>
      <c r="C88" s="68">
        <v>34.956499999999998</v>
      </c>
      <c r="D88" s="68">
        <v>2</v>
      </c>
      <c r="E88" s="68" t="s">
        <v>441</v>
      </c>
    </row>
    <row r="89" spans="1:5">
      <c r="A89" s="68">
        <v>0.37220900000000001</v>
      </c>
      <c r="B89" s="68">
        <v>0.41588700000000001</v>
      </c>
      <c r="C89" s="68">
        <v>35.359499999999997</v>
      </c>
      <c r="D89" s="68">
        <v>2</v>
      </c>
      <c r="E89" s="68" t="s">
        <v>442</v>
      </c>
    </row>
    <row r="90" spans="1:5">
      <c r="A90" s="68">
        <v>0.37322100000000002</v>
      </c>
      <c r="B90" s="68">
        <v>0.41918</v>
      </c>
      <c r="C90" s="68">
        <v>35.764400000000002</v>
      </c>
      <c r="D90" s="68">
        <v>2</v>
      </c>
      <c r="E90" s="68" t="s">
        <v>443</v>
      </c>
    </row>
    <row r="91" spans="1:5">
      <c r="A91" s="68">
        <v>0.37402800000000003</v>
      </c>
      <c r="B91" s="68">
        <v>0.42241899999999999</v>
      </c>
      <c r="C91" s="68">
        <v>36.174399999999999</v>
      </c>
      <c r="D91" s="68">
        <v>2</v>
      </c>
      <c r="E91" s="68" t="s">
        <v>444</v>
      </c>
    </row>
    <row r="92" spans="1:5">
      <c r="A92" s="68">
        <v>0.37469000000000002</v>
      </c>
      <c r="B92" s="68">
        <v>0.425759</v>
      </c>
      <c r="C92" s="68">
        <v>36.583100000000002</v>
      </c>
      <c r="D92" s="68">
        <v>2</v>
      </c>
      <c r="E92" s="68" t="s">
        <v>445</v>
      </c>
    </row>
    <row r="93" spans="1:5">
      <c r="A93" s="68">
        <v>0.374944</v>
      </c>
      <c r="B93" s="68">
        <v>0.42904900000000001</v>
      </c>
      <c r="C93" s="68">
        <v>36.9846</v>
      </c>
      <c r="D93" s="68">
        <v>2</v>
      </c>
      <c r="E93" s="68" t="s">
        <v>446</v>
      </c>
    </row>
    <row r="94" spans="1:5">
      <c r="A94" s="68">
        <v>0.37494899999999998</v>
      </c>
      <c r="B94" s="68">
        <v>0.43121199999999998</v>
      </c>
      <c r="C94" s="68">
        <v>37.388100000000001</v>
      </c>
      <c r="D94" s="68">
        <v>2</v>
      </c>
      <c r="E94" s="68" t="s">
        <v>447</v>
      </c>
    </row>
    <row r="95" spans="1:5">
      <c r="A95" s="68">
        <v>0.37473400000000001</v>
      </c>
      <c r="B95" s="68">
        <v>0.43245299999999998</v>
      </c>
      <c r="C95" s="68">
        <v>37.796399999999998</v>
      </c>
      <c r="D95" s="68">
        <v>2</v>
      </c>
      <c r="E95" s="68" t="s">
        <v>448</v>
      </c>
    </row>
    <row r="96" spans="1:5">
      <c r="A96" s="68">
        <v>0.37400699999999998</v>
      </c>
      <c r="B96" s="68">
        <v>0.43332100000000001</v>
      </c>
      <c r="C96" s="68">
        <v>38.203099999999999</v>
      </c>
      <c r="D96" s="68">
        <v>2</v>
      </c>
      <c r="E96" s="68" t="s">
        <v>449</v>
      </c>
    </row>
    <row r="97" spans="1:5">
      <c r="A97" s="68">
        <v>0.37279600000000002</v>
      </c>
      <c r="B97" s="68">
        <v>0.43335400000000002</v>
      </c>
      <c r="C97" s="68">
        <v>38.607700000000001</v>
      </c>
      <c r="D97" s="68">
        <v>2</v>
      </c>
      <c r="E97" s="68" t="s">
        <v>450</v>
      </c>
    </row>
    <row r="98" spans="1:5">
      <c r="A98" s="68">
        <v>0.37108000000000002</v>
      </c>
      <c r="B98" s="68">
        <v>0.43263099999999999</v>
      </c>
      <c r="C98" s="68">
        <v>39.015700000000002</v>
      </c>
      <c r="D98" s="68">
        <v>2</v>
      </c>
      <c r="E98" s="68" t="s">
        <v>451</v>
      </c>
    </row>
    <row r="99" spans="1:5">
      <c r="A99" s="68">
        <v>0.36940200000000001</v>
      </c>
      <c r="B99" s="68">
        <v>0.43207200000000001</v>
      </c>
      <c r="C99" s="68">
        <v>39.422600000000003</v>
      </c>
      <c r="D99" s="68">
        <v>2</v>
      </c>
      <c r="E99" s="68" t="s">
        <v>452</v>
      </c>
    </row>
    <row r="100" spans="1:5">
      <c r="A100" s="68">
        <v>0.36752099999999999</v>
      </c>
      <c r="B100" s="68">
        <v>0.43123899999999998</v>
      </c>
      <c r="C100" s="68">
        <v>39.825400000000002</v>
      </c>
      <c r="D100" s="68">
        <v>2</v>
      </c>
      <c r="E100" s="68" t="s">
        <v>453</v>
      </c>
    </row>
    <row r="101" spans="1:5">
      <c r="A101" s="68">
        <v>0.36547800000000003</v>
      </c>
      <c r="B101" s="68">
        <v>0.42975099999999999</v>
      </c>
      <c r="C101" s="68">
        <v>40.232700000000001</v>
      </c>
      <c r="D101" s="68">
        <v>2</v>
      </c>
      <c r="E101" s="68" t="s">
        <v>454</v>
      </c>
    </row>
    <row r="102" spans="1:5">
      <c r="A102" s="68">
        <v>0.36350300000000002</v>
      </c>
      <c r="B102" s="68">
        <v>0.42802000000000001</v>
      </c>
      <c r="C102" s="68">
        <v>40.642299999999999</v>
      </c>
      <c r="D102" s="68">
        <v>2</v>
      </c>
      <c r="E102" s="68" t="s">
        <v>455</v>
      </c>
    </row>
    <row r="103" spans="1:5">
      <c r="A103" s="68">
        <v>0.36139500000000002</v>
      </c>
      <c r="B103" s="68">
        <v>0.42659399999999997</v>
      </c>
      <c r="C103" s="68">
        <v>41.0473</v>
      </c>
      <c r="D103" s="68">
        <v>2</v>
      </c>
      <c r="E103" s="68" t="s">
        <v>456</v>
      </c>
    </row>
    <row r="104" spans="1:5">
      <c r="A104" s="68">
        <v>0.35936800000000002</v>
      </c>
      <c r="B104" s="68">
        <v>0.42480899999999999</v>
      </c>
      <c r="C104" s="68">
        <v>41.453099999999999</v>
      </c>
      <c r="D104" s="68">
        <v>2</v>
      </c>
      <c r="E104" s="68" t="s">
        <v>457</v>
      </c>
    </row>
    <row r="105" spans="1:5">
      <c r="A105" s="68">
        <v>0.35720800000000003</v>
      </c>
      <c r="B105" s="68">
        <v>0.42295899999999997</v>
      </c>
      <c r="C105" s="68">
        <v>41.857999999999997</v>
      </c>
      <c r="D105" s="68">
        <v>2</v>
      </c>
      <c r="E105" s="68" t="s">
        <v>458</v>
      </c>
    </row>
    <row r="106" spans="1:5">
      <c r="A106" s="68">
        <v>0.35498099999999999</v>
      </c>
      <c r="B106" s="68">
        <v>0.420541</v>
      </c>
      <c r="C106" s="68">
        <v>42.264099999999999</v>
      </c>
      <c r="D106" s="68">
        <v>2</v>
      </c>
      <c r="E106" s="68" t="s">
        <v>459</v>
      </c>
    </row>
    <row r="107" spans="1:5">
      <c r="A107" s="68">
        <v>0.35291600000000001</v>
      </c>
      <c r="B107" s="68">
        <v>0.417134</v>
      </c>
      <c r="C107" s="68">
        <v>42.669899999999998</v>
      </c>
      <c r="D107" s="68">
        <v>2</v>
      </c>
      <c r="E107" s="68" t="s">
        <v>460</v>
      </c>
    </row>
    <row r="108" spans="1:5">
      <c r="A108" s="68">
        <v>0.35067900000000002</v>
      </c>
      <c r="B108" s="68">
        <v>0.41406599999999999</v>
      </c>
      <c r="C108" s="68">
        <v>43.080100000000002</v>
      </c>
      <c r="D108" s="68">
        <v>2</v>
      </c>
      <c r="E108" s="68" t="s">
        <v>461</v>
      </c>
    </row>
    <row r="109" spans="1:5">
      <c r="A109" s="68">
        <v>0.34849400000000003</v>
      </c>
      <c r="B109" s="68">
        <v>0.41098400000000002</v>
      </c>
      <c r="C109" s="68">
        <v>43.483699999999999</v>
      </c>
      <c r="D109" s="68">
        <v>2</v>
      </c>
      <c r="E109" s="68" t="s">
        <v>462</v>
      </c>
    </row>
    <row r="110" spans="1:5">
      <c r="A110" s="68">
        <v>0.34637000000000001</v>
      </c>
      <c r="B110" s="68">
        <v>0.40761799999999998</v>
      </c>
      <c r="C110" s="68">
        <v>43.889600000000002</v>
      </c>
      <c r="D110" s="68">
        <v>2</v>
      </c>
      <c r="E110" s="68" t="s">
        <v>463</v>
      </c>
    </row>
    <row r="111" spans="1:5">
      <c r="A111" s="68">
        <v>0.34400900000000001</v>
      </c>
      <c r="B111" s="68">
        <v>0.40433999999999998</v>
      </c>
      <c r="C111" s="68">
        <v>44.295499999999997</v>
      </c>
      <c r="D111" s="68">
        <v>2</v>
      </c>
      <c r="E111" s="68" t="s">
        <v>464</v>
      </c>
    </row>
    <row r="112" spans="1:5">
      <c r="A112" s="68">
        <v>0.34185100000000002</v>
      </c>
      <c r="B112" s="68">
        <v>0.40048499999999998</v>
      </c>
      <c r="C112" s="68">
        <v>44.703499999999998</v>
      </c>
      <c r="D112" s="68">
        <v>2</v>
      </c>
      <c r="E112" s="68" t="s">
        <v>465</v>
      </c>
    </row>
    <row r="113" spans="1:5">
      <c r="A113" s="68">
        <v>0.33982200000000001</v>
      </c>
      <c r="B113" s="68">
        <v>0.396457</v>
      </c>
      <c r="C113" s="68">
        <v>45.110500000000002</v>
      </c>
      <c r="D113" s="68">
        <v>2</v>
      </c>
      <c r="E113" s="68" t="s">
        <v>466</v>
      </c>
    </row>
    <row r="114" spans="1:5">
      <c r="A114" s="68">
        <v>0.33765000000000001</v>
      </c>
      <c r="B114" s="68">
        <v>0.39277099999999998</v>
      </c>
      <c r="C114" s="68">
        <v>45.515300000000003</v>
      </c>
      <c r="D114" s="68">
        <v>2</v>
      </c>
      <c r="E114" s="68" t="s">
        <v>467</v>
      </c>
    </row>
    <row r="115" spans="1:5">
      <c r="A115" s="68">
        <v>0.33534000000000003</v>
      </c>
      <c r="B115" s="68">
        <v>0.38949699999999998</v>
      </c>
      <c r="C115" s="68">
        <v>45.921100000000003</v>
      </c>
      <c r="D115" s="68">
        <v>2</v>
      </c>
      <c r="E115" s="68" t="s">
        <v>468</v>
      </c>
    </row>
    <row r="116" spans="1:5">
      <c r="A116" s="68">
        <v>0.33316699999999999</v>
      </c>
      <c r="B116" s="68">
        <v>0.38563199999999997</v>
      </c>
      <c r="C116" s="68">
        <v>46.326099999999997</v>
      </c>
      <c r="D116" s="68">
        <v>2</v>
      </c>
      <c r="E116" s="68" t="s">
        <v>469</v>
      </c>
    </row>
    <row r="117" spans="1:5">
      <c r="A117" s="68">
        <v>0.33102199999999998</v>
      </c>
      <c r="B117" s="68">
        <v>0.38181700000000002</v>
      </c>
      <c r="C117" s="68">
        <v>46.734000000000002</v>
      </c>
      <c r="D117" s="68">
        <v>2</v>
      </c>
      <c r="E117" s="68" t="s">
        <v>470</v>
      </c>
    </row>
    <row r="118" spans="1:5">
      <c r="A118" s="68">
        <v>0.329069</v>
      </c>
      <c r="B118" s="68">
        <v>0.377801</v>
      </c>
      <c r="C118" s="68">
        <v>47.140999999999998</v>
      </c>
      <c r="D118" s="68">
        <v>2</v>
      </c>
      <c r="E118" s="68" t="s">
        <v>471</v>
      </c>
    </row>
    <row r="119" spans="1:5">
      <c r="A119" s="68">
        <v>0.32743899999999998</v>
      </c>
      <c r="B119" s="68">
        <v>0.37331700000000001</v>
      </c>
      <c r="C119" s="68">
        <v>47.5488</v>
      </c>
      <c r="D119" s="68">
        <v>2</v>
      </c>
      <c r="E119" s="68" t="s">
        <v>472</v>
      </c>
    </row>
    <row r="120" spans="1:5">
      <c r="A120" s="68">
        <v>0.326075</v>
      </c>
      <c r="B120" s="68">
        <v>0.36892900000000001</v>
      </c>
      <c r="C120" s="68">
        <v>47.953699999999998</v>
      </c>
      <c r="D120" s="68">
        <v>2</v>
      </c>
      <c r="E120" s="68" t="s">
        <v>473</v>
      </c>
    </row>
    <row r="121" spans="1:5">
      <c r="A121" s="68">
        <v>0.325042</v>
      </c>
      <c r="B121" s="68">
        <v>0.36432500000000001</v>
      </c>
      <c r="C121" s="68">
        <v>48.357599999999998</v>
      </c>
      <c r="D121" s="68">
        <v>2</v>
      </c>
      <c r="E121" s="68" t="s">
        <v>474</v>
      </c>
    </row>
    <row r="122" spans="1:5">
      <c r="A122" s="68">
        <v>0.32413900000000001</v>
      </c>
      <c r="B122" s="68">
        <v>0.35958000000000001</v>
      </c>
      <c r="C122" s="68">
        <v>48.762900000000002</v>
      </c>
      <c r="D122" s="68">
        <v>2</v>
      </c>
      <c r="E122" s="68" t="s">
        <v>475</v>
      </c>
    </row>
    <row r="123" spans="1:5">
      <c r="A123" s="68">
        <v>0.32373800000000003</v>
      </c>
      <c r="B123" s="68">
        <v>0.35428599999999999</v>
      </c>
      <c r="C123" s="68">
        <v>49.169499999999999</v>
      </c>
      <c r="D123" s="68">
        <v>2</v>
      </c>
      <c r="E123" s="68" t="s">
        <v>476</v>
      </c>
    </row>
    <row r="124" spans="1:5">
      <c r="A124" s="68">
        <v>0.323378</v>
      </c>
      <c r="B124" s="68">
        <v>0.34870299999999999</v>
      </c>
      <c r="C124" s="68">
        <v>49.580500000000001</v>
      </c>
      <c r="D124" s="68">
        <v>2</v>
      </c>
      <c r="E124" s="68" t="s">
        <v>477</v>
      </c>
    </row>
    <row r="125" spans="1:5">
      <c r="A125" s="68">
        <v>0.322718</v>
      </c>
      <c r="B125" s="68">
        <v>0.34335199999999999</v>
      </c>
      <c r="C125" s="68">
        <v>49.984299999999998</v>
      </c>
      <c r="D125" s="68">
        <v>2</v>
      </c>
      <c r="E125" s="68" t="s">
        <v>478</v>
      </c>
    </row>
    <row r="126" spans="1:5">
      <c r="A126" s="68">
        <v>0.32292300000000002</v>
      </c>
      <c r="B126" s="68">
        <v>0.34046900000000002</v>
      </c>
      <c r="C126" s="68">
        <v>50.389200000000002</v>
      </c>
      <c r="D126" s="68">
        <v>2</v>
      </c>
      <c r="E126" s="68" t="s">
        <v>479</v>
      </c>
    </row>
    <row r="127" spans="1:5">
      <c r="A127" s="68">
        <v>0.32284099999999999</v>
      </c>
      <c r="B127" s="68">
        <v>0.33769500000000002</v>
      </c>
      <c r="C127" s="68">
        <v>50.798999999999999</v>
      </c>
      <c r="D127" s="68">
        <v>2</v>
      </c>
      <c r="E127" s="68" t="s">
        <v>480</v>
      </c>
    </row>
    <row r="128" spans="1:5">
      <c r="A128" s="68">
        <v>0.32283200000000001</v>
      </c>
      <c r="B128" s="68">
        <v>0.33426600000000001</v>
      </c>
      <c r="C128" s="68">
        <v>51.203000000000003</v>
      </c>
      <c r="D128" s="68">
        <v>2</v>
      </c>
      <c r="E128" s="68" t="s">
        <v>481</v>
      </c>
    </row>
    <row r="129" spans="1:5">
      <c r="A129" s="68">
        <v>0.32286900000000002</v>
      </c>
      <c r="B129" s="68">
        <v>0.33080500000000002</v>
      </c>
      <c r="C129" s="68">
        <v>51.608899999999998</v>
      </c>
      <c r="D129" s="68">
        <v>2</v>
      </c>
      <c r="E129" s="68" t="s">
        <v>482</v>
      </c>
    </row>
    <row r="130" spans="1:5">
      <c r="A130" s="68">
        <v>0.323102</v>
      </c>
      <c r="B130" s="68">
        <v>0.32685199999999998</v>
      </c>
      <c r="C130" s="68">
        <v>52.015799999999999</v>
      </c>
      <c r="D130" s="68">
        <v>2</v>
      </c>
      <c r="E130" s="68" t="s">
        <v>483</v>
      </c>
    </row>
    <row r="131" spans="1:5">
      <c r="A131" s="68">
        <v>0.32330599999999998</v>
      </c>
      <c r="B131" s="68">
        <v>0.32328899999999999</v>
      </c>
      <c r="C131" s="68">
        <v>52.419800000000002</v>
      </c>
      <c r="D131" s="68">
        <v>2</v>
      </c>
      <c r="E131" s="68" t="s">
        <v>484</v>
      </c>
    </row>
    <row r="132" spans="1:5">
      <c r="A132" s="68">
        <v>0.32355800000000001</v>
      </c>
      <c r="B132" s="68">
        <v>0.32034699999999999</v>
      </c>
      <c r="C132" s="68">
        <v>52.828800000000001</v>
      </c>
      <c r="D132" s="68">
        <v>2</v>
      </c>
      <c r="E132" s="68" t="s">
        <v>485</v>
      </c>
    </row>
    <row r="133" spans="1:5">
      <c r="A133" s="68">
        <v>0.323629</v>
      </c>
      <c r="B133" s="68">
        <v>0.31781500000000001</v>
      </c>
      <c r="C133" s="68">
        <v>53.2376</v>
      </c>
      <c r="D133" s="68">
        <v>2</v>
      </c>
      <c r="E133" s="68" t="s">
        <v>486</v>
      </c>
    </row>
    <row r="134" spans="1:5">
      <c r="A134" s="68">
        <v>0.32331300000000002</v>
      </c>
      <c r="B134" s="68">
        <v>0.31557600000000002</v>
      </c>
      <c r="C134" s="68">
        <v>53.642499999999998</v>
      </c>
      <c r="D134" s="68">
        <v>2</v>
      </c>
      <c r="E134" s="68" t="s">
        <v>487</v>
      </c>
    </row>
    <row r="135" spans="1:5">
      <c r="A135" s="68">
        <v>0.32282699999999998</v>
      </c>
      <c r="B135" s="68">
        <v>0.31325199999999997</v>
      </c>
      <c r="C135" s="68">
        <v>54.046599999999998</v>
      </c>
      <c r="D135" s="68">
        <v>2</v>
      </c>
      <c r="E135" s="68" t="s">
        <v>488</v>
      </c>
    </row>
    <row r="136" spans="1:5">
      <c r="A136" s="68">
        <v>0.32231100000000001</v>
      </c>
      <c r="B136" s="68">
        <v>0.31173000000000001</v>
      </c>
      <c r="C136" s="68">
        <v>54.450499999999998</v>
      </c>
      <c r="D136" s="68">
        <v>2</v>
      </c>
      <c r="E136" s="68" t="s">
        <v>489</v>
      </c>
    </row>
    <row r="137" spans="1:5">
      <c r="A137" s="68">
        <v>0.32171</v>
      </c>
      <c r="B137" s="68">
        <v>0.31005199999999999</v>
      </c>
      <c r="C137" s="68">
        <v>54.856499999999997</v>
      </c>
      <c r="D137" s="68">
        <v>2</v>
      </c>
      <c r="E137" s="68" t="s">
        <v>490</v>
      </c>
    </row>
    <row r="138" spans="1:5">
      <c r="A138" s="68">
        <v>0.32112099999999999</v>
      </c>
      <c r="B138" s="68">
        <v>0.30706600000000001</v>
      </c>
      <c r="C138" s="68">
        <v>55.2652</v>
      </c>
      <c r="D138" s="68">
        <v>2</v>
      </c>
      <c r="E138" s="68" t="s">
        <v>491</v>
      </c>
    </row>
    <row r="139" spans="1:5">
      <c r="A139" s="68">
        <v>0.320714</v>
      </c>
      <c r="B139" s="68">
        <v>0.30347400000000002</v>
      </c>
      <c r="C139" s="68">
        <v>55.6691</v>
      </c>
      <c r="D139" s="68">
        <v>2</v>
      </c>
      <c r="E139" s="68" t="s">
        <v>492</v>
      </c>
    </row>
    <row r="140" spans="1:5">
      <c r="A140" s="68">
        <v>0.32037300000000002</v>
      </c>
      <c r="B140" s="68">
        <v>0.299404</v>
      </c>
      <c r="C140" s="68">
        <v>56.076099999999997</v>
      </c>
      <c r="D140" s="68">
        <v>2</v>
      </c>
      <c r="E140" s="68" t="s">
        <v>493</v>
      </c>
    </row>
    <row r="141" spans="1:5">
      <c r="A141" s="68">
        <v>0.31980599999999998</v>
      </c>
      <c r="B141" s="68">
        <v>0.296269</v>
      </c>
      <c r="C141" s="68">
        <v>56.482900000000001</v>
      </c>
      <c r="D141" s="68">
        <v>2</v>
      </c>
      <c r="E141" s="68" t="s">
        <v>494</v>
      </c>
    </row>
    <row r="142" spans="1:5">
      <c r="A142" s="68">
        <v>0.319075</v>
      </c>
      <c r="B142" s="68">
        <v>0.292763</v>
      </c>
      <c r="C142" s="68">
        <v>56.888800000000003</v>
      </c>
      <c r="D142" s="68">
        <v>2</v>
      </c>
      <c r="E142" s="68" t="s">
        <v>495</v>
      </c>
    </row>
    <row r="143" spans="1:5">
      <c r="A143" s="68">
        <v>0.31812800000000002</v>
      </c>
      <c r="B143" s="68">
        <v>0.28939399999999998</v>
      </c>
      <c r="C143" s="68">
        <v>57.2928</v>
      </c>
      <c r="D143" s="68">
        <v>2</v>
      </c>
      <c r="E143" s="68" t="s">
        <v>496</v>
      </c>
    </row>
    <row r="144" spans="1:5">
      <c r="A144" s="68">
        <v>0.31636500000000001</v>
      </c>
      <c r="B144" s="68">
        <v>0.28818700000000003</v>
      </c>
      <c r="C144" s="68">
        <v>57.702599999999997</v>
      </c>
      <c r="D144" s="68">
        <v>2</v>
      </c>
      <c r="E144" s="68" t="s">
        <v>497</v>
      </c>
    </row>
    <row r="145" spans="1:5">
      <c r="A145" s="68">
        <v>0.31426300000000001</v>
      </c>
      <c r="B145" s="68">
        <v>0.28638999999999998</v>
      </c>
      <c r="C145" s="68">
        <v>58.107999999999997</v>
      </c>
      <c r="D145" s="68">
        <v>2</v>
      </c>
      <c r="E145" s="68" t="s">
        <v>498</v>
      </c>
    </row>
    <row r="146" spans="1:5">
      <c r="A146" s="68">
        <v>0.31196600000000002</v>
      </c>
      <c r="B146" s="68">
        <v>0.28226600000000002</v>
      </c>
      <c r="C146" s="68">
        <v>58.519500000000001</v>
      </c>
      <c r="D146" s="68">
        <v>2</v>
      </c>
      <c r="E146" s="68" t="s">
        <v>499</v>
      </c>
    </row>
    <row r="147" spans="1:5">
      <c r="A147" s="68">
        <v>0.30962600000000001</v>
      </c>
      <c r="B147" s="68">
        <v>0.27981200000000001</v>
      </c>
      <c r="C147" s="68">
        <v>58.923400000000001</v>
      </c>
      <c r="D147" s="68">
        <v>2</v>
      </c>
      <c r="E147" s="68" t="s">
        <v>500</v>
      </c>
    </row>
    <row r="148" spans="1:5">
      <c r="A148" s="68">
        <v>0.30658600000000003</v>
      </c>
      <c r="B148" s="68">
        <v>0.280754</v>
      </c>
      <c r="C148" s="68">
        <v>59.327300000000001</v>
      </c>
      <c r="D148" s="68">
        <v>2</v>
      </c>
      <c r="E148" s="68" t="s">
        <v>501</v>
      </c>
    </row>
    <row r="149" spans="1:5">
      <c r="A149" s="68">
        <v>0.30195100000000002</v>
      </c>
      <c r="B149" s="68">
        <v>0.283003</v>
      </c>
      <c r="C149" s="68">
        <v>59.734299999999998</v>
      </c>
      <c r="D149" s="68">
        <v>2</v>
      </c>
      <c r="E149" s="68" t="s">
        <v>502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508</v>
      </c>
      <c r="G1" s="66" t="s">
        <v>509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43608.366712962961</v>
      </c>
      <c r="B2" s="66" t="s">
        <v>504</v>
      </c>
      <c r="C2" s="66"/>
      <c r="D2" s="66"/>
      <c r="E2" s="66">
        <v>4.9207200000000002</v>
      </c>
      <c r="F2" s="66">
        <v>1.7102900000000001</v>
      </c>
      <c r="G2" s="66">
        <v>0.61490800000000001</v>
      </c>
      <c r="H2" s="66">
        <v>0</v>
      </c>
      <c r="I2" s="66">
        <v>100860</v>
      </c>
      <c r="J2" s="66">
        <v>78</v>
      </c>
      <c r="K2" s="66">
        <v>78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2019-05-23T00:48:44Z</cp:lastPrinted>
  <dcterms:created xsi:type="dcterms:W3CDTF">2010-10-29T12:53:05Z</dcterms:created>
  <dcterms:modified xsi:type="dcterms:W3CDTF">2019-05-23T00:48:57Z</dcterms:modified>
</cp:coreProperties>
</file>