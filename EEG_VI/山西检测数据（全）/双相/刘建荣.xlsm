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<sst xmlns="http://schemas.openxmlformats.org/spreadsheetml/2006/main" count="627" uniqueCount="496">
  <si>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</si>
  <si>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</si>
  <si>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</si>
  <si>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</si>
  <si>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</si>
  <si>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</si>
  <si>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</si>
  <si>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</si>
  <si>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</si>
  <si>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</si>
  <si>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</si>
  <si>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</si>
  <si>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</si>
  <si>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</si>
  <si>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</si>
  <si>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</si>
  <si>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</si>
  <si>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</si>
  <si>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</si>
  <si>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</si>
  <si>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</si>
  <si>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</si>
  <si>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</si>
  <si>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</si>
  <si>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</si>
  <si>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</si>
  <si>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</si>
  <si>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</si>
  <si>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</si>
  <si>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</si>
  <si>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</si>
  <si>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</si>
  <si>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</si>
  <si>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</si>
  <si>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</si>
  <si>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</si>
  <si>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</si>
  <si>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</si>
  <si>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</si>
  <si>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</si>
  <si>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</si>
  <si>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</si>
  <si>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</si>
  <si>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</si>
  <si>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</si>
  <si>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</si>
  <si>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</si>
  <si>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</si>
  <si>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</si>
  <si>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</si>
  <si>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</si>
  <si>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</si>
  <si>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</si>
  <si>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</si>
  <si>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</si>
  <si>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</si>
  <si>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</si>
  <si>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</si>
  <si>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</si>
  <si>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</si>
  <si>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</si>
  <si>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</si>
  <si>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</si>
  <si>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</si>
  <si>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</si>
  <si>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</si>
  <si>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</si>
  <si>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</si>
  <si>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</si>
  <si>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</si>
  <si>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</si>
  <si>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</si>
  <si>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</si>
  <si>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</si>
  <si>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</si>
  <si>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</si>
  <si>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</si>
  <si>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</si>
  <si>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</si>
  <si>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</si>
  <si>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</si>
  <si>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</si>
  <si>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</si>
  <si>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</si>
  <si>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</si>
  <si>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</si>
  <si>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</si>
  <si>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</si>
  <si>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</si>
  <si>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</si>
  <si>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</si>
  <si>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</si>
  <si>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</si>
  <si>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</si>
  <si>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</si>
  <si>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</si>
  <si>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</si>
  <si>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</si>
  <si>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</si>
  <si>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</si>
  <si>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</si>
  <si>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</si>
  <si>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</si>
  <si>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</si>
  <si>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</si>
  <si>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</si>
  <si>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</si>
  <si>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</si>
  <si>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</si>
  <si>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</si>
  <si>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</si>
  <si>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</si>
  <si>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</si>
  <si>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</si>
  <si>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</si>
  <si>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</si>
  <si>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</si>
  <si>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</si>
  <si>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</si>
  <si>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</si>
  <si>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</si>
  <si>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</si>
  <si>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</si>
  <si>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</si>
  <si>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</si>
  <si>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</si>
  <si>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</si>
  <si>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</si>
  <si>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</si>
  <si>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</si>
  <si>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</si>
  <si>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</si>
  <si>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</si>
  <si>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</si>
  <si>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</si>
  <si>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</si>
  <si>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</si>
  <si>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</si>
  <si>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</si>
  <si>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</si>
  <si>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</si>
  <si>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</si>
  <si>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</si>
  <si>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</si>
  <si>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</si>
  <si>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</si>
  <si>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</si>
  <si>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</si>
  <si>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</si>
  <si>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</si>
  <si>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</si>
  <si>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</si>
  <si>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</si>
  <si>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</si>
  <si>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</si>
  <si>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</si>
  <si>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</si>
  <si>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</si>
  <si>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</si>
  <si>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</si>
  <si>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</si>
  <si>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</si>
  <si>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</si>
  <si>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</si>
  <si>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</si>
  <si>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</si>
  <si>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</si>
  <si>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</si>
  <si>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</si>
  <si>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</si>
  <si>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</si>
  <si>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</si>
  <si>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</si>
  <si>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</si>
  <si>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</si>
  <si>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</si>
  <si>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</si>
  <si>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</si>
  <si>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</si>
  <si>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</si>
  <si>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</si>
  <si>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</si>
  <si>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</si>
  <si>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</si>
  <si>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</si>
  <si>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</si>
  <si>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</si>
  <si>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</si>
  <si>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</si>
  <si>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</si>
  <si>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</si>
  <si>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</si>
  <si>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</si>
  <si>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</si>
  <si>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</si>
  <si>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</si>
  <si>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</si>
  <si>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</si>
  <si>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</si>
  <si>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</si>
  <si>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</si>
  <si>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</si>
  <si>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</si>
  <si>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</si>
  <si>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</si>
  <si>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</si>
  <si>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</si>
  <si>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</si>
  <si>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</si>
  <si>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</si>
  <si>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</si>
  <si>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</si>
  <si>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</si>
  <si>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</si>
  <si>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</si>
  <si>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</si>
  <si>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</si>
  <si>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</si>
  <si>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</si>
  <si>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</si>
  <si>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</si>
  <si>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</si>
  <si>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</si>
  <si>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</si>
  <si>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</si>
  <si>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</si>
  <si>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</si>
  <si>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</si>
  <si>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</si>
  <si>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</si>
  <si>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</si>
  <si>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</si>
  <si>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</si>
  <si>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</si>
  <si>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</si>
  <si>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</si>
  <si>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</si>
  <si>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</si>
  <si>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</si>
  <si>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</si>
  <si>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</si>
  <si>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</si>
  <si>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</si>
  <si>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</si>
  <si>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</si>
  <si>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</si>
  <si>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</si>
  <si>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</si>
  <si>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</si>
  <si>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</si>
  <si>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</si>
  <si>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</si>
  <si>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</si>
  <si>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</si>
  <si>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</si>
  <si>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</si>
  <si>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</si>
  <si>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</si>
  <si>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</si>
  <si>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</si>
  <si>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</si>
  <si>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</si>
  <si>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</si>
  <si>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</si>
  <si>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</si>
  <si>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</si>
  <si>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</si>
  <si>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</si>
  <si>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</si>
  <si>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</si>
  <si>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</si>
  <si>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</si>
  <si>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</si>
  <si>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</si>
  <si>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</si>
  <si>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</si>
  <si>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</si>
  <si>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</si>
  <si>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</si>
  <si>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</si>
  <si>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</si>
  <si>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</si>
  <si>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</si>
  <si>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</si>
  <si>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</si>
  <si>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</si>
  <si>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</si>
  <si>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</si>
  <si>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</si>
  <si>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</si>
  <si>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</si>
  <si>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</si>
  <si>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</si>
  <si>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</si>
  <si>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</si>
  <si>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</si>
  <si>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</si>
  <si>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</si>
  <si>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</si>
  <si>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</si>
  <si>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</si>
  <si>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</si>
  <si>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</si>
  <si>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</si>
  <si>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</si>
  <si>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</si>
  <si>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</si>
  <si>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</si>
  <si>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</si>
  <si>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</si>
  <si>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</si>
  <si>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</si>
  <si>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</si>
  <si>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</si>
  <si>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</si>
  <si>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</si>
  <si>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</si>
  <si>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</si>
  <si>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</si>
  <si>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</si>
  <si>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</si>
  <si>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</si>
  <si>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</si>
  <si>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</si>
  <si>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</si>
  <si>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</si>
  <si>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</si>
  <si>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</si>
  <si>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</si>
  <si>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</si>
  <si>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</si>
  <si>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</si>
  <si>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</si>
  <si>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</si>
  <si>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</si>
  <si>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</si>
  <si>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</si>
  <si>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</si>
  <si>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</si>
  <si>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</si>
  <si>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</si>
  <si>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</si>
  <si>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</si>
  <si>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</si>
  <si>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</si>
  <si>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</si>
  <si>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</si>
  <si>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</si>
  <si>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</si>
  <si>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</si>
  <si>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</si>
  <si>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</si>
  <si>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</si>
  <si>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</si>
  <si>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</si>
  <si>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</si>
  <si>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</si>
  <si>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</si>
  <si>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</si>
  <si>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</si>
  <si>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</si>
  <si>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</si>
  <si>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</si>
  <si>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</si>
  <si>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</si>
  <si>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</si>
  <si>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</si>
  <si>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</si>
  <si>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</si>
  <si>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</si>
  <si>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</si>
  <si>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</si>
  <si>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</si>
  <si>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</si>
  <si>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</si>
  <si>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</si>
  <si>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</si>
  <si>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</si>
  <si>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</si>
  <si>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</si>
  <si>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</si>
  <si>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</si>
  <si>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</si>
  <si>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</si>
  <si>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</si>
  <si>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</si>
  <si>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</si>
  <si>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</si>
  <si>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</si>
  <si>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</si>
  <si>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</si>
  <si>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</si>
  <si>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</si>
  <si>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</si>
  <si>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</si>
  <si>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</si>
  <si>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</si>
  <si>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</si>
  <si>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</si>
  <si>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</si>
  <si>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</si>
  <si>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</si>
  <si>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</si>
  <si>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</si>
  <si>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</si>
  <si>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</si>
  <si>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</si>
  <si>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</si>
  <si>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</si>
  <si>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[0.394626]</t>
  </si>
  <si>
    <t>1 [0.796936]</t>
  </si>
  <si>
    <t>1 [1.209857]</t>
  </si>
  <si>
    <t>1 [1.615413]</t>
  </si>
  <si>
    <t>1 [2.018318]</t>
  </si>
  <si>
    <t>1 [2.424308]</t>
  </si>
  <si>
    <t>1 [2.832348]</t>
  </si>
  <si>
    <t>1 [3.240128]</t>
  </si>
  <si>
    <t>1 [3.646950]</t>
  </si>
  <si>
    <t>1 [4.050872]</t>
  </si>
  <si>
    <t>1 [4.459109]</t>
  </si>
  <si>
    <t>1 [4.862978]</t>
  </si>
  <si>
    <t>1 [5.269600]</t>
  </si>
  <si>
    <t>1 [5.677594]</t>
  </si>
  <si>
    <t>1 [6.082576]</t>
  </si>
  <si>
    <t>1 [6.489366]</t>
  </si>
  <si>
    <t>1 [6.894498]</t>
  </si>
  <si>
    <t>1 [7.301157]</t>
  </si>
  <si>
    <t>1 [7.709356]</t>
  </si>
  <si>
    <t>1 [8.115994]</t>
  </si>
  <si>
    <t>1 [8.519925]</t>
  </si>
  <si>
    <t>1 [8.927285]</t>
  </si>
  <si>
    <t>1 [9.332814]</t>
  </si>
  <si>
    <t>1 [9.739599]</t>
  </si>
  <si>
    <t>1 [10.145563]</t>
  </si>
  <si>
    <t>1 [10.548477]</t>
  </si>
  <si>
    <t>1 [10.955404]</t>
  </si>
  <si>
    <t>1 [11.363542]</t>
  </si>
  <si>
    <t>1 [11.770258]</t>
  </si>
  <si>
    <t>1 [12.177106]</t>
  </si>
  <si>
    <t>1 [12.583141]</t>
  </si>
  <si>
    <t>1 [12.985985]</t>
  </si>
  <si>
    <t>1 [13.390956]</t>
  </si>
  <si>
    <t>1 [13.798844]</t>
  </si>
  <si>
    <t>1 [14.206941]</t>
  </si>
  <si>
    <t>1 [14.612842]</t>
  </si>
  <si>
    <t>2 [15.017371]</t>
  </si>
  <si>
    <t>2 [15.586107]</t>
  </si>
  <si>
    <t>2 [15.955651]</t>
  </si>
  <si>
    <t>2 [16.331030]</t>
  </si>
  <si>
    <t>2 [16.713213]</t>
  </si>
  <si>
    <t>2 [17.112192]</t>
  </si>
  <si>
    <t>2 [17.520944]</t>
  </si>
  <si>
    <t>2 [17.924743]</t>
  </si>
  <si>
    <t>2 [18.328746]</t>
  </si>
  <si>
    <t>2 [18.737705]</t>
  </si>
  <si>
    <t>2 [19.146547]</t>
  </si>
  <si>
    <t>2 [19.553500]</t>
  </si>
  <si>
    <t>2 [19.959572]</t>
  </si>
  <si>
    <t>2 [20.361385]</t>
  </si>
  <si>
    <t>2 [20.775335]</t>
  </si>
  <si>
    <t>2 [21.179052]</t>
  </si>
  <si>
    <t>2 [21.585116]</t>
  </si>
  <si>
    <t>2 [21.988867]</t>
  </si>
  <si>
    <t>2 [22.395227]</t>
  </si>
  <si>
    <t>2 [22.798852]</t>
  </si>
  <si>
    <t>2 [23.204694]</t>
  </si>
  <si>
    <t>2 [23.618643]</t>
  </si>
  <si>
    <t>2 [24.022606]</t>
  </si>
  <si>
    <t>2 [24.425535]</t>
  </si>
  <si>
    <t>2 [24.831850]</t>
  </si>
  <si>
    <t>2 [25.239190]</t>
  </si>
  <si>
    <t>2 [25.642402]</t>
  </si>
  <si>
    <t>2 [26.048962]</t>
  </si>
  <si>
    <t>2 [26.456922]</t>
  </si>
  <si>
    <t>2 [26.862973]</t>
  </si>
  <si>
    <t>2 [27.267728]</t>
  </si>
  <si>
    <t>2 [27.676308]</t>
  </si>
  <si>
    <t>2 [28.081547]</t>
  </si>
  <si>
    <t>2 [28.490473]</t>
  </si>
  <si>
    <t>2 [28.896364]</t>
  </si>
  <si>
    <t>2 [29.300343]</t>
  </si>
  <si>
    <t>2 [29.708525]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</si>
  <si>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</si>
  <si>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</si>
  <si>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</si>
  <si>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</si>
  <si>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</si>
  <si>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</si>
  <si>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</si>
  <si>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</si>
  <si>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</si>
  <si>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</si>
  <si>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</si>
  <si>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</si>
  <si>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</si>
  <si>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刘建荣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</si>
</sst>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42.776299999999999</c:v>
                </c:pt>
                <c:pt idx="1">
                  <c:v>29.113900000000001</c:v>
                </c:pt>
                <c:pt idx="2">
                  <c:v>23.633500000000002</c:v>
                </c:pt>
                <c:pt idx="3">
                  <c:v>29.233799999999999</c:v>
                </c:pt>
                <c:pt idx="4">
                  <c:v>61.701999999999998</c:v>
                </c:pt>
                <c:pt idx="5">
                  <c:v>74.072599999999994</c:v>
                </c:pt>
                <c:pt idx="6">
                  <c:v>24.632100000000001</c:v>
                </c:pt>
                <c:pt idx="7">
                  <c:v>66.718699999999998</c:v>
                </c:pt>
                <c:pt idx="8">
                  <c:v>20.388200000000001</c:v>
                </c:pt>
                <c:pt idx="9">
                  <c:v>28.582699999999999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0.50491980542642501</c:v>
                </c:pt>
                <c:pt idx="1">
                  <c:v>0.27734693092664764</c:v>
                </c:pt>
                <c:pt idx="2">
                  <c:v>0.21773326364692736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3668</c:v>
                </c:pt>
                <c:pt idx="7">
                  <c:v>0</c:v>
                </c:pt>
                <c:pt idx="8">
                  <c:v>5633</c:v>
                </c:pt>
                <c:pt idx="9">
                  <c:v>0</c:v>
                </c:pt>
                <c:pt idx="10">
                  <c:v>0</c:v>
                </c:pt>
                <c:pt idx="11">
                  <c:v>11042</c:v>
                </c:pt>
                <c:pt idx="12">
                  <c:v>0</c:v>
                </c:pt>
                <c:pt idx="13">
                  <c:v>12879</c:v>
                </c:pt>
                <c:pt idx="14">
                  <c:v>0</c:v>
                </c:pt>
                <c:pt idx="15">
                  <c:v>0</c:v>
                </c:pt>
                <c:pt idx="16">
                  <c:v>17383</c:v>
                </c:pt>
                <c:pt idx="17">
                  <c:v>0</c:v>
                </c:pt>
                <c:pt idx="18">
                  <c:v>0</c:v>
                </c:pt>
                <c:pt idx="19">
                  <c:v>21291</c:v>
                </c:pt>
                <c:pt idx="20">
                  <c:v>0</c:v>
                </c:pt>
                <c:pt idx="21">
                  <c:v>20223</c:v>
                </c:pt>
                <c:pt idx="22">
                  <c:v>0</c:v>
                </c:pt>
                <c:pt idx="23">
                  <c:v>0</c:v>
                </c:pt>
                <c:pt idx="24">
                  <c:v>29216</c:v>
                </c:pt>
                <c:pt idx="25">
                  <c:v>0</c:v>
                </c:pt>
                <c:pt idx="26">
                  <c:v>32031</c:v>
                </c:pt>
                <c:pt idx="27">
                  <c:v>0</c:v>
                </c:pt>
                <c:pt idx="28">
                  <c:v>0</c:v>
                </c:pt>
                <c:pt idx="29">
                  <c:v>38714</c:v>
                </c:pt>
                <c:pt idx="30">
                  <c:v>0</c:v>
                </c:pt>
                <c:pt idx="31">
                  <c:v>39612</c:v>
                </c:pt>
                <c:pt idx="32">
                  <c:v>0</c:v>
                </c:pt>
                <c:pt idx="33">
                  <c:v>0</c:v>
                </c:pt>
                <c:pt idx="34">
                  <c:v>39930</c:v>
                </c:pt>
                <c:pt idx="35">
                  <c:v>0</c:v>
                </c:pt>
                <c:pt idx="36">
                  <c:v>0</c:v>
                </c:pt>
                <c:pt idx="37">
                  <c:v>39564</c:v>
                </c:pt>
                <c:pt idx="38">
                  <c:v>0</c:v>
                </c:pt>
                <c:pt idx="39">
                  <c:v>42291</c:v>
                </c:pt>
                <c:pt idx="40">
                  <c:v>0</c:v>
                </c:pt>
                <c:pt idx="41">
                  <c:v>0</c:v>
                </c:pt>
                <c:pt idx="42">
                  <c:v>46054</c:v>
                </c:pt>
                <c:pt idx="43">
                  <c:v>0</c:v>
                </c:pt>
                <c:pt idx="44">
                  <c:v>51661</c:v>
                </c:pt>
                <c:pt idx="45">
                  <c:v>0</c:v>
                </c:pt>
                <c:pt idx="46">
                  <c:v>0</c:v>
                </c:pt>
                <c:pt idx="47">
                  <c:v>50415</c:v>
                </c:pt>
                <c:pt idx="48">
                  <c:v>0</c:v>
                </c:pt>
                <c:pt idx="49">
                  <c:v>50992</c:v>
                </c:pt>
                <c:pt idx="50">
                  <c:v>0</c:v>
                </c:pt>
                <c:pt idx="51">
                  <c:v>0</c:v>
                </c:pt>
                <c:pt idx="52">
                  <c:v>42164</c:v>
                </c:pt>
                <c:pt idx="53">
                  <c:v>0</c:v>
                </c:pt>
                <c:pt idx="54">
                  <c:v>0</c:v>
                </c:pt>
                <c:pt idx="55">
                  <c:v>43045</c:v>
                </c:pt>
                <c:pt idx="56">
                  <c:v>0</c:v>
                </c:pt>
                <c:pt idx="57">
                  <c:v>39219</c:v>
                </c:pt>
                <c:pt idx="58">
                  <c:v>0</c:v>
                </c:pt>
                <c:pt idx="59">
                  <c:v>0</c:v>
                </c:pt>
                <c:pt idx="60">
                  <c:v>36048</c:v>
                </c:pt>
                <c:pt idx="61">
                  <c:v>0</c:v>
                </c:pt>
                <c:pt idx="62">
                  <c:v>35041</c:v>
                </c:pt>
                <c:pt idx="63">
                  <c:v>0</c:v>
                </c:pt>
                <c:pt idx="64">
                  <c:v>0</c:v>
                </c:pt>
                <c:pt idx="65">
                  <c:v>36914</c:v>
                </c:pt>
                <c:pt idx="66">
                  <c:v>0</c:v>
                </c:pt>
                <c:pt idx="67">
                  <c:v>40368</c:v>
                </c:pt>
                <c:pt idx="68">
                  <c:v>0</c:v>
                </c:pt>
                <c:pt idx="69">
                  <c:v>0</c:v>
                </c:pt>
                <c:pt idx="70">
                  <c:v>40084</c:v>
                </c:pt>
                <c:pt idx="71">
                  <c:v>0</c:v>
                </c:pt>
                <c:pt idx="72">
                  <c:v>0</c:v>
                </c:pt>
                <c:pt idx="73">
                  <c:v>41973</c:v>
                </c:pt>
                <c:pt idx="74">
                  <c:v>0</c:v>
                </c:pt>
                <c:pt idx="75">
                  <c:v>40787</c:v>
                </c:pt>
                <c:pt idx="76">
                  <c:v>0</c:v>
                </c:pt>
                <c:pt idx="77">
                  <c:v>0</c:v>
                </c:pt>
                <c:pt idx="78">
                  <c:v>45445</c:v>
                </c:pt>
                <c:pt idx="79">
                  <c:v>0</c:v>
                </c:pt>
                <c:pt idx="80">
                  <c:v>43283</c:v>
                </c:pt>
                <c:pt idx="81">
                  <c:v>0</c:v>
                </c:pt>
                <c:pt idx="82">
                  <c:v>0</c:v>
                </c:pt>
                <c:pt idx="83">
                  <c:v>45782</c:v>
                </c:pt>
                <c:pt idx="84">
                  <c:v>0</c:v>
                </c:pt>
                <c:pt idx="85">
                  <c:v>0</c:v>
                </c:pt>
                <c:pt idx="86">
                  <c:v>47921</c:v>
                </c:pt>
                <c:pt idx="87">
                  <c:v>0</c:v>
                </c:pt>
                <c:pt idx="88">
                  <c:v>55270</c:v>
                </c:pt>
                <c:pt idx="89">
                  <c:v>0</c:v>
                </c:pt>
                <c:pt idx="90">
                  <c:v>0</c:v>
                </c:pt>
                <c:pt idx="91">
                  <c:v>60625</c:v>
                </c:pt>
                <c:pt idx="92">
                  <c:v>0</c:v>
                </c:pt>
                <c:pt idx="93">
                  <c:v>65669</c:v>
                </c:pt>
                <c:pt idx="94">
                  <c:v>0</c:v>
                </c:pt>
                <c:pt idx="95">
                  <c:v>0</c:v>
                </c:pt>
                <c:pt idx="96">
                  <c:v>68126</c:v>
                </c:pt>
                <c:pt idx="97">
                  <c:v>0</c:v>
                </c:pt>
                <c:pt idx="98">
                  <c:v>70999</c:v>
                </c:pt>
                <c:pt idx="99">
                  <c:v>0</c:v>
                </c:pt>
                <c:pt idx="100">
                  <c:v>0</c:v>
                </c:pt>
                <c:pt idx="101">
                  <c:v>66852</c:v>
                </c:pt>
                <c:pt idx="102">
                  <c:v>0</c:v>
                </c:pt>
                <c:pt idx="103">
                  <c:v>0</c:v>
                </c:pt>
                <c:pt idx="104">
                  <c:v>66751</c:v>
                </c:pt>
                <c:pt idx="105">
                  <c:v>0</c:v>
                </c:pt>
                <c:pt idx="106">
                  <c:v>64731</c:v>
                </c:pt>
                <c:pt idx="107">
                  <c:v>0</c:v>
                </c:pt>
                <c:pt idx="108">
                  <c:v>0</c:v>
                </c:pt>
                <c:pt idx="109">
                  <c:v>64981</c:v>
                </c:pt>
                <c:pt idx="110">
                  <c:v>0</c:v>
                </c:pt>
                <c:pt idx="111">
                  <c:v>64906</c:v>
                </c:pt>
                <c:pt idx="112">
                  <c:v>0</c:v>
                </c:pt>
                <c:pt idx="113">
                  <c:v>0</c:v>
                </c:pt>
                <c:pt idx="114">
                  <c:v>60594</c:v>
                </c:pt>
                <c:pt idx="115">
                  <c:v>0</c:v>
                </c:pt>
                <c:pt idx="116">
                  <c:v>58973</c:v>
                </c:pt>
                <c:pt idx="117">
                  <c:v>0</c:v>
                </c:pt>
                <c:pt idx="118">
                  <c:v>0</c:v>
                </c:pt>
                <c:pt idx="119">
                  <c:v>56261</c:v>
                </c:pt>
                <c:pt idx="120">
                  <c:v>0</c:v>
                </c:pt>
                <c:pt idx="121">
                  <c:v>0</c:v>
                </c:pt>
                <c:pt idx="122">
                  <c:v>51903</c:v>
                </c:pt>
                <c:pt idx="123">
                  <c:v>0</c:v>
                </c:pt>
                <c:pt idx="124">
                  <c:v>55045</c:v>
                </c:pt>
                <c:pt idx="125">
                  <c:v>0</c:v>
                </c:pt>
                <c:pt idx="126">
                  <c:v>0</c:v>
                </c:pt>
                <c:pt idx="127">
                  <c:v>47035</c:v>
                </c:pt>
                <c:pt idx="128">
                  <c:v>0</c:v>
                </c:pt>
                <c:pt idx="129">
                  <c:v>38805</c:v>
                </c:pt>
                <c:pt idx="130">
                  <c:v>0</c:v>
                </c:pt>
                <c:pt idx="131">
                  <c:v>0</c:v>
                </c:pt>
                <c:pt idx="132">
                  <c:v>36273</c:v>
                </c:pt>
                <c:pt idx="133">
                  <c:v>0</c:v>
                </c:pt>
                <c:pt idx="134">
                  <c:v>32381</c:v>
                </c:pt>
                <c:pt idx="135">
                  <c:v>0</c:v>
                </c:pt>
                <c:pt idx="136">
                  <c:v>0</c:v>
                </c:pt>
                <c:pt idx="137">
                  <c:v>27915</c:v>
                </c:pt>
                <c:pt idx="138">
                  <c:v>0</c:v>
                </c:pt>
                <c:pt idx="139">
                  <c:v>0</c:v>
                </c:pt>
                <c:pt idx="140">
                  <c:v>23665</c:v>
                </c:pt>
                <c:pt idx="141">
                  <c:v>0</c:v>
                </c:pt>
                <c:pt idx="142">
                  <c:v>24665</c:v>
                </c:pt>
                <c:pt idx="143">
                  <c:v>0</c:v>
                </c:pt>
                <c:pt idx="144">
                  <c:v>0</c:v>
                </c:pt>
                <c:pt idx="145">
                  <c:v>24068</c:v>
                </c:pt>
                <c:pt idx="146">
                  <c:v>0</c:v>
                </c:pt>
                <c:pt idx="147">
                  <c:v>19807</c:v>
                </c:pt>
                <c:pt idx="148">
                  <c:v>0</c:v>
                </c:pt>
                <c:pt idx="149">
                  <c:v>0</c:v>
                </c:pt>
                <c:pt idx="150">
                  <c:v>16567</c:v>
                </c:pt>
                <c:pt idx="151">
                  <c:v>0</c:v>
                </c:pt>
                <c:pt idx="152">
                  <c:v>13901</c:v>
                </c:pt>
                <c:pt idx="153">
                  <c:v>0</c:v>
                </c:pt>
                <c:pt idx="154">
                  <c:v>0</c:v>
                </c:pt>
                <c:pt idx="155">
                  <c:v>10536</c:v>
                </c:pt>
                <c:pt idx="156">
                  <c:v>0</c:v>
                </c:pt>
                <c:pt idx="157">
                  <c:v>0</c:v>
                </c:pt>
                <c:pt idx="158">
                  <c:v>9278</c:v>
                </c:pt>
                <c:pt idx="159">
                  <c:v>0</c:v>
                </c:pt>
                <c:pt idx="160">
                  <c:v>6982</c:v>
                </c:pt>
                <c:pt idx="161">
                  <c:v>0</c:v>
                </c:pt>
                <c:pt idx="162">
                  <c:v>0</c:v>
                </c:pt>
                <c:pt idx="163">
                  <c:v>6787</c:v>
                </c:pt>
                <c:pt idx="164">
                  <c:v>0</c:v>
                </c:pt>
                <c:pt idx="165">
                  <c:v>5530</c:v>
                </c:pt>
                <c:pt idx="166">
                  <c:v>0</c:v>
                </c:pt>
                <c:pt idx="167">
                  <c:v>0</c:v>
                </c:pt>
                <c:pt idx="168">
                  <c:v>4431</c:v>
                </c:pt>
                <c:pt idx="169">
                  <c:v>0</c:v>
                </c:pt>
                <c:pt idx="170">
                  <c:v>0</c:v>
                </c:pt>
                <c:pt idx="171">
                  <c:v>3094</c:v>
                </c:pt>
                <c:pt idx="172">
                  <c:v>0</c:v>
                </c:pt>
                <c:pt idx="173">
                  <c:v>1758</c:v>
                </c:pt>
                <c:pt idx="174">
                  <c:v>0</c:v>
                </c:pt>
                <c:pt idx="175">
                  <c:v>0</c:v>
                </c:pt>
                <c:pt idx="176">
                  <c:v>461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1.6131200000000001</c:v>
                </c:pt>
                <c:pt idx="1">
                  <c:v>1.6830500000000002</c:v>
                </c:pt>
                <c:pt idx="2">
                  <c:v>1.7543500000000001</c:v>
                </c:pt>
                <c:pt idx="3">
                  <c:v>1.8305899999999999</c:v>
                </c:pt>
                <c:pt idx="4">
                  <c:v>1.9061300000000001</c:v>
                </c:pt>
                <c:pt idx="5">
                  <c:v>1.98611</c:v>
                </c:pt>
                <c:pt idx="6">
                  <c:v>2.0677000000000003</c:v>
                </c:pt>
                <c:pt idx="7">
                  <c:v>2.1520700000000001</c:v>
                </c:pt>
                <c:pt idx="8">
                  <c:v>2.23902</c:v>
                </c:pt>
                <c:pt idx="9">
                  <c:v>2.3273600000000001</c:v>
                </c:pt>
                <c:pt idx="10">
                  <c:v>2.4170199999999999</c:v>
                </c:pt>
                <c:pt idx="11">
                  <c:v>2.5101400000000003</c:v>
                </c:pt>
                <c:pt idx="12">
                  <c:v>2.6013700000000002</c:v>
                </c:pt>
                <c:pt idx="13">
                  <c:v>2.6943800000000002</c:v>
                </c:pt>
                <c:pt idx="14">
                  <c:v>2.7884399999999996</c:v>
                </c:pt>
                <c:pt idx="15">
                  <c:v>2.8828300000000002</c:v>
                </c:pt>
                <c:pt idx="16">
                  <c:v>2.9543000000000004</c:v>
                </c:pt>
                <c:pt idx="17">
                  <c:v>3.0497299999999998</c:v>
                </c:pt>
                <c:pt idx="18">
                  <c:v>3.1336199999999996</c:v>
                </c:pt>
                <c:pt idx="19">
                  <c:v>3.2155</c:v>
                </c:pt>
                <c:pt idx="20">
                  <c:v>3.3225300000000004</c:v>
                </c:pt>
                <c:pt idx="21">
                  <c:v>3.3843899999999998</c:v>
                </c:pt>
                <c:pt idx="22">
                  <c:v>3.48204</c:v>
                </c:pt>
                <c:pt idx="23">
                  <c:v>3.54975</c:v>
                </c:pt>
                <c:pt idx="24">
                  <c:v>3.6173499999999996</c:v>
                </c:pt>
                <c:pt idx="25">
                  <c:v>3.66987</c:v>
                </c:pt>
                <c:pt idx="26">
                  <c:v>3.7289599999999998</c:v>
                </c:pt>
                <c:pt idx="27">
                  <c:v>3.78132</c:v>
                </c:pt>
                <c:pt idx="28">
                  <c:v>3.8349600000000001</c:v>
                </c:pt>
                <c:pt idx="29">
                  <c:v>3.8716499999999998</c:v>
                </c:pt>
                <c:pt idx="30">
                  <c:v>3.9081000000000001</c:v>
                </c:pt>
                <c:pt idx="31">
                  <c:v>3.9357500000000001</c:v>
                </c:pt>
                <c:pt idx="32">
                  <c:v>3.9585399999999997</c:v>
                </c:pt>
                <c:pt idx="33">
                  <c:v>3.9762399999999998</c:v>
                </c:pt>
                <c:pt idx="34">
                  <c:v>3.9904699999999997</c:v>
                </c:pt>
                <c:pt idx="35">
                  <c:v>3.9986600000000001</c:v>
                </c:pt>
                <c:pt idx="36">
                  <c:v>4.0087899999999994</c:v>
                </c:pt>
                <c:pt idx="37">
                  <c:v>4.0131699999999997</c:v>
                </c:pt>
                <c:pt idx="38">
                  <c:v>4.0139399999999998</c:v>
                </c:pt>
                <c:pt idx="39">
                  <c:v>4.0159599999999998</c:v>
                </c:pt>
                <c:pt idx="40">
                  <c:v>4.0167299999999999</c:v>
                </c:pt>
                <c:pt idx="41">
                  <c:v>4.0137700000000001</c:v>
                </c:pt>
                <c:pt idx="42">
                  <c:v>4.0069499999999998</c:v>
                </c:pt>
                <c:pt idx="43">
                  <c:v>3.9996799999999997</c:v>
                </c:pt>
                <c:pt idx="44">
                  <c:v>3.9950999999999999</c:v>
                </c:pt>
                <c:pt idx="45">
                  <c:v>3.9893899999999998</c:v>
                </c:pt>
                <c:pt idx="46">
                  <c:v>3.9836200000000002</c:v>
                </c:pt>
                <c:pt idx="47">
                  <c:v>3.9723899999999999</c:v>
                </c:pt>
                <c:pt idx="48">
                  <c:v>3.9607999999999999</c:v>
                </c:pt>
                <c:pt idx="49">
                  <c:v>3.94625</c:v>
                </c:pt>
                <c:pt idx="50">
                  <c:v>3.9301300000000001</c:v>
                </c:pt>
                <c:pt idx="51">
                  <c:v>3.9153799999999999</c:v>
                </c:pt>
                <c:pt idx="52">
                  <c:v>3.9068399999999999</c:v>
                </c:pt>
                <c:pt idx="53">
                  <c:v>3.9044099999999999</c:v>
                </c:pt>
                <c:pt idx="54">
                  <c:v>3.9033800000000003</c:v>
                </c:pt>
                <c:pt idx="55">
                  <c:v>3.9027699999999999</c:v>
                </c:pt>
                <c:pt idx="56">
                  <c:v>3.90266</c:v>
                </c:pt>
                <c:pt idx="57">
                  <c:v>3.90463</c:v>
                </c:pt>
                <c:pt idx="58">
                  <c:v>3.9067000000000003</c:v>
                </c:pt>
                <c:pt idx="59">
                  <c:v>3.9090099999999999</c:v>
                </c:pt>
                <c:pt idx="60">
                  <c:v>3.9076</c:v>
                </c:pt>
                <c:pt idx="61">
                  <c:v>3.9032200000000001</c:v>
                </c:pt>
                <c:pt idx="62">
                  <c:v>3.89662</c:v>
                </c:pt>
                <c:pt idx="63">
                  <c:v>3.8889800000000001</c:v>
                </c:pt>
                <c:pt idx="64">
                  <c:v>3.8784400000000003</c:v>
                </c:pt>
                <c:pt idx="65">
                  <c:v>3.86422</c:v>
                </c:pt>
                <c:pt idx="66">
                  <c:v>3.8348800000000001</c:v>
                </c:pt>
                <c:pt idx="67">
                  <c:v>3.8019699999999998</c:v>
                </c:pt>
                <c:pt idx="68">
                  <c:v>3.7766199999999999</c:v>
                </c:pt>
                <c:pt idx="69">
                  <c:v>3.7406699999999997</c:v>
                </c:pt>
                <c:pt idx="70">
                  <c:v>3.7086299999999999</c:v>
                </c:pt>
                <c:pt idx="71">
                  <c:v>3.6920700000000002</c:v>
                </c:pt>
                <c:pt idx="72">
                  <c:v>3.7028299999999996</c:v>
                </c:pt>
                <c:pt idx="73">
                  <c:v>3.70322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64.550300000000007</c:v>
                </c:pt>
                <c:pt idx="1">
                  <c:v>63.345700000000008</c:v>
                </c:pt>
                <c:pt idx="2">
                  <c:v>62.095599999999997</c:v>
                </c:pt>
                <c:pt idx="3">
                  <c:v>60.626500000000007</c:v>
                </c:pt>
                <c:pt idx="4">
                  <c:v>59.143100000000004</c:v>
                </c:pt>
                <c:pt idx="5">
                  <c:v>57.5276</c:v>
                </c:pt>
                <c:pt idx="6">
                  <c:v>56.013400000000004</c:v>
                </c:pt>
                <c:pt idx="7">
                  <c:v>54.328800000000001</c:v>
                </c:pt>
                <c:pt idx="8">
                  <c:v>52.598500000000001</c:v>
                </c:pt>
                <c:pt idx="9">
                  <c:v>50.908900000000003</c:v>
                </c:pt>
                <c:pt idx="10">
                  <c:v>49.335599999999999</c:v>
                </c:pt>
                <c:pt idx="11">
                  <c:v>47.824600000000004</c:v>
                </c:pt>
                <c:pt idx="12">
                  <c:v>46.6387</c:v>
                </c:pt>
                <c:pt idx="13">
                  <c:v>45.605600000000003</c:v>
                </c:pt>
                <c:pt idx="14">
                  <c:v>44.731900000000003</c:v>
                </c:pt>
                <c:pt idx="15">
                  <c:v>43.963299999999997</c:v>
                </c:pt>
                <c:pt idx="16">
                  <c:v>43.800699999999999</c:v>
                </c:pt>
                <c:pt idx="17">
                  <c:v>43.255099999999999</c:v>
                </c:pt>
                <c:pt idx="18">
                  <c:v>42.714200000000005</c:v>
                </c:pt>
                <c:pt idx="19">
                  <c:v>42.106200000000001</c:v>
                </c:pt>
                <c:pt idx="20">
                  <c:v>40.983799999999995</c:v>
                </c:pt>
                <c:pt idx="21">
                  <c:v>40.846600000000002</c:v>
                </c:pt>
                <c:pt idx="22">
                  <c:v>40.0092</c:v>
                </c:pt>
                <c:pt idx="23">
                  <c:v>39.930700000000002</c:v>
                </c:pt>
                <c:pt idx="24">
                  <c:v>39.817399999999999</c:v>
                </c:pt>
                <c:pt idx="25">
                  <c:v>39.898000000000003</c:v>
                </c:pt>
                <c:pt idx="26">
                  <c:v>39.846599999999995</c:v>
                </c:pt>
                <c:pt idx="27">
                  <c:v>39.823399999999999</c:v>
                </c:pt>
                <c:pt idx="28">
                  <c:v>39.722799999999999</c:v>
                </c:pt>
                <c:pt idx="29">
                  <c:v>39.721699999999998</c:v>
                </c:pt>
                <c:pt idx="30">
                  <c:v>39.641500000000001</c:v>
                </c:pt>
                <c:pt idx="31">
                  <c:v>39.515799999999999</c:v>
                </c:pt>
                <c:pt idx="32">
                  <c:v>39.358900000000006</c:v>
                </c:pt>
                <c:pt idx="33">
                  <c:v>39.181800000000003</c:v>
                </c:pt>
                <c:pt idx="34">
                  <c:v>38.966799999999999</c:v>
                </c:pt>
                <c:pt idx="35">
                  <c:v>38.759500000000003</c:v>
                </c:pt>
                <c:pt idx="36">
                  <c:v>38.545699999999997</c:v>
                </c:pt>
                <c:pt idx="37">
                  <c:v>38.352399999999996</c:v>
                </c:pt>
                <c:pt idx="38">
                  <c:v>38.113599999999998</c:v>
                </c:pt>
                <c:pt idx="39">
                  <c:v>37.903399999999998</c:v>
                </c:pt>
                <c:pt idx="40">
                  <c:v>37.707700000000003</c:v>
                </c:pt>
                <c:pt idx="41">
                  <c:v>37.5745</c:v>
                </c:pt>
                <c:pt idx="42">
                  <c:v>37.488</c:v>
                </c:pt>
                <c:pt idx="43">
                  <c:v>37.415599999999998</c:v>
                </c:pt>
                <c:pt idx="44">
                  <c:v>37.310200000000002</c:v>
                </c:pt>
                <c:pt idx="45">
                  <c:v>37.169999999999995</c:v>
                </c:pt>
                <c:pt idx="46">
                  <c:v>36.9876</c:v>
                </c:pt>
                <c:pt idx="47">
                  <c:v>36.846000000000004</c:v>
                </c:pt>
                <c:pt idx="48">
                  <c:v>36.675799999999995</c:v>
                </c:pt>
                <c:pt idx="49">
                  <c:v>36.453200000000002</c:v>
                </c:pt>
                <c:pt idx="50">
                  <c:v>36.1736</c:v>
                </c:pt>
                <c:pt idx="51">
                  <c:v>35.857599999999998</c:v>
                </c:pt>
                <c:pt idx="52">
                  <c:v>35.656700000000001</c:v>
                </c:pt>
                <c:pt idx="53">
                  <c:v>35.521900000000002</c:v>
                </c:pt>
                <c:pt idx="54">
                  <c:v>35.393900000000002</c:v>
                </c:pt>
                <c:pt idx="55">
                  <c:v>35.249399999999994</c:v>
                </c:pt>
                <c:pt idx="56">
                  <c:v>35.109200000000001</c:v>
                </c:pt>
                <c:pt idx="57">
                  <c:v>34.918900000000001</c:v>
                </c:pt>
                <c:pt idx="58">
                  <c:v>34.7027</c:v>
                </c:pt>
                <c:pt idx="59">
                  <c:v>34.4407</c:v>
                </c:pt>
                <c:pt idx="60">
                  <c:v>34.224600000000002</c:v>
                </c:pt>
                <c:pt idx="61">
                  <c:v>34.003299999999996</c:v>
                </c:pt>
                <c:pt idx="62">
                  <c:v>33.759699999999995</c:v>
                </c:pt>
                <c:pt idx="63">
                  <c:v>33.4895</c:v>
                </c:pt>
                <c:pt idx="64">
                  <c:v>33.251599999999996</c:v>
                </c:pt>
                <c:pt idx="65">
                  <c:v>33.009699999999995</c:v>
                </c:pt>
                <c:pt idx="66">
                  <c:v>32.953500000000005</c:v>
                </c:pt>
                <c:pt idx="67">
                  <c:v>32.851300000000002</c:v>
                </c:pt>
                <c:pt idx="68">
                  <c:v>32.552799999999998</c:v>
                </c:pt>
                <c:pt idx="69">
                  <c:v>32.457999999999998</c:v>
                </c:pt>
                <c:pt idx="70">
                  <c:v>32.414000000000001</c:v>
                </c:pt>
                <c:pt idx="71">
                  <c:v>32.130700000000004</c:v>
                </c:pt>
                <c:pt idx="72">
                  <c:v>31.790200000000002</c:v>
                </c:pt>
                <c:pt idx="73">
                  <c:v>31.918999999999997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1.6131200000000001</c:v>
                </c:pt>
                <c:pt idx="1">
                  <c:v>1.6830500000000002</c:v>
                </c:pt>
                <c:pt idx="2">
                  <c:v>1.7543500000000001</c:v>
                </c:pt>
                <c:pt idx="3">
                  <c:v>1.8305899999999999</c:v>
                </c:pt>
                <c:pt idx="4">
                  <c:v>1.9061300000000001</c:v>
                </c:pt>
                <c:pt idx="5">
                  <c:v>1.98611</c:v>
                </c:pt>
                <c:pt idx="6">
                  <c:v>2.0677000000000003</c:v>
                </c:pt>
                <c:pt idx="7">
                  <c:v>2.1520700000000001</c:v>
                </c:pt>
                <c:pt idx="8">
                  <c:v>2.23902</c:v>
                </c:pt>
                <c:pt idx="9">
                  <c:v>2.3273600000000001</c:v>
                </c:pt>
                <c:pt idx="10">
                  <c:v>2.4170199999999999</c:v>
                </c:pt>
                <c:pt idx="11">
                  <c:v>2.5101400000000003</c:v>
                </c:pt>
                <c:pt idx="12">
                  <c:v>2.6013700000000002</c:v>
                </c:pt>
                <c:pt idx="13">
                  <c:v>2.6943800000000002</c:v>
                </c:pt>
                <c:pt idx="14">
                  <c:v>2.7884399999999996</c:v>
                </c:pt>
                <c:pt idx="15">
                  <c:v>2.8828300000000002</c:v>
                </c:pt>
                <c:pt idx="16">
                  <c:v>2.9543000000000004</c:v>
                </c:pt>
                <c:pt idx="17">
                  <c:v>3.0497299999999998</c:v>
                </c:pt>
                <c:pt idx="18">
                  <c:v>3.1336199999999996</c:v>
                </c:pt>
                <c:pt idx="19">
                  <c:v>3.2155</c:v>
                </c:pt>
                <c:pt idx="20">
                  <c:v>3.3225300000000004</c:v>
                </c:pt>
                <c:pt idx="21">
                  <c:v>3.3843899999999998</c:v>
                </c:pt>
                <c:pt idx="22">
                  <c:v>3.48204</c:v>
                </c:pt>
                <c:pt idx="23">
                  <c:v>3.54975</c:v>
                </c:pt>
                <c:pt idx="24">
                  <c:v>3.6173499999999996</c:v>
                </c:pt>
                <c:pt idx="25">
                  <c:v>3.66987</c:v>
                </c:pt>
                <c:pt idx="26">
                  <c:v>3.7289599999999998</c:v>
                </c:pt>
                <c:pt idx="27">
                  <c:v>3.78132</c:v>
                </c:pt>
                <c:pt idx="28">
                  <c:v>3.8349600000000001</c:v>
                </c:pt>
                <c:pt idx="29">
                  <c:v>3.8716499999999998</c:v>
                </c:pt>
                <c:pt idx="30">
                  <c:v>3.9081000000000001</c:v>
                </c:pt>
                <c:pt idx="31">
                  <c:v>3.9357500000000001</c:v>
                </c:pt>
                <c:pt idx="32">
                  <c:v>3.9585399999999997</c:v>
                </c:pt>
                <c:pt idx="33">
                  <c:v>3.9762399999999998</c:v>
                </c:pt>
                <c:pt idx="34">
                  <c:v>3.9904699999999997</c:v>
                </c:pt>
                <c:pt idx="35">
                  <c:v>3.9986600000000001</c:v>
                </c:pt>
                <c:pt idx="36">
                  <c:v>4.0087899999999994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64.550300000000007</c:v>
                </c:pt>
                <c:pt idx="1">
                  <c:v>63.345700000000008</c:v>
                </c:pt>
                <c:pt idx="2">
                  <c:v>62.095599999999997</c:v>
                </c:pt>
                <c:pt idx="3">
                  <c:v>60.626500000000007</c:v>
                </c:pt>
                <c:pt idx="4">
                  <c:v>59.143100000000004</c:v>
                </c:pt>
                <c:pt idx="5">
                  <c:v>57.5276</c:v>
                </c:pt>
                <c:pt idx="6">
                  <c:v>56.013400000000004</c:v>
                </c:pt>
                <c:pt idx="7">
                  <c:v>54.328800000000001</c:v>
                </c:pt>
                <c:pt idx="8">
                  <c:v>52.598500000000001</c:v>
                </c:pt>
                <c:pt idx="9">
                  <c:v>50.908900000000003</c:v>
                </c:pt>
                <c:pt idx="10">
                  <c:v>49.335599999999999</c:v>
                </c:pt>
                <c:pt idx="11">
                  <c:v>47.824600000000004</c:v>
                </c:pt>
                <c:pt idx="12">
                  <c:v>46.6387</c:v>
                </c:pt>
                <c:pt idx="13">
                  <c:v>45.605600000000003</c:v>
                </c:pt>
                <c:pt idx="14">
                  <c:v>44.731900000000003</c:v>
                </c:pt>
                <c:pt idx="15">
                  <c:v>43.963299999999997</c:v>
                </c:pt>
                <c:pt idx="16">
                  <c:v>43.800699999999999</c:v>
                </c:pt>
                <c:pt idx="17">
                  <c:v>43.255099999999999</c:v>
                </c:pt>
                <c:pt idx="18">
                  <c:v>42.714200000000005</c:v>
                </c:pt>
                <c:pt idx="19">
                  <c:v>42.106200000000001</c:v>
                </c:pt>
                <c:pt idx="20">
                  <c:v>40.983799999999995</c:v>
                </c:pt>
                <c:pt idx="21">
                  <c:v>40.846600000000002</c:v>
                </c:pt>
                <c:pt idx="22">
                  <c:v>40.0092</c:v>
                </c:pt>
                <c:pt idx="23">
                  <c:v>39.930700000000002</c:v>
                </c:pt>
                <c:pt idx="24">
                  <c:v>39.817399999999999</c:v>
                </c:pt>
                <c:pt idx="25">
                  <c:v>39.898000000000003</c:v>
                </c:pt>
                <c:pt idx="26">
                  <c:v>39.846599999999995</c:v>
                </c:pt>
                <c:pt idx="27">
                  <c:v>39.823399999999999</c:v>
                </c:pt>
                <c:pt idx="28">
                  <c:v>39.722799999999999</c:v>
                </c:pt>
                <c:pt idx="29">
                  <c:v>39.721699999999998</c:v>
                </c:pt>
                <c:pt idx="30">
                  <c:v>39.641500000000001</c:v>
                </c:pt>
                <c:pt idx="31">
                  <c:v>39.515799999999999</c:v>
                </c:pt>
                <c:pt idx="32">
                  <c:v>39.358900000000006</c:v>
                </c:pt>
                <c:pt idx="33">
                  <c:v>39.181800000000003</c:v>
                </c:pt>
                <c:pt idx="34">
                  <c:v>38.966799999999999</c:v>
                </c:pt>
                <c:pt idx="35">
                  <c:v>38.759500000000003</c:v>
                </c:pt>
                <c:pt idx="36">
                  <c:v>38.545699999999997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4.0087899999999994</c:v>
                </c:pt>
                <c:pt idx="1">
                  <c:v>4.0131699999999997</c:v>
                </c:pt>
                <c:pt idx="2">
                  <c:v>4.0139399999999998</c:v>
                </c:pt>
                <c:pt idx="3">
                  <c:v>4.0159599999999998</c:v>
                </c:pt>
                <c:pt idx="4">
                  <c:v>4.0167299999999999</c:v>
                </c:pt>
                <c:pt idx="5">
                  <c:v>4.0137700000000001</c:v>
                </c:pt>
                <c:pt idx="6">
                  <c:v>4.0069499999999998</c:v>
                </c:pt>
                <c:pt idx="7">
                  <c:v>3.9996799999999997</c:v>
                </c:pt>
                <c:pt idx="8">
                  <c:v>3.9950999999999999</c:v>
                </c:pt>
                <c:pt idx="9">
                  <c:v>3.9893899999999998</c:v>
                </c:pt>
                <c:pt idx="10">
                  <c:v>3.9836200000000002</c:v>
                </c:pt>
                <c:pt idx="11">
                  <c:v>3.9723899999999999</c:v>
                </c:pt>
                <c:pt idx="12">
                  <c:v>3.9607999999999999</c:v>
                </c:pt>
                <c:pt idx="13">
                  <c:v>3.94625</c:v>
                </c:pt>
                <c:pt idx="14">
                  <c:v>3.9301300000000001</c:v>
                </c:pt>
                <c:pt idx="15">
                  <c:v>3.9153799999999999</c:v>
                </c:pt>
                <c:pt idx="16">
                  <c:v>3.9068399999999999</c:v>
                </c:pt>
                <c:pt idx="17">
                  <c:v>3.9044099999999999</c:v>
                </c:pt>
                <c:pt idx="18">
                  <c:v>3.9033800000000003</c:v>
                </c:pt>
                <c:pt idx="19">
                  <c:v>3.9027699999999999</c:v>
                </c:pt>
                <c:pt idx="20">
                  <c:v>3.90266</c:v>
                </c:pt>
                <c:pt idx="21">
                  <c:v>3.90463</c:v>
                </c:pt>
                <c:pt idx="22">
                  <c:v>3.9067000000000003</c:v>
                </c:pt>
                <c:pt idx="23">
                  <c:v>3.9090099999999999</c:v>
                </c:pt>
                <c:pt idx="24">
                  <c:v>3.9076</c:v>
                </c:pt>
                <c:pt idx="25">
                  <c:v>3.9032200000000001</c:v>
                </c:pt>
                <c:pt idx="26">
                  <c:v>3.89662</c:v>
                </c:pt>
                <c:pt idx="27">
                  <c:v>3.8889800000000001</c:v>
                </c:pt>
                <c:pt idx="28">
                  <c:v>3.8784400000000003</c:v>
                </c:pt>
                <c:pt idx="29">
                  <c:v>3.86422</c:v>
                </c:pt>
                <c:pt idx="30">
                  <c:v>3.8348800000000001</c:v>
                </c:pt>
                <c:pt idx="31">
                  <c:v>3.8019699999999998</c:v>
                </c:pt>
                <c:pt idx="32">
                  <c:v>3.7766199999999999</c:v>
                </c:pt>
                <c:pt idx="33">
                  <c:v>3.7406699999999997</c:v>
                </c:pt>
                <c:pt idx="34">
                  <c:v>3.7086299999999999</c:v>
                </c:pt>
                <c:pt idx="35">
                  <c:v>3.6920700000000002</c:v>
                </c:pt>
                <c:pt idx="36">
                  <c:v>3.7028299999999996</c:v>
                </c:pt>
                <c:pt idx="37">
                  <c:v>3.70322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38.545699999999997</c:v>
                </c:pt>
                <c:pt idx="1">
                  <c:v>38.352399999999996</c:v>
                </c:pt>
                <c:pt idx="2">
                  <c:v>38.113599999999998</c:v>
                </c:pt>
                <c:pt idx="3">
                  <c:v>37.903399999999998</c:v>
                </c:pt>
                <c:pt idx="4">
                  <c:v>37.707700000000003</c:v>
                </c:pt>
                <c:pt idx="5">
                  <c:v>37.5745</c:v>
                </c:pt>
                <c:pt idx="6">
                  <c:v>37.488</c:v>
                </c:pt>
                <c:pt idx="7">
                  <c:v>37.415599999999998</c:v>
                </c:pt>
                <c:pt idx="8">
                  <c:v>37.310200000000002</c:v>
                </c:pt>
                <c:pt idx="9">
                  <c:v>37.169999999999995</c:v>
                </c:pt>
                <c:pt idx="10">
                  <c:v>36.9876</c:v>
                </c:pt>
                <c:pt idx="11">
                  <c:v>36.846000000000004</c:v>
                </c:pt>
                <c:pt idx="12">
                  <c:v>36.675799999999995</c:v>
                </c:pt>
                <c:pt idx="13">
                  <c:v>36.453200000000002</c:v>
                </c:pt>
                <c:pt idx="14">
                  <c:v>36.1736</c:v>
                </c:pt>
                <c:pt idx="15">
                  <c:v>35.857599999999998</c:v>
                </c:pt>
                <c:pt idx="16">
                  <c:v>35.656700000000001</c:v>
                </c:pt>
                <c:pt idx="17">
                  <c:v>35.521900000000002</c:v>
                </c:pt>
                <c:pt idx="18">
                  <c:v>35.393900000000002</c:v>
                </c:pt>
                <c:pt idx="19">
                  <c:v>35.249399999999994</c:v>
                </c:pt>
                <c:pt idx="20">
                  <c:v>35.109200000000001</c:v>
                </c:pt>
                <c:pt idx="21">
                  <c:v>34.918900000000001</c:v>
                </c:pt>
                <c:pt idx="22">
                  <c:v>34.7027</c:v>
                </c:pt>
                <c:pt idx="23">
                  <c:v>34.4407</c:v>
                </c:pt>
                <c:pt idx="24">
                  <c:v>34.224600000000002</c:v>
                </c:pt>
                <c:pt idx="25">
                  <c:v>34.003299999999996</c:v>
                </c:pt>
                <c:pt idx="26">
                  <c:v>33.759699999999995</c:v>
                </c:pt>
                <c:pt idx="27">
                  <c:v>33.4895</c:v>
                </c:pt>
                <c:pt idx="28">
                  <c:v>33.251599999999996</c:v>
                </c:pt>
                <c:pt idx="29">
                  <c:v>33.009699999999995</c:v>
                </c:pt>
                <c:pt idx="30">
                  <c:v>32.953500000000005</c:v>
                </c:pt>
                <c:pt idx="31">
                  <c:v>32.851300000000002</c:v>
                </c:pt>
                <c:pt idx="32">
                  <c:v>32.552799999999998</c:v>
                </c:pt>
                <c:pt idx="33">
                  <c:v>32.457999999999998</c:v>
                </c:pt>
                <c:pt idx="34">
                  <c:v>32.414000000000001</c:v>
                </c:pt>
                <c:pt idx="35">
                  <c:v>32.130700000000004</c:v>
                </c:pt>
                <c:pt idx="36">
                  <c:v>31.790200000000002</c:v>
                </c:pt>
                <c:pt idx="37">
                  <c:v>31.918999999999997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3.0223297297297291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46.099581081081098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3.9003683783783778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35.130554054054052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3.9003683783783778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35.130554054054052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0.24556296026012422</c:v>
                </c:pt>
                <c:pt idx="1">
                  <c:v>0.32820227659853812</c:v>
                </c:pt>
                <c:pt idx="2">
                  <c:v>0.42623476314133774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0.39462599999999998</c:v>
                </c:pt>
                <c:pt idx="2">
                  <c:v>0.79693599999999998</c:v>
                </c:pt>
                <c:pt idx="3">
                  <c:v>1.2098599999999999</c:v>
                </c:pt>
                <c:pt idx="4">
                  <c:v>1.61541</c:v>
                </c:pt>
                <c:pt idx="5">
                  <c:v>2.0183200000000001</c:v>
                </c:pt>
                <c:pt idx="6">
                  <c:v>2.4243100000000002</c:v>
                </c:pt>
                <c:pt idx="7">
                  <c:v>2.8323499999999999</c:v>
                </c:pt>
                <c:pt idx="8">
                  <c:v>3.2401300000000002</c:v>
                </c:pt>
                <c:pt idx="9">
                  <c:v>3.6469499999999999</c:v>
                </c:pt>
                <c:pt idx="10">
                  <c:v>4.0508699999999997</c:v>
                </c:pt>
                <c:pt idx="11">
                  <c:v>4.4591099999999999</c:v>
                </c:pt>
                <c:pt idx="12">
                  <c:v>4.8629800000000003</c:v>
                </c:pt>
                <c:pt idx="13">
                  <c:v>5.2695999999999996</c:v>
                </c:pt>
                <c:pt idx="14">
                  <c:v>5.6775900000000004</c:v>
                </c:pt>
                <c:pt idx="15">
                  <c:v>6.0825800000000001</c:v>
                </c:pt>
                <c:pt idx="16">
                  <c:v>6.4893700000000001</c:v>
                </c:pt>
                <c:pt idx="17">
                  <c:v>6.8944999999999999</c:v>
                </c:pt>
                <c:pt idx="18">
                  <c:v>7.3011600000000003</c:v>
                </c:pt>
                <c:pt idx="19">
                  <c:v>7.7093600000000002</c:v>
                </c:pt>
                <c:pt idx="20">
                  <c:v>8.11599</c:v>
                </c:pt>
                <c:pt idx="21">
                  <c:v>8.5199300000000004</c:v>
                </c:pt>
                <c:pt idx="22">
                  <c:v>8.9272799999999997</c:v>
                </c:pt>
                <c:pt idx="23">
                  <c:v>9.3328100000000003</c:v>
                </c:pt>
                <c:pt idx="24">
                  <c:v>9.7395999999999994</c:v>
                </c:pt>
                <c:pt idx="25">
                  <c:v>10.1456</c:v>
                </c:pt>
                <c:pt idx="26">
                  <c:v>10.548500000000001</c:v>
                </c:pt>
                <c:pt idx="27">
                  <c:v>10.955399999999999</c:v>
                </c:pt>
                <c:pt idx="28">
                  <c:v>11.3635</c:v>
                </c:pt>
                <c:pt idx="29">
                  <c:v>11.770300000000001</c:v>
                </c:pt>
                <c:pt idx="30">
                  <c:v>12.177099999999999</c:v>
                </c:pt>
                <c:pt idx="31">
                  <c:v>12.5831</c:v>
                </c:pt>
                <c:pt idx="32">
                  <c:v>12.986000000000001</c:v>
                </c:pt>
                <c:pt idx="33">
                  <c:v>13.391</c:v>
                </c:pt>
                <c:pt idx="34">
                  <c:v>13.7988</c:v>
                </c:pt>
                <c:pt idx="35">
                  <c:v>14.206899999999999</c:v>
                </c:pt>
                <c:pt idx="36">
                  <c:v>14.6128</c:v>
                </c:pt>
                <c:pt idx="37">
                  <c:v>15.0174</c:v>
                </c:pt>
                <c:pt idx="38">
                  <c:v>15.5861</c:v>
                </c:pt>
                <c:pt idx="39">
                  <c:v>15.9557</c:v>
                </c:pt>
                <c:pt idx="40">
                  <c:v>16.331</c:v>
                </c:pt>
                <c:pt idx="41">
                  <c:v>16.713200000000001</c:v>
                </c:pt>
                <c:pt idx="42">
                  <c:v>17.112200000000001</c:v>
                </c:pt>
                <c:pt idx="43">
                  <c:v>17.520900000000001</c:v>
                </c:pt>
                <c:pt idx="44">
                  <c:v>17.924700000000001</c:v>
                </c:pt>
                <c:pt idx="45">
                  <c:v>18.328700000000001</c:v>
                </c:pt>
                <c:pt idx="46">
                  <c:v>18.7377</c:v>
                </c:pt>
                <c:pt idx="47">
                  <c:v>19.1465</c:v>
                </c:pt>
                <c:pt idx="48">
                  <c:v>19.5535</c:v>
                </c:pt>
                <c:pt idx="49">
                  <c:v>19.959599999999998</c:v>
                </c:pt>
                <c:pt idx="50">
                  <c:v>20.3614</c:v>
                </c:pt>
                <c:pt idx="51">
                  <c:v>20.775300000000001</c:v>
                </c:pt>
                <c:pt idx="52">
                  <c:v>21.179099999999998</c:v>
                </c:pt>
                <c:pt idx="53">
                  <c:v>21.585100000000001</c:v>
                </c:pt>
                <c:pt idx="54">
                  <c:v>21.988900000000001</c:v>
                </c:pt>
                <c:pt idx="55">
                  <c:v>22.395199999999999</c:v>
                </c:pt>
                <c:pt idx="56">
                  <c:v>22.7989</c:v>
                </c:pt>
                <c:pt idx="57">
                  <c:v>23.204699999999999</c:v>
                </c:pt>
                <c:pt idx="58">
                  <c:v>23.618600000000001</c:v>
                </c:pt>
                <c:pt idx="59">
                  <c:v>24.022600000000001</c:v>
                </c:pt>
                <c:pt idx="60">
                  <c:v>24.4255</c:v>
                </c:pt>
                <c:pt idx="61">
                  <c:v>24.831800000000001</c:v>
                </c:pt>
                <c:pt idx="62">
                  <c:v>25.2392</c:v>
                </c:pt>
                <c:pt idx="63">
                  <c:v>25.642399999999999</c:v>
                </c:pt>
                <c:pt idx="64">
                  <c:v>26.048999999999999</c:v>
                </c:pt>
                <c:pt idx="65">
                  <c:v>26.456900000000001</c:v>
                </c:pt>
                <c:pt idx="66">
                  <c:v>26.863</c:v>
                </c:pt>
                <c:pt idx="67">
                  <c:v>27.267700000000001</c:v>
                </c:pt>
                <c:pt idx="68">
                  <c:v>27.676300000000001</c:v>
                </c:pt>
                <c:pt idx="69">
                  <c:v>28.081499999999998</c:v>
                </c:pt>
                <c:pt idx="70">
                  <c:v>28.490500000000001</c:v>
                </c:pt>
                <c:pt idx="71">
                  <c:v>28.8964</c:v>
                </c:pt>
                <c:pt idx="72">
                  <c:v>29.3003</c:v>
                </c:pt>
                <c:pt idx="73">
                  <c:v>29.708500000000001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1.6131200000000001</c:v>
                </c:pt>
                <c:pt idx="1">
                  <c:v>1.6830500000000002</c:v>
                </c:pt>
                <c:pt idx="2">
                  <c:v>1.7543500000000001</c:v>
                </c:pt>
                <c:pt idx="3">
                  <c:v>1.8305899999999999</c:v>
                </c:pt>
                <c:pt idx="4">
                  <c:v>1.9061300000000001</c:v>
                </c:pt>
                <c:pt idx="5">
                  <c:v>1.98611</c:v>
                </c:pt>
                <c:pt idx="6">
                  <c:v>2.0677000000000003</c:v>
                </c:pt>
                <c:pt idx="7">
                  <c:v>2.1520700000000001</c:v>
                </c:pt>
                <c:pt idx="8">
                  <c:v>2.23902</c:v>
                </c:pt>
                <c:pt idx="9">
                  <c:v>2.3273600000000001</c:v>
                </c:pt>
                <c:pt idx="10">
                  <c:v>2.4170199999999999</c:v>
                </c:pt>
                <c:pt idx="11">
                  <c:v>2.5101400000000003</c:v>
                </c:pt>
                <c:pt idx="12">
                  <c:v>2.6013700000000002</c:v>
                </c:pt>
                <c:pt idx="13">
                  <c:v>2.6943800000000002</c:v>
                </c:pt>
                <c:pt idx="14">
                  <c:v>2.7884399999999996</c:v>
                </c:pt>
                <c:pt idx="15">
                  <c:v>2.8828300000000002</c:v>
                </c:pt>
                <c:pt idx="16">
                  <c:v>2.9543000000000004</c:v>
                </c:pt>
                <c:pt idx="17">
                  <c:v>3.0497299999999998</c:v>
                </c:pt>
                <c:pt idx="18">
                  <c:v>3.1336199999999996</c:v>
                </c:pt>
                <c:pt idx="19">
                  <c:v>3.2155</c:v>
                </c:pt>
                <c:pt idx="20">
                  <c:v>3.3225300000000004</c:v>
                </c:pt>
                <c:pt idx="21">
                  <c:v>3.3843899999999998</c:v>
                </c:pt>
                <c:pt idx="22">
                  <c:v>3.48204</c:v>
                </c:pt>
                <c:pt idx="23">
                  <c:v>3.54975</c:v>
                </c:pt>
                <c:pt idx="24">
                  <c:v>3.6173499999999996</c:v>
                </c:pt>
                <c:pt idx="25">
                  <c:v>3.66987</c:v>
                </c:pt>
                <c:pt idx="26">
                  <c:v>3.7289599999999998</c:v>
                </c:pt>
                <c:pt idx="27">
                  <c:v>3.78132</c:v>
                </c:pt>
                <c:pt idx="28">
                  <c:v>3.8349600000000001</c:v>
                </c:pt>
                <c:pt idx="29">
                  <c:v>3.8716499999999998</c:v>
                </c:pt>
                <c:pt idx="30">
                  <c:v>3.9081000000000001</c:v>
                </c:pt>
                <c:pt idx="31">
                  <c:v>3.9357500000000001</c:v>
                </c:pt>
                <c:pt idx="32">
                  <c:v>3.9585399999999997</c:v>
                </c:pt>
                <c:pt idx="33">
                  <c:v>3.9762399999999998</c:v>
                </c:pt>
                <c:pt idx="34">
                  <c:v>3.9904699999999997</c:v>
                </c:pt>
                <c:pt idx="35">
                  <c:v>3.9986600000000001</c:v>
                </c:pt>
                <c:pt idx="36">
                  <c:v>4.0087899999999994</c:v>
                </c:pt>
                <c:pt idx="37">
                  <c:v>4.0131699999999997</c:v>
                </c:pt>
                <c:pt idx="38">
                  <c:v>4.0139399999999998</c:v>
                </c:pt>
                <c:pt idx="39">
                  <c:v>4.0159599999999998</c:v>
                </c:pt>
                <c:pt idx="40">
                  <c:v>4.0167299999999999</c:v>
                </c:pt>
                <c:pt idx="41">
                  <c:v>4.0137700000000001</c:v>
                </c:pt>
                <c:pt idx="42">
                  <c:v>4.0069499999999998</c:v>
                </c:pt>
                <c:pt idx="43">
                  <c:v>3.9996799999999997</c:v>
                </c:pt>
                <c:pt idx="44">
                  <c:v>3.9950999999999999</c:v>
                </c:pt>
                <c:pt idx="45">
                  <c:v>3.9893899999999998</c:v>
                </c:pt>
                <c:pt idx="46">
                  <c:v>3.9836200000000002</c:v>
                </c:pt>
                <c:pt idx="47">
                  <c:v>3.9723899999999999</c:v>
                </c:pt>
                <c:pt idx="48">
                  <c:v>3.9607999999999999</c:v>
                </c:pt>
                <c:pt idx="49">
                  <c:v>3.94625</c:v>
                </c:pt>
                <c:pt idx="50">
                  <c:v>3.9301300000000001</c:v>
                </c:pt>
                <c:pt idx="51">
                  <c:v>3.9153799999999999</c:v>
                </c:pt>
                <c:pt idx="52">
                  <c:v>3.9068399999999999</c:v>
                </c:pt>
                <c:pt idx="53">
                  <c:v>3.9044099999999999</c:v>
                </c:pt>
                <c:pt idx="54">
                  <c:v>3.9033800000000003</c:v>
                </c:pt>
                <c:pt idx="55">
                  <c:v>3.9027699999999999</c:v>
                </c:pt>
                <c:pt idx="56">
                  <c:v>3.90266</c:v>
                </c:pt>
                <c:pt idx="57">
                  <c:v>3.90463</c:v>
                </c:pt>
                <c:pt idx="58">
                  <c:v>3.9067000000000003</c:v>
                </c:pt>
                <c:pt idx="59">
                  <c:v>3.9090099999999999</c:v>
                </c:pt>
                <c:pt idx="60">
                  <c:v>3.9076</c:v>
                </c:pt>
                <c:pt idx="61">
                  <c:v>3.9032200000000001</c:v>
                </c:pt>
                <c:pt idx="62">
                  <c:v>3.89662</c:v>
                </c:pt>
                <c:pt idx="63">
                  <c:v>3.8889800000000001</c:v>
                </c:pt>
                <c:pt idx="64">
                  <c:v>3.8784400000000003</c:v>
                </c:pt>
                <c:pt idx="65">
                  <c:v>3.86422</c:v>
                </c:pt>
                <c:pt idx="66">
                  <c:v>3.8348800000000001</c:v>
                </c:pt>
                <c:pt idx="67">
                  <c:v>3.8019699999999998</c:v>
                </c:pt>
                <c:pt idx="68">
                  <c:v>3.7766199999999999</c:v>
                </c:pt>
                <c:pt idx="69">
                  <c:v>3.7406699999999997</c:v>
                </c:pt>
                <c:pt idx="70">
                  <c:v>3.7086299999999999</c:v>
                </c:pt>
                <c:pt idx="71">
                  <c:v>3.6920700000000002</c:v>
                </c:pt>
                <c:pt idx="72">
                  <c:v>3.7028299999999996</c:v>
                </c:pt>
                <c:pt idx="73">
                  <c:v>3.70322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0.39462599999999998</c:v>
                </c:pt>
                <c:pt idx="2">
                  <c:v>0.79693599999999998</c:v>
                </c:pt>
                <c:pt idx="3">
                  <c:v>1.2098599999999999</c:v>
                </c:pt>
                <c:pt idx="4">
                  <c:v>1.61541</c:v>
                </c:pt>
                <c:pt idx="5">
                  <c:v>2.0183200000000001</c:v>
                </c:pt>
                <c:pt idx="6">
                  <c:v>2.4243100000000002</c:v>
                </c:pt>
                <c:pt idx="7">
                  <c:v>2.8323499999999999</c:v>
                </c:pt>
                <c:pt idx="8">
                  <c:v>3.2401300000000002</c:v>
                </c:pt>
                <c:pt idx="9">
                  <c:v>3.6469499999999999</c:v>
                </c:pt>
                <c:pt idx="10">
                  <c:v>4.0508699999999997</c:v>
                </c:pt>
                <c:pt idx="11">
                  <c:v>4.4591099999999999</c:v>
                </c:pt>
                <c:pt idx="12">
                  <c:v>4.8629800000000003</c:v>
                </c:pt>
                <c:pt idx="13">
                  <c:v>5.2695999999999996</c:v>
                </c:pt>
                <c:pt idx="14">
                  <c:v>5.6775900000000004</c:v>
                </c:pt>
                <c:pt idx="15">
                  <c:v>6.0825800000000001</c:v>
                </c:pt>
                <c:pt idx="16">
                  <c:v>6.4893700000000001</c:v>
                </c:pt>
                <c:pt idx="17">
                  <c:v>6.8944999999999999</c:v>
                </c:pt>
                <c:pt idx="18">
                  <c:v>7.3011600000000003</c:v>
                </c:pt>
                <c:pt idx="19">
                  <c:v>7.7093600000000002</c:v>
                </c:pt>
                <c:pt idx="20">
                  <c:v>8.11599</c:v>
                </c:pt>
                <c:pt idx="21">
                  <c:v>8.5199300000000004</c:v>
                </c:pt>
                <c:pt idx="22">
                  <c:v>8.9272799999999997</c:v>
                </c:pt>
                <c:pt idx="23">
                  <c:v>9.3328100000000003</c:v>
                </c:pt>
                <c:pt idx="24">
                  <c:v>9.7395999999999994</c:v>
                </c:pt>
                <c:pt idx="25">
                  <c:v>10.1456</c:v>
                </c:pt>
                <c:pt idx="26">
                  <c:v>10.548500000000001</c:v>
                </c:pt>
                <c:pt idx="27">
                  <c:v>10.955399999999999</c:v>
                </c:pt>
                <c:pt idx="28">
                  <c:v>11.3635</c:v>
                </c:pt>
                <c:pt idx="29">
                  <c:v>11.770300000000001</c:v>
                </c:pt>
                <c:pt idx="30">
                  <c:v>12.177099999999999</c:v>
                </c:pt>
                <c:pt idx="31">
                  <c:v>12.5831</c:v>
                </c:pt>
                <c:pt idx="32">
                  <c:v>12.986000000000001</c:v>
                </c:pt>
                <c:pt idx="33">
                  <c:v>13.391</c:v>
                </c:pt>
                <c:pt idx="34">
                  <c:v>13.7988</c:v>
                </c:pt>
                <c:pt idx="35">
                  <c:v>14.206899999999999</c:v>
                </c:pt>
                <c:pt idx="36">
                  <c:v>14.6128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1.6131200000000001</c:v>
                </c:pt>
                <c:pt idx="1">
                  <c:v>1.6830500000000002</c:v>
                </c:pt>
                <c:pt idx="2">
                  <c:v>1.7543500000000001</c:v>
                </c:pt>
                <c:pt idx="3">
                  <c:v>1.8305899999999999</c:v>
                </c:pt>
                <c:pt idx="4">
                  <c:v>1.9061300000000001</c:v>
                </c:pt>
                <c:pt idx="5">
                  <c:v>1.98611</c:v>
                </c:pt>
                <c:pt idx="6">
                  <c:v>2.0677000000000003</c:v>
                </c:pt>
                <c:pt idx="7">
                  <c:v>2.1520700000000001</c:v>
                </c:pt>
                <c:pt idx="8">
                  <c:v>2.23902</c:v>
                </c:pt>
                <c:pt idx="9">
                  <c:v>2.3273600000000001</c:v>
                </c:pt>
                <c:pt idx="10">
                  <c:v>2.4170199999999999</c:v>
                </c:pt>
                <c:pt idx="11">
                  <c:v>2.5101400000000003</c:v>
                </c:pt>
                <c:pt idx="12">
                  <c:v>2.6013700000000002</c:v>
                </c:pt>
                <c:pt idx="13">
                  <c:v>2.6943800000000002</c:v>
                </c:pt>
                <c:pt idx="14">
                  <c:v>2.7884399999999996</c:v>
                </c:pt>
                <c:pt idx="15">
                  <c:v>2.8828300000000002</c:v>
                </c:pt>
                <c:pt idx="16">
                  <c:v>2.9543000000000004</c:v>
                </c:pt>
                <c:pt idx="17">
                  <c:v>3.0497299999999998</c:v>
                </c:pt>
                <c:pt idx="18">
                  <c:v>3.1336199999999996</c:v>
                </c:pt>
                <c:pt idx="19">
                  <c:v>3.2155</c:v>
                </c:pt>
                <c:pt idx="20">
                  <c:v>3.3225300000000004</c:v>
                </c:pt>
                <c:pt idx="21">
                  <c:v>3.3843899999999998</c:v>
                </c:pt>
                <c:pt idx="22">
                  <c:v>3.48204</c:v>
                </c:pt>
                <c:pt idx="23">
                  <c:v>3.54975</c:v>
                </c:pt>
                <c:pt idx="24">
                  <c:v>3.6173499999999996</c:v>
                </c:pt>
                <c:pt idx="25">
                  <c:v>3.66987</c:v>
                </c:pt>
                <c:pt idx="26">
                  <c:v>3.7289599999999998</c:v>
                </c:pt>
                <c:pt idx="27">
                  <c:v>3.78132</c:v>
                </c:pt>
                <c:pt idx="28">
                  <c:v>3.8349600000000001</c:v>
                </c:pt>
                <c:pt idx="29">
                  <c:v>3.8716499999999998</c:v>
                </c:pt>
                <c:pt idx="30">
                  <c:v>3.9081000000000001</c:v>
                </c:pt>
                <c:pt idx="31">
                  <c:v>3.9357500000000001</c:v>
                </c:pt>
                <c:pt idx="32">
                  <c:v>3.9585399999999997</c:v>
                </c:pt>
                <c:pt idx="33">
                  <c:v>3.9762399999999998</c:v>
                </c:pt>
                <c:pt idx="34">
                  <c:v>3.9904699999999997</c:v>
                </c:pt>
                <c:pt idx="35">
                  <c:v>3.9986600000000001</c:v>
                </c:pt>
                <c:pt idx="36">
                  <c:v>4.0087899999999994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14.6128</c:v>
                </c:pt>
                <c:pt idx="1">
                  <c:v>15.0174</c:v>
                </c:pt>
                <c:pt idx="2">
                  <c:v>15.5861</c:v>
                </c:pt>
                <c:pt idx="3">
                  <c:v>15.9557</c:v>
                </c:pt>
                <c:pt idx="4">
                  <c:v>16.331</c:v>
                </c:pt>
                <c:pt idx="5">
                  <c:v>16.713200000000001</c:v>
                </c:pt>
                <c:pt idx="6">
                  <c:v>17.112200000000001</c:v>
                </c:pt>
                <c:pt idx="7">
                  <c:v>17.520900000000001</c:v>
                </c:pt>
                <c:pt idx="8">
                  <c:v>17.924700000000001</c:v>
                </c:pt>
                <c:pt idx="9">
                  <c:v>18.328700000000001</c:v>
                </c:pt>
                <c:pt idx="10">
                  <c:v>18.7377</c:v>
                </c:pt>
                <c:pt idx="11">
                  <c:v>19.1465</c:v>
                </c:pt>
                <c:pt idx="12">
                  <c:v>19.5535</c:v>
                </c:pt>
                <c:pt idx="13">
                  <c:v>19.959599999999998</c:v>
                </c:pt>
                <c:pt idx="14">
                  <c:v>20.3614</c:v>
                </c:pt>
                <c:pt idx="15">
                  <c:v>20.775300000000001</c:v>
                </c:pt>
                <c:pt idx="16">
                  <c:v>21.179099999999998</c:v>
                </c:pt>
                <c:pt idx="17">
                  <c:v>21.585100000000001</c:v>
                </c:pt>
                <c:pt idx="18">
                  <c:v>21.988900000000001</c:v>
                </c:pt>
                <c:pt idx="19">
                  <c:v>22.395199999999999</c:v>
                </c:pt>
                <c:pt idx="20">
                  <c:v>22.7989</c:v>
                </c:pt>
                <c:pt idx="21">
                  <c:v>23.204699999999999</c:v>
                </c:pt>
                <c:pt idx="22">
                  <c:v>23.618600000000001</c:v>
                </c:pt>
                <c:pt idx="23">
                  <c:v>24.022600000000001</c:v>
                </c:pt>
                <c:pt idx="24">
                  <c:v>24.4255</c:v>
                </c:pt>
                <c:pt idx="25">
                  <c:v>24.831800000000001</c:v>
                </c:pt>
                <c:pt idx="26">
                  <c:v>25.2392</c:v>
                </c:pt>
                <c:pt idx="27">
                  <c:v>25.642399999999999</c:v>
                </c:pt>
                <c:pt idx="28">
                  <c:v>26.048999999999999</c:v>
                </c:pt>
                <c:pt idx="29">
                  <c:v>26.456900000000001</c:v>
                </c:pt>
                <c:pt idx="30">
                  <c:v>26.863</c:v>
                </c:pt>
                <c:pt idx="31">
                  <c:v>27.267700000000001</c:v>
                </c:pt>
                <c:pt idx="32">
                  <c:v>27.676300000000001</c:v>
                </c:pt>
                <c:pt idx="33">
                  <c:v>28.081499999999998</c:v>
                </c:pt>
                <c:pt idx="34">
                  <c:v>28.490500000000001</c:v>
                </c:pt>
                <c:pt idx="35">
                  <c:v>28.8964</c:v>
                </c:pt>
                <c:pt idx="36">
                  <c:v>29.3003</c:v>
                </c:pt>
                <c:pt idx="37">
                  <c:v>29.708500000000001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4.0087899999999994</c:v>
                </c:pt>
                <c:pt idx="1">
                  <c:v>4.0131699999999997</c:v>
                </c:pt>
                <c:pt idx="2">
                  <c:v>4.0139399999999998</c:v>
                </c:pt>
                <c:pt idx="3">
                  <c:v>4.0159599999999998</c:v>
                </c:pt>
                <c:pt idx="4">
                  <c:v>4.0167299999999999</c:v>
                </c:pt>
                <c:pt idx="5">
                  <c:v>4.0137700000000001</c:v>
                </c:pt>
                <c:pt idx="6">
                  <c:v>4.0069499999999998</c:v>
                </c:pt>
                <c:pt idx="7">
                  <c:v>3.9996799999999997</c:v>
                </c:pt>
                <c:pt idx="8">
                  <c:v>3.9950999999999999</c:v>
                </c:pt>
                <c:pt idx="9">
                  <c:v>3.9893899999999998</c:v>
                </c:pt>
                <c:pt idx="10">
                  <c:v>3.9836200000000002</c:v>
                </c:pt>
                <c:pt idx="11">
                  <c:v>3.9723899999999999</c:v>
                </c:pt>
                <c:pt idx="12">
                  <c:v>3.9607999999999999</c:v>
                </c:pt>
                <c:pt idx="13">
                  <c:v>3.94625</c:v>
                </c:pt>
                <c:pt idx="14">
                  <c:v>3.9301300000000001</c:v>
                </c:pt>
                <c:pt idx="15">
                  <c:v>3.9153799999999999</c:v>
                </c:pt>
                <c:pt idx="16">
                  <c:v>3.9068399999999999</c:v>
                </c:pt>
                <c:pt idx="17">
                  <c:v>3.9044099999999999</c:v>
                </c:pt>
                <c:pt idx="18">
                  <c:v>3.9033800000000003</c:v>
                </c:pt>
                <c:pt idx="19">
                  <c:v>3.9027699999999999</c:v>
                </c:pt>
                <c:pt idx="20">
                  <c:v>3.90266</c:v>
                </c:pt>
                <c:pt idx="21">
                  <c:v>3.90463</c:v>
                </c:pt>
                <c:pt idx="22">
                  <c:v>3.9067000000000003</c:v>
                </c:pt>
                <c:pt idx="23">
                  <c:v>3.9090099999999999</c:v>
                </c:pt>
                <c:pt idx="24">
                  <c:v>3.9076</c:v>
                </c:pt>
                <c:pt idx="25">
                  <c:v>3.9032200000000001</c:v>
                </c:pt>
                <c:pt idx="26">
                  <c:v>3.89662</c:v>
                </c:pt>
                <c:pt idx="27">
                  <c:v>3.8889800000000001</c:v>
                </c:pt>
                <c:pt idx="28">
                  <c:v>3.8784400000000003</c:v>
                </c:pt>
                <c:pt idx="29">
                  <c:v>3.86422</c:v>
                </c:pt>
                <c:pt idx="30">
                  <c:v>3.8348800000000001</c:v>
                </c:pt>
                <c:pt idx="31">
                  <c:v>3.8019699999999998</c:v>
                </c:pt>
                <c:pt idx="32">
                  <c:v>3.7766199999999999</c:v>
                </c:pt>
                <c:pt idx="33">
                  <c:v>3.7406699999999997</c:v>
                </c:pt>
                <c:pt idx="34">
                  <c:v>3.7086299999999999</c:v>
                </c:pt>
                <c:pt idx="35">
                  <c:v>3.6920700000000002</c:v>
                </c:pt>
                <c:pt idx="36">
                  <c:v>3.7028299999999996</c:v>
                </c:pt>
                <c:pt idx="37">
                  <c:v>3.70322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7.4271250000000002</c:v>
                </c:pt>
                <c:pt idx="1">
                  <c:v>22.281375000000001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3.0223297297297291</c:v>
                </c:pt>
                <c:pt idx="1">
                  <c:v>3.9003683783783778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0.39462599999999998</c:v>
                </c:pt>
                <c:pt idx="2">
                  <c:v>0.79693599999999998</c:v>
                </c:pt>
                <c:pt idx="3">
                  <c:v>1.2098599999999999</c:v>
                </c:pt>
                <c:pt idx="4">
                  <c:v>1.61541</c:v>
                </c:pt>
                <c:pt idx="5">
                  <c:v>2.0183200000000001</c:v>
                </c:pt>
                <c:pt idx="6">
                  <c:v>2.4243100000000002</c:v>
                </c:pt>
                <c:pt idx="7">
                  <c:v>2.8323499999999999</c:v>
                </c:pt>
                <c:pt idx="8">
                  <c:v>3.2401300000000002</c:v>
                </c:pt>
                <c:pt idx="9">
                  <c:v>3.6469499999999999</c:v>
                </c:pt>
                <c:pt idx="10">
                  <c:v>4.0508699999999997</c:v>
                </c:pt>
                <c:pt idx="11">
                  <c:v>4.4591099999999999</c:v>
                </c:pt>
                <c:pt idx="12">
                  <c:v>4.8629800000000003</c:v>
                </c:pt>
                <c:pt idx="13">
                  <c:v>5.2695999999999996</c:v>
                </c:pt>
                <c:pt idx="14">
                  <c:v>5.6775900000000004</c:v>
                </c:pt>
                <c:pt idx="15">
                  <c:v>6.0825800000000001</c:v>
                </c:pt>
                <c:pt idx="16">
                  <c:v>6.4893700000000001</c:v>
                </c:pt>
                <c:pt idx="17">
                  <c:v>6.8944999999999999</c:v>
                </c:pt>
                <c:pt idx="18">
                  <c:v>7.3011600000000003</c:v>
                </c:pt>
                <c:pt idx="19">
                  <c:v>7.7093600000000002</c:v>
                </c:pt>
                <c:pt idx="20">
                  <c:v>8.11599</c:v>
                </c:pt>
                <c:pt idx="21">
                  <c:v>8.5199300000000004</c:v>
                </c:pt>
                <c:pt idx="22">
                  <c:v>8.9272799999999997</c:v>
                </c:pt>
                <c:pt idx="23">
                  <c:v>9.3328100000000003</c:v>
                </c:pt>
                <c:pt idx="24">
                  <c:v>9.7395999999999994</c:v>
                </c:pt>
                <c:pt idx="25">
                  <c:v>10.1456</c:v>
                </c:pt>
                <c:pt idx="26">
                  <c:v>10.548500000000001</c:v>
                </c:pt>
                <c:pt idx="27">
                  <c:v>10.955399999999999</c:v>
                </c:pt>
                <c:pt idx="28">
                  <c:v>11.3635</c:v>
                </c:pt>
                <c:pt idx="29">
                  <c:v>11.770300000000001</c:v>
                </c:pt>
                <c:pt idx="30">
                  <c:v>12.177099999999999</c:v>
                </c:pt>
                <c:pt idx="31">
                  <c:v>12.5831</c:v>
                </c:pt>
                <c:pt idx="32">
                  <c:v>12.986000000000001</c:v>
                </c:pt>
                <c:pt idx="33">
                  <c:v>13.391</c:v>
                </c:pt>
                <c:pt idx="34">
                  <c:v>13.7988</c:v>
                </c:pt>
                <c:pt idx="35">
                  <c:v>14.206899999999999</c:v>
                </c:pt>
                <c:pt idx="36">
                  <c:v>14.6128</c:v>
                </c:pt>
                <c:pt idx="37">
                  <c:v>15.0174</c:v>
                </c:pt>
                <c:pt idx="38">
                  <c:v>15.5861</c:v>
                </c:pt>
                <c:pt idx="39">
                  <c:v>15.9557</c:v>
                </c:pt>
                <c:pt idx="40">
                  <c:v>16.331</c:v>
                </c:pt>
                <c:pt idx="41">
                  <c:v>16.713200000000001</c:v>
                </c:pt>
                <c:pt idx="42">
                  <c:v>17.112200000000001</c:v>
                </c:pt>
                <c:pt idx="43">
                  <c:v>17.520900000000001</c:v>
                </c:pt>
                <c:pt idx="44">
                  <c:v>17.924700000000001</c:v>
                </c:pt>
                <c:pt idx="45">
                  <c:v>18.328700000000001</c:v>
                </c:pt>
                <c:pt idx="46">
                  <c:v>18.7377</c:v>
                </c:pt>
                <c:pt idx="47">
                  <c:v>19.1465</c:v>
                </c:pt>
                <c:pt idx="48">
                  <c:v>19.5535</c:v>
                </c:pt>
                <c:pt idx="49">
                  <c:v>19.959599999999998</c:v>
                </c:pt>
                <c:pt idx="50">
                  <c:v>20.3614</c:v>
                </c:pt>
                <c:pt idx="51">
                  <c:v>20.775300000000001</c:v>
                </c:pt>
                <c:pt idx="52">
                  <c:v>21.179099999999998</c:v>
                </c:pt>
                <c:pt idx="53">
                  <c:v>21.585100000000001</c:v>
                </c:pt>
                <c:pt idx="54">
                  <c:v>21.988900000000001</c:v>
                </c:pt>
                <c:pt idx="55">
                  <c:v>22.395199999999999</c:v>
                </c:pt>
                <c:pt idx="56">
                  <c:v>22.7989</c:v>
                </c:pt>
                <c:pt idx="57">
                  <c:v>23.204699999999999</c:v>
                </c:pt>
                <c:pt idx="58">
                  <c:v>23.618600000000001</c:v>
                </c:pt>
                <c:pt idx="59">
                  <c:v>24.022600000000001</c:v>
                </c:pt>
                <c:pt idx="60">
                  <c:v>24.4255</c:v>
                </c:pt>
                <c:pt idx="61">
                  <c:v>24.831800000000001</c:v>
                </c:pt>
                <c:pt idx="62">
                  <c:v>25.2392</c:v>
                </c:pt>
                <c:pt idx="63">
                  <c:v>25.642399999999999</c:v>
                </c:pt>
                <c:pt idx="64">
                  <c:v>26.048999999999999</c:v>
                </c:pt>
                <c:pt idx="65">
                  <c:v>26.456900000000001</c:v>
                </c:pt>
                <c:pt idx="66">
                  <c:v>26.863</c:v>
                </c:pt>
                <c:pt idx="67">
                  <c:v>27.267700000000001</c:v>
                </c:pt>
                <c:pt idx="68">
                  <c:v>27.676300000000001</c:v>
                </c:pt>
                <c:pt idx="69">
                  <c:v>28.081499999999998</c:v>
                </c:pt>
                <c:pt idx="70">
                  <c:v>28.490500000000001</c:v>
                </c:pt>
                <c:pt idx="71">
                  <c:v>28.8964</c:v>
                </c:pt>
                <c:pt idx="72">
                  <c:v>29.3003</c:v>
                </c:pt>
                <c:pt idx="73">
                  <c:v>29.708500000000001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64.550300000000007</c:v>
                </c:pt>
                <c:pt idx="1">
                  <c:v>63.345700000000008</c:v>
                </c:pt>
                <c:pt idx="2">
                  <c:v>62.095599999999997</c:v>
                </c:pt>
                <c:pt idx="3">
                  <c:v>60.626500000000007</c:v>
                </c:pt>
                <c:pt idx="4">
                  <c:v>59.143100000000004</c:v>
                </c:pt>
                <c:pt idx="5">
                  <c:v>57.5276</c:v>
                </c:pt>
                <c:pt idx="6">
                  <c:v>56.013400000000004</c:v>
                </c:pt>
                <c:pt idx="7">
                  <c:v>54.328800000000001</c:v>
                </c:pt>
                <c:pt idx="8">
                  <c:v>52.598500000000001</c:v>
                </c:pt>
                <c:pt idx="9">
                  <c:v>50.908900000000003</c:v>
                </c:pt>
                <c:pt idx="10">
                  <c:v>49.335599999999999</c:v>
                </c:pt>
                <c:pt idx="11">
                  <c:v>47.824600000000004</c:v>
                </c:pt>
                <c:pt idx="12">
                  <c:v>46.6387</c:v>
                </c:pt>
                <c:pt idx="13">
                  <c:v>45.605600000000003</c:v>
                </c:pt>
                <c:pt idx="14">
                  <c:v>44.731900000000003</c:v>
                </c:pt>
                <c:pt idx="15">
                  <c:v>43.963299999999997</c:v>
                </c:pt>
                <c:pt idx="16">
                  <c:v>43.800699999999999</c:v>
                </c:pt>
                <c:pt idx="17">
                  <c:v>43.255099999999999</c:v>
                </c:pt>
                <c:pt idx="18">
                  <c:v>42.714200000000005</c:v>
                </c:pt>
                <c:pt idx="19">
                  <c:v>42.106200000000001</c:v>
                </c:pt>
                <c:pt idx="20">
                  <c:v>40.983799999999995</c:v>
                </c:pt>
                <c:pt idx="21">
                  <c:v>40.846600000000002</c:v>
                </c:pt>
                <c:pt idx="22">
                  <c:v>40.0092</c:v>
                </c:pt>
                <c:pt idx="23">
                  <c:v>39.930700000000002</c:v>
                </c:pt>
                <c:pt idx="24">
                  <c:v>39.817399999999999</c:v>
                </c:pt>
                <c:pt idx="25">
                  <c:v>39.898000000000003</c:v>
                </c:pt>
                <c:pt idx="26">
                  <c:v>39.846599999999995</c:v>
                </c:pt>
                <c:pt idx="27">
                  <c:v>39.823399999999999</c:v>
                </c:pt>
                <c:pt idx="28">
                  <c:v>39.722799999999999</c:v>
                </c:pt>
                <c:pt idx="29">
                  <c:v>39.721699999999998</c:v>
                </c:pt>
                <c:pt idx="30">
                  <c:v>39.641500000000001</c:v>
                </c:pt>
                <c:pt idx="31">
                  <c:v>39.515799999999999</c:v>
                </c:pt>
                <c:pt idx="32">
                  <c:v>39.358900000000006</c:v>
                </c:pt>
                <c:pt idx="33">
                  <c:v>39.181800000000003</c:v>
                </c:pt>
                <c:pt idx="34">
                  <c:v>38.966799999999999</c:v>
                </c:pt>
                <c:pt idx="35">
                  <c:v>38.759500000000003</c:v>
                </c:pt>
                <c:pt idx="36">
                  <c:v>38.545699999999997</c:v>
                </c:pt>
                <c:pt idx="37">
                  <c:v>38.352399999999996</c:v>
                </c:pt>
                <c:pt idx="38">
                  <c:v>38.113599999999998</c:v>
                </c:pt>
                <c:pt idx="39">
                  <c:v>37.903399999999998</c:v>
                </c:pt>
                <c:pt idx="40">
                  <c:v>37.707700000000003</c:v>
                </c:pt>
                <c:pt idx="41">
                  <c:v>37.5745</c:v>
                </c:pt>
                <c:pt idx="42">
                  <c:v>37.488</c:v>
                </c:pt>
                <c:pt idx="43">
                  <c:v>37.415599999999998</c:v>
                </c:pt>
                <c:pt idx="44">
                  <c:v>37.310200000000002</c:v>
                </c:pt>
                <c:pt idx="45">
                  <c:v>37.169999999999995</c:v>
                </c:pt>
                <c:pt idx="46">
                  <c:v>36.9876</c:v>
                </c:pt>
                <c:pt idx="47">
                  <c:v>36.846000000000004</c:v>
                </c:pt>
                <c:pt idx="48">
                  <c:v>36.675799999999995</c:v>
                </c:pt>
                <c:pt idx="49">
                  <c:v>36.453200000000002</c:v>
                </c:pt>
                <c:pt idx="50">
                  <c:v>36.1736</c:v>
                </c:pt>
                <c:pt idx="51">
                  <c:v>35.857599999999998</c:v>
                </c:pt>
                <c:pt idx="52">
                  <c:v>35.656700000000001</c:v>
                </c:pt>
                <c:pt idx="53">
                  <c:v>35.521900000000002</c:v>
                </c:pt>
                <c:pt idx="54">
                  <c:v>35.393900000000002</c:v>
                </c:pt>
                <c:pt idx="55">
                  <c:v>35.249399999999994</c:v>
                </c:pt>
                <c:pt idx="56">
                  <c:v>35.109200000000001</c:v>
                </c:pt>
                <c:pt idx="57">
                  <c:v>34.918900000000001</c:v>
                </c:pt>
                <c:pt idx="58">
                  <c:v>34.7027</c:v>
                </c:pt>
                <c:pt idx="59">
                  <c:v>34.4407</c:v>
                </c:pt>
                <c:pt idx="60">
                  <c:v>34.224600000000002</c:v>
                </c:pt>
                <c:pt idx="61">
                  <c:v>34.003299999999996</c:v>
                </c:pt>
                <c:pt idx="62">
                  <c:v>33.759699999999995</c:v>
                </c:pt>
                <c:pt idx="63">
                  <c:v>33.4895</c:v>
                </c:pt>
                <c:pt idx="64">
                  <c:v>33.251599999999996</c:v>
                </c:pt>
                <c:pt idx="65">
                  <c:v>33.009699999999995</c:v>
                </c:pt>
                <c:pt idx="66">
                  <c:v>32.953500000000005</c:v>
                </c:pt>
                <c:pt idx="67">
                  <c:v>32.851300000000002</c:v>
                </c:pt>
                <c:pt idx="68">
                  <c:v>32.552799999999998</c:v>
                </c:pt>
                <c:pt idx="69">
                  <c:v>32.457999999999998</c:v>
                </c:pt>
                <c:pt idx="70">
                  <c:v>32.414000000000001</c:v>
                </c:pt>
                <c:pt idx="71">
                  <c:v>32.130700000000004</c:v>
                </c:pt>
                <c:pt idx="72">
                  <c:v>31.790200000000002</c:v>
                </c:pt>
                <c:pt idx="73">
                  <c:v>31.918999999999997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0.39462599999999998</c:v>
                </c:pt>
                <c:pt idx="2">
                  <c:v>0.79693599999999998</c:v>
                </c:pt>
                <c:pt idx="3">
                  <c:v>1.2098599999999999</c:v>
                </c:pt>
                <c:pt idx="4">
                  <c:v>1.61541</c:v>
                </c:pt>
                <c:pt idx="5">
                  <c:v>2.0183200000000001</c:v>
                </c:pt>
                <c:pt idx="6">
                  <c:v>2.4243100000000002</c:v>
                </c:pt>
                <c:pt idx="7">
                  <c:v>2.8323499999999999</c:v>
                </c:pt>
                <c:pt idx="8">
                  <c:v>3.2401300000000002</c:v>
                </c:pt>
                <c:pt idx="9">
                  <c:v>3.6469499999999999</c:v>
                </c:pt>
                <c:pt idx="10">
                  <c:v>4.0508699999999997</c:v>
                </c:pt>
                <c:pt idx="11">
                  <c:v>4.4591099999999999</c:v>
                </c:pt>
                <c:pt idx="12">
                  <c:v>4.8629800000000003</c:v>
                </c:pt>
                <c:pt idx="13">
                  <c:v>5.2695999999999996</c:v>
                </c:pt>
                <c:pt idx="14">
                  <c:v>5.6775900000000004</c:v>
                </c:pt>
                <c:pt idx="15">
                  <c:v>6.0825800000000001</c:v>
                </c:pt>
                <c:pt idx="16">
                  <c:v>6.4893700000000001</c:v>
                </c:pt>
                <c:pt idx="17">
                  <c:v>6.8944999999999999</c:v>
                </c:pt>
                <c:pt idx="18">
                  <c:v>7.3011600000000003</c:v>
                </c:pt>
                <c:pt idx="19">
                  <c:v>7.7093600000000002</c:v>
                </c:pt>
                <c:pt idx="20">
                  <c:v>8.11599</c:v>
                </c:pt>
                <c:pt idx="21">
                  <c:v>8.5199300000000004</c:v>
                </c:pt>
                <c:pt idx="22">
                  <c:v>8.9272799999999997</c:v>
                </c:pt>
                <c:pt idx="23">
                  <c:v>9.3328100000000003</c:v>
                </c:pt>
                <c:pt idx="24">
                  <c:v>9.7395999999999994</c:v>
                </c:pt>
                <c:pt idx="25">
                  <c:v>10.1456</c:v>
                </c:pt>
                <c:pt idx="26">
                  <c:v>10.548500000000001</c:v>
                </c:pt>
                <c:pt idx="27">
                  <c:v>10.955399999999999</c:v>
                </c:pt>
                <c:pt idx="28">
                  <c:v>11.3635</c:v>
                </c:pt>
                <c:pt idx="29">
                  <c:v>11.770300000000001</c:v>
                </c:pt>
                <c:pt idx="30">
                  <c:v>12.177099999999999</c:v>
                </c:pt>
                <c:pt idx="31">
                  <c:v>12.5831</c:v>
                </c:pt>
                <c:pt idx="32">
                  <c:v>12.986000000000001</c:v>
                </c:pt>
                <c:pt idx="33">
                  <c:v>13.391</c:v>
                </c:pt>
                <c:pt idx="34">
                  <c:v>13.7988</c:v>
                </c:pt>
                <c:pt idx="35">
                  <c:v>14.206899999999999</c:v>
                </c:pt>
                <c:pt idx="36">
                  <c:v>14.6128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64.550300000000007</c:v>
                </c:pt>
                <c:pt idx="1">
                  <c:v>63.345700000000008</c:v>
                </c:pt>
                <c:pt idx="2">
                  <c:v>62.095599999999997</c:v>
                </c:pt>
                <c:pt idx="3">
                  <c:v>60.626500000000007</c:v>
                </c:pt>
                <c:pt idx="4">
                  <c:v>59.143100000000004</c:v>
                </c:pt>
                <c:pt idx="5">
                  <c:v>57.5276</c:v>
                </c:pt>
                <c:pt idx="6">
                  <c:v>56.013400000000004</c:v>
                </c:pt>
                <c:pt idx="7">
                  <c:v>54.328800000000001</c:v>
                </c:pt>
                <c:pt idx="8">
                  <c:v>52.598500000000001</c:v>
                </c:pt>
                <c:pt idx="9">
                  <c:v>50.908900000000003</c:v>
                </c:pt>
                <c:pt idx="10">
                  <c:v>49.335599999999999</c:v>
                </c:pt>
                <c:pt idx="11">
                  <c:v>47.824600000000004</c:v>
                </c:pt>
                <c:pt idx="12">
                  <c:v>46.6387</c:v>
                </c:pt>
                <c:pt idx="13">
                  <c:v>45.605600000000003</c:v>
                </c:pt>
                <c:pt idx="14">
                  <c:v>44.731900000000003</c:v>
                </c:pt>
                <c:pt idx="15">
                  <c:v>43.963299999999997</c:v>
                </c:pt>
                <c:pt idx="16">
                  <c:v>43.800699999999999</c:v>
                </c:pt>
                <c:pt idx="17">
                  <c:v>43.255099999999999</c:v>
                </c:pt>
                <c:pt idx="18">
                  <c:v>42.714200000000005</c:v>
                </c:pt>
                <c:pt idx="19">
                  <c:v>42.106200000000001</c:v>
                </c:pt>
                <c:pt idx="20">
                  <c:v>40.983799999999995</c:v>
                </c:pt>
                <c:pt idx="21">
                  <c:v>40.846600000000002</c:v>
                </c:pt>
                <c:pt idx="22">
                  <c:v>40.0092</c:v>
                </c:pt>
                <c:pt idx="23">
                  <c:v>39.930700000000002</c:v>
                </c:pt>
                <c:pt idx="24">
                  <c:v>39.817399999999999</c:v>
                </c:pt>
                <c:pt idx="25">
                  <c:v>39.898000000000003</c:v>
                </c:pt>
                <c:pt idx="26">
                  <c:v>39.846599999999995</c:v>
                </c:pt>
                <c:pt idx="27">
                  <c:v>39.823399999999999</c:v>
                </c:pt>
                <c:pt idx="28">
                  <c:v>39.722799999999999</c:v>
                </c:pt>
                <c:pt idx="29">
                  <c:v>39.721699999999998</c:v>
                </c:pt>
                <c:pt idx="30">
                  <c:v>39.641500000000001</c:v>
                </c:pt>
                <c:pt idx="31">
                  <c:v>39.515799999999999</c:v>
                </c:pt>
                <c:pt idx="32">
                  <c:v>39.358900000000006</c:v>
                </c:pt>
                <c:pt idx="33">
                  <c:v>39.181800000000003</c:v>
                </c:pt>
                <c:pt idx="34">
                  <c:v>38.966799999999999</c:v>
                </c:pt>
                <c:pt idx="35">
                  <c:v>38.759500000000003</c:v>
                </c:pt>
                <c:pt idx="36">
                  <c:v>38.545699999999997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14.6128</c:v>
                </c:pt>
                <c:pt idx="1">
                  <c:v>15.0174</c:v>
                </c:pt>
                <c:pt idx="2">
                  <c:v>15.5861</c:v>
                </c:pt>
                <c:pt idx="3">
                  <c:v>15.9557</c:v>
                </c:pt>
                <c:pt idx="4">
                  <c:v>16.331</c:v>
                </c:pt>
                <c:pt idx="5">
                  <c:v>16.713200000000001</c:v>
                </c:pt>
                <c:pt idx="6">
                  <c:v>17.112200000000001</c:v>
                </c:pt>
                <c:pt idx="7">
                  <c:v>17.520900000000001</c:v>
                </c:pt>
                <c:pt idx="8">
                  <c:v>17.924700000000001</c:v>
                </c:pt>
                <c:pt idx="9">
                  <c:v>18.328700000000001</c:v>
                </c:pt>
                <c:pt idx="10">
                  <c:v>18.7377</c:v>
                </c:pt>
                <c:pt idx="11">
                  <c:v>19.1465</c:v>
                </c:pt>
                <c:pt idx="12">
                  <c:v>19.5535</c:v>
                </c:pt>
                <c:pt idx="13">
                  <c:v>19.959599999999998</c:v>
                </c:pt>
                <c:pt idx="14">
                  <c:v>20.3614</c:v>
                </c:pt>
                <c:pt idx="15">
                  <c:v>20.775300000000001</c:v>
                </c:pt>
                <c:pt idx="16">
                  <c:v>21.179099999999998</c:v>
                </c:pt>
                <c:pt idx="17">
                  <c:v>21.585100000000001</c:v>
                </c:pt>
                <c:pt idx="18">
                  <c:v>21.988900000000001</c:v>
                </c:pt>
                <c:pt idx="19">
                  <c:v>22.395199999999999</c:v>
                </c:pt>
                <c:pt idx="20">
                  <c:v>22.7989</c:v>
                </c:pt>
                <c:pt idx="21">
                  <c:v>23.204699999999999</c:v>
                </c:pt>
                <c:pt idx="22">
                  <c:v>23.618600000000001</c:v>
                </c:pt>
                <c:pt idx="23">
                  <c:v>24.022600000000001</c:v>
                </c:pt>
                <c:pt idx="24">
                  <c:v>24.4255</c:v>
                </c:pt>
                <c:pt idx="25">
                  <c:v>24.831800000000001</c:v>
                </c:pt>
                <c:pt idx="26">
                  <c:v>25.2392</c:v>
                </c:pt>
                <c:pt idx="27">
                  <c:v>25.642399999999999</c:v>
                </c:pt>
                <c:pt idx="28">
                  <c:v>26.048999999999999</c:v>
                </c:pt>
                <c:pt idx="29">
                  <c:v>26.456900000000001</c:v>
                </c:pt>
                <c:pt idx="30">
                  <c:v>26.863</c:v>
                </c:pt>
                <c:pt idx="31">
                  <c:v>27.267700000000001</c:v>
                </c:pt>
                <c:pt idx="32">
                  <c:v>27.676300000000001</c:v>
                </c:pt>
                <c:pt idx="33">
                  <c:v>28.081499999999998</c:v>
                </c:pt>
                <c:pt idx="34">
                  <c:v>28.490500000000001</c:v>
                </c:pt>
                <c:pt idx="35">
                  <c:v>28.8964</c:v>
                </c:pt>
                <c:pt idx="36">
                  <c:v>29.3003</c:v>
                </c:pt>
                <c:pt idx="37">
                  <c:v>29.708500000000001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38.545699999999997</c:v>
                </c:pt>
                <c:pt idx="1">
                  <c:v>38.352399999999996</c:v>
                </c:pt>
                <c:pt idx="2">
                  <c:v>38.113599999999998</c:v>
                </c:pt>
                <c:pt idx="3">
                  <c:v>37.903399999999998</c:v>
                </c:pt>
                <c:pt idx="4">
                  <c:v>37.707700000000003</c:v>
                </c:pt>
                <c:pt idx="5">
                  <c:v>37.5745</c:v>
                </c:pt>
                <c:pt idx="6">
                  <c:v>37.488</c:v>
                </c:pt>
                <c:pt idx="7">
                  <c:v>37.415599999999998</c:v>
                </c:pt>
                <c:pt idx="8">
                  <c:v>37.310200000000002</c:v>
                </c:pt>
                <c:pt idx="9">
                  <c:v>37.169999999999995</c:v>
                </c:pt>
                <c:pt idx="10">
                  <c:v>36.9876</c:v>
                </c:pt>
                <c:pt idx="11">
                  <c:v>36.846000000000004</c:v>
                </c:pt>
                <c:pt idx="12">
                  <c:v>36.675799999999995</c:v>
                </c:pt>
                <c:pt idx="13">
                  <c:v>36.453200000000002</c:v>
                </c:pt>
                <c:pt idx="14">
                  <c:v>36.1736</c:v>
                </c:pt>
                <c:pt idx="15">
                  <c:v>35.857599999999998</c:v>
                </c:pt>
                <c:pt idx="16">
                  <c:v>35.656700000000001</c:v>
                </c:pt>
                <c:pt idx="17">
                  <c:v>35.521900000000002</c:v>
                </c:pt>
                <c:pt idx="18">
                  <c:v>35.393900000000002</c:v>
                </c:pt>
                <c:pt idx="19">
                  <c:v>35.249399999999994</c:v>
                </c:pt>
                <c:pt idx="20">
                  <c:v>35.109200000000001</c:v>
                </c:pt>
                <c:pt idx="21">
                  <c:v>34.918900000000001</c:v>
                </c:pt>
                <c:pt idx="22">
                  <c:v>34.7027</c:v>
                </c:pt>
                <c:pt idx="23">
                  <c:v>34.4407</c:v>
                </c:pt>
                <c:pt idx="24">
                  <c:v>34.224600000000002</c:v>
                </c:pt>
                <c:pt idx="25">
                  <c:v>34.003299999999996</c:v>
                </c:pt>
                <c:pt idx="26">
                  <c:v>33.759699999999995</c:v>
                </c:pt>
                <c:pt idx="27">
                  <c:v>33.4895</c:v>
                </c:pt>
                <c:pt idx="28">
                  <c:v>33.251599999999996</c:v>
                </c:pt>
                <c:pt idx="29">
                  <c:v>33.009699999999995</c:v>
                </c:pt>
                <c:pt idx="30">
                  <c:v>32.953500000000005</c:v>
                </c:pt>
                <c:pt idx="31">
                  <c:v>32.851300000000002</c:v>
                </c:pt>
                <c:pt idx="32">
                  <c:v>32.552799999999998</c:v>
                </c:pt>
                <c:pt idx="33">
                  <c:v>32.457999999999998</c:v>
                </c:pt>
                <c:pt idx="34">
                  <c:v>32.414000000000001</c:v>
                </c:pt>
                <c:pt idx="35">
                  <c:v>32.130700000000004</c:v>
                </c:pt>
                <c:pt idx="36">
                  <c:v>31.790200000000002</c:v>
                </c:pt>
                <c:pt idx="37">
                  <c:v>31.918999999999997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7.4271250000000002</c:v>
                </c:pt>
                <c:pt idx="1">
                  <c:v>22.281375000000001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46.099581081081098</c:v>
                </c:pt>
                <c:pt idx="1">
                  <c:v>35.130554054054052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25.749500000000001</c:v>
                </c:pt>
                <c:pt idx="1">
                  <c:v>29.848400000000002</c:v>
                </c:pt>
                <c:pt idx="2">
                  <c:v>25.7651</c:v>
                </c:pt>
                <c:pt idx="3">
                  <c:v>26.811399999999999</c:v>
                </c:pt>
                <c:pt idx="4">
                  <c:v>64.852599999999995</c:v>
                </c:pt>
                <c:pt idx="5">
                  <c:v>73.849000000000004</c:v>
                </c:pt>
                <c:pt idx="6">
                  <c:v>12.1661</c:v>
                </c:pt>
                <c:pt idx="7">
                  <c:v>66.523200000000003</c:v>
                </c:pt>
                <c:pt idx="8">
                  <c:v>19.366800000000001</c:v>
                </c:pt>
                <c:pt idx="9">
                  <c:v>36.288499999999999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44.8872</c:v>
                </c:pt>
                <c:pt idx="1">
                  <c:v>26.457599999999999</c:v>
                </c:pt>
                <c:pt idx="2">
                  <c:v>21.592199999999998</c:v>
                </c:pt>
                <c:pt idx="3">
                  <c:v>31.215900000000001</c:v>
                </c:pt>
                <c:pt idx="4">
                  <c:v>59.881799999999998</c:v>
                </c:pt>
                <c:pt idx="5">
                  <c:v>74.1434</c:v>
                </c:pt>
                <c:pt idx="6">
                  <c:v>27.017099999999999</c:v>
                </c:pt>
                <c:pt idx="7">
                  <c:v>67.157899999999998</c:v>
                </c:pt>
                <c:pt idx="8">
                  <c:v>20.6052</c:v>
                </c:pt>
                <c:pt idx="9">
                  <c:v>15.783799999999999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0.49760332396453999</c:v>
                </c:pt>
                <c:pt idx="1">
                  <c:v>0.24760898918892069</c:v>
                </c:pt>
                <c:pt idx="2">
                  <c:v>0.25478768684653924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2517</c:v>
                </c:pt>
                <c:pt idx="7">
                  <c:v>0</c:v>
                </c:pt>
                <c:pt idx="8">
                  <c:v>4167</c:v>
                </c:pt>
                <c:pt idx="9">
                  <c:v>0</c:v>
                </c:pt>
                <c:pt idx="10">
                  <c:v>0</c:v>
                </c:pt>
                <c:pt idx="11">
                  <c:v>7743</c:v>
                </c:pt>
                <c:pt idx="12">
                  <c:v>0</c:v>
                </c:pt>
                <c:pt idx="13">
                  <c:v>10021</c:v>
                </c:pt>
                <c:pt idx="14">
                  <c:v>0</c:v>
                </c:pt>
                <c:pt idx="15">
                  <c:v>0</c:v>
                </c:pt>
                <c:pt idx="16">
                  <c:v>14464</c:v>
                </c:pt>
                <c:pt idx="17">
                  <c:v>0</c:v>
                </c:pt>
                <c:pt idx="18">
                  <c:v>0</c:v>
                </c:pt>
                <c:pt idx="19">
                  <c:v>18401</c:v>
                </c:pt>
                <c:pt idx="20">
                  <c:v>0</c:v>
                </c:pt>
                <c:pt idx="21">
                  <c:v>18770</c:v>
                </c:pt>
                <c:pt idx="22">
                  <c:v>0</c:v>
                </c:pt>
                <c:pt idx="23">
                  <c:v>0</c:v>
                </c:pt>
                <c:pt idx="24">
                  <c:v>26010</c:v>
                </c:pt>
                <c:pt idx="25">
                  <c:v>0</c:v>
                </c:pt>
                <c:pt idx="26">
                  <c:v>27189</c:v>
                </c:pt>
                <c:pt idx="27">
                  <c:v>0</c:v>
                </c:pt>
                <c:pt idx="28">
                  <c:v>0</c:v>
                </c:pt>
                <c:pt idx="29">
                  <c:v>32292</c:v>
                </c:pt>
                <c:pt idx="30">
                  <c:v>0</c:v>
                </c:pt>
                <c:pt idx="31">
                  <c:v>33730</c:v>
                </c:pt>
                <c:pt idx="32">
                  <c:v>0</c:v>
                </c:pt>
                <c:pt idx="33">
                  <c:v>0</c:v>
                </c:pt>
                <c:pt idx="34">
                  <c:v>31602</c:v>
                </c:pt>
                <c:pt idx="35">
                  <c:v>0</c:v>
                </c:pt>
                <c:pt idx="36">
                  <c:v>0</c:v>
                </c:pt>
                <c:pt idx="37">
                  <c:v>28858</c:v>
                </c:pt>
                <c:pt idx="38">
                  <c:v>0</c:v>
                </c:pt>
                <c:pt idx="39">
                  <c:v>29397</c:v>
                </c:pt>
                <c:pt idx="40">
                  <c:v>0</c:v>
                </c:pt>
                <c:pt idx="41">
                  <c:v>0</c:v>
                </c:pt>
                <c:pt idx="42">
                  <c:v>30903</c:v>
                </c:pt>
                <c:pt idx="43">
                  <c:v>0</c:v>
                </c:pt>
                <c:pt idx="44">
                  <c:v>33767</c:v>
                </c:pt>
                <c:pt idx="45">
                  <c:v>0</c:v>
                </c:pt>
                <c:pt idx="46">
                  <c:v>0</c:v>
                </c:pt>
                <c:pt idx="47">
                  <c:v>33617</c:v>
                </c:pt>
                <c:pt idx="48">
                  <c:v>0</c:v>
                </c:pt>
                <c:pt idx="49">
                  <c:v>34194</c:v>
                </c:pt>
                <c:pt idx="50">
                  <c:v>0</c:v>
                </c:pt>
                <c:pt idx="51">
                  <c:v>0</c:v>
                </c:pt>
                <c:pt idx="52">
                  <c:v>26088</c:v>
                </c:pt>
                <c:pt idx="53">
                  <c:v>0</c:v>
                </c:pt>
                <c:pt idx="54">
                  <c:v>0</c:v>
                </c:pt>
                <c:pt idx="55">
                  <c:v>25454</c:v>
                </c:pt>
                <c:pt idx="56">
                  <c:v>0</c:v>
                </c:pt>
                <c:pt idx="57">
                  <c:v>22440</c:v>
                </c:pt>
                <c:pt idx="58">
                  <c:v>0</c:v>
                </c:pt>
                <c:pt idx="59">
                  <c:v>0</c:v>
                </c:pt>
                <c:pt idx="60">
                  <c:v>22131</c:v>
                </c:pt>
                <c:pt idx="61">
                  <c:v>0</c:v>
                </c:pt>
                <c:pt idx="62">
                  <c:v>20862</c:v>
                </c:pt>
                <c:pt idx="63">
                  <c:v>0</c:v>
                </c:pt>
                <c:pt idx="64">
                  <c:v>0</c:v>
                </c:pt>
                <c:pt idx="65">
                  <c:v>21454</c:v>
                </c:pt>
                <c:pt idx="66">
                  <c:v>0</c:v>
                </c:pt>
                <c:pt idx="67">
                  <c:v>21024</c:v>
                </c:pt>
                <c:pt idx="68">
                  <c:v>0</c:v>
                </c:pt>
                <c:pt idx="69">
                  <c:v>0</c:v>
                </c:pt>
                <c:pt idx="70">
                  <c:v>19626</c:v>
                </c:pt>
                <c:pt idx="71">
                  <c:v>0</c:v>
                </c:pt>
                <c:pt idx="72">
                  <c:v>0</c:v>
                </c:pt>
                <c:pt idx="73">
                  <c:v>21226</c:v>
                </c:pt>
                <c:pt idx="74">
                  <c:v>0</c:v>
                </c:pt>
                <c:pt idx="75">
                  <c:v>20383</c:v>
                </c:pt>
                <c:pt idx="76">
                  <c:v>0</c:v>
                </c:pt>
                <c:pt idx="77">
                  <c:v>0</c:v>
                </c:pt>
                <c:pt idx="78">
                  <c:v>20471</c:v>
                </c:pt>
                <c:pt idx="79">
                  <c:v>0</c:v>
                </c:pt>
                <c:pt idx="80">
                  <c:v>21715</c:v>
                </c:pt>
                <c:pt idx="81">
                  <c:v>0</c:v>
                </c:pt>
                <c:pt idx="82">
                  <c:v>0</c:v>
                </c:pt>
                <c:pt idx="83">
                  <c:v>20304</c:v>
                </c:pt>
                <c:pt idx="84">
                  <c:v>0</c:v>
                </c:pt>
                <c:pt idx="85">
                  <c:v>0</c:v>
                </c:pt>
                <c:pt idx="86">
                  <c:v>20749</c:v>
                </c:pt>
                <c:pt idx="87">
                  <c:v>0</c:v>
                </c:pt>
                <c:pt idx="88">
                  <c:v>19871</c:v>
                </c:pt>
                <c:pt idx="89">
                  <c:v>0</c:v>
                </c:pt>
                <c:pt idx="90">
                  <c:v>0</c:v>
                </c:pt>
                <c:pt idx="91">
                  <c:v>18459</c:v>
                </c:pt>
                <c:pt idx="92">
                  <c:v>0</c:v>
                </c:pt>
                <c:pt idx="93">
                  <c:v>18439</c:v>
                </c:pt>
                <c:pt idx="94">
                  <c:v>0</c:v>
                </c:pt>
                <c:pt idx="95">
                  <c:v>0</c:v>
                </c:pt>
                <c:pt idx="96">
                  <c:v>18490</c:v>
                </c:pt>
                <c:pt idx="97">
                  <c:v>0</c:v>
                </c:pt>
                <c:pt idx="98">
                  <c:v>18002</c:v>
                </c:pt>
                <c:pt idx="99">
                  <c:v>0</c:v>
                </c:pt>
                <c:pt idx="100">
                  <c:v>0</c:v>
                </c:pt>
                <c:pt idx="101">
                  <c:v>18652</c:v>
                </c:pt>
                <c:pt idx="102">
                  <c:v>0</c:v>
                </c:pt>
                <c:pt idx="103">
                  <c:v>0</c:v>
                </c:pt>
                <c:pt idx="104">
                  <c:v>16735</c:v>
                </c:pt>
                <c:pt idx="105">
                  <c:v>0</c:v>
                </c:pt>
                <c:pt idx="106">
                  <c:v>15745</c:v>
                </c:pt>
                <c:pt idx="107">
                  <c:v>0</c:v>
                </c:pt>
                <c:pt idx="108">
                  <c:v>0</c:v>
                </c:pt>
                <c:pt idx="109">
                  <c:v>15261</c:v>
                </c:pt>
                <c:pt idx="110">
                  <c:v>0</c:v>
                </c:pt>
                <c:pt idx="111">
                  <c:v>14253</c:v>
                </c:pt>
                <c:pt idx="112">
                  <c:v>0</c:v>
                </c:pt>
                <c:pt idx="113">
                  <c:v>0</c:v>
                </c:pt>
                <c:pt idx="114">
                  <c:v>10618</c:v>
                </c:pt>
                <c:pt idx="115">
                  <c:v>0</c:v>
                </c:pt>
                <c:pt idx="116">
                  <c:v>8780</c:v>
                </c:pt>
                <c:pt idx="117">
                  <c:v>0</c:v>
                </c:pt>
                <c:pt idx="118">
                  <c:v>0</c:v>
                </c:pt>
                <c:pt idx="119">
                  <c:v>7241</c:v>
                </c:pt>
                <c:pt idx="120">
                  <c:v>0</c:v>
                </c:pt>
                <c:pt idx="121">
                  <c:v>0</c:v>
                </c:pt>
                <c:pt idx="122">
                  <c:v>5311</c:v>
                </c:pt>
                <c:pt idx="123">
                  <c:v>0</c:v>
                </c:pt>
                <c:pt idx="124">
                  <c:v>4389</c:v>
                </c:pt>
                <c:pt idx="125">
                  <c:v>0</c:v>
                </c:pt>
                <c:pt idx="126">
                  <c:v>0</c:v>
                </c:pt>
                <c:pt idx="127">
                  <c:v>3586</c:v>
                </c:pt>
                <c:pt idx="128">
                  <c:v>0</c:v>
                </c:pt>
                <c:pt idx="129">
                  <c:v>3294</c:v>
                </c:pt>
                <c:pt idx="130">
                  <c:v>0</c:v>
                </c:pt>
                <c:pt idx="131">
                  <c:v>0</c:v>
                </c:pt>
                <c:pt idx="132">
                  <c:v>2919</c:v>
                </c:pt>
                <c:pt idx="133">
                  <c:v>0</c:v>
                </c:pt>
                <c:pt idx="134">
                  <c:v>2092</c:v>
                </c:pt>
                <c:pt idx="135">
                  <c:v>0</c:v>
                </c:pt>
                <c:pt idx="136">
                  <c:v>0</c:v>
                </c:pt>
                <c:pt idx="137">
                  <c:v>1852</c:v>
                </c:pt>
                <c:pt idx="138">
                  <c:v>0</c:v>
                </c:pt>
                <c:pt idx="139">
                  <c:v>0</c:v>
                </c:pt>
                <c:pt idx="140">
                  <c:v>1375</c:v>
                </c:pt>
                <c:pt idx="141">
                  <c:v>0</c:v>
                </c:pt>
                <c:pt idx="142">
                  <c:v>746</c:v>
                </c:pt>
                <c:pt idx="143">
                  <c:v>0</c:v>
                </c:pt>
                <c:pt idx="144">
                  <c:v>0</c:v>
                </c:pt>
                <c:pt idx="145">
                  <c:v>439</c:v>
                </c:pt>
                <c:pt idx="146">
                  <c:v>0</c:v>
                </c:pt>
                <c:pt idx="147">
                  <c:v>240</c:v>
                </c:pt>
                <c:pt idx="148">
                  <c:v>0</c:v>
                </c:pt>
                <c:pt idx="149">
                  <c:v>0</c:v>
                </c:pt>
                <c:pt idx="150">
                  <c:v>102</c:v>
                </c:pt>
                <c:pt idx="151">
                  <c:v>0</c:v>
                </c:pt>
                <c:pt idx="152">
                  <c:v>156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1178</c:v>
                </c:pt>
                <c:pt idx="7">
                  <c:v>0</c:v>
                </c:pt>
                <c:pt idx="8">
                  <c:v>1494</c:v>
                </c:pt>
                <c:pt idx="9">
                  <c:v>0</c:v>
                </c:pt>
                <c:pt idx="10">
                  <c:v>0</c:v>
                </c:pt>
                <c:pt idx="11">
                  <c:v>3340</c:v>
                </c:pt>
                <c:pt idx="12">
                  <c:v>0</c:v>
                </c:pt>
                <c:pt idx="13">
                  <c:v>2864</c:v>
                </c:pt>
                <c:pt idx="14">
                  <c:v>0</c:v>
                </c:pt>
                <c:pt idx="15">
                  <c:v>0</c:v>
                </c:pt>
                <c:pt idx="16">
                  <c:v>2936</c:v>
                </c:pt>
                <c:pt idx="17">
                  <c:v>0</c:v>
                </c:pt>
                <c:pt idx="18">
                  <c:v>0</c:v>
                </c:pt>
                <c:pt idx="19">
                  <c:v>2924</c:v>
                </c:pt>
                <c:pt idx="20">
                  <c:v>0</c:v>
                </c:pt>
                <c:pt idx="21">
                  <c:v>1469</c:v>
                </c:pt>
                <c:pt idx="22">
                  <c:v>0</c:v>
                </c:pt>
                <c:pt idx="23">
                  <c:v>0</c:v>
                </c:pt>
                <c:pt idx="24">
                  <c:v>3295</c:v>
                </c:pt>
                <c:pt idx="25">
                  <c:v>0</c:v>
                </c:pt>
                <c:pt idx="26">
                  <c:v>4957</c:v>
                </c:pt>
                <c:pt idx="27">
                  <c:v>0</c:v>
                </c:pt>
                <c:pt idx="28">
                  <c:v>0</c:v>
                </c:pt>
                <c:pt idx="29">
                  <c:v>6466</c:v>
                </c:pt>
                <c:pt idx="30">
                  <c:v>0</c:v>
                </c:pt>
                <c:pt idx="31">
                  <c:v>6008</c:v>
                </c:pt>
                <c:pt idx="32">
                  <c:v>0</c:v>
                </c:pt>
                <c:pt idx="33">
                  <c:v>0</c:v>
                </c:pt>
                <c:pt idx="34">
                  <c:v>8456</c:v>
                </c:pt>
                <c:pt idx="35">
                  <c:v>0</c:v>
                </c:pt>
                <c:pt idx="36">
                  <c:v>0</c:v>
                </c:pt>
                <c:pt idx="37">
                  <c:v>10846</c:v>
                </c:pt>
                <c:pt idx="38">
                  <c:v>0</c:v>
                </c:pt>
                <c:pt idx="39">
                  <c:v>12989</c:v>
                </c:pt>
                <c:pt idx="40">
                  <c:v>0</c:v>
                </c:pt>
                <c:pt idx="41">
                  <c:v>0</c:v>
                </c:pt>
                <c:pt idx="42">
                  <c:v>15316</c:v>
                </c:pt>
                <c:pt idx="43">
                  <c:v>0</c:v>
                </c:pt>
                <c:pt idx="44">
                  <c:v>18085</c:v>
                </c:pt>
                <c:pt idx="45">
                  <c:v>0</c:v>
                </c:pt>
                <c:pt idx="46">
                  <c:v>0</c:v>
                </c:pt>
                <c:pt idx="47">
                  <c:v>16951</c:v>
                </c:pt>
                <c:pt idx="48">
                  <c:v>0</c:v>
                </c:pt>
                <c:pt idx="49">
                  <c:v>16971</c:v>
                </c:pt>
                <c:pt idx="50">
                  <c:v>0</c:v>
                </c:pt>
                <c:pt idx="51">
                  <c:v>0</c:v>
                </c:pt>
                <c:pt idx="52">
                  <c:v>16323</c:v>
                </c:pt>
                <c:pt idx="53">
                  <c:v>0</c:v>
                </c:pt>
                <c:pt idx="54">
                  <c:v>0</c:v>
                </c:pt>
                <c:pt idx="55">
                  <c:v>17835</c:v>
                </c:pt>
                <c:pt idx="56">
                  <c:v>0</c:v>
                </c:pt>
                <c:pt idx="57">
                  <c:v>16889</c:v>
                </c:pt>
                <c:pt idx="58">
                  <c:v>0</c:v>
                </c:pt>
                <c:pt idx="59">
                  <c:v>0</c:v>
                </c:pt>
                <c:pt idx="60">
                  <c:v>14149</c:v>
                </c:pt>
                <c:pt idx="61">
                  <c:v>0</c:v>
                </c:pt>
                <c:pt idx="62">
                  <c:v>14374</c:v>
                </c:pt>
                <c:pt idx="63">
                  <c:v>0</c:v>
                </c:pt>
                <c:pt idx="64">
                  <c:v>0</c:v>
                </c:pt>
                <c:pt idx="65">
                  <c:v>15688</c:v>
                </c:pt>
                <c:pt idx="66">
                  <c:v>0</c:v>
                </c:pt>
                <c:pt idx="67">
                  <c:v>19590</c:v>
                </c:pt>
                <c:pt idx="68">
                  <c:v>0</c:v>
                </c:pt>
                <c:pt idx="69">
                  <c:v>0</c:v>
                </c:pt>
                <c:pt idx="70">
                  <c:v>20691</c:v>
                </c:pt>
                <c:pt idx="71">
                  <c:v>0</c:v>
                </c:pt>
                <c:pt idx="72">
                  <c:v>0</c:v>
                </c:pt>
                <c:pt idx="73">
                  <c:v>20985</c:v>
                </c:pt>
                <c:pt idx="74">
                  <c:v>0</c:v>
                </c:pt>
                <c:pt idx="75">
                  <c:v>20804</c:v>
                </c:pt>
                <c:pt idx="76">
                  <c:v>0</c:v>
                </c:pt>
                <c:pt idx="77">
                  <c:v>0</c:v>
                </c:pt>
                <c:pt idx="78">
                  <c:v>25297</c:v>
                </c:pt>
                <c:pt idx="79">
                  <c:v>0</c:v>
                </c:pt>
                <c:pt idx="80">
                  <c:v>21912</c:v>
                </c:pt>
                <c:pt idx="81">
                  <c:v>0</c:v>
                </c:pt>
                <c:pt idx="82">
                  <c:v>0</c:v>
                </c:pt>
                <c:pt idx="83">
                  <c:v>26005</c:v>
                </c:pt>
                <c:pt idx="84">
                  <c:v>0</c:v>
                </c:pt>
                <c:pt idx="85">
                  <c:v>0</c:v>
                </c:pt>
                <c:pt idx="86">
                  <c:v>27632</c:v>
                </c:pt>
                <c:pt idx="87">
                  <c:v>0</c:v>
                </c:pt>
                <c:pt idx="88">
                  <c:v>35873</c:v>
                </c:pt>
                <c:pt idx="89">
                  <c:v>0</c:v>
                </c:pt>
                <c:pt idx="90">
                  <c:v>0</c:v>
                </c:pt>
                <c:pt idx="91">
                  <c:v>42611</c:v>
                </c:pt>
                <c:pt idx="92">
                  <c:v>0</c:v>
                </c:pt>
                <c:pt idx="93">
                  <c:v>47615</c:v>
                </c:pt>
                <c:pt idx="94">
                  <c:v>0</c:v>
                </c:pt>
                <c:pt idx="95">
                  <c:v>0</c:v>
                </c:pt>
                <c:pt idx="96">
                  <c:v>49971</c:v>
                </c:pt>
                <c:pt idx="97">
                  <c:v>0</c:v>
                </c:pt>
                <c:pt idx="98">
                  <c:v>53450</c:v>
                </c:pt>
                <c:pt idx="99">
                  <c:v>0</c:v>
                </c:pt>
                <c:pt idx="100">
                  <c:v>0</c:v>
                </c:pt>
                <c:pt idx="101">
                  <c:v>48769</c:v>
                </c:pt>
                <c:pt idx="102">
                  <c:v>0</c:v>
                </c:pt>
                <c:pt idx="103">
                  <c:v>0</c:v>
                </c:pt>
                <c:pt idx="104">
                  <c:v>50675</c:v>
                </c:pt>
                <c:pt idx="105">
                  <c:v>0</c:v>
                </c:pt>
                <c:pt idx="106">
                  <c:v>49869</c:v>
                </c:pt>
                <c:pt idx="107">
                  <c:v>0</c:v>
                </c:pt>
                <c:pt idx="108">
                  <c:v>0</c:v>
                </c:pt>
                <c:pt idx="109">
                  <c:v>50635</c:v>
                </c:pt>
                <c:pt idx="110">
                  <c:v>0</c:v>
                </c:pt>
                <c:pt idx="111">
                  <c:v>51551</c:v>
                </c:pt>
                <c:pt idx="112">
                  <c:v>0</c:v>
                </c:pt>
                <c:pt idx="113">
                  <c:v>0</c:v>
                </c:pt>
                <c:pt idx="114">
                  <c:v>50920</c:v>
                </c:pt>
                <c:pt idx="115">
                  <c:v>0</c:v>
                </c:pt>
                <c:pt idx="116">
                  <c:v>51114</c:v>
                </c:pt>
                <c:pt idx="117">
                  <c:v>0</c:v>
                </c:pt>
                <c:pt idx="118">
                  <c:v>0</c:v>
                </c:pt>
                <c:pt idx="119">
                  <c:v>49758</c:v>
                </c:pt>
                <c:pt idx="120">
                  <c:v>0</c:v>
                </c:pt>
                <c:pt idx="121">
                  <c:v>0</c:v>
                </c:pt>
                <c:pt idx="122">
                  <c:v>47512</c:v>
                </c:pt>
                <c:pt idx="123">
                  <c:v>0</c:v>
                </c:pt>
                <c:pt idx="124">
                  <c:v>51271</c:v>
                </c:pt>
                <c:pt idx="125">
                  <c:v>0</c:v>
                </c:pt>
                <c:pt idx="126">
                  <c:v>0</c:v>
                </c:pt>
                <c:pt idx="127">
                  <c:v>43708</c:v>
                </c:pt>
                <c:pt idx="128">
                  <c:v>0</c:v>
                </c:pt>
                <c:pt idx="129">
                  <c:v>35880</c:v>
                </c:pt>
                <c:pt idx="130">
                  <c:v>0</c:v>
                </c:pt>
                <c:pt idx="131">
                  <c:v>0</c:v>
                </c:pt>
                <c:pt idx="132">
                  <c:v>33595</c:v>
                </c:pt>
                <c:pt idx="133">
                  <c:v>0</c:v>
                </c:pt>
                <c:pt idx="134">
                  <c:v>30464</c:v>
                </c:pt>
                <c:pt idx="135">
                  <c:v>0</c:v>
                </c:pt>
                <c:pt idx="136">
                  <c:v>0</c:v>
                </c:pt>
                <c:pt idx="137">
                  <c:v>26452</c:v>
                </c:pt>
                <c:pt idx="138">
                  <c:v>0</c:v>
                </c:pt>
                <c:pt idx="139">
                  <c:v>0</c:v>
                </c:pt>
                <c:pt idx="140">
                  <c:v>22607</c:v>
                </c:pt>
                <c:pt idx="141">
                  <c:v>0</c:v>
                </c:pt>
                <c:pt idx="142">
                  <c:v>24061</c:v>
                </c:pt>
                <c:pt idx="143">
                  <c:v>0</c:v>
                </c:pt>
                <c:pt idx="144">
                  <c:v>0</c:v>
                </c:pt>
                <c:pt idx="145">
                  <c:v>23629</c:v>
                </c:pt>
                <c:pt idx="146">
                  <c:v>0</c:v>
                </c:pt>
                <c:pt idx="147">
                  <c:v>19706</c:v>
                </c:pt>
                <c:pt idx="148">
                  <c:v>0</c:v>
                </c:pt>
                <c:pt idx="149">
                  <c:v>0</c:v>
                </c:pt>
                <c:pt idx="150">
                  <c:v>16465</c:v>
                </c:pt>
                <c:pt idx="151">
                  <c:v>0</c:v>
                </c:pt>
                <c:pt idx="152">
                  <c:v>13848</c:v>
                </c:pt>
                <c:pt idx="153">
                  <c:v>0</c:v>
                </c:pt>
                <c:pt idx="154">
                  <c:v>0</c:v>
                </c:pt>
                <c:pt idx="155">
                  <c:v>10536</c:v>
                </c:pt>
                <c:pt idx="156">
                  <c:v>0</c:v>
                </c:pt>
                <c:pt idx="157">
                  <c:v>0</c:v>
                </c:pt>
                <c:pt idx="158">
                  <c:v>9278</c:v>
                </c:pt>
                <c:pt idx="159">
                  <c:v>0</c:v>
                </c:pt>
                <c:pt idx="160">
                  <c:v>6982</c:v>
                </c:pt>
                <c:pt idx="161">
                  <c:v>0</c:v>
                </c:pt>
                <c:pt idx="162">
                  <c:v>0</c:v>
                </c:pt>
                <c:pt idx="163">
                  <c:v>6787</c:v>
                </c:pt>
                <c:pt idx="164">
                  <c:v>0</c:v>
                </c:pt>
                <c:pt idx="165">
                  <c:v>5530</c:v>
                </c:pt>
                <c:pt idx="166">
                  <c:v>0</c:v>
                </c:pt>
                <c:pt idx="167">
                  <c:v>0</c:v>
                </c:pt>
                <c:pt idx="168">
                  <c:v>4431</c:v>
                </c:pt>
                <c:pt idx="169">
                  <c:v>0</c:v>
                </c:pt>
                <c:pt idx="170">
                  <c:v>0</c:v>
                </c:pt>
                <c:pt idx="171">
                  <c:v>3094</c:v>
                </c:pt>
                <c:pt idx="172">
                  <c:v>0</c:v>
                </c:pt>
                <c:pt idx="173">
                  <c:v>1758</c:v>
                </c:pt>
                <c:pt idx="174">
                  <c:v>0</c:v>
                </c:pt>
                <c:pt idx="175">
                  <c:v>0</c:v>
                </c:pt>
                <c:pt idx="176">
                  <c:v>461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0.31925486015469889</c:v>
                </c:pt>
                <c:pt idx="1">
                  <c:v>0.33889831737241022</c:v>
                </c:pt>
                <c:pt idx="2">
                  <c:v>0.34184682247289083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0.53677606742955297</c:v>
                </c:pt>
                <c:pt idx="1">
                  <c:v>0.29203438656922537</c:v>
                </c:pt>
                <c:pt idx="2">
                  <c:v>0.17118954600122174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7.6904274999999993</c:v>
                </c:pt>
                <c:pt idx="1">
                  <c:v>12.024627499999999</c:v>
                </c:pt>
                <c:pt idx="2">
                  <c:v>41.460839999999997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0.39462599999999998</c:v>
                </c:pt>
                <c:pt idx="2">
                  <c:v>0.79693599999999998</c:v>
                </c:pt>
                <c:pt idx="3">
                  <c:v>1.2098599999999999</c:v>
                </c:pt>
                <c:pt idx="4">
                  <c:v>1.61541</c:v>
                </c:pt>
                <c:pt idx="5">
                  <c:v>2.0183200000000001</c:v>
                </c:pt>
                <c:pt idx="6">
                  <c:v>2.4243100000000002</c:v>
                </c:pt>
                <c:pt idx="7">
                  <c:v>2.8323499999999999</c:v>
                </c:pt>
                <c:pt idx="8">
                  <c:v>3.2401300000000002</c:v>
                </c:pt>
                <c:pt idx="9">
                  <c:v>3.6469499999999999</c:v>
                </c:pt>
                <c:pt idx="10">
                  <c:v>4.0508699999999997</c:v>
                </c:pt>
                <c:pt idx="11">
                  <c:v>4.4591099999999999</c:v>
                </c:pt>
                <c:pt idx="12">
                  <c:v>4.8629800000000003</c:v>
                </c:pt>
                <c:pt idx="13">
                  <c:v>5.2695999999999996</c:v>
                </c:pt>
                <c:pt idx="14">
                  <c:v>5.6775900000000004</c:v>
                </c:pt>
                <c:pt idx="15">
                  <c:v>6.0825800000000001</c:v>
                </c:pt>
                <c:pt idx="16">
                  <c:v>6.4893700000000001</c:v>
                </c:pt>
                <c:pt idx="17">
                  <c:v>6.8944999999999999</c:v>
                </c:pt>
                <c:pt idx="18">
                  <c:v>7.3011600000000003</c:v>
                </c:pt>
                <c:pt idx="19">
                  <c:v>7.7093600000000002</c:v>
                </c:pt>
                <c:pt idx="20">
                  <c:v>8.11599</c:v>
                </c:pt>
                <c:pt idx="21">
                  <c:v>8.5199300000000004</c:v>
                </c:pt>
                <c:pt idx="22">
                  <c:v>8.9272799999999997</c:v>
                </c:pt>
                <c:pt idx="23">
                  <c:v>9.3328100000000003</c:v>
                </c:pt>
                <c:pt idx="24">
                  <c:v>9.7395999999999994</c:v>
                </c:pt>
                <c:pt idx="25">
                  <c:v>10.1456</c:v>
                </c:pt>
                <c:pt idx="26">
                  <c:v>10.548500000000001</c:v>
                </c:pt>
                <c:pt idx="27">
                  <c:v>10.955399999999999</c:v>
                </c:pt>
                <c:pt idx="28">
                  <c:v>11.3635</c:v>
                </c:pt>
                <c:pt idx="29">
                  <c:v>11.770300000000001</c:v>
                </c:pt>
                <c:pt idx="30">
                  <c:v>12.177099999999999</c:v>
                </c:pt>
                <c:pt idx="31">
                  <c:v>12.5831</c:v>
                </c:pt>
                <c:pt idx="32">
                  <c:v>12.986000000000001</c:v>
                </c:pt>
                <c:pt idx="33">
                  <c:v>13.391</c:v>
                </c:pt>
                <c:pt idx="34">
                  <c:v>13.7988</c:v>
                </c:pt>
                <c:pt idx="35">
                  <c:v>14.206899999999999</c:v>
                </c:pt>
                <c:pt idx="36">
                  <c:v>14.6128</c:v>
                </c:pt>
                <c:pt idx="37">
                  <c:v>15.0174</c:v>
                </c:pt>
                <c:pt idx="38">
                  <c:v>15.5861</c:v>
                </c:pt>
                <c:pt idx="39">
                  <c:v>15.9557</c:v>
                </c:pt>
                <c:pt idx="40">
                  <c:v>16.331</c:v>
                </c:pt>
                <c:pt idx="41">
                  <c:v>16.713200000000001</c:v>
                </c:pt>
                <c:pt idx="42">
                  <c:v>17.112200000000001</c:v>
                </c:pt>
                <c:pt idx="43">
                  <c:v>17.520900000000001</c:v>
                </c:pt>
                <c:pt idx="44">
                  <c:v>17.924700000000001</c:v>
                </c:pt>
                <c:pt idx="45">
                  <c:v>18.328700000000001</c:v>
                </c:pt>
                <c:pt idx="46">
                  <c:v>18.7377</c:v>
                </c:pt>
                <c:pt idx="47">
                  <c:v>19.1465</c:v>
                </c:pt>
                <c:pt idx="48">
                  <c:v>19.5535</c:v>
                </c:pt>
                <c:pt idx="49">
                  <c:v>19.959599999999998</c:v>
                </c:pt>
                <c:pt idx="50">
                  <c:v>20.3614</c:v>
                </c:pt>
                <c:pt idx="51">
                  <c:v>20.775300000000001</c:v>
                </c:pt>
                <c:pt idx="52">
                  <c:v>21.179099999999998</c:v>
                </c:pt>
                <c:pt idx="53">
                  <c:v>21.585100000000001</c:v>
                </c:pt>
                <c:pt idx="54">
                  <c:v>21.988900000000001</c:v>
                </c:pt>
                <c:pt idx="55">
                  <c:v>22.395199999999999</c:v>
                </c:pt>
                <c:pt idx="56">
                  <c:v>22.7989</c:v>
                </c:pt>
                <c:pt idx="57">
                  <c:v>23.204699999999999</c:v>
                </c:pt>
                <c:pt idx="58">
                  <c:v>23.618600000000001</c:v>
                </c:pt>
                <c:pt idx="59">
                  <c:v>24.022600000000001</c:v>
                </c:pt>
                <c:pt idx="60">
                  <c:v>24.4255</c:v>
                </c:pt>
                <c:pt idx="61">
                  <c:v>24.831800000000001</c:v>
                </c:pt>
                <c:pt idx="62">
                  <c:v>25.2392</c:v>
                </c:pt>
                <c:pt idx="63">
                  <c:v>25.642399999999999</c:v>
                </c:pt>
                <c:pt idx="64">
                  <c:v>26.048999999999999</c:v>
                </c:pt>
                <c:pt idx="65">
                  <c:v>26.456900000000001</c:v>
                </c:pt>
                <c:pt idx="66">
                  <c:v>26.863</c:v>
                </c:pt>
                <c:pt idx="67">
                  <c:v>27.267700000000001</c:v>
                </c:pt>
                <c:pt idx="68">
                  <c:v>27.676300000000001</c:v>
                </c:pt>
                <c:pt idx="69">
                  <c:v>28.081499999999998</c:v>
                </c:pt>
                <c:pt idx="70">
                  <c:v>28.490500000000001</c:v>
                </c:pt>
                <c:pt idx="71">
                  <c:v>28.8964</c:v>
                </c:pt>
                <c:pt idx="72">
                  <c:v>29.3003</c:v>
                </c:pt>
                <c:pt idx="73">
                  <c:v>29.708500000000001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4"/>
                <c:pt idx="0">
                  <c:v>1.6131200000000001</c:v>
                </c:pt>
                <c:pt idx="1">
                  <c:v>1.6830500000000002</c:v>
                </c:pt>
                <c:pt idx="2">
                  <c:v>1.7543500000000001</c:v>
                </c:pt>
                <c:pt idx="3">
                  <c:v>1.8305899999999999</c:v>
                </c:pt>
                <c:pt idx="4">
                  <c:v>1.9061300000000001</c:v>
                </c:pt>
                <c:pt idx="5">
                  <c:v>1.98611</c:v>
                </c:pt>
                <c:pt idx="6">
                  <c:v>2.0677000000000003</c:v>
                </c:pt>
                <c:pt idx="7">
                  <c:v>2.1520700000000001</c:v>
                </c:pt>
                <c:pt idx="8">
                  <c:v>2.23902</c:v>
                </c:pt>
                <c:pt idx="9">
                  <c:v>2.3273600000000001</c:v>
                </c:pt>
                <c:pt idx="10">
                  <c:v>2.4170199999999999</c:v>
                </c:pt>
                <c:pt idx="11">
                  <c:v>2.5101400000000003</c:v>
                </c:pt>
                <c:pt idx="12">
                  <c:v>2.6013700000000002</c:v>
                </c:pt>
                <c:pt idx="13">
                  <c:v>2.6943800000000002</c:v>
                </c:pt>
                <c:pt idx="14">
                  <c:v>2.7884399999999996</c:v>
                </c:pt>
                <c:pt idx="15">
                  <c:v>2.8828300000000002</c:v>
                </c:pt>
                <c:pt idx="16">
                  <c:v>2.9543000000000004</c:v>
                </c:pt>
                <c:pt idx="17">
                  <c:v>3.0497299999999998</c:v>
                </c:pt>
                <c:pt idx="18">
                  <c:v>3.1336199999999996</c:v>
                </c:pt>
                <c:pt idx="19">
                  <c:v>3.2155</c:v>
                </c:pt>
                <c:pt idx="20">
                  <c:v>3.3225300000000004</c:v>
                </c:pt>
                <c:pt idx="21">
                  <c:v>3.3843899999999998</c:v>
                </c:pt>
                <c:pt idx="22">
                  <c:v>3.48204</c:v>
                </c:pt>
                <c:pt idx="23">
                  <c:v>3.54975</c:v>
                </c:pt>
                <c:pt idx="24">
                  <c:v>3.6173499999999996</c:v>
                </c:pt>
                <c:pt idx="25">
                  <c:v>3.66987</c:v>
                </c:pt>
                <c:pt idx="26">
                  <c:v>3.7289599999999998</c:v>
                </c:pt>
                <c:pt idx="27">
                  <c:v>3.78132</c:v>
                </c:pt>
                <c:pt idx="28">
                  <c:v>3.8349600000000001</c:v>
                </c:pt>
                <c:pt idx="29">
                  <c:v>3.8716499999999998</c:v>
                </c:pt>
                <c:pt idx="30">
                  <c:v>3.9081000000000001</c:v>
                </c:pt>
                <c:pt idx="31">
                  <c:v>3.9357500000000001</c:v>
                </c:pt>
                <c:pt idx="32">
                  <c:v>3.9585399999999997</c:v>
                </c:pt>
                <c:pt idx="33">
                  <c:v>3.9762399999999998</c:v>
                </c:pt>
                <c:pt idx="34">
                  <c:v>3.9904699999999997</c:v>
                </c:pt>
                <c:pt idx="35">
                  <c:v>3.9986600000000001</c:v>
                </c:pt>
                <c:pt idx="36">
                  <c:v>4.0087899999999994</c:v>
                </c:pt>
                <c:pt idx="37">
                  <c:v>4.0131699999999997</c:v>
                </c:pt>
                <c:pt idx="38">
                  <c:v>4.0139399999999998</c:v>
                </c:pt>
                <c:pt idx="39">
                  <c:v>4.0159599999999998</c:v>
                </c:pt>
                <c:pt idx="40">
                  <c:v>4.0167299999999999</c:v>
                </c:pt>
                <c:pt idx="41">
                  <c:v>4.0137700000000001</c:v>
                </c:pt>
                <c:pt idx="42">
                  <c:v>4.0069499999999998</c:v>
                </c:pt>
                <c:pt idx="43">
                  <c:v>3.9996799999999997</c:v>
                </c:pt>
                <c:pt idx="44">
                  <c:v>3.9950999999999999</c:v>
                </c:pt>
                <c:pt idx="45">
                  <c:v>3.9893899999999998</c:v>
                </c:pt>
                <c:pt idx="46">
                  <c:v>3.9836200000000002</c:v>
                </c:pt>
                <c:pt idx="47">
                  <c:v>3.9723899999999999</c:v>
                </c:pt>
                <c:pt idx="48">
                  <c:v>3.9607999999999999</c:v>
                </c:pt>
                <c:pt idx="49">
                  <c:v>3.94625</c:v>
                </c:pt>
                <c:pt idx="50">
                  <c:v>3.9301300000000001</c:v>
                </c:pt>
                <c:pt idx="51">
                  <c:v>3.9153799999999999</c:v>
                </c:pt>
                <c:pt idx="52">
                  <c:v>3.9068399999999999</c:v>
                </c:pt>
                <c:pt idx="53">
                  <c:v>3.9044099999999999</c:v>
                </c:pt>
                <c:pt idx="54">
                  <c:v>3.9033800000000003</c:v>
                </c:pt>
                <c:pt idx="55">
                  <c:v>3.9027699999999999</c:v>
                </c:pt>
                <c:pt idx="56">
                  <c:v>3.90266</c:v>
                </c:pt>
                <c:pt idx="57">
                  <c:v>3.90463</c:v>
                </c:pt>
                <c:pt idx="58">
                  <c:v>3.9067000000000003</c:v>
                </c:pt>
                <c:pt idx="59">
                  <c:v>3.9090099999999999</c:v>
                </c:pt>
                <c:pt idx="60">
                  <c:v>3.9076</c:v>
                </c:pt>
                <c:pt idx="61">
                  <c:v>3.9032200000000001</c:v>
                </c:pt>
                <c:pt idx="62">
                  <c:v>3.89662</c:v>
                </c:pt>
                <c:pt idx="63">
                  <c:v>3.8889800000000001</c:v>
                </c:pt>
                <c:pt idx="64">
                  <c:v>3.8784400000000003</c:v>
                </c:pt>
                <c:pt idx="65">
                  <c:v>3.86422</c:v>
                </c:pt>
                <c:pt idx="66">
                  <c:v>3.8348800000000001</c:v>
                </c:pt>
                <c:pt idx="67">
                  <c:v>3.8019699999999998</c:v>
                </c:pt>
                <c:pt idx="68">
                  <c:v>3.7766199999999999</c:v>
                </c:pt>
                <c:pt idx="69">
                  <c:v>3.7406699999999997</c:v>
                </c:pt>
                <c:pt idx="70">
                  <c:v>3.7086299999999999</c:v>
                </c:pt>
                <c:pt idx="71">
                  <c:v>3.6920700000000002</c:v>
                </c:pt>
                <c:pt idx="72">
                  <c:v>3.7028299999999996</c:v>
                </c:pt>
                <c:pt idx="73">
                  <c:v>3.70322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0.39462599999999998</c:v>
                </c:pt>
                <c:pt idx="2">
                  <c:v>0.79693599999999998</c:v>
                </c:pt>
                <c:pt idx="3">
                  <c:v>1.2098599999999999</c:v>
                </c:pt>
                <c:pt idx="4">
                  <c:v>1.61541</c:v>
                </c:pt>
                <c:pt idx="5">
                  <c:v>2.0183200000000001</c:v>
                </c:pt>
                <c:pt idx="6">
                  <c:v>2.4243100000000002</c:v>
                </c:pt>
                <c:pt idx="7">
                  <c:v>2.8323499999999999</c:v>
                </c:pt>
                <c:pt idx="8">
                  <c:v>3.2401300000000002</c:v>
                </c:pt>
                <c:pt idx="9">
                  <c:v>3.6469499999999999</c:v>
                </c:pt>
                <c:pt idx="10">
                  <c:v>4.0508699999999997</c:v>
                </c:pt>
                <c:pt idx="11">
                  <c:v>4.4591099999999999</c:v>
                </c:pt>
                <c:pt idx="12">
                  <c:v>4.8629800000000003</c:v>
                </c:pt>
                <c:pt idx="13">
                  <c:v>5.2695999999999996</c:v>
                </c:pt>
                <c:pt idx="14">
                  <c:v>5.6775900000000004</c:v>
                </c:pt>
                <c:pt idx="15">
                  <c:v>6.0825800000000001</c:v>
                </c:pt>
                <c:pt idx="16">
                  <c:v>6.4893700000000001</c:v>
                </c:pt>
                <c:pt idx="17">
                  <c:v>6.8944999999999999</c:v>
                </c:pt>
                <c:pt idx="18">
                  <c:v>7.3011600000000003</c:v>
                </c:pt>
                <c:pt idx="19">
                  <c:v>7.7093600000000002</c:v>
                </c:pt>
                <c:pt idx="20">
                  <c:v>8.11599</c:v>
                </c:pt>
                <c:pt idx="21">
                  <c:v>8.5199300000000004</c:v>
                </c:pt>
                <c:pt idx="22">
                  <c:v>8.9272799999999997</c:v>
                </c:pt>
                <c:pt idx="23">
                  <c:v>9.3328100000000003</c:v>
                </c:pt>
                <c:pt idx="24">
                  <c:v>9.7395999999999994</c:v>
                </c:pt>
                <c:pt idx="25">
                  <c:v>10.1456</c:v>
                </c:pt>
                <c:pt idx="26">
                  <c:v>10.548500000000001</c:v>
                </c:pt>
                <c:pt idx="27">
                  <c:v>10.955399999999999</c:v>
                </c:pt>
                <c:pt idx="28">
                  <c:v>11.3635</c:v>
                </c:pt>
                <c:pt idx="29">
                  <c:v>11.770300000000001</c:v>
                </c:pt>
                <c:pt idx="30">
                  <c:v>12.177099999999999</c:v>
                </c:pt>
                <c:pt idx="31">
                  <c:v>12.5831</c:v>
                </c:pt>
                <c:pt idx="32">
                  <c:v>12.986000000000001</c:v>
                </c:pt>
                <c:pt idx="33">
                  <c:v>13.391</c:v>
                </c:pt>
                <c:pt idx="34">
                  <c:v>13.7988</c:v>
                </c:pt>
                <c:pt idx="35">
                  <c:v>14.206899999999999</c:v>
                </c:pt>
                <c:pt idx="36">
                  <c:v>14.6128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7"/>
                <c:pt idx="0">
                  <c:v>1.6131200000000001</c:v>
                </c:pt>
                <c:pt idx="1">
                  <c:v>1.6830500000000002</c:v>
                </c:pt>
                <c:pt idx="2">
                  <c:v>1.7543500000000001</c:v>
                </c:pt>
                <c:pt idx="3">
                  <c:v>1.8305899999999999</c:v>
                </c:pt>
                <c:pt idx="4">
                  <c:v>1.9061300000000001</c:v>
                </c:pt>
                <c:pt idx="5">
                  <c:v>1.98611</c:v>
                </c:pt>
                <c:pt idx="6">
                  <c:v>2.0677000000000003</c:v>
                </c:pt>
                <c:pt idx="7">
                  <c:v>2.1520700000000001</c:v>
                </c:pt>
                <c:pt idx="8">
                  <c:v>2.23902</c:v>
                </c:pt>
                <c:pt idx="9">
                  <c:v>2.3273600000000001</c:v>
                </c:pt>
                <c:pt idx="10">
                  <c:v>2.4170199999999999</c:v>
                </c:pt>
                <c:pt idx="11">
                  <c:v>2.5101400000000003</c:v>
                </c:pt>
                <c:pt idx="12">
                  <c:v>2.6013700000000002</c:v>
                </c:pt>
                <c:pt idx="13">
                  <c:v>2.6943800000000002</c:v>
                </c:pt>
                <c:pt idx="14">
                  <c:v>2.7884399999999996</c:v>
                </c:pt>
                <c:pt idx="15">
                  <c:v>2.8828300000000002</c:v>
                </c:pt>
                <c:pt idx="16">
                  <c:v>2.9543000000000004</c:v>
                </c:pt>
                <c:pt idx="17">
                  <c:v>3.0497299999999998</c:v>
                </c:pt>
                <c:pt idx="18">
                  <c:v>3.1336199999999996</c:v>
                </c:pt>
                <c:pt idx="19">
                  <c:v>3.2155</c:v>
                </c:pt>
                <c:pt idx="20">
                  <c:v>3.3225300000000004</c:v>
                </c:pt>
                <c:pt idx="21">
                  <c:v>3.3843899999999998</c:v>
                </c:pt>
                <c:pt idx="22">
                  <c:v>3.48204</c:v>
                </c:pt>
                <c:pt idx="23">
                  <c:v>3.54975</c:v>
                </c:pt>
                <c:pt idx="24">
                  <c:v>3.6173499999999996</c:v>
                </c:pt>
                <c:pt idx="25">
                  <c:v>3.66987</c:v>
                </c:pt>
                <c:pt idx="26">
                  <c:v>3.7289599999999998</c:v>
                </c:pt>
                <c:pt idx="27">
                  <c:v>3.78132</c:v>
                </c:pt>
                <c:pt idx="28">
                  <c:v>3.8349600000000001</c:v>
                </c:pt>
                <c:pt idx="29">
                  <c:v>3.8716499999999998</c:v>
                </c:pt>
                <c:pt idx="30">
                  <c:v>3.9081000000000001</c:v>
                </c:pt>
                <c:pt idx="31">
                  <c:v>3.9357500000000001</c:v>
                </c:pt>
                <c:pt idx="32">
                  <c:v>3.9585399999999997</c:v>
                </c:pt>
                <c:pt idx="33">
                  <c:v>3.9762399999999998</c:v>
                </c:pt>
                <c:pt idx="34">
                  <c:v>3.9904699999999997</c:v>
                </c:pt>
                <c:pt idx="35">
                  <c:v>3.9986600000000001</c:v>
                </c:pt>
                <c:pt idx="36">
                  <c:v>4.0087899999999994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14.6128</c:v>
                </c:pt>
                <c:pt idx="1">
                  <c:v>15.0174</c:v>
                </c:pt>
                <c:pt idx="2">
                  <c:v>15.5861</c:v>
                </c:pt>
                <c:pt idx="3">
                  <c:v>15.9557</c:v>
                </c:pt>
                <c:pt idx="4">
                  <c:v>16.331</c:v>
                </c:pt>
                <c:pt idx="5">
                  <c:v>16.713200000000001</c:v>
                </c:pt>
                <c:pt idx="6">
                  <c:v>17.112200000000001</c:v>
                </c:pt>
                <c:pt idx="7">
                  <c:v>17.520900000000001</c:v>
                </c:pt>
                <c:pt idx="8">
                  <c:v>17.924700000000001</c:v>
                </c:pt>
                <c:pt idx="9">
                  <c:v>18.328700000000001</c:v>
                </c:pt>
                <c:pt idx="10">
                  <c:v>18.7377</c:v>
                </c:pt>
                <c:pt idx="11">
                  <c:v>19.1465</c:v>
                </c:pt>
                <c:pt idx="12">
                  <c:v>19.5535</c:v>
                </c:pt>
                <c:pt idx="13">
                  <c:v>19.959599999999998</c:v>
                </c:pt>
                <c:pt idx="14">
                  <c:v>20.3614</c:v>
                </c:pt>
                <c:pt idx="15">
                  <c:v>20.775300000000001</c:v>
                </c:pt>
                <c:pt idx="16">
                  <c:v>21.179099999999998</c:v>
                </c:pt>
                <c:pt idx="17">
                  <c:v>21.585100000000001</c:v>
                </c:pt>
                <c:pt idx="18">
                  <c:v>21.988900000000001</c:v>
                </c:pt>
                <c:pt idx="19">
                  <c:v>22.395199999999999</c:v>
                </c:pt>
                <c:pt idx="20">
                  <c:v>22.7989</c:v>
                </c:pt>
                <c:pt idx="21">
                  <c:v>23.204699999999999</c:v>
                </c:pt>
                <c:pt idx="22">
                  <c:v>23.618600000000001</c:v>
                </c:pt>
                <c:pt idx="23">
                  <c:v>24.022600000000001</c:v>
                </c:pt>
                <c:pt idx="24">
                  <c:v>24.4255</c:v>
                </c:pt>
                <c:pt idx="25">
                  <c:v>24.831800000000001</c:v>
                </c:pt>
                <c:pt idx="26">
                  <c:v>25.2392</c:v>
                </c:pt>
                <c:pt idx="27">
                  <c:v>25.642399999999999</c:v>
                </c:pt>
                <c:pt idx="28">
                  <c:v>26.048999999999999</c:v>
                </c:pt>
                <c:pt idx="29">
                  <c:v>26.456900000000001</c:v>
                </c:pt>
                <c:pt idx="30">
                  <c:v>26.863</c:v>
                </c:pt>
                <c:pt idx="31">
                  <c:v>27.267700000000001</c:v>
                </c:pt>
                <c:pt idx="32">
                  <c:v>27.676300000000001</c:v>
                </c:pt>
                <c:pt idx="33">
                  <c:v>28.081499999999998</c:v>
                </c:pt>
                <c:pt idx="34">
                  <c:v>28.490500000000001</c:v>
                </c:pt>
                <c:pt idx="35">
                  <c:v>28.8964</c:v>
                </c:pt>
                <c:pt idx="36">
                  <c:v>29.3003</c:v>
                </c:pt>
                <c:pt idx="37">
                  <c:v>29.708500000000001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4.0087899999999994</c:v>
                </c:pt>
                <c:pt idx="1">
                  <c:v>4.0131699999999997</c:v>
                </c:pt>
                <c:pt idx="2">
                  <c:v>4.0139399999999998</c:v>
                </c:pt>
                <c:pt idx="3">
                  <c:v>4.0159599999999998</c:v>
                </c:pt>
                <c:pt idx="4">
                  <c:v>4.0167299999999999</c:v>
                </c:pt>
                <c:pt idx="5">
                  <c:v>4.0137700000000001</c:v>
                </c:pt>
                <c:pt idx="6">
                  <c:v>4.0069499999999998</c:v>
                </c:pt>
                <c:pt idx="7">
                  <c:v>3.9996799999999997</c:v>
                </c:pt>
                <c:pt idx="8">
                  <c:v>3.9950999999999999</c:v>
                </c:pt>
                <c:pt idx="9">
                  <c:v>3.9893899999999998</c:v>
                </c:pt>
                <c:pt idx="10">
                  <c:v>3.9836200000000002</c:v>
                </c:pt>
                <c:pt idx="11">
                  <c:v>3.9723899999999999</c:v>
                </c:pt>
                <c:pt idx="12">
                  <c:v>3.9607999999999999</c:v>
                </c:pt>
                <c:pt idx="13">
                  <c:v>3.94625</c:v>
                </c:pt>
                <c:pt idx="14">
                  <c:v>3.9301300000000001</c:v>
                </c:pt>
                <c:pt idx="15">
                  <c:v>3.9153799999999999</c:v>
                </c:pt>
                <c:pt idx="16">
                  <c:v>3.9068399999999999</c:v>
                </c:pt>
                <c:pt idx="17">
                  <c:v>3.9044099999999999</c:v>
                </c:pt>
                <c:pt idx="18">
                  <c:v>3.9033800000000003</c:v>
                </c:pt>
                <c:pt idx="19">
                  <c:v>3.9027699999999999</c:v>
                </c:pt>
                <c:pt idx="20">
                  <c:v>3.90266</c:v>
                </c:pt>
                <c:pt idx="21">
                  <c:v>3.90463</c:v>
                </c:pt>
                <c:pt idx="22">
                  <c:v>3.9067000000000003</c:v>
                </c:pt>
                <c:pt idx="23">
                  <c:v>3.9090099999999999</c:v>
                </c:pt>
                <c:pt idx="24">
                  <c:v>3.9076</c:v>
                </c:pt>
                <c:pt idx="25">
                  <c:v>3.9032200000000001</c:v>
                </c:pt>
                <c:pt idx="26">
                  <c:v>3.89662</c:v>
                </c:pt>
                <c:pt idx="27">
                  <c:v>3.8889800000000001</c:v>
                </c:pt>
                <c:pt idx="28">
                  <c:v>3.8784400000000003</c:v>
                </c:pt>
                <c:pt idx="29">
                  <c:v>3.86422</c:v>
                </c:pt>
                <c:pt idx="30">
                  <c:v>3.8348800000000001</c:v>
                </c:pt>
                <c:pt idx="31">
                  <c:v>3.8019699999999998</c:v>
                </c:pt>
                <c:pt idx="32">
                  <c:v>3.7766199999999999</c:v>
                </c:pt>
                <c:pt idx="33">
                  <c:v>3.7406699999999997</c:v>
                </c:pt>
                <c:pt idx="34">
                  <c:v>3.7086299999999999</c:v>
                </c:pt>
                <c:pt idx="35">
                  <c:v>3.6920700000000002</c:v>
                </c:pt>
                <c:pt idx="36">
                  <c:v>3.7028299999999996</c:v>
                </c:pt>
                <c:pt idx="37">
                  <c:v>3.70322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7.4271250000000002</c:v>
                </c:pt>
                <c:pt idx="1">
                  <c:v>22.281375000000001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3.0223297297297291</c:v>
                </c:pt>
                <c:pt idx="1">
                  <c:v>3.9003683783783778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4"/>
                <c:pt idx="0">
                  <c:v>0</c:v>
                </c:pt>
                <c:pt idx="1">
                  <c:v>0.39462599999999998</c:v>
                </c:pt>
                <c:pt idx="2">
                  <c:v>0.79693599999999998</c:v>
                </c:pt>
                <c:pt idx="3">
                  <c:v>1.2098599999999999</c:v>
                </c:pt>
                <c:pt idx="4">
                  <c:v>1.61541</c:v>
                </c:pt>
                <c:pt idx="5">
                  <c:v>2.0183200000000001</c:v>
                </c:pt>
                <c:pt idx="6">
                  <c:v>2.4243100000000002</c:v>
                </c:pt>
                <c:pt idx="7">
                  <c:v>2.8323499999999999</c:v>
                </c:pt>
                <c:pt idx="8">
                  <c:v>3.2401300000000002</c:v>
                </c:pt>
                <c:pt idx="9">
                  <c:v>3.6469499999999999</c:v>
                </c:pt>
                <c:pt idx="10">
                  <c:v>4.0508699999999997</c:v>
                </c:pt>
                <c:pt idx="11">
                  <c:v>4.4591099999999999</c:v>
                </c:pt>
                <c:pt idx="12">
                  <c:v>4.8629800000000003</c:v>
                </c:pt>
                <c:pt idx="13">
                  <c:v>5.2695999999999996</c:v>
                </c:pt>
                <c:pt idx="14">
                  <c:v>5.6775900000000004</c:v>
                </c:pt>
                <c:pt idx="15">
                  <c:v>6.0825800000000001</c:v>
                </c:pt>
                <c:pt idx="16">
                  <c:v>6.4893700000000001</c:v>
                </c:pt>
                <c:pt idx="17">
                  <c:v>6.8944999999999999</c:v>
                </c:pt>
                <c:pt idx="18">
                  <c:v>7.3011600000000003</c:v>
                </c:pt>
                <c:pt idx="19">
                  <c:v>7.7093600000000002</c:v>
                </c:pt>
                <c:pt idx="20">
                  <c:v>8.11599</c:v>
                </c:pt>
                <c:pt idx="21">
                  <c:v>8.5199300000000004</c:v>
                </c:pt>
                <c:pt idx="22">
                  <c:v>8.9272799999999997</c:v>
                </c:pt>
                <c:pt idx="23">
                  <c:v>9.3328100000000003</c:v>
                </c:pt>
                <c:pt idx="24">
                  <c:v>9.7395999999999994</c:v>
                </c:pt>
                <c:pt idx="25">
                  <c:v>10.1456</c:v>
                </c:pt>
                <c:pt idx="26">
                  <c:v>10.548500000000001</c:v>
                </c:pt>
                <c:pt idx="27">
                  <c:v>10.955399999999999</c:v>
                </c:pt>
                <c:pt idx="28">
                  <c:v>11.3635</c:v>
                </c:pt>
                <c:pt idx="29">
                  <c:v>11.770300000000001</c:v>
                </c:pt>
                <c:pt idx="30">
                  <c:v>12.177099999999999</c:v>
                </c:pt>
                <c:pt idx="31">
                  <c:v>12.5831</c:v>
                </c:pt>
                <c:pt idx="32">
                  <c:v>12.986000000000001</c:v>
                </c:pt>
                <c:pt idx="33">
                  <c:v>13.391</c:v>
                </c:pt>
                <c:pt idx="34">
                  <c:v>13.7988</c:v>
                </c:pt>
                <c:pt idx="35">
                  <c:v>14.206899999999999</c:v>
                </c:pt>
                <c:pt idx="36">
                  <c:v>14.6128</c:v>
                </c:pt>
                <c:pt idx="37">
                  <c:v>15.0174</c:v>
                </c:pt>
                <c:pt idx="38">
                  <c:v>15.5861</c:v>
                </c:pt>
                <c:pt idx="39">
                  <c:v>15.9557</c:v>
                </c:pt>
                <c:pt idx="40">
                  <c:v>16.331</c:v>
                </c:pt>
                <c:pt idx="41">
                  <c:v>16.713200000000001</c:v>
                </c:pt>
                <c:pt idx="42">
                  <c:v>17.112200000000001</c:v>
                </c:pt>
                <c:pt idx="43">
                  <c:v>17.520900000000001</c:v>
                </c:pt>
                <c:pt idx="44">
                  <c:v>17.924700000000001</c:v>
                </c:pt>
                <c:pt idx="45">
                  <c:v>18.328700000000001</c:v>
                </c:pt>
                <c:pt idx="46">
                  <c:v>18.7377</c:v>
                </c:pt>
                <c:pt idx="47">
                  <c:v>19.1465</c:v>
                </c:pt>
                <c:pt idx="48">
                  <c:v>19.5535</c:v>
                </c:pt>
                <c:pt idx="49">
                  <c:v>19.959599999999998</c:v>
                </c:pt>
                <c:pt idx="50">
                  <c:v>20.3614</c:v>
                </c:pt>
                <c:pt idx="51">
                  <c:v>20.775300000000001</c:v>
                </c:pt>
                <c:pt idx="52">
                  <c:v>21.179099999999998</c:v>
                </c:pt>
                <c:pt idx="53">
                  <c:v>21.585100000000001</c:v>
                </c:pt>
                <c:pt idx="54">
                  <c:v>21.988900000000001</c:v>
                </c:pt>
                <c:pt idx="55">
                  <c:v>22.395199999999999</c:v>
                </c:pt>
                <c:pt idx="56">
                  <c:v>22.7989</c:v>
                </c:pt>
                <c:pt idx="57">
                  <c:v>23.204699999999999</c:v>
                </c:pt>
                <c:pt idx="58">
                  <c:v>23.618600000000001</c:v>
                </c:pt>
                <c:pt idx="59">
                  <c:v>24.022600000000001</c:v>
                </c:pt>
                <c:pt idx="60">
                  <c:v>24.4255</c:v>
                </c:pt>
                <c:pt idx="61">
                  <c:v>24.831800000000001</c:v>
                </c:pt>
                <c:pt idx="62">
                  <c:v>25.2392</c:v>
                </c:pt>
                <c:pt idx="63">
                  <c:v>25.642399999999999</c:v>
                </c:pt>
                <c:pt idx="64">
                  <c:v>26.048999999999999</c:v>
                </c:pt>
                <c:pt idx="65">
                  <c:v>26.456900000000001</c:v>
                </c:pt>
                <c:pt idx="66">
                  <c:v>26.863</c:v>
                </c:pt>
                <c:pt idx="67">
                  <c:v>27.267700000000001</c:v>
                </c:pt>
                <c:pt idx="68">
                  <c:v>27.676300000000001</c:v>
                </c:pt>
                <c:pt idx="69">
                  <c:v>28.081499999999998</c:v>
                </c:pt>
                <c:pt idx="70">
                  <c:v>28.490500000000001</c:v>
                </c:pt>
                <c:pt idx="71">
                  <c:v>28.8964</c:v>
                </c:pt>
                <c:pt idx="72">
                  <c:v>29.3003</c:v>
                </c:pt>
                <c:pt idx="73">
                  <c:v>29.708500000000001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64.550300000000007</c:v>
                </c:pt>
                <c:pt idx="1">
                  <c:v>63.345700000000008</c:v>
                </c:pt>
                <c:pt idx="2">
                  <c:v>62.095599999999997</c:v>
                </c:pt>
                <c:pt idx="3">
                  <c:v>60.626500000000007</c:v>
                </c:pt>
                <c:pt idx="4">
                  <c:v>59.143100000000004</c:v>
                </c:pt>
                <c:pt idx="5">
                  <c:v>57.5276</c:v>
                </c:pt>
                <c:pt idx="6">
                  <c:v>56.013400000000004</c:v>
                </c:pt>
                <c:pt idx="7">
                  <c:v>54.328800000000001</c:v>
                </c:pt>
                <c:pt idx="8">
                  <c:v>52.598500000000001</c:v>
                </c:pt>
                <c:pt idx="9">
                  <c:v>50.908900000000003</c:v>
                </c:pt>
                <c:pt idx="10">
                  <c:v>49.335599999999999</c:v>
                </c:pt>
                <c:pt idx="11">
                  <c:v>47.824600000000004</c:v>
                </c:pt>
                <c:pt idx="12">
                  <c:v>46.6387</c:v>
                </c:pt>
                <c:pt idx="13">
                  <c:v>45.605600000000003</c:v>
                </c:pt>
                <c:pt idx="14">
                  <c:v>44.731900000000003</c:v>
                </c:pt>
                <c:pt idx="15">
                  <c:v>43.963299999999997</c:v>
                </c:pt>
                <c:pt idx="16">
                  <c:v>43.800699999999999</c:v>
                </c:pt>
                <c:pt idx="17">
                  <c:v>43.255099999999999</c:v>
                </c:pt>
                <c:pt idx="18">
                  <c:v>42.714200000000005</c:v>
                </c:pt>
                <c:pt idx="19">
                  <c:v>42.106200000000001</c:v>
                </c:pt>
                <c:pt idx="20">
                  <c:v>40.983799999999995</c:v>
                </c:pt>
                <c:pt idx="21">
                  <c:v>40.846600000000002</c:v>
                </c:pt>
                <c:pt idx="22">
                  <c:v>40.0092</c:v>
                </c:pt>
                <c:pt idx="23">
                  <c:v>39.930700000000002</c:v>
                </c:pt>
                <c:pt idx="24">
                  <c:v>39.817399999999999</c:v>
                </c:pt>
                <c:pt idx="25">
                  <c:v>39.898000000000003</c:v>
                </c:pt>
                <c:pt idx="26">
                  <c:v>39.846599999999995</c:v>
                </c:pt>
                <c:pt idx="27">
                  <c:v>39.823399999999999</c:v>
                </c:pt>
                <c:pt idx="28">
                  <c:v>39.722799999999999</c:v>
                </c:pt>
                <c:pt idx="29">
                  <c:v>39.721699999999998</c:v>
                </c:pt>
                <c:pt idx="30">
                  <c:v>39.641500000000001</c:v>
                </c:pt>
                <c:pt idx="31">
                  <c:v>39.515799999999999</c:v>
                </c:pt>
                <c:pt idx="32">
                  <c:v>39.358900000000006</c:v>
                </c:pt>
                <c:pt idx="33">
                  <c:v>39.181800000000003</c:v>
                </c:pt>
                <c:pt idx="34">
                  <c:v>38.966799999999999</c:v>
                </c:pt>
                <c:pt idx="35">
                  <c:v>38.759500000000003</c:v>
                </c:pt>
                <c:pt idx="36">
                  <c:v>38.545699999999997</c:v>
                </c:pt>
                <c:pt idx="37">
                  <c:v>38.352399999999996</c:v>
                </c:pt>
                <c:pt idx="38">
                  <c:v>38.113599999999998</c:v>
                </c:pt>
                <c:pt idx="39">
                  <c:v>37.903399999999998</c:v>
                </c:pt>
                <c:pt idx="40">
                  <c:v>37.707700000000003</c:v>
                </c:pt>
                <c:pt idx="41">
                  <c:v>37.5745</c:v>
                </c:pt>
                <c:pt idx="42">
                  <c:v>37.488</c:v>
                </c:pt>
                <c:pt idx="43">
                  <c:v>37.415599999999998</c:v>
                </c:pt>
                <c:pt idx="44">
                  <c:v>37.310200000000002</c:v>
                </c:pt>
                <c:pt idx="45">
                  <c:v>37.169999999999995</c:v>
                </c:pt>
                <c:pt idx="46">
                  <c:v>36.9876</c:v>
                </c:pt>
                <c:pt idx="47">
                  <c:v>36.846000000000004</c:v>
                </c:pt>
                <c:pt idx="48">
                  <c:v>36.675799999999995</c:v>
                </c:pt>
                <c:pt idx="49">
                  <c:v>36.453200000000002</c:v>
                </c:pt>
                <c:pt idx="50">
                  <c:v>36.1736</c:v>
                </c:pt>
                <c:pt idx="51">
                  <c:v>35.857599999999998</c:v>
                </c:pt>
                <c:pt idx="52">
                  <c:v>35.656700000000001</c:v>
                </c:pt>
                <c:pt idx="53">
                  <c:v>35.521900000000002</c:v>
                </c:pt>
                <c:pt idx="54">
                  <c:v>35.393900000000002</c:v>
                </c:pt>
                <c:pt idx="55">
                  <c:v>35.249399999999994</c:v>
                </c:pt>
                <c:pt idx="56">
                  <c:v>35.109200000000001</c:v>
                </c:pt>
                <c:pt idx="57">
                  <c:v>34.918900000000001</c:v>
                </c:pt>
                <c:pt idx="58">
                  <c:v>34.7027</c:v>
                </c:pt>
                <c:pt idx="59">
                  <c:v>34.4407</c:v>
                </c:pt>
                <c:pt idx="60">
                  <c:v>34.224600000000002</c:v>
                </c:pt>
                <c:pt idx="61">
                  <c:v>34.003299999999996</c:v>
                </c:pt>
                <c:pt idx="62">
                  <c:v>33.759699999999995</c:v>
                </c:pt>
                <c:pt idx="63">
                  <c:v>33.4895</c:v>
                </c:pt>
                <c:pt idx="64">
                  <c:v>33.251599999999996</c:v>
                </c:pt>
                <c:pt idx="65">
                  <c:v>33.009699999999995</c:v>
                </c:pt>
                <c:pt idx="66">
                  <c:v>32.953500000000005</c:v>
                </c:pt>
                <c:pt idx="67">
                  <c:v>32.851300000000002</c:v>
                </c:pt>
                <c:pt idx="68">
                  <c:v>32.552799999999998</c:v>
                </c:pt>
                <c:pt idx="69">
                  <c:v>32.457999999999998</c:v>
                </c:pt>
                <c:pt idx="70">
                  <c:v>32.414000000000001</c:v>
                </c:pt>
                <c:pt idx="71">
                  <c:v>32.130700000000004</c:v>
                </c:pt>
                <c:pt idx="72">
                  <c:v>31.790200000000002</c:v>
                </c:pt>
                <c:pt idx="73">
                  <c:v>31.918999999999997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7"/>
                <c:pt idx="0">
                  <c:v>0</c:v>
                </c:pt>
                <c:pt idx="1">
                  <c:v>0.39462599999999998</c:v>
                </c:pt>
                <c:pt idx="2">
                  <c:v>0.79693599999999998</c:v>
                </c:pt>
                <c:pt idx="3">
                  <c:v>1.2098599999999999</c:v>
                </c:pt>
                <c:pt idx="4">
                  <c:v>1.61541</c:v>
                </c:pt>
                <c:pt idx="5">
                  <c:v>2.0183200000000001</c:v>
                </c:pt>
                <c:pt idx="6">
                  <c:v>2.4243100000000002</c:v>
                </c:pt>
                <c:pt idx="7">
                  <c:v>2.8323499999999999</c:v>
                </c:pt>
                <c:pt idx="8">
                  <c:v>3.2401300000000002</c:v>
                </c:pt>
                <c:pt idx="9">
                  <c:v>3.6469499999999999</c:v>
                </c:pt>
                <c:pt idx="10">
                  <c:v>4.0508699999999997</c:v>
                </c:pt>
                <c:pt idx="11">
                  <c:v>4.4591099999999999</c:v>
                </c:pt>
                <c:pt idx="12">
                  <c:v>4.8629800000000003</c:v>
                </c:pt>
                <c:pt idx="13">
                  <c:v>5.2695999999999996</c:v>
                </c:pt>
                <c:pt idx="14">
                  <c:v>5.6775900000000004</c:v>
                </c:pt>
                <c:pt idx="15">
                  <c:v>6.0825800000000001</c:v>
                </c:pt>
                <c:pt idx="16">
                  <c:v>6.4893700000000001</c:v>
                </c:pt>
                <c:pt idx="17">
                  <c:v>6.8944999999999999</c:v>
                </c:pt>
                <c:pt idx="18">
                  <c:v>7.3011600000000003</c:v>
                </c:pt>
                <c:pt idx="19">
                  <c:v>7.7093600000000002</c:v>
                </c:pt>
                <c:pt idx="20">
                  <c:v>8.11599</c:v>
                </c:pt>
                <c:pt idx="21">
                  <c:v>8.5199300000000004</c:v>
                </c:pt>
                <c:pt idx="22">
                  <c:v>8.9272799999999997</c:v>
                </c:pt>
                <c:pt idx="23">
                  <c:v>9.3328100000000003</c:v>
                </c:pt>
                <c:pt idx="24">
                  <c:v>9.7395999999999994</c:v>
                </c:pt>
                <c:pt idx="25">
                  <c:v>10.1456</c:v>
                </c:pt>
                <c:pt idx="26">
                  <c:v>10.548500000000001</c:v>
                </c:pt>
                <c:pt idx="27">
                  <c:v>10.955399999999999</c:v>
                </c:pt>
                <c:pt idx="28">
                  <c:v>11.3635</c:v>
                </c:pt>
                <c:pt idx="29">
                  <c:v>11.770300000000001</c:v>
                </c:pt>
                <c:pt idx="30">
                  <c:v>12.177099999999999</c:v>
                </c:pt>
                <c:pt idx="31">
                  <c:v>12.5831</c:v>
                </c:pt>
                <c:pt idx="32">
                  <c:v>12.986000000000001</c:v>
                </c:pt>
                <c:pt idx="33">
                  <c:v>13.391</c:v>
                </c:pt>
                <c:pt idx="34">
                  <c:v>13.7988</c:v>
                </c:pt>
                <c:pt idx="35">
                  <c:v>14.206899999999999</c:v>
                </c:pt>
                <c:pt idx="36">
                  <c:v>14.6128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64.550300000000007</c:v>
                </c:pt>
                <c:pt idx="1">
                  <c:v>63.345700000000008</c:v>
                </c:pt>
                <c:pt idx="2">
                  <c:v>62.095599999999997</c:v>
                </c:pt>
                <c:pt idx="3">
                  <c:v>60.626500000000007</c:v>
                </c:pt>
                <c:pt idx="4">
                  <c:v>59.143100000000004</c:v>
                </c:pt>
                <c:pt idx="5">
                  <c:v>57.5276</c:v>
                </c:pt>
                <c:pt idx="6">
                  <c:v>56.013400000000004</c:v>
                </c:pt>
                <c:pt idx="7">
                  <c:v>54.328800000000001</c:v>
                </c:pt>
                <c:pt idx="8">
                  <c:v>52.598500000000001</c:v>
                </c:pt>
                <c:pt idx="9">
                  <c:v>50.908900000000003</c:v>
                </c:pt>
                <c:pt idx="10">
                  <c:v>49.335599999999999</c:v>
                </c:pt>
                <c:pt idx="11">
                  <c:v>47.824600000000004</c:v>
                </c:pt>
                <c:pt idx="12">
                  <c:v>46.6387</c:v>
                </c:pt>
                <c:pt idx="13">
                  <c:v>45.605600000000003</c:v>
                </c:pt>
                <c:pt idx="14">
                  <c:v>44.731900000000003</c:v>
                </c:pt>
                <c:pt idx="15">
                  <c:v>43.963299999999997</c:v>
                </c:pt>
                <c:pt idx="16">
                  <c:v>43.800699999999999</c:v>
                </c:pt>
                <c:pt idx="17">
                  <c:v>43.255099999999999</c:v>
                </c:pt>
                <c:pt idx="18">
                  <c:v>42.714200000000005</c:v>
                </c:pt>
                <c:pt idx="19">
                  <c:v>42.106200000000001</c:v>
                </c:pt>
                <c:pt idx="20">
                  <c:v>40.983799999999995</c:v>
                </c:pt>
                <c:pt idx="21">
                  <c:v>40.846600000000002</c:v>
                </c:pt>
                <c:pt idx="22">
                  <c:v>40.0092</c:v>
                </c:pt>
                <c:pt idx="23">
                  <c:v>39.930700000000002</c:v>
                </c:pt>
                <c:pt idx="24">
                  <c:v>39.817399999999999</c:v>
                </c:pt>
                <c:pt idx="25">
                  <c:v>39.898000000000003</c:v>
                </c:pt>
                <c:pt idx="26">
                  <c:v>39.846599999999995</c:v>
                </c:pt>
                <c:pt idx="27">
                  <c:v>39.823399999999999</c:v>
                </c:pt>
                <c:pt idx="28">
                  <c:v>39.722799999999999</c:v>
                </c:pt>
                <c:pt idx="29">
                  <c:v>39.721699999999998</c:v>
                </c:pt>
                <c:pt idx="30">
                  <c:v>39.641500000000001</c:v>
                </c:pt>
                <c:pt idx="31">
                  <c:v>39.515799999999999</c:v>
                </c:pt>
                <c:pt idx="32">
                  <c:v>39.358900000000006</c:v>
                </c:pt>
                <c:pt idx="33">
                  <c:v>39.181800000000003</c:v>
                </c:pt>
                <c:pt idx="34">
                  <c:v>38.966799999999999</c:v>
                </c:pt>
                <c:pt idx="35">
                  <c:v>38.759500000000003</c:v>
                </c:pt>
                <c:pt idx="36">
                  <c:v>38.545699999999997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14.6128</c:v>
                </c:pt>
                <c:pt idx="1">
                  <c:v>15.0174</c:v>
                </c:pt>
                <c:pt idx="2">
                  <c:v>15.5861</c:v>
                </c:pt>
                <c:pt idx="3">
                  <c:v>15.9557</c:v>
                </c:pt>
                <c:pt idx="4">
                  <c:v>16.331</c:v>
                </c:pt>
                <c:pt idx="5">
                  <c:v>16.713200000000001</c:v>
                </c:pt>
                <c:pt idx="6">
                  <c:v>17.112200000000001</c:v>
                </c:pt>
                <c:pt idx="7">
                  <c:v>17.520900000000001</c:v>
                </c:pt>
                <c:pt idx="8">
                  <c:v>17.924700000000001</c:v>
                </c:pt>
                <c:pt idx="9">
                  <c:v>18.328700000000001</c:v>
                </c:pt>
                <c:pt idx="10">
                  <c:v>18.7377</c:v>
                </c:pt>
                <c:pt idx="11">
                  <c:v>19.1465</c:v>
                </c:pt>
                <c:pt idx="12">
                  <c:v>19.5535</c:v>
                </c:pt>
                <c:pt idx="13">
                  <c:v>19.959599999999998</c:v>
                </c:pt>
                <c:pt idx="14">
                  <c:v>20.3614</c:v>
                </c:pt>
                <c:pt idx="15">
                  <c:v>20.775300000000001</c:v>
                </c:pt>
                <c:pt idx="16">
                  <c:v>21.179099999999998</c:v>
                </c:pt>
                <c:pt idx="17">
                  <c:v>21.585100000000001</c:v>
                </c:pt>
                <c:pt idx="18">
                  <c:v>21.988900000000001</c:v>
                </c:pt>
                <c:pt idx="19">
                  <c:v>22.395199999999999</c:v>
                </c:pt>
                <c:pt idx="20">
                  <c:v>22.7989</c:v>
                </c:pt>
                <c:pt idx="21">
                  <c:v>23.204699999999999</c:v>
                </c:pt>
                <c:pt idx="22">
                  <c:v>23.618600000000001</c:v>
                </c:pt>
                <c:pt idx="23">
                  <c:v>24.022600000000001</c:v>
                </c:pt>
                <c:pt idx="24">
                  <c:v>24.4255</c:v>
                </c:pt>
                <c:pt idx="25">
                  <c:v>24.831800000000001</c:v>
                </c:pt>
                <c:pt idx="26">
                  <c:v>25.2392</c:v>
                </c:pt>
                <c:pt idx="27">
                  <c:v>25.642399999999999</c:v>
                </c:pt>
                <c:pt idx="28">
                  <c:v>26.048999999999999</c:v>
                </c:pt>
                <c:pt idx="29">
                  <c:v>26.456900000000001</c:v>
                </c:pt>
                <c:pt idx="30">
                  <c:v>26.863</c:v>
                </c:pt>
                <c:pt idx="31">
                  <c:v>27.267700000000001</c:v>
                </c:pt>
                <c:pt idx="32">
                  <c:v>27.676300000000001</c:v>
                </c:pt>
                <c:pt idx="33">
                  <c:v>28.081499999999998</c:v>
                </c:pt>
                <c:pt idx="34">
                  <c:v>28.490500000000001</c:v>
                </c:pt>
                <c:pt idx="35">
                  <c:v>28.8964</c:v>
                </c:pt>
                <c:pt idx="36">
                  <c:v>29.3003</c:v>
                </c:pt>
                <c:pt idx="37">
                  <c:v>29.708500000000001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38.545699999999997</c:v>
                </c:pt>
                <c:pt idx="1">
                  <c:v>38.352399999999996</c:v>
                </c:pt>
                <c:pt idx="2">
                  <c:v>38.113599999999998</c:v>
                </c:pt>
                <c:pt idx="3">
                  <c:v>37.903399999999998</c:v>
                </c:pt>
                <c:pt idx="4">
                  <c:v>37.707700000000003</c:v>
                </c:pt>
                <c:pt idx="5">
                  <c:v>37.5745</c:v>
                </c:pt>
                <c:pt idx="6">
                  <c:v>37.488</c:v>
                </c:pt>
                <c:pt idx="7">
                  <c:v>37.415599999999998</c:v>
                </c:pt>
                <c:pt idx="8">
                  <c:v>37.310200000000002</c:v>
                </c:pt>
                <c:pt idx="9">
                  <c:v>37.169999999999995</c:v>
                </c:pt>
                <c:pt idx="10">
                  <c:v>36.9876</c:v>
                </c:pt>
                <c:pt idx="11">
                  <c:v>36.846000000000004</c:v>
                </c:pt>
                <c:pt idx="12">
                  <c:v>36.675799999999995</c:v>
                </c:pt>
                <c:pt idx="13">
                  <c:v>36.453200000000002</c:v>
                </c:pt>
                <c:pt idx="14">
                  <c:v>36.1736</c:v>
                </c:pt>
                <c:pt idx="15">
                  <c:v>35.857599999999998</c:v>
                </c:pt>
                <c:pt idx="16">
                  <c:v>35.656700000000001</c:v>
                </c:pt>
                <c:pt idx="17">
                  <c:v>35.521900000000002</c:v>
                </c:pt>
                <c:pt idx="18">
                  <c:v>35.393900000000002</c:v>
                </c:pt>
                <c:pt idx="19">
                  <c:v>35.249399999999994</c:v>
                </c:pt>
                <c:pt idx="20">
                  <c:v>35.109200000000001</c:v>
                </c:pt>
                <c:pt idx="21">
                  <c:v>34.918900000000001</c:v>
                </c:pt>
                <c:pt idx="22">
                  <c:v>34.7027</c:v>
                </c:pt>
                <c:pt idx="23">
                  <c:v>34.4407</c:v>
                </c:pt>
                <c:pt idx="24">
                  <c:v>34.224600000000002</c:v>
                </c:pt>
                <c:pt idx="25">
                  <c:v>34.003299999999996</c:v>
                </c:pt>
                <c:pt idx="26">
                  <c:v>33.759699999999995</c:v>
                </c:pt>
                <c:pt idx="27">
                  <c:v>33.4895</c:v>
                </c:pt>
                <c:pt idx="28">
                  <c:v>33.251599999999996</c:v>
                </c:pt>
                <c:pt idx="29">
                  <c:v>33.009699999999995</c:v>
                </c:pt>
                <c:pt idx="30">
                  <c:v>32.953500000000005</c:v>
                </c:pt>
                <c:pt idx="31">
                  <c:v>32.851300000000002</c:v>
                </c:pt>
                <c:pt idx="32">
                  <c:v>32.552799999999998</c:v>
                </c:pt>
                <c:pt idx="33">
                  <c:v>32.457999999999998</c:v>
                </c:pt>
                <c:pt idx="34">
                  <c:v>32.414000000000001</c:v>
                </c:pt>
                <c:pt idx="35">
                  <c:v>32.130700000000004</c:v>
                </c:pt>
                <c:pt idx="36">
                  <c:v>31.790200000000002</c:v>
                </c:pt>
                <c:pt idx="37">
                  <c:v>31.918999999999997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7.4271250000000002</c:v>
                </c:pt>
                <c:pt idx="1">
                  <c:v>22.281375000000001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46.099581081081098</c:v>
                </c:pt>
                <c:pt idx="1">
                  <c:v>35.130554054054052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4"/>
                <c:pt idx="0">
                  <c:v>1.6131200000000001</c:v>
                </c:pt>
                <c:pt idx="1">
                  <c:v>1.6830500000000002</c:v>
                </c:pt>
                <c:pt idx="2">
                  <c:v>1.7543500000000001</c:v>
                </c:pt>
                <c:pt idx="3">
                  <c:v>1.8305899999999999</c:v>
                </c:pt>
                <c:pt idx="4">
                  <c:v>1.9061300000000001</c:v>
                </c:pt>
                <c:pt idx="5">
                  <c:v>1.98611</c:v>
                </c:pt>
                <c:pt idx="6">
                  <c:v>2.0677000000000003</c:v>
                </c:pt>
                <c:pt idx="7">
                  <c:v>2.1520700000000001</c:v>
                </c:pt>
                <c:pt idx="8">
                  <c:v>2.23902</c:v>
                </c:pt>
                <c:pt idx="9">
                  <c:v>2.3273600000000001</c:v>
                </c:pt>
                <c:pt idx="10">
                  <c:v>2.4170199999999999</c:v>
                </c:pt>
                <c:pt idx="11">
                  <c:v>2.5101400000000003</c:v>
                </c:pt>
                <c:pt idx="12">
                  <c:v>2.6013700000000002</c:v>
                </c:pt>
                <c:pt idx="13">
                  <c:v>2.6943800000000002</c:v>
                </c:pt>
                <c:pt idx="14">
                  <c:v>2.7884399999999996</c:v>
                </c:pt>
                <c:pt idx="15">
                  <c:v>2.8828300000000002</c:v>
                </c:pt>
                <c:pt idx="16">
                  <c:v>2.9543000000000004</c:v>
                </c:pt>
                <c:pt idx="17">
                  <c:v>3.0497299999999998</c:v>
                </c:pt>
                <c:pt idx="18">
                  <c:v>3.1336199999999996</c:v>
                </c:pt>
                <c:pt idx="19">
                  <c:v>3.2155</c:v>
                </c:pt>
                <c:pt idx="20">
                  <c:v>3.3225300000000004</c:v>
                </c:pt>
                <c:pt idx="21">
                  <c:v>3.3843899999999998</c:v>
                </c:pt>
                <c:pt idx="22">
                  <c:v>3.48204</c:v>
                </c:pt>
                <c:pt idx="23">
                  <c:v>3.54975</c:v>
                </c:pt>
                <c:pt idx="24">
                  <c:v>3.6173499999999996</c:v>
                </c:pt>
                <c:pt idx="25">
                  <c:v>3.66987</c:v>
                </c:pt>
                <c:pt idx="26">
                  <c:v>3.7289599999999998</c:v>
                </c:pt>
                <c:pt idx="27">
                  <c:v>3.78132</c:v>
                </c:pt>
                <c:pt idx="28">
                  <c:v>3.8349600000000001</c:v>
                </c:pt>
                <c:pt idx="29">
                  <c:v>3.8716499999999998</c:v>
                </c:pt>
                <c:pt idx="30">
                  <c:v>3.9081000000000001</c:v>
                </c:pt>
                <c:pt idx="31">
                  <c:v>3.9357500000000001</c:v>
                </c:pt>
                <c:pt idx="32">
                  <c:v>3.9585399999999997</c:v>
                </c:pt>
                <c:pt idx="33">
                  <c:v>3.9762399999999998</c:v>
                </c:pt>
                <c:pt idx="34">
                  <c:v>3.9904699999999997</c:v>
                </c:pt>
                <c:pt idx="35">
                  <c:v>3.9986600000000001</c:v>
                </c:pt>
                <c:pt idx="36">
                  <c:v>4.0087899999999994</c:v>
                </c:pt>
                <c:pt idx="37">
                  <c:v>4.0131699999999997</c:v>
                </c:pt>
                <c:pt idx="38">
                  <c:v>4.0139399999999998</c:v>
                </c:pt>
                <c:pt idx="39">
                  <c:v>4.0159599999999998</c:v>
                </c:pt>
                <c:pt idx="40">
                  <c:v>4.0167299999999999</c:v>
                </c:pt>
                <c:pt idx="41">
                  <c:v>4.0137700000000001</c:v>
                </c:pt>
                <c:pt idx="42">
                  <c:v>4.0069499999999998</c:v>
                </c:pt>
                <c:pt idx="43">
                  <c:v>3.9996799999999997</c:v>
                </c:pt>
                <c:pt idx="44">
                  <c:v>3.9950999999999999</c:v>
                </c:pt>
                <c:pt idx="45">
                  <c:v>3.9893899999999998</c:v>
                </c:pt>
                <c:pt idx="46">
                  <c:v>3.9836200000000002</c:v>
                </c:pt>
                <c:pt idx="47">
                  <c:v>3.9723899999999999</c:v>
                </c:pt>
                <c:pt idx="48">
                  <c:v>3.9607999999999999</c:v>
                </c:pt>
                <c:pt idx="49">
                  <c:v>3.94625</c:v>
                </c:pt>
                <c:pt idx="50">
                  <c:v>3.9301300000000001</c:v>
                </c:pt>
                <c:pt idx="51">
                  <c:v>3.9153799999999999</c:v>
                </c:pt>
                <c:pt idx="52">
                  <c:v>3.9068399999999999</c:v>
                </c:pt>
                <c:pt idx="53">
                  <c:v>3.9044099999999999</c:v>
                </c:pt>
                <c:pt idx="54">
                  <c:v>3.9033800000000003</c:v>
                </c:pt>
                <c:pt idx="55">
                  <c:v>3.9027699999999999</c:v>
                </c:pt>
                <c:pt idx="56">
                  <c:v>3.90266</c:v>
                </c:pt>
                <c:pt idx="57">
                  <c:v>3.90463</c:v>
                </c:pt>
                <c:pt idx="58">
                  <c:v>3.9067000000000003</c:v>
                </c:pt>
                <c:pt idx="59">
                  <c:v>3.9090099999999999</c:v>
                </c:pt>
                <c:pt idx="60">
                  <c:v>3.9076</c:v>
                </c:pt>
                <c:pt idx="61">
                  <c:v>3.9032200000000001</c:v>
                </c:pt>
                <c:pt idx="62">
                  <c:v>3.89662</c:v>
                </c:pt>
                <c:pt idx="63">
                  <c:v>3.8889800000000001</c:v>
                </c:pt>
                <c:pt idx="64">
                  <c:v>3.8784400000000003</c:v>
                </c:pt>
                <c:pt idx="65">
                  <c:v>3.86422</c:v>
                </c:pt>
                <c:pt idx="66">
                  <c:v>3.8348800000000001</c:v>
                </c:pt>
                <c:pt idx="67">
                  <c:v>3.8019699999999998</c:v>
                </c:pt>
                <c:pt idx="68">
                  <c:v>3.7766199999999999</c:v>
                </c:pt>
                <c:pt idx="69">
                  <c:v>3.7406699999999997</c:v>
                </c:pt>
                <c:pt idx="70">
                  <c:v>3.7086299999999999</c:v>
                </c:pt>
                <c:pt idx="71">
                  <c:v>3.6920700000000002</c:v>
                </c:pt>
                <c:pt idx="72">
                  <c:v>3.7028299999999996</c:v>
                </c:pt>
                <c:pt idx="73">
                  <c:v>3.70322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4"/>
                <c:pt idx="0">
                  <c:v>64.550300000000007</c:v>
                </c:pt>
                <c:pt idx="1">
                  <c:v>63.345700000000008</c:v>
                </c:pt>
                <c:pt idx="2">
                  <c:v>62.095599999999997</c:v>
                </c:pt>
                <c:pt idx="3">
                  <c:v>60.626500000000007</c:v>
                </c:pt>
                <c:pt idx="4">
                  <c:v>59.143100000000004</c:v>
                </c:pt>
                <c:pt idx="5">
                  <c:v>57.5276</c:v>
                </c:pt>
                <c:pt idx="6">
                  <c:v>56.013400000000004</c:v>
                </c:pt>
                <c:pt idx="7">
                  <c:v>54.328800000000001</c:v>
                </c:pt>
                <c:pt idx="8">
                  <c:v>52.598500000000001</c:v>
                </c:pt>
                <c:pt idx="9">
                  <c:v>50.908900000000003</c:v>
                </c:pt>
                <c:pt idx="10">
                  <c:v>49.335599999999999</c:v>
                </c:pt>
                <c:pt idx="11">
                  <c:v>47.824600000000004</c:v>
                </c:pt>
                <c:pt idx="12">
                  <c:v>46.6387</c:v>
                </c:pt>
                <c:pt idx="13">
                  <c:v>45.605600000000003</c:v>
                </c:pt>
                <c:pt idx="14">
                  <c:v>44.731900000000003</c:v>
                </c:pt>
                <c:pt idx="15">
                  <c:v>43.963299999999997</c:v>
                </c:pt>
                <c:pt idx="16">
                  <c:v>43.800699999999999</c:v>
                </c:pt>
                <c:pt idx="17">
                  <c:v>43.255099999999999</c:v>
                </c:pt>
                <c:pt idx="18">
                  <c:v>42.714200000000005</c:v>
                </c:pt>
                <c:pt idx="19">
                  <c:v>42.106200000000001</c:v>
                </c:pt>
                <c:pt idx="20">
                  <c:v>40.983799999999995</c:v>
                </c:pt>
                <c:pt idx="21">
                  <c:v>40.846600000000002</c:v>
                </c:pt>
                <c:pt idx="22">
                  <c:v>40.0092</c:v>
                </c:pt>
                <c:pt idx="23">
                  <c:v>39.930700000000002</c:v>
                </c:pt>
                <c:pt idx="24">
                  <c:v>39.817399999999999</c:v>
                </c:pt>
                <c:pt idx="25">
                  <c:v>39.898000000000003</c:v>
                </c:pt>
                <c:pt idx="26">
                  <c:v>39.846599999999995</c:v>
                </c:pt>
                <c:pt idx="27">
                  <c:v>39.823399999999999</c:v>
                </c:pt>
                <c:pt idx="28">
                  <c:v>39.722799999999999</c:v>
                </c:pt>
                <c:pt idx="29">
                  <c:v>39.721699999999998</c:v>
                </c:pt>
                <c:pt idx="30">
                  <c:v>39.641500000000001</c:v>
                </c:pt>
                <c:pt idx="31">
                  <c:v>39.515799999999999</c:v>
                </c:pt>
                <c:pt idx="32">
                  <c:v>39.358900000000006</c:v>
                </c:pt>
                <c:pt idx="33">
                  <c:v>39.181800000000003</c:v>
                </c:pt>
                <c:pt idx="34">
                  <c:v>38.966799999999999</c:v>
                </c:pt>
                <c:pt idx="35">
                  <c:v>38.759500000000003</c:v>
                </c:pt>
                <c:pt idx="36">
                  <c:v>38.545699999999997</c:v>
                </c:pt>
                <c:pt idx="37">
                  <c:v>38.352399999999996</c:v>
                </c:pt>
                <c:pt idx="38">
                  <c:v>38.113599999999998</c:v>
                </c:pt>
                <c:pt idx="39">
                  <c:v>37.903399999999998</c:v>
                </c:pt>
                <c:pt idx="40">
                  <c:v>37.707700000000003</c:v>
                </c:pt>
                <c:pt idx="41">
                  <c:v>37.5745</c:v>
                </c:pt>
                <c:pt idx="42">
                  <c:v>37.488</c:v>
                </c:pt>
                <c:pt idx="43">
                  <c:v>37.415599999999998</c:v>
                </c:pt>
                <c:pt idx="44">
                  <c:v>37.310200000000002</c:v>
                </c:pt>
                <c:pt idx="45">
                  <c:v>37.169999999999995</c:v>
                </c:pt>
                <c:pt idx="46">
                  <c:v>36.9876</c:v>
                </c:pt>
                <c:pt idx="47">
                  <c:v>36.846000000000004</c:v>
                </c:pt>
                <c:pt idx="48">
                  <c:v>36.675799999999995</c:v>
                </c:pt>
                <c:pt idx="49">
                  <c:v>36.453200000000002</c:v>
                </c:pt>
                <c:pt idx="50">
                  <c:v>36.1736</c:v>
                </c:pt>
                <c:pt idx="51">
                  <c:v>35.857599999999998</c:v>
                </c:pt>
                <c:pt idx="52">
                  <c:v>35.656700000000001</c:v>
                </c:pt>
                <c:pt idx="53">
                  <c:v>35.521900000000002</c:v>
                </c:pt>
                <c:pt idx="54">
                  <c:v>35.393900000000002</c:v>
                </c:pt>
                <c:pt idx="55">
                  <c:v>35.249399999999994</c:v>
                </c:pt>
                <c:pt idx="56">
                  <c:v>35.109200000000001</c:v>
                </c:pt>
                <c:pt idx="57">
                  <c:v>34.918900000000001</c:v>
                </c:pt>
                <c:pt idx="58">
                  <c:v>34.7027</c:v>
                </c:pt>
                <c:pt idx="59">
                  <c:v>34.4407</c:v>
                </c:pt>
                <c:pt idx="60">
                  <c:v>34.224600000000002</c:v>
                </c:pt>
                <c:pt idx="61">
                  <c:v>34.003299999999996</c:v>
                </c:pt>
                <c:pt idx="62">
                  <c:v>33.759699999999995</c:v>
                </c:pt>
                <c:pt idx="63">
                  <c:v>33.4895</c:v>
                </c:pt>
                <c:pt idx="64">
                  <c:v>33.251599999999996</c:v>
                </c:pt>
                <c:pt idx="65">
                  <c:v>33.009699999999995</c:v>
                </c:pt>
                <c:pt idx="66">
                  <c:v>32.953500000000005</c:v>
                </c:pt>
                <c:pt idx="67">
                  <c:v>32.851300000000002</c:v>
                </c:pt>
                <c:pt idx="68">
                  <c:v>32.552799999999998</c:v>
                </c:pt>
                <c:pt idx="69">
                  <c:v>32.457999999999998</c:v>
                </c:pt>
                <c:pt idx="70">
                  <c:v>32.414000000000001</c:v>
                </c:pt>
                <c:pt idx="71">
                  <c:v>32.130700000000004</c:v>
                </c:pt>
                <c:pt idx="72">
                  <c:v>31.790200000000002</c:v>
                </c:pt>
                <c:pt idx="73">
                  <c:v>31.918999999999997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7"/>
                <c:pt idx="0">
                  <c:v>1.6131200000000001</c:v>
                </c:pt>
                <c:pt idx="1">
                  <c:v>1.6830500000000002</c:v>
                </c:pt>
                <c:pt idx="2">
                  <c:v>1.7543500000000001</c:v>
                </c:pt>
                <c:pt idx="3">
                  <c:v>1.8305899999999999</c:v>
                </c:pt>
                <c:pt idx="4">
                  <c:v>1.9061300000000001</c:v>
                </c:pt>
                <c:pt idx="5">
                  <c:v>1.98611</c:v>
                </c:pt>
                <c:pt idx="6">
                  <c:v>2.0677000000000003</c:v>
                </c:pt>
                <c:pt idx="7">
                  <c:v>2.1520700000000001</c:v>
                </c:pt>
                <c:pt idx="8">
                  <c:v>2.23902</c:v>
                </c:pt>
                <c:pt idx="9">
                  <c:v>2.3273600000000001</c:v>
                </c:pt>
                <c:pt idx="10">
                  <c:v>2.4170199999999999</c:v>
                </c:pt>
                <c:pt idx="11">
                  <c:v>2.5101400000000003</c:v>
                </c:pt>
                <c:pt idx="12">
                  <c:v>2.6013700000000002</c:v>
                </c:pt>
                <c:pt idx="13">
                  <c:v>2.6943800000000002</c:v>
                </c:pt>
                <c:pt idx="14">
                  <c:v>2.7884399999999996</c:v>
                </c:pt>
                <c:pt idx="15">
                  <c:v>2.8828300000000002</c:v>
                </c:pt>
                <c:pt idx="16">
                  <c:v>2.9543000000000004</c:v>
                </c:pt>
                <c:pt idx="17">
                  <c:v>3.0497299999999998</c:v>
                </c:pt>
                <c:pt idx="18">
                  <c:v>3.1336199999999996</c:v>
                </c:pt>
                <c:pt idx="19">
                  <c:v>3.2155</c:v>
                </c:pt>
                <c:pt idx="20">
                  <c:v>3.3225300000000004</c:v>
                </c:pt>
                <c:pt idx="21">
                  <c:v>3.3843899999999998</c:v>
                </c:pt>
                <c:pt idx="22">
                  <c:v>3.48204</c:v>
                </c:pt>
                <c:pt idx="23">
                  <c:v>3.54975</c:v>
                </c:pt>
                <c:pt idx="24">
                  <c:v>3.6173499999999996</c:v>
                </c:pt>
                <c:pt idx="25">
                  <c:v>3.66987</c:v>
                </c:pt>
                <c:pt idx="26">
                  <c:v>3.7289599999999998</c:v>
                </c:pt>
                <c:pt idx="27">
                  <c:v>3.78132</c:v>
                </c:pt>
                <c:pt idx="28">
                  <c:v>3.8349600000000001</c:v>
                </c:pt>
                <c:pt idx="29">
                  <c:v>3.8716499999999998</c:v>
                </c:pt>
                <c:pt idx="30">
                  <c:v>3.9081000000000001</c:v>
                </c:pt>
                <c:pt idx="31">
                  <c:v>3.9357500000000001</c:v>
                </c:pt>
                <c:pt idx="32">
                  <c:v>3.9585399999999997</c:v>
                </c:pt>
                <c:pt idx="33">
                  <c:v>3.9762399999999998</c:v>
                </c:pt>
                <c:pt idx="34">
                  <c:v>3.9904699999999997</c:v>
                </c:pt>
                <c:pt idx="35">
                  <c:v>3.9986600000000001</c:v>
                </c:pt>
                <c:pt idx="36">
                  <c:v>4.0087899999999994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7"/>
                <c:pt idx="0">
                  <c:v>64.550300000000007</c:v>
                </c:pt>
                <c:pt idx="1">
                  <c:v>63.345700000000008</c:v>
                </c:pt>
                <c:pt idx="2">
                  <c:v>62.095599999999997</c:v>
                </c:pt>
                <c:pt idx="3">
                  <c:v>60.626500000000007</c:v>
                </c:pt>
                <c:pt idx="4">
                  <c:v>59.143100000000004</c:v>
                </c:pt>
                <c:pt idx="5">
                  <c:v>57.5276</c:v>
                </c:pt>
                <c:pt idx="6">
                  <c:v>56.013400000000004</c:v>
                </c:pt>
                <c:pt idx="7">
                  <c:v>54.328800000000001</c:v>
                </c:pt>
                <c:pt idx="8">
                  <c:v>52.598500000000001</c:v>
                </c:pt>
                <c:pt idx="9">
                  <c:v>50.908900000000003</c:v>
                </c:pt>
                <c:pt idx="10">
                  <c:v>49.335599999999999</c:v>
                </c:pt>
                <c:pt idx="11">
                  <c:v>47.824600000000004</c:v>
                </c:pt>
                <c:pt idx="12">
                  <c:v>46.6387</c:v>
                </c:pt>
                <c:pt idx="13">
                  <c:v>45.605600000000003</c:v>
                </c:pt>
                <c:pt idx="14">
                  <c:v>44.731900000000003</c:v>
                </c:pt>
                <c:pt idx="15">
                  <c:v>43.963299999999997</c:v>
                </c:pt>
                <c:pt idx="16">
                  <c:v>43.800699999999999</c:v>
                </c:pt>
                <c:pt idx="17">
                  <c:v>43.255099999999999</c:v>
                </c:pt>
                <c:pt idx="18">
                  <c:v>42.714200000000005</c:v>
                </c:pt>
                <c:pt idx="19">
                  <c:v>42.106200000000001</c:v>
                </c:pt>
                <c:pt idx="20">
                  <c:v>40.983799999999995</c:v>
                </c:pt>
                <c:pt idx="21">
                  <c:v>40.846600000000002</c:v>
                </c:pt>
                <c:pt idx="22">
                  <c:v>40.0092</c:v>
                </c:pt>
                <c:pt idx="23">
                  <c:v>39.930700000000002</c:v>
                </c:pt>
                <c:pt idx="24">
                  <c:v>39.817399999999999</c:v>
                </c:pt>
                <c:pt idx="25">
                  <c:v>39.898000000000003</c:v>
                </c:pt>
                <c:pt idx="26">
                  <c:v>39.846599999999995</c:v>
                </c:pt>
                <c:pt idx="27">
                  <c:v>39.823399999999999</c:v>
                </c:pt>
                <c:pt idx="28">
                  <c:v>39.722799999999999</c:v>
                </c:pt>
                <c:pt idx="29">
                  <c:v>39.721699999999998</c:v>
                </c:pt>
                <c:pt idx="30">
                  <c:v>39.641500000000001</c:v>
                </c:pt>
                <c:pt idx="31">
                  <c:v>39.515799999999999</c:v>
                </c:pt>
                <c:pt idx="32">
                  <c:v>39.358900000000006</c:v>
                </c:pt>
                <c:pt idx="33">
                  <c:v>39.181800000000003</c:v>
                </c:pt>
                <c:pt idx="34">
                  <c:v>38.966799999999999</c:v>
                </c:pt>
                <c:pt idx="35">
                  <c:v>38.759500000000003</c:v>
                </c:pt>
                <c:pt idx="36">
                  <c:v>38.545699999999997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4.0087899999999994</c:v>
                </c:pt>
                <c:pt idx="1">
                  <c:v>4.0131699999999997</c:v>
                </c:pt>
                <c:pt idx="2">
                  <c:v>4.0139399999999998</c:v>
                </c:pt>
                <c:pt idx="3">
                  <c:v>4.0159599999999998</c:v>
                </c:pt>
                <c:pt idx="4">
                  <c:v>4.0167299999999999</c:v>
                </c:pt>
                <c:pt idx="5">
                  <c:v>4.0137700000000001</c:v>
                </c:pt>
                <c:pt idx="6">
                  <c:v>4.0069499999999998</c:v>
                </c:pt>
                <c:pt idx="7">
                  <c:v>3.9996799999999997</c:v>
                </c:pt>
                <c:pt idx="8">
                  <c:v>3.9950999999999999</c:v>
                </c:pt>
                <c:pt idx="9">
                  <c:v>3.9893899999999998</c:v>
                </c:pt>
                <c:pt idx="10">
                  <c:v>3.9836200000000002</c:v>
                </c:pt>
                <c:pt idx="11">
                  <c:v>3.9723899999999999</c:v>
                </c:pt>
                <c:pt idx="12">
                  <c:v>3.9607999999999999</c:v>
                </c:pt>
                <c:pt idx="13">
                  <c:v>3.94625</c:v>
                </c:pt>
                <c:pt idx="14">
                  <c:v>3.9301300000000001</c:v>
                </c:pt>
                <c:pt idx="15">
                  <c:v>3.9153799999999999</c:v>
                </c:pt>
                <c:pt idx="16">
                  <c:v>3.9068399999999999</c:v>
                </c:pt>
                <c:pt idx="17">
                  <c:v>3.9044099999999999</c:v>
                </c:pt>
                <c:pt idx="18">
                  <c:v>3.9033800000000003</c:v>
                </c:pt>
                <c:pt idx="19">
                  <c:v>3.9027699999999999</c:v>
                </c:pt>
                <c:pt idx="20">
                  <c:v>3.90266</c:v>
                </c:pt>
                <c:pt idx="21">
                  <c:v>3.90463</c:v>
                </c:pt>
                <c:pt idx="22">
                  <c:v>3.9067000000000003</c:v>
                </c:pt>
                <c:pt idx="23">
                  <c:v>3.9090099999999999</c:v>
                </c:pt>
                <c:pt idx="24">
                  <c:v>3.9076</c:v>
                </c:pt>
                <c:pt idx="25">
                  <c:v>3.9032200000000001</c:v>
                </c:pt>
                <c:pt idx="26">
                  <c:v>3.89662</c:v>
                </c:pt>
                <c:pt idx="27">
                  <c:v>3.8889800000000001</c:v>
                </c:pt>
                <c:pt idx="28">
                  <c:v>3.8784400000000003</c:v>
                </c:pt>
                <c:pt idx="29">
                  <c:v>3.86422</c:v>
                </c:pt>
                <c:pt idx="30">
                  <c:v>3.8348800000000001</c:v>
                </c:pt>
                <c:pt idx="31">
                  <c:v>3.8019699999999998</c:v>
                </c:pt>
                <c:pt idx="32">
                  <c:v>3.7766199999999999</c:v>
                </c:pt>
                <c:pt idx="33">
                  <c:v>3.7406699999999997</c:v>
                </c:pt>
                <c:pt idx="34">
                  <c:v>3.7086299999999999</c:v>
                </c:pt>
                <c:pt idx="35">
                  <c:v>3.6920700000000002</c:v>
                </c:pt>
                <c:pt idx="36">
                  <c:v>3.7028299999999996</c:v>
                </c:pt>
                <c:pt idx="37">
                  <c:v>3.70322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38.545699999999997</c:v>
                </c:pt>
                <c:pt idx="1">
                  <c:v>38.352399999999996</c:v>
                </c:pt>
                <c:pt idx="2">
                  <c:v>38.113599999999998</c:v>
                </c:pt>
                <c:pt idx="3">
                  <c:v>37.903399999999998</c:v>
                </c:pt>
                <c:pt idx="4">
                  <c:v>37.707700000000003</c:v>
                </c:pt>
                <c:pt idx="5">
                  <c:v>37.5745</c:v>
                </c:pt>
                <c:pt idx="6">
                  <c:v>37.488</c:v>
                </c:pt>
                <c:pt idx="7">
                  <c:v>37.415599999999998</c:v>
                </c:pt>
                <c:pt idx="8">
                  <c:v>37.310200000000002</c:v>
                </c:pt>
                <c:pt idx="9">
                  <c:v>37.169999999999995</c:v>
                </c:pt>
                <c:pt idx="10">
                  <c:v>36.9876</c:v>
                </c:pt>
                <c:pt idx="11">
                  <c:v>36.846000000000004</c:v>
                </c:pt>
                <c:pt idx="12">
                  <c:v>36.675799999999995</c:v>
                </c:pt>
                <c:pt idx="13">
                  <c:v>36.453200000000002</c:v>
                </c:pt>
                <c:pt idx="14">
                  <c:v>36.1736</c:v>
                </c:pt>
                <c:pt idx="15">
                  <c:v>35.857599999999998</c:v>
                </c:pt>
                <c:pt idx="16">
                  <c:v>35.656700000000001</c:v>
                </c:pt>
                <c:pt idx="17">
                  <c:v>35.521900000000002</c:v>
                </c:pt>
                <c:pt idx="18">
                  <c:v>35.393900000000002</c:v>
                </c:pt>
                <c:pt idx="19">
                  <c:v>35.249399999999994</c:v>
                </c:pt>
                <c:pt idx="20">
                  <c:v>35.109200000000001</c:v>
                </c:pt>
                <c:pt idx="21">
                  <c:v>34.918900000000001</c:v>
                </c:pt>
                <c:pt idx="22">
                  <c:v>34.7027</c:v>
                </c:pt>
                <c:pt idx="23">
                  <c:v>34.4407</c:v>
                </c:pt>
                <c:pt idx="24">
                  <c:v>34.224600000000002</c:v>
                </c:pt>
                <c:pt idx="25">
                  <c:v>34.003299999999996</c:v>
                </c:pt>
                <c:pt idx="26">
                  <c:v>33.759699999999995</c:v>
                </c:pt>
                <c:pt idx="27">
                  <c:v>33.4895</c:v>
                </c:pt>
                <c:pt idx="28">
                  <c:v>33.251599999999996</c:v>
                </c:pt>
                <c:pt idx="29">
                  <c:v>33.009699999999995</c:v>
                </c:pt>
                <c:pt idx="30">
                  <c:v>32.953500000000005</c:v>
                </c:pt>
                <c:pt idx="31">
                  <c:v>32.851300000000002</c:v>
                </c:pt>
                <c:pt idx="32">
                  <c:v>32.552799999999998</c:v>
                </c:pt>
                <c:pt idx="33">
                  <c:v>32.457999999999998</c:v>
                </c:pt>
                <c:pt idx="34">
                  <c:v>32.414000000000001</c:v>
                </c:pt>
                <c:pt idx="35">
                  <c:v>32.130700000000004</c:v>
                </c:pt>
                <c:pt idx="36">
                  <c:v>31.790200000000002</c:v>
                </c:pt>
                <c:pt idx="37">
                  <c:v>31.918999999999997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1.6131200000000001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64.550300000000007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3.0223297297297291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46.099581081081098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3.9003683783783778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35.130554054054052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3.9003683783783778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35.130554054054052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495</v>
      </c>
      <c r="D5" s="151"/>
      <c r="E5" s="151"/>
      <c r="F5" s="152"/>
      <c r="G5" s="48" t="str">
        <f>lang!B27</f>
        <v>编号</v>
      </c>
      <c r="H5" s="150">
        <v>37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494</v>
      </c>
      <c r="D6" s="188"/>
      <c r="E6" s="188"/>
      <c r="F6" s="189"/>
      <c r="G6" s="49" t="str">
        <f>lang!B28</f>
        <v xml:space="preserve"> 日期</v>
      </c>
      <c r="H6" s="172">
        <f>FH_info!A2</f>
        <v>43607.462129629632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33</v>
      </c>
      <c r="D7" s="191"/>
      <c r="E7" s="191"/>
      <c r="F7" s="192"/>
      <c r="G7" s="50" t="str">
        <f>lang!B29</f>
        <v>误差率（%）</v>
      </c>
      <c r="H7" s="175">
        <f>M!B17*1</f>
        <v>18.459900000000001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42.776299999999999</v>
      </c>
      <c r="O8" s="59">
        <f>M!C5*1</f>
        <v>11.995200000000001</v>
      </c>
      <c r="P8" s="59">
        <f>M!D5*1</f>
        <v>28.041699999999999</v>
      </c>
      <c r="Q8" s="59">
        <f>M!E5*1</f>
        <v>20</v>
      </c>
      <c r="R8" s="59">
        <f>M!F5*1</f>
        <v>9.0614799999999995</v>
      </c>
      <c r="S8" s="59">
        <f>M!G5*1</f>
        <v>50</v>
      </c>
      <c r="T8" s="59">
        <f>M!H5*1</f>
        <v>50.420400000000001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29.113900000000001</v>
      </c>
      <c r="O9" s="59">
        <f>M!C6*1</f>
        <v>2.0096500000000002</v>
      </c>
      <c r="P9" s="59">
        <f>M!D6*1</f>
        <v>6.9027099999999999</v>
      </c>
      <c r="Q9" s="59">
        <f>M!E6*1</f>
        <v>20</v>
      </c>
      <c r="R9" s="59">
        <f>M!F6*1</f>
        <v>25.071899999999999</v>
      </c>
      <c r="S9" s="59">
        <f>M!G6*1</f>
        <v>40</v>
      </c>
      <c r="T9" s="59">
        <f>M!H6*1</f>
        <v>34.9572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9.0614799999999995</v>
      </c>
      <c r="D10" s="99">
        <f>N8</f>
        <v>42.776299999999999</v>
      </c>
      <c r="E10" s="100">
        <f>T8</f>
        <v>50.420400000000001</v>
      </c>
      <c r="F10" s="91">
        <f>P8</f>
        <v>28.041699999999999</v>
      </c>
      <c r="G10" s="81" t="str">
        <f>CONCATENATE(M9,"
(20 ~ 40)")</f>
        <v>压力
(20 ~ 40)</v>
      </c>
      <c r="H10" s="98">
        <f>R9</f>
        <v>25.071899999999999</v>
      </c>
      <c r="I10" s="108">
        <f>N9</f>
        <v>29.113900000000001</v>
      </c>
      <c r="J10" s="98">
        <f>T9</f>
        <v>34.9572</v>
      </c>
      <c r="K10" s="92">
        <f>P9</f>
        <v>6.9027099999999999</v>
      </c>
      <c r="L10" s="6"/>
      <c r="M10" s="27" t="str">
        <f>lang!B16</f>
        <v>焦虑</v>
      </c>
      <c r="N10" s="59">
        <f>M!B7*1</f>
        <v>23.633500000000002</v>
      </c>
      <c r="O10" s="59">
        <f>M!C7*1</f>
        <v>7.4484199999999996</v>
      </c>
      <c r="P10" s="59">
        <f>M!D7*1</f>
        <v>31.516300000000001</v>
      </c>
      <c r="Q10" s="59">
        <f>M!E7*1</f>
        <v>15</v>
      </c>
      <c r="R10" s="59">
        <f>M!F7*1</f>
        <v>8.0518000000000001</v>
      </c>
      <c r="S10" s="59">
        <f>M!G7*1</f>
        <v>40</v>
      </c>
      <c r="T10" s="59">
        <f>M!H7*1</f>
        <v>41.092399999999998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8.0518000000000001</v>
      </c>
      <c r="D11" s="102">
        <f>N10</f>
        <v>23.633500000000002</v>
      </c>
      <c r="E11" s="103">
        <f>T10</f>
        <v>41.092399999999998</v>
      </c>
      <c r="F11" s="94">
        <f>P10</f>
        <v>31.516300000000001</v>
      </c>
      <c r="G11" s="52" t="str">
        <f>CONCATENATE(M11,"
(20 ~ 50)")</f>
        <v>可疑
(20 ~ 50)</v>
      </c>
      <c r="H11" s="101">
        <f>R11</f>
        <v>18.690899999999999</v>
      </c>
      <c r="I11" s="104">
        <f>N11</f>
        <v>29.233799999999999</v>
      </c>
      <c r="J11" s="101">
        <f>T11</f>
        <v>36.395899999999997</v>
      </c>
      <c r="K11" s="95">
        <f>P11</f>
        <v>10.5341</v>
      </c>
      <c r="L11" s="4"/>
      <c r="M11" s="27" t="str">
        <f>lang!B17</f>
        <v>可疑</v>
      </c>
      <c r="N11" s="59">
        <f>M!B8*1</f>
        <v>29.233799999999999</v>
      </c>
      <c r="O11" s="59">
        <f>M!C8*1</f>
        <v>3.07951</v>
      </c>
      <c r="P11" s="59">
        <f>M!D8*1</f>
        <v>10.5341</v>
      </c>
      <c r="Q11" s="59">
        <f>M!E8*1</f>
        <v>20</v>
      </c>
      <c r="R11" s="59">
        <f>M!F8*1</f>
        <v>18.690899999999999</v>
      </c>
      <c r="S11" s="59">
        <f>M!G8*1</f>
        <v>50</v>
      </c>
      <c r="T11" s="59">
        <f>M!H8*1</f>
        <v>36.395899999999997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33.760300000000001</v>
      </c>
      <c r="D12" s="104">
        <f>N12</f>
        <v>61.701999999999998</v>
      </c>
      <c r="E12" s="101">
        <f>T12</f>
        <v>76.449799999999996</v>
      </c>
      <c r="F12" s="93">
        <f>P12</f>
        <v>14.295199999999999</v>
      </c>
      <c r="G12" s="52" t="str">
        <f>CONCATENATE(M13,"
(40 ~ 100)")</f>
        <v>自信
(40 ~ 100)</v>
      </c>
      <c r="H12" s="101">
        <f>R13</f>
        <v>61.261099999999999</v>
      </c>
      <c r="I12" s="104">
        <f>N13</f>
        <v>74.072599999999994</v>
      </c>
      <c r="J12" s="101">
        <f>T13</f>
        <v>77.873900000000006</v>
      </c>
      <c r="K12" s="95">
        <f>P13</f>
        <v>5.6455799999999998</v>
      </c>
      <c r="L12" s="4"/>
      <c r="M12" s="27" t="str">
        <f>lang!B18</f>
        <v>平衡</v>
      </c>
      <c r="N12" s="59">
        <f>M!B9*1</f>
        <v>61.701999999999998</v>
      </c>
      <c r="O12" s="59">
        <f>M!C9*1</f>
        <v>8.8203999999999994</v>
      </c>
      <c r="P12" s="59">
        <f>M!D9*1</f>
        <v>14.295199999999999</v>
      </c>
      <c r="Q12" s="59">
        <f>M!E9*1</f>
        <v>50</v>
      </c>
      <c r="R12" s="59">
        <f>M!F9*1</f>
        <v>33.760300000000001</v>
      </c>
      <c r="S12" s="59">
        <f>M!G9*1</f>
        <v>100</v>
      </c>
      <c r="T12" s="59">
        <f>M!H9*1</f>
        <v>76.449799999999996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5.5020300000000004</v>
      </c>
      <c r="D13" s="102">
        <f>N14</f>
        <v>24.632100000000001</v>
      </c>
      <c r="E13" s="103">
        <f>T14</f>
        <v>29.6328</v>
      </c>
      <c r="F13" s="94">
        <f>P14</f>
        <v>31.014299999999999</v>
      </c>
      <c r="G13" s="52" t="str">
        <f>CONCATENATE(M15,"
(50 ~ 100)")</f>
        <v>自我调节
(50 ~ 100)</v>
      </c>
      <c r="H13" s="101">
        <f>R15</f>
        <v>53.950099999999999</v>
      </c>
      <c r="I13" s="104">
        <f>N15</f>
        <v>66.718699999999998</v>
      </c>
      <c r="J13" s="101">
        <f>T15</f>
        <v>76.988200000000006</v>
      </c>
      <c r="K13" s="95">
        <f>P15</f>
        <v>6.6529100000000003</v>
      </c>
      <c r="L13" s="4"/>
      <c r="M13" s="27" t="str">
        <f>lang!B19</f>
        <v>自信</v>
      </c>
      <c r="N13" s="59">
        <f>M!B10*1</f>
        <v>74.072599999999994</v>
      </c>
      <c r="O13" s="59">
        <f>M!C10*1</f>
        <v>4.1818299999999997</v>
      </c>
      <c r="P13" s="59">
        <f>M!D10*1</f>
        <v>5.6455799999999998</v>
      </c>
      <c r="Q13" s="59">
        <f>M!E10*1</f>
        <v>40</v>
      </c>
      <c r="R13" s="59">
        <f>M!F10*1</f>
        <v>61.261099999999999</v>
      </c>
      <c r="S13" s="59">
        <f>M!G10*1</f>
        <v>100</v>
      </c>
      <c r="T13" s="59">
        <f>M!H10*1</f>
        <v>77.873900000000006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15.033099999999999</v>
      </c>
      <c r="D14" s="106">
        <f>N16</f>
        <v>20.388200000000001</v>
      </c>
      <c r="E14" s="107">
        <f>T16</f>
        <v>28.886500000000002</v>
      </c>
      <c r="F14" s="96">
        <f>P16</f>
        <v>14.0192</v>
      </c>
      <c r="G14" s="112" t="str">
        <f>CONCATENATE(M17,"
(10 ~ 50)")</f>
        <v>神经质
(10 ~ 50)</v>
      </c>
      <c r="H14" s="105">
        <f>R17</f>
        <v>1.4816400000000001</v>
      </c>
      <c r="I14" s="106">
        <f>N17</f>
        <v>28.582699999999999</v>
      </c>
      <c r="J14" s="107">
        <f>T17</f>
        <v>36.699599999999997</v>
      </c>
      <c r="K14" s="97">
        <f>P17</f>
        <v>35.977200000000003</v>
      </c>
      <c r="M14" s="27" t="str">
        <f>lang!B20</f>
        <v>活力</v>
      </c>
      <c r="N14" s="59">
        <f>M!B11*1</f>
        <v>24.632100000000001</v>
      </c>
      <c r="O14" s="59">
        <f>M!C11*1</f>
        <v>7.6394700000000002</v>
      </c>
      <c r="P14" s="59">
        <f>M!D11*1</f>
        <v>31.014299999999999</v>
      </c>
      <c r="Q14" s="59">
        <f>M!E11*1</f>
        <v>10</v>
      </c>
      <c r="R14" s="59">
        <f>M!F11*1</f>
        <v>5.5020300000000004</v>
      </c>
      <c r="S14" s="59">
        <f>M!G11*1</f>
        <v>50</v>
      </c>
      <c r="T14" s="59">
        <f>M!H11*1</f>
        <v>29.6328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66.718699999999998</v>
      </c>
      <c r="O15" s="59">
        <f>M!C12*1</f>
        <v>4.4387400000000001</v>
      </c>
      <c r="P15" s="59">
        <f>M!D12*1</f>
        <v>6.6529100000000003</v>
      </c>
      <c r="Q15" s="59">
        <f>M!E12*1</f>
        <v>50</v>
      </c>
      <c r="R15" s="59">
        <f>M!F12*1</f>
        <v>53.950099999999999</v>
      </c>
      <c r="S15" s="59">
        <f>M!G12*1</f>
        <v>100</v>
      </c>
      <c r="T15" s="59">
        <f>M!H12*1</f>
        <v>76.988200000000006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20.388200000000001</v>
      </c>
      <c r="O16" s="59">
        <f>M!C13*1</f>
        <v>2.8582700000000001</v>
      </c>
      <c r="P16" s="59">
        <f>M!D13*1</f>
        <v>14.0192</v>
      </c>
      <c r="Q16" s="59">
        <f>M!E13*1</f>
        <v>10</v>
      </c>
      <c r="R16" s="59">
        <f>M!F13*1</f>
        <v>15.033099999999999</v>
      </c>
      <c r="S16" s="59">
        <f>M!G13*1</f>
        <v>25</v>
      </c>
      <c r="T16" s="59">
        <f>M!H13*1</f>
        <v>28.886500000000002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28.582699999999999</v>
      </c>
      <c r="O17" s="59">
        <f>M!C14*1</f>
        <v>10.283300000000001</v>
      </c>
      <c r="P17" s="59">
        <f>M!D14*1</f>
        <v>35.977200000000003</v>
      </c>
      <c r="Q17" s="59">
        <f>M!E14*1</f>
        <v>10</v>
      </c>
      <c r="R17" s="59">
        <f>M!F14*1</f>
        <v>1.4816400000000001</v>
      </c>
      <c r="S17" s="59">
        <f>M!G14*1</f>
        <v>50</v>
      </c>
      <c r="T17" s="59">
        <f>M!H14*1</f>
        <v>36.699599999999997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56.781350000000003</v>
      </c>
      <c r="O18" s="22">
        <f>N18/(N18+N19+N20)</f>
        <v>0.50491980542642501</v>
      </c>
      <c r="P18" s="65">
        <f>SUM(P12:P15)/4</f>
        <v>14.401997499999998</v>
      </c>
      <c r="Q18" s="22">
        <f>P18/(P18+P19+P20)</f>
        <v>0.24556296026012422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31.189374999999998</v>
      </c>
      <c r="O19" s="22">
        <f>N19/(N18+N19+N20)</f>
        <v>0.27734693092664764</v>
      </c>
      <c r="P19" s="18">
        <f>SUM(P8:P11)/4</f>
        <v>19.2487025</v>
      </c>
      <c r="Q19" s="22">
        <f>P19/(P18+P19+P20)</f>
        <v>0.32820227659853812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24.48545</v>
      </c>
      <c r="O20" s="22">
        <f>N20/(N18+N19+N20)</f>
        <v>0.21773326364692736</v>
      </c>
      <c r="P20" s="18">
        <f>(P16+P17)/2</f>
        <v>24.998200000000001</v>
      </c>
      <c r="Q20" s="22">
        <f>P20/(P18+P19+P20)</f>
        <v>0.42623476314133774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-0.19749413513513531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1.6544892338964361</v>
      </c>
      <c r="D25" s="44" t="str">
        <f>lang!B11</f>
        <v>频率方差</v>
      </c>
      <c r="E25" s="142">
        <f ca="1">FH!L3</f>
        <v>0.71698096803784295</v>
      </c>
      <c r="F25" s="143"/>
      <c r="G25" s="134" t="str">
        <f>lang!B12</f>
        <v>生理变化率</v>
      </c>
      <c r="H25" s="135"/>
      <c r="I25" s="62" t="str">
        <f ca="1">CONCATENATE(info!M7,"-",info!M8)</f>
        <v>31.8-64.6</v>
      </c>
      <c r="J25" s="42" t="str">
        <f>lang!B13</f>
        <v>千卡l/分钟</v>
      </c>
      <c r="K25" s="41" t="str">
        <f ca="1">CONCATENATE(info!M5,"-",info!M6)</f>
        <v>1.6-4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60.084700000000005</v>
      </c>
      <c r="F28" s="164"/>
      <c r="G28" s="178" t="str">
        <f>lang!B33</f>
        <v>稳定性</v>
      </c>
      <c r="H28" s="179"/>
      <c r="I28" s="180"/>
      <c r="J28" s="181">
        <f>M!B19*100</f>
        <v>71.603399999999993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43607.462129629632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19.137699999999999</v>
      </c>
      <c r="O7" s="59">
        <f t="shared" ref="O7:T7" si="2">AG7-X7</f>
        <v>-8.1920000000000002</v>
      </c>
      <c r="P7" s="59">
        <f t="shared" si="2"/>
        <v>-35.30677</v>
      </c>
      <c r="Q7" s="59">
        <f t="shared" si="2"/>
        <v>0</v>
      </c>
      <c r="R7" s="59">
        <f t="shared" si="2"/>
        <v>32.318219999999997</v>
      </c>
      <c r="S7" s="59">
        <f t="shared" si="2"/>
        <v>0</v>
      </c>
      <c r="T7" s="59">
        <f t="shared" si="2"/>
        <v>6.9457999999999984</v>
      </c>
      <c r="U7" s="14"/>
      <c r="V7" s="27" t="str">
        <f>M7</f>
        <v>攻击性</v>
      </c>
      <c r="W7" s="59">
        <f>'M1'!B5*1</f>
        <v>25.749500000000001</v>
      </c>
      <c r="X7" s="59">
        <f>'M1'!C5*1</f>
        <v>10.301399999999999</v>
      </c>
      <c r="Y7" s="59">
        <f>'M1'!D5*1</f>
        <v>40.006100000000004</v>
      </c>
      <c r="Z7" s="59">
        <f>'M1'!E5*1</f>
        <v>20</v>
      </c>
      <c r="AA7" s="59">
        <f>'M1'!F5*1</f>
        <v>9.0614799999999995</v>
      </c>
      <c r="AB7" s="59">
        <f>'M1'!G5*1</f>
        <v>50</v>
      </c>
      <c r="AC7" s="59">
        <f>'M1'!H5*1</f>
        <v>43.474600000000002</v>
      </c>
      <c r="AE7" s="27" t="str">
        <f>V7</f>
        <v>攻击性</v>
      </c>
      <c r="AF7" s="59">
        <f>'M2'!B5*1</f>
        <v>44.8872</v>
      </c>
      <c r="AG7" s="59">
        <f>'M2'!C5*1</f>
        <v>2.1093999999999999</v>
      </c>
      <c r="AH7" s="59">
        <f>'M2'!D5*1</f>
        <v>4.6993299999999998</v>
      </c>
      <c r="AI7" s="59">
        <f>'M2'!E5*1</f>
        <v>20</v>
      </c>
      <c r="AJ7" s="59">
        <f>'M2'!F5*1</f>
        <v>41.3797</v>
      </c>
      <c r="AK7" s="59">
        <f>'M2'!G5*1</f>
        <v>50</v>
      </c>
      <c r="AL7" s="59">
        <f>'M2'!H5*1</f>
        <v>50.420400000000001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-3.3908000000000023</v>
      </c>
      <c r="O8" s="59">
        <f t="shared" ref="O8:O16" si="5">AG8-X8</f>
        <v>0.32962000000000002</v>
      </c>
      <c r="P8" s="59">
        <f t="shared" ref="P8:P16" si="6">AH8-Y8</f>
        <v>1.8063400000000005</v>
      </c>
      <c r="Q8" s="59">
        <f t="shared" ref="Q8:Q16" si="7">AI8-Z8</f>
        <v>0</v>
      </c>
      <c r="R8" s="59">
        <f t="shared" ref="R8:R16" si="8">AJ8-AA8</f>
        <v>-2.2431000000000019</v>
      </c>
      <c r="S8" s="59">
        <f t="shared" ref="S8:S16" si="9">AK8-AB8</f>
        <v>0</v>
      </c>
      <c r="T8" s="59">
        <f t="shared" ref="T8:T16" si="10">AL8-AC8</f>
        <v>-3.6270999999999987</v>
      </c>
      <c r="U8" s="15"/>
      <c r="V8" s="27" t="str">
        <f t="shared" ref="V8:V16" si="11">M8</f>
        <v>压力</v>
      </c>
      <c r="W8" s="59">
        <f>'M1'!B6*1</f>
        <v>29.848400000000002</v>
      </c>
      <c r="X8" s="59">
        <f>'M1'!C6*1</f>
        <v>1.3053699999999999</v>
      </c>
      <c r="Y8" s="59">
        <f>'M1'!D6*1</f>
        <v>4.3733199999999997</v>
      </c>
      <c r="Z8" s="59">
        <f>'M1'!E6*1</f>
        <v>20</v>
      </c>
      <c r="AA8" s="59">
        <f>'M1'!F6*1</f>
        <v>27.315000000000001</v>
      </c>
      <c r="AB8" s="59">
        <f>'M1'!G6*1</f>
        <v>40</v>
      </c>
      <c r="AC8" s="59">
        <f>'M1'!H6*1</f>
        <v>34.9572</v>
      </c>
      <c r="AE8" s="27" t="str">
        <f t="shared" ref="AE8:AE16" si="12">V8</f>
        <v>压力</v>
      </c>
      <c r="AF8" s="59">
        <f>'M2'!B6*1</f>
        <v>26.457599999999999</v>
      </c>
      <c r="AG8" s="59">
        <f>'M2'!C6*1</f>
        <v>1.6349899999999999</v>
      </c>
      <c r="AH8" s="59">
        <f>'M2'!D6*1</f>
        <v>6.1796600000000002</v>
      </c>
      <c r="AI8" s="59">
        <f>'M2'!E6*1</f>
        <v>20</v>
      </c>
      <c r="AJ8" s="59">
        <f>'M2'!F6*1</f>
        <v>25.071899999999999</v>
      </c>
      <c r="AK8" s="59">
        <f>'M2'!G6*1</f>
        <v>40</v>
      </c>
      <c r="AL8" s="59">
        <f>'M2'!H6*1</f>
        <v>31.330100000000002</v>
      </c>
    </row>
    <row r="9" spans="2:38" s="7" customFormat="1" ht="21" customHeight="1">
      <c r="B9" s="76" t="str">
        <f>CONCATENATE(M7,"
(20 ~ 50)")</f>
        <v>攻击性
(20 ~ 50)</v>
      </c>
      <c r="C9" s="77">
        <f>R7</f>
        <v>32.318219999999997</v>
      </c>
      <c r="D9" s="78">
        <f>N7</f>
        <v>19.137699999999999</v>
      </c>
      <c r="E9" s="79">
        <f>T7</f>
        <v>6.9457999999999984</v>
      </c>
      <c r="F9" s="79">
        <f>P7</f>
        <v>-35.30677</v>
      </c>
      <c r="G9" s="80" t="str">
        <f>CONCATENATE(M8,"
(20 ~ 40)")</f>
        <v>压力
(20 ~ 40)</v>
      </c>
      <c r="H9" s="77">
        <f>R8</f>
        <v>-2.2431000000000019</v>
      </c>
      <c r="I9" s="81">
        <f>N8</f>
        <v>-3.3908000000000023</v>
      </c>
      <c r="J9" s="77">
        <f>T8</f>
        <v>-3.6270999999999987</v>
      </c>
      <c r="K9" s="82">
        <f>P8</f>
        <v>1.8063400000000005</v>
      </c>
      <c r="L9" s="6"/>
      <c r="M9" s="27" t="str">
        <f>lang!B16</f>
        <v>焦虑</v>
      </c>
      <c r="N9" s="59">
        <f t="shared" si="4"/>
        <v>-4.1729000000000021</v>
      </c>
      <c r="O9" s="59">
        <f t="shared" si="5"/>
        <v>0.22674000000000039</v>
      </c>
      <c r="P9" s="59">
        <f t="shared" si="6"/>
        <v>5.8602000000000025</v>
      </c>
      <c r="Q9" s="59">
        <f t="shared" si="7"/>
        <v>0</v>
      </c>
      <c r="R9" s="59">
        <f t="shared" si="8"/>
        <v>-6.5558999999999994</v>
      </c>
      <c r="S9" s="59">
        <f t="shared" si="9"/>
        <v>0</v>
      </c>
      <c r="T9" s="59">
        <f t="shared" si="10"/>
        <v>-5.6100000000000705E-2</v>
      </c>
      <c r="U9" s="14"/>
      <c r="V9" s="27" t="str">
        <f t="shared" si="11"/>
        <v>焦虑</v>
      </c>
      <c r="W9" s="59">
        <f>'M1'!B7*1</f>
        <v>25.7651</v>
      </c>
      <c r="X9" s="59">
        <f>'M1'!C7*1</f>
        <v>6.4127599999999996</v>
      </c>
      <c r="Y9" s="59">
        <f>'M1'!D7*1</f>
        <v>24.889299999999999</v>
      </c>
      <c r="Z9" s="59">
        <f>'M1'!E7*1</f>
        <v>15</v>
      </c>
      <c r="AA9" s="59">
        <f>'M1'!F7*1</f>
        <v>14.607699999999999</v>
      </c>
      <c r="AB9" s="59">
        <f>'M1'!G7*1</f>
        <v>40</v>
      </c>
      <c r="AC9" s="59">
        <f>'M1'!H7*1</f>
        <v>41.092399999999998</v>
      </c>
      <c r="AE9" s="27" t="str">
        <f t="shared" si="12"/>
        <v>焦虑</v>
      </c>
      <c r="AF9" s="59">
        <f>'M2'!B7*1</f>
        <v>21.592199999999998</v>
      </c>
      <c r="AG9" s="59">
        <f>'M2'!C7*1</f>
        <v>6.6395</v>
      </c>
      <c r="AH9" s="59">
        <f>'M2'!D7*1</f>
        <v>30.749500000000001</v>
      </c>
      <c r="AI9" s="59">
        <f>'M2'!E7*1</f>
        <v>15</v>
      </c>
      <c r="AJ9" s="59">
        <f>'M2'!F7*1</f>
        <v>8.0518000000000001</v>
      </c>
      <c r="AK9" s="59">
        <f>'M2'!G7*1</f>
        <v>40</v>
      </c>
      <c r="AL9" s="59">
        <f>'M2'!H7*1</f>
        <v>41.036299999999997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-6.5558999999999994</v>
      </c>
      <c r="D10" s="51">
        <f>N9</f>
        <v>-4.1729000000000021</v>
      </c>
      <c r="E10" s="53">
        <f>T9</f>
        <v>-5.6100000000000705E-2</v>
      </c>
      <c r="F10" s="53">
        <f>P9</f>
        <v>5.8602000000000025</v>
      </c>
      <c r="G10" s="73" t="str">
        <f>CONCATENATE(M10,"
(20 ~ 50)")</f>
        <v>可疑
(20 ~ 50)</v>
      </c>
      <c r="H10" s="24">
        <f>R10</f>
        <v>8.6307000000000009</v>
      </c>
      <c r="I10" s="52">
        <f>N10</f>
        <v>4.4045000000000023</v>
      </c>
      <c r="J10" s="24">
        <f>T10</f>
        <v>3.6933999999999969</v>
      </c>
      <c r="K10" s="25">
        <f>P10</f>
        <v>-3.5898800000000008</v>
      </c>
      <c r="L10" s="4"/>
      <c r="M10" s="27" t="str">
        <f>lang!B17</f>
        <v>可疑</v>
      </c>
      <c r="N10" s="59">
        <f t="shared" si="4"/>
        <v>4.4045000000000023</v>
      </c>
      <c r="O10" s="59">
        <f t="shared" si="5"/>
        <v>-0.6775199999999999</v>
      </c>
      <c r="P10" s="59">
        <f t="shared" si="6"/>
        <v>-3.5898800000000008</v>
      </c>
      <c r="Q10" s="59">
        <f t="shared" si="7"/>
        <v>0</v>
      </c>
      <c r="R10" s="59">
        <f t="shared" si="8"/>
        <v>8.6307000000000009</v>
      </c>
      <c r="S10" s="59">
        <f t="shared" si="9"/>
        <v>0</v>
      </c>
      <c r="T10" s="59">
        <f t="shared" si="10"/>
        <v>3.6933999999999969</v>
      </c>
      <c r="U10" s="14"/>
      <c r="V10" s="27" t="str">
        <f t="shared" si="11"/>
        <v>可疑</v>
      </c>
      <c r="W10" s="59">
        <f>'M1'!B8*1</f>
        <v>26.811399999999999</v>
      </c>
      <c r="X10" s="59">
        <f>'M1'!C8*1</f>
        <v>2.6972</v>
      </c>
      <c r="Y10" s="59">
        <f>'M1'!D8*1</f>
        <v>10.059900000000001</v>
      </c>
      <c r="Z10" s="59">
        <f>'M1'!E8*1</f>
        <v>20</v>
      </c>
      <c r="AA10" s="59">
        <f>'M1'!F8*1</f>
        <v>18.690899999999999</v>
      </c>
      <c r="AB10" s="59">
        <f>'M1'!G8*1</f>
        <v>50</v>
      </c>
      <c r="AC10" s="59">
        <f>'M1'!H8*1</f>
        <v>32.702500000000001</v>
      </c>
      <c r="AE10" s="27" t="str">
        <f t="shared" si="12"/>
        <v>可疑</v>
      </c>
      <c r="AF10" s="59">
        <f>'M2'!B8*1</f>
        <v>31.215900000000001</v>
      </c>
      <c r="AG10" s="59">
        <f>'M2'!C8*1</f>
        <v>2.0196800000000001</v>
      </c>
      <c r="AH10" s="59">
        <f>'M2'!D8*1</f>
        <v>6.4700199999999999</v>
      </c>
      <c r="AI10" s="59">
        <f>'M2'!E8*1</f>
        <v>20</v>
      </c>
      <c r="AJ10" s="59">
        <f>'M2'!F8*1</f>
        <v>27.3216</v>
      </c>
      <c r="AK10" s="59">
        <f>'M2'!G8*1</f>
        <v>50</v>
      </c>
      <c r="AL10" s="59">
        <f>'M2'!H8*1</f>
        <v>36.395899999999997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-20.212499999999999</v>
      </c>
      <c r="D11" s="52">
        <f>N11</f>
        <v>-4.970799999999997</v>
      </c>
      <c r="E11" s="24">
        <f>T11</f>
        <v>-2.2099999999994679E-2</v>
      </c>
      <c r="F11" s="24">
        <f>P11</f>
        <v>6.0221499999999999</v>
      </c>
      <c r="G11" s="73" t="str">
        <f>CONCATENATE(M12,"
(40 ~ 100)")</f>
        <v>自信
(40 ~ 100)</v>
      </c>
      <c r="H11" s="24">
        <f>R12</f>
        <v>7.6269999999999953</v>
      </c>
      <c r="I11" s="52">
        <f>N12</f>
        <v>0.294399999999996</v>
      </c>
      <c r="J11" s="24">
        <f>T12</f>
        <v>-1.7190000000000083</v>
      </c>
      <c r="K11" s="25">
        <f>P12</f>
        <v>-4.9633099999999999</v>
      </c>
      <c r="L11" s="4"/>
      <c r="M11" s="27" t="str">
        <f>lang!B18</f>
        <v>平衡</v>
      </c>
      <c r="N11" s="59">
        <f t="shared" si="4"/>
        <v>-4.970799999999997</v>
      </c>
      <c r="O11" s="59">
        <f t="shared" si="5"/>
        <v>3.1125400000000001</v>
      </c>
      <c r="P11" s="59">
        <f t="shared" si="6"/>
        <v>6.0221499999999999</v>
      </c>
      <c r="Q11" s="59">
        <f t="shared" si="7"/>
        <v>0</v>
      </c>
      <c r="R11" s="59">
        <f t="shared" si="8"/>
        <v>-20.212499999999999</v>
      </c>
      <c r="S11" s="59">
        <f t="shared" si="9"/>
        <v>0</v>
      </c>
      <c r="T11" s="59">
        <f t="shared" si="10"/>
        <v>-2.2099999999994679E-2</v>
      </c>
      <c r="U11" s="14"/>
      <c r="V11" s="27" t="str">
        <f t="shared" si="11"/>
        <v>平衡</v>
      </c>
      <c r="W11" s="59">
        <f>'M1'!B9*1</f>
        <v>64.852599999999995</v>
      </c>
      <c r="X11" s="59">
        <f>'M1'!C9*1</f>
        <v>6.4403499999999996</v>
      </c>
      <c r="Y11" s="59">
        <f>'M1'!D9*1</f>
        <v>9.9307499999999997</v>
      </c>
      <c r="Z11" s="59">
        <f>'M1'!E9*1</f>
        <v>50</v>
      </c>
      <c r="AA11" s="59">
        <f>'M1'!F9*1</f>
        <v>53.972799999999999</v>
      </c>
      <c r="AB11" s="59">
        <f>'M1'!G9*1</f>
        <v>100</v>
      </c>
      <c r="AC11" s="59">
        <f>'M1'!H9*1</f>
        <v>76.449799999999996</v>
      </c>
      <c r="AE11" s="27" t="str">
        <f t="shared" si="12"/>
        <v>平衡</v>
      </c>
      <c r="AF11" s="59">
        <f>'M2'!B9*1</f>
        <v>59.881799999999998</v>
      </c>
      <c r="AG11" s="59">
        <f>'M2'!C9*1</f>
        <v>9.5528899999999997</v>
      </c>
      <c r="AH11" s="59">
        <f>'M2'!D9*1</f>
        <v>15.9529</v>
      </c>
      <c r="AI11" s="59">
        <f>'M2'!E9*1</f>
        <v>50</v>
      </c>
      <c r="AJ11" s="59">
        <f>'M2'!F9*1</f>
        <v>33.760300000000001</v>
      </c>
      <c r="AK11" s="59">
        <f>'M2'!G9*1</f>
        <v>100</v>
      </c>
      <c r="AL11" s="59">
        <f>'M2'!H9*1</f>
        <v>76.427700000000002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17.470769999999998</v>
      </c>
      <c r="D12" s="51">
        <f>N13</f>
        <v>14.850999999999999</v>
      </c>
      <c r="E12" s="53">
        <f>T13</f>
        <v>3.2911999999999999</v>
      </c>
      <c r="F12" s="53">
        <f>P13</f>
        <v>-45.385399999999997</v>
      </c>
      <c r="G12" s="73" t="str">
        <f>CONCATENATE(M14,"
(50 ~ 100)")</f>
        <v>自我调节
(50 ~ 100)</v>
      </c>
      <c r="H12" s="24">
        <f>R14</f>
        <v>-8.6388000000000034</v>
      </c>
      <c r="I12" s="52">
        <f>N14</f>
        <v>0.63469999999999516</v>
      </c>
      <c r="J12" s="24">
        <f>T14</f>
        <v>-4.2738000000000085</v>
      </c>
      <c r="K12" s="25">
        <f>P14</f>
        <v>0.35775000000000023</v>
      </c>
      <c r="L12" s="4"/>
      <c r="M12" s="27" t="str">
        <f>lang!B19</f>
        <v>自信</v>
      </c>
      <c r="N12" s="59">
        <f t="shared" si="4"/>
        <v>0.294399999999996</v>
      </c>
      <c r="O12" s="59">
        <f t="shared" si="5"/>
        <v>-3.65849</v>
      </c>
      <c r="P12" s="59">
        <f t="shared" si="6"/>
        <v>-4.9633099999999999</v>
      </c>
      <c r="Q12" s="59">
        <f t="shared" si="7"/>
        <v>0</v>
      </c>
      <c r="R12" s="59">
        <f t="shared" si="8"/>
        <v>7.6269999999999953</v>
      </c>
      <c r="S12" s="59">
        <f t="shared" si="9"/>
        <v>0</v>
      </c>
      <c r="T12" s="59">
        <f t="shared" si="10"/>
        <v>-1.7190000000000083</v>
      </c>
      <c r="U12" s="15"/>
      <c r="V12" s="27" t="str">
        <f t="shared" si="11"/>
        <v>自信</v>
      </c>
      <c r="W12" s="59">
        <f>'M1'!B10*1</f>
        <v>73.849000000000004</v>
      </c>
      <c r="X12" s="59">
        <f>'M1'!C10*1</f>
        <v>5.38727</v>
      </c>
      <c r="Y12" s="59">
        <f>'M1'!D10*1</f>
        <v>7.2949799999999998</v>
      </c>
      <c r="Z12" s="59">
        <f>'M1'!E10*1</f>
        <v>40</v>
      </c>
      <c r="AA12" s="59">
        <f>'M1'!F10*1</f>
        <v>61.261099999999999</v>
      </c>
      <c r="AB12" s="59">
        <f>'M1'!G10*1</f>
        <v>100</v>
      </c>
      <c r="AC12" s="59">
        <f>'M1'!H10*1</f>
        <v>77.873900000000006</v>
      </c>
      <c r="AE12" s="27" t="str">
        <f t="shared" si="12"/>
        <v>自信</v>
      </c>
      <c r="AF12" s="59">
        <f>'M2'!B10*1</f>
        <v>74.1434</v>
      </c>
      <c r="AG12" s="59">
        <f>'M2'!C10*1</f>
        <v>1.72878</v>
      </c>
      <c r="AH12" s="59">
        <f>'M2'!D10*1</f>
        <v>2.3316699999999999</v>
      </c>
      <c r="AI12" s="59">
        <f>'M2'!E10*1</f>
        <v>40</v>
      </c>
      <c r="AJ12" s="59">
        <f>'M2'!F10*1</f>
        <v>68.888099999999994</v>
      </c>
      <c r="AK12" s="59">
        <f>'M2'!G10*1</f>
        <v>100</v>
      </c>
      <c r="AL12" s="59">
        <f>'M2'!H10*1</f>
        <v>76.154899999999998</v>
      </c>
    </row>
    <row r="13" spans="2:38" ht="25.5" customHeight="1" thickBot="1">
      <c r="B13" s="72" t="str">
        <f>CONCATENATE(M15,"
(10 ~ 25)")</f>
        <v>抑郁
(10 ~ 25)</v>
      </c>
      <c r="C13" s="54">
        <f>R15</f>
        <v>3.3669999999999991</v>
      </c>
      <c r="D13" s="55">
        <f>N15</f>
        <v>1.2383999999999986</v>
      </c>
      <c r="E13" s="56">
        <f>T15</f>
        <v>-3.3546000000000014</v>
      </c>
      <c r="F13" s="56">
        <f>P15</f>
        <v>-11.07742</v>
      </c>
      <c r="G13" s="74" t="str">
        <f>CONCATENATE(M16,"
(10 ~ 50)")</f>
        <v>神经质
(10 ~ 50)</v>
      </c>
      <c r="H13" s="54">
        <f>R16</f>
        <v>1.8319700000000001</v>
      </c>
      <c r="I13" s="55">
        <f>N16</f>
        <v>-20.5047</v>
      </c>
      <c r="J13" s="56">
        <f>T16</f>
        <v>0.41109999999999758</v>
      </c>
      <c r="K13" s="57">
        <f>P16</f>
        <v>53.989699999999999</v>
      </c>
      <c r="M13" s="27" t="str">
        <f>lang!B20</f>
        <v>活力</v>
      </c>
      <c r="N13" s="59">
        <f t="shared" si="4"/>
        <v>14.850999999999999</v>
      </c>
      <c r="O13" s="59">
        <f t="shared" si="5"/>
        <v>-4.6510400000000001</v>
      </c>
      <c r="P13" s="59">
        <f t="shared" si="6"/>
        <v>-45.385399999999997</v>
      </c>
      <c r="Q13" s="59">
        <f t="shared" si="7"/>
        <v>0</v>
      </c>
      <c r="R13" s="59">
        <f t="shared" si="8"/>
        <v>17.470769999999998</v>
      </c>
      <c r="S13" s="59">
        <f t="shared" si="9"/>
        <v>0</v>
      </c>
      <c r="T13" s="59">
        <f t="shared" si="10"/>
        <v>3.2911999999999999</v>
      </c>
      <c r="U13" s="14"/>
      <c r="V13" s="27" t="str">
        <f t="shared" si="11"/>
        <v>活力</v>
      </c>
      <c r="W13" s="59">
        <f>'M1'!B11*1</f>
        <v>12.1661</v>
      </c>
      <c r="X13" s="59">
        <f>'M1'!C11*1</f>
        <v>6.2347799999999998</v>
      </c>
      <c r="Y13" s="59">
        <f>'M1'!D11*1</f>
        <v>51.247399999999999</v>
      </c>
      <c r="Z13" s="59">
        <f>'M1'!E11*1</f>
        <v>10</v>
      </c>
      <c r="AA13" s="59">
        <f>'M1'!F11*1</f>
        <v>5.5020300000000004</v>
      </c>
      <c r="AB13" s="59">
        <f>'M1'!G11*1</f>
        <v>50</v>
      </c>
      <c r="AC13" s="59">
        <f>'M1'!H11*1</f>
        <v>26.3416</v>
      </c>
      <c r="AE13" s="27" t="str">
        <f t="shared" si="12"/>
        <v>活力</v>
      </c>
      <c r="AF13" s="59">
        <f>'M2'!B11*1</f>
        <v>27.017099999999999</v>
      </c>
      <c r="AG13" s="59">
        <f>'M2'!C11*1</f>
        <v>1.5837399999999999</v>
      </c>
      <c r="AH13" s="59">
        <f>'M2'!D11*1</f>
        <v>5.8620000000000001</v>
      </c>
      <c r="AI13" s="59">
        <f>'M2'!E11*1</f>
        <v>10</v>
      </c>
      <c r="AJ13" s="59">
        <f>'M2'!F11*1</f>
        <v>22.972799999999999</v>
      </c>
      <c r="AK13" s="59">
        <f>'M2'!G11*1</f>
        <v>50</v>
      </c>
      <c r="AL13" s="59">
        <f>'M2'!H11*1</f>
        <v>29.6328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0.63469999999999516</v>
      </c>
      <c r="O14" s="59">
        <f t="shared" si="5"/>
        <v>0.27996999999999961</v>
      </c>
      <c r="P14" s="59">
        <f t="shared" si="6"/>
        <v>0.35775000000000023</v>
      </c>
      <c r="Q14" s="59">
        <f t="shared" si="7"/>
        <v>0</v>
      </c>
      <c r="R14" s="59">
        <f t="shared" si="8"/>
        <v>-8.6388000000000034</v>
      </c>
      <c r="S14" s="59">
        <f t="shared" si="9"/>
        <v>0</v>
      </c>
      <c r="T14" s="59">
        <f t="shared" si="10"/>
        <v>-4.2738000000000085</v>
      </c>
      <c r="U14" s="14"/>
      <c r="V14" s="27" t="str">
        <f t="shared" si="11"/>
        <v>自我调节</v>
      </c>
      <c r="W14" s="59">
        <f>'M1'!B12*1</f>
        <v>66.523200000000003</v>
      </c>
      <c r="X14" s="59">
        <f>'M1'!C12*1</f>
        <v>4.1626200000000004</v>
      </c>
      <c r="Y14" s="59">
        <f>'M1'!D12*1</f>
        <v>6.25739</v>
      </c>
      <c r="Z14" s="59">
        <f>'M1'!E12*1</f>
        <v>50</v>
      </c>
      <c r="AA14" s="59">
        <f>'M1'!F12*1</f>
        <v>62.588900000000002</v>
      </c>
      <c r="AB14" s="59">
        <f>'M1'!G12*1</f>
        <v>100</v>
      </c>
      <c r="AC14" s="59">
        <f>'M1'!H12*1</f>
        <v>76.988200000000006</v>
      </c>
      <c r="AE14" s="27" t="str">
        <f t="shared" si="12"/>
        <v>自我调节</v>
      </c>
      <c r="AF14" s="59">
        <f>'M2'!B12*1</f>
        <v>67.157899999999998</v>
      </c>
      <c r="AG14" s="59">
        <f>'M2'!C12*1</f>
        <v>4.44259</v>
      </c>
      <c r="AH14" s="59">
        <f>'M2'!D12*1</f>
        <v>6.6151400000000002</v>
      </c>
      <c r="AI14" s="59">
        <f>'M2'!E12*1</f>
        <v>50</v>
      </c>
      <c r="AJ14" s="59">
        <f>'M2'!F12*1</f>
        <v>53.950099999999999</v>
      </c>
      <c r="AK14" s="59">
        <f>'M2'!G12*1</f>
        <v>100</v>
      </c>
      <c r="AL14" s="59">
        <f>'M2'!H12*1</f>
        <v>72.714399999999998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1.2383999999999986</v>
      </c>
      <c r="O15" s="59">
        <f t="shared" si="5"/>
        <v>-2.0504699999999998</v>
      </c>
      <c r="P15" s="59">
        <f t="shared" si="6"/>
        <v>-11.07742</v>
      </c>
      <c r="Q15" s="59">
        <f t="shared" si="7"/>
        <v>0</v>
      </c>
      <c r="R15" s="59">
        <f t="shared" si="8"/>
        <v>3.3669999999999991</v>
      </c>
      <c r="S15" s="59">
        <f t="shared" si="9"/>
        <v>0</v>
      </c>
      <c r="T15" s="59">
        <f t="shared" si="10"/>
        <v>-3.3546000000000014</v>
      </c>
      <c r="U15" s="14"/>
      <c r="V15" s="27" t="str">
        <f t="shared" si="11"/>
        <v>抑郁</v>
      </c>
      <c r="W15" s="59">
        <f>'M1'!B13*1</f>
        <v>19.366800000000001</v>
      </c>
      <c r="X15" s="59">
        <f>'M1'!C13*1</f>
        <v>3.6288499999999999</v>
      </c>
      <c r="Y15" s="59">
        <f>'M1'!D13*1</f>
        <v>18.737500000000001</v>
      </c>
      <c r="Z15" s="59">
        <f>'M1'!E13*1</f>
        <v>10</v>
      </c>
      <c r="AA15" s="59">
        <f>'M1'!F13*1</f>
        <v>15.033099999999999</v>
      </c>
      <c r="AB15" s="59">
        <f>'M1'!G13*1</f>
        <v>25</v>
      </c>
      <c r="AC15" s="59">
        <f>'M1'!H13*1</f>
        <v>28.886500000000002</v>
      </c>
      <c r="AE15" s="27" t="str">
        <f t="shared" si="12"/>
        <v>抑郁</v>
      </c>
      <c r="AF15" s="59">
        <f>'M2'!B13*1</f>
        <v>20.6052</v>
      </c>
      <c r="AG15" s="59">
        <f>'M2'!C13*1</f>
        <v>1.5783799999999999</v>
      </c>
      <c r="AH15" s="59">
        <f>'M2'!D13*1</f>
        <v>7.6600799999999998</v>
      </c>
      <c r="AI15" s="59">
        <f>'M2'!E13*1</f>
        <v>10</v>
      </c>
      <c r="AJ15" s="59">
        <f>'M2'!F13*1</f>
        <v>18.400099999999998</v>
      </c>
      <c r="AK15" s="59">
        <f>'M2'!G13*1</f>
        <v>25</v>
      </c>
      <c r="AL15" s="59">
        <f>'M2'!H13*1</f>
        <v>25.5319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-20.5047</v>
      </c>
      <c r="O16" s="59">
        <f t="shared" si="5"/>
        <v>4.1598499999999996</v>
      </c>
      <c r="P16" s="59">
        <f t="shared" si="6"/>
        <v>53.989699999999999</v>
      </c>
      <c r="Q16" s="59">
        <f t="shared" si="7"/>
        <v>0</v>
      </c>
      <c r="R16" s="59">
        <f t="shared" si="8"/>
        <v>1.8319700000000001</v>
      </c>
      <c r="S16" s="59">
        <f t="shared" si="9"/>
        <v>0</v>
      </c>
      <c r="T16" s="59">
        <f t="shared" si="10"/>
        <v>0.41109999999999758</v>
      </c>
      <c r="U16" s="15"/>
      <c r="V16" s="27" t="str">
        <f t="shared" si="11"/>
        <v>神经质</v>
      </c>
      <c r="W16" s="59">
        <f>'M1'!B14*1</f>
        <v>36.288499999999999</v>
      </c>
      <c r="X16" s="59">
        <f>'M1'!C14*1</f>
        <v>7.7192499999999997</v>
      </c>
      <c r="Y16" s="59">
        <f>'M1'!D14*1</f>
        <v>21.271899999999999</v>
      </c>
      <c r="Z16" s="59">
        <f>'M1'!E14*1</f>
        <v>10</v>
      </c>
      <c r="AA16" s="59">
        <f>'M1'!F14*1</f>
        <v>1.4816400000000001</v>
      </c>
      <c r="AB16" s="59">
        <f>'M1'!G14*1</f>
        <v>50</v>
      </c>
      <c r="AC16" s="59">
        <f>'M1'!H14*1</f>
        <v>36.288499999999999</v>
      </c>
      <c r="AE16" s="27" t="str">
        <f t="shared" si="12"/>
        <v>神经质</v>
      </c>
      <c r="AF16" s="59">
        <f>'M2'!B14*1</f>
        <v>15.783799999999999</v>
      </c>
      <c r="AG16" s="59">
        <f>'M2'!C14*1</f>
        <v>11.879099999999999</v>
      </c>
      <c r="AH16" s="59">
        <f>'M2'!D14*1</f>
        <v>75.261600000000001</v>
      </c>
      <c r="AI16" s="59">
        <f>'M2'!E14*1</f>
        <v>10</v>
      </c>
      <c r="AJ16" s="59">
        <f>'M2'!F14*1</f>
        <v>3.3136100000000002</v>
      </c>
      <c r="AK16" s="59">
        <f>'M2'!G14*1</f>
        <v>50</v>
      </c>
      <c r="AL16" s="59">
        <f>'M2'!H14*1</f>
        <v>36.699599999999997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2.7023249999999983</v>
      </c>
      <c r="O17" s="22">
        <f>N17/(N17+N18+N19)</f>
        <v>-0.92034772835637746</v>
      </c>
      <c r="P17" s="65">
        <f>SUM(P11:P14)/4</f>
        <v>-10.992202499999999</v>
      </c>
      <c r="Q17" s="22">
        <f>P17/(P17+P18+P19)</f>
        <v>-4.1379916880300893</v>
      </c>
      <c r="R17" s="14"/>
      <c r="S17" s="14"/>
      <c r="T17" s="14"/>
      <c r="U17" s="14"/>
      <c r="V17" s="21" t="str">
        <f>M17</f>
        <v>Positive</v>
      </c>
      <c r="W17" s="65">
        <f>SUM(W11:W14)/4</f>
        <v>54.347724999999997</v>
      </c>
      <c r="X17" s="22">
        <f>W17/(W17+W18+W19)</f>
        <v>0.49760332396453999</v>
      </c>
      <c r="Y17" s="65">
        <f>SUM(Y11:Y14)/4</f>
        <v>18.68263</v>
      </c>
      <c r="Z17" s="22">
        <f>Y17/(Y17+Y18+Y19)</f>
        <v>0.31925486015469889</v>
      </c>
      <c r="AA17" s="14"/>
      <c r="AB17" s="14"/>
      <c r="AC17" s="14"/>
      <c r="AE17" s="21" t="str">
        <f>V17</f>
        <v>Positive</v>
      </c>
      <c r="AF17" s="65">
        <f>SUM(AF11:AF14)/4</f>
        <v>57.050049999999999</v>
      </c>
      <c r="AG17" s="22">
        <f>AF17/(AF17+AF18+AF19)</f>
        <v>0.53677606742955297</v>
      </c>
      <c r="AH17" s="65">
        <f>SUM(AH11:AH14)/4</f>
        <v>7.6904274999999993</v>
      </c>
      <c r="AI17" s="22">
        <f>AH17/(AH17+AH18+AH19)</f>
        <v>0.12571009382045004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3.9946249999999992</v>
      </c>
      <c r="O18" s="22">
        <f>N18/(N17+N18+N19)</f>
        <v>-1.3604744227232461</v>
      </c>
      <c r="P18" s="18">
        <f>SUM(P7:P10)/4</f>
        <v>-7.8075275</v>
      </c>
      <c r="Q18" s="22">
        <f>P18/(P17+P18+P19)</f>
        <v>-2.9391274313829596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27.043599999999998</v>
      </c>
      <c r="X18" s="22">
        <f>W18/(W17+W18+W19)</f>
        <v>0.24760898918892069</v>
      </c>
      <c r="Y18" s="18">
        <f>SUM(Y7:Y10)/4</f>
        <v>19.832155</v>
      </c>
      <c r="Z18" s="22">
        <f>Y18/(Y17+Y18+Y19)</f>
        <v>0.33889831737241022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31.038224999999997</v>
      </c>
      <c r="AG18" s="22">
        <f>AF18/(AF17+AF18+AF19)</f>
        <v>0.29203438656922537</v>
      </c>
      <c r="AH18" s="18">
        <f>SUM(AH7:AH10)/4</f>
        <v>12.024627499999999</v>
      </c>
      <c r="AI18" s="22">
        <f>AH18/(AH17+AH18+AH19)</f>
        <v>0.19655826040632507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-9.6331500000000005</v>
      </c>
      <c r="O19" s="22">
        <f>N19/(N17+N18+N19)</f>
        <v>3.2808221510796236</v>
      </c>
      <c r="P19" s="18">
        <f>(P15+P16)/2</f>
        <v>21.456139999999998</v>
      </c>
      <c r="Q19" s="22">
        <f>P19/(P17+P18+P19)</f>
        <v>8.0771191194130498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27.827649999999998</v>
      </c>
      <c r="X19" s="22">
        <f>W19/(W17+W18+W19)</f>
        <v>0.25478768684653924</v>
      </c>
      <c r="Y19" s="18">
        <f>(Y15+Y16)/2</f>
        <v>20.0047</v>
      </c>
      <c r="Z19" s="22">
        <f>Y19/(Y17+Y18+Y19)</f>
        <v>0.34184682247289083</v>
      </c>
      <c r="AA19" s="14"/>
      <c r="AB19" s="14"/>
      <c r="AC19" s="14"/>
      <c r="AE19" s="21" t="str">
        <f t="shared" si="14"/>
        <v>Physiological</v>
      </c>
      <c r="AF19" s="18">
        <f>(AF15+AF16)/2</f>
        <v>18.194499999999998</v>
      </c>
      <c r="AG19" s="22">
        <f>AF19/(AF17+AF18+AF19)</f>
        <v>0.17118954600122174</v>
      </c>
      <c r="AH19" s="18">
        <f>(AH15+AH16)/2</f>
        <v>41.460839999999997</v>
      </c>
      <c r="AI19" s="22">
        <f>AH19/(AH17+AH18+AH19)</f>
        <v>0.67773164577322487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1.19/1.96</v>
      </c>
      <c r="D24" s="44" t="str">
        <f>lang!B11</f>
        <v>频率方差</v>
      </c>
      <c r="E24" s="142" t="str">
        <f ca="1">CONCATENATE(ROUND('FH1'!L3,2),"/",ROUND('FH2'!L3,2))</f>
        <v>0.59/0.62</v>
      </c>
      <c r="F24" s="143"/>
      <c r="G24" s="134" t="str">
        <f>lang!B12</f>
        <v>生理变化率</v>
      </c>
      <c r="H24" s="135"/>
      <c r="I24" s="62" t="str">
        <f ca="1">CONCATENATE(info!M7,"-",info!M8)</f>
        <v>31.8-64.6</v>
      </c>
      <c r="J24" s="42" t="str">
        <f>lang!B13</f>
        <v>千卡l/分钟</v>
      </c>
      <c r="K24" s="41" t="str">
        <f ca="1">CONCATENATE(info!M5,"-",info!M6)</f>
        <v>1.6-4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15.162200000000004</v>
      </c>
      <c r="F27" s="164"/>
      <c r="G27" s="178" t="str">
        <f>lang!B33</f>
        <v>稳定性</v>
      </c>
      <c r="H27" s="179"/>
      <c r="I27" s="180"/>
      <c r="J27" s="181">
        <f>dM!B19*100</f>
        <v>20.804499999999994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-0.95243034045439745</v>
      </c>
      <c r="C2">
        <f t="array" aca="1" ref="C2" ca="1">CORREL(FT_E02,FT_PH02)</f>
        <v>0.9334335177026698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1.6131200000000001</v>
      </c>
      <c r="G2" s="61">
        <f>IF(FT!B2&lt;&gt;"",FT!B2*100,"")</f>
        <v>64.550300000000007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1.6830500000000002</v>
      </c>
      <c r="G3" s="61">
        <f>IF(FT!B3&lt;&gt;"",FT!B3*100,"")</f>
        <v>63.345700000000008</v>
      </c>
      <c r="H3" s="61">
        <f t="shared" ref="H3:H66" si="1">(IF(F3&lt;&gt;"",1,""))</f>
        <v>1</v>
      </c>
      <c r="I3" t="str">
        <f>IF(FT!B3&lt;&gt;"",FT!E3,"")</f>
        <v>1 [0.394626]</v>
      </c>
      <c r="J3">
        <f>IF(FT!B3&lt;&gt;"",FT!C3,"")</f>
        <v>0.39462599999999998</v>
      </c>
      <c r="K3" t="s">
        <v>52</v>
      </c>
      <c r="L3">
        <f>SUM(H2:H2005)</f>
        <v>74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0.46099581081081098</v>
      </c>
      <c r="V3">
        <f ca="1">AVERAGE(OFFSET(FT!B2,info!$L$3/2,0,info!$L$3/2,1))</f>
        <v>0.35130554054054053</v>
      </c>
      <c r="W3">
        <f ca="1">AVERAGE(OFFSET(FT!A2,0,0,info!$L$3/2,1))</f>
        <v>0.30223297297297291</v>
      </c>
      <c r="X3">
        <f ca="1">AVERAGE(OFFSET(FT!A2,info!$L$3/2,0,info!$L$3/2,1))</f>
        <v>0.39003683783783777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1.7543500000000001</v>
      </c>
      <c r="G4" s="61">
        <f>IF(FT!B4&lt;&gt;"",FT!B4*100,"")</f>
        <v>62.095599999999997</v>
      </c>
      <c r="H4" s="61">
        <f t="shared" si="1"/>
        <v>1</v>
      </c>
      <c r="I4" t="str">
        <f>IF(FT!B4&lt;&gt;"",FT!E4,"")</f>
        <v>1 [0.796936]</v>
      </c>
      <c r="J4">
        <f>IF(FT!B4&lt;&gt;"",FT!C4,"")</f>
        <v>0.79693599999999998</v>
      </c>
      <c r="O4">
        <f>O3+1</f>
        <v>1</v>
      </c>
      <c r="P4">
        <v>0</v>
      </c>
      <c r="Q4">
        <f>IF(R4=1998,0,R4)</f>
        <v>36</v>
      </c>
      <c r="R4">
        <f t="array" ref="R4">MAX(IF(ft_nq=O4,row_n))</f>
        <v>36</v>
      </c>
      <c r="S4">
        <f>Q4-P4+1</f>
        <v>37</v>
      </c>
      <c r="U4">
        <f>MAX(FT!C2:C4000)/4</f>
        <v>7.4271250000000002</v>
      </c>
      <c r="V4">
        <f>U4*3</f>
        <v>22.281375000000001</v>
      </c>
      <c r="W4">
        <f>U4</f>
        <v>7.4271250000000002</v>
      </c>
      <c r="X4">
        <f>V4</f>
        <v>22.281375000000001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1.8305899999999999</v>
      </c>
      <c r="G5" s="61">
        <f>IF(FT!B5&lt;&gt;"",FT!B5*100,"")</f>
        <v>60.626500000000007</v>
      </c>
      <c r="H5" s="61">
        <f t="shared" si="1"/>
        <v>1</v>
      </c>
      <c r="I5" t="str">
        <f>IF(FT!B5&lt;&gt;"",FT!E5,"")</f>
        <v>1 [1.209857]</v>
      </c>
      <c r="J5">
        <f>IF(FT!B5&lt;&gt;"",FT!C5,"")</f>
        <v>1.2098599999999999</v>
      </c>
      <c r="K5" t="s">
        <v>53</v>
      </c>
      <c r="L5" s="63">
        <f ca="1">MIN(FT_E)</f>
        <v>1.6131200000000001</v>
      </c>
      <c r="M5" s="63">
        <f ca="1">ROUND(L5,1)</f>
        <v>1.6</v>
      </c>
      <c r="O5">
        <f t="shared" ref="O5:O27" si="4">O4+1</f>
        <v>2</v>
      </c>
      <c r="P5">
        <f>IF(OR(R5=1998,R5=0),0,Q4)</f>
        <v>36</v>
      </c>
      <c r="Q5">
        <f>IF(R5=1998,0,R5)</f>
        <v>73</v>
      </c>
      <c r="R5">
        <f t="array" ref="R5">MAX(IF(ft_nq=O5,row_n))</f>
        <v>73</v>
      </c>
      <c r="S5">
        <f t="shared" ref="S5:S27" si="5">Q5-P5+1</f>
        <v>38</v>
      </c>
      <c r="U5">
        <f ca="1">U3*100</f>
        <v>46.099581081081098</v>
      </c>
      <c r="V5">
        <f ca="1">V3*100</f>
        <v>35.130554054054052</v>
      </c>
      <c r="W5">
        <f ca="1">W3*10</f>
        <v>3.0223297297297291</v>
      </c>
      <c r="X5">
        <f ca="1">X3*10</f>
        <v>3.9003683783783778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1.9061300000000001</v>
      </c>
      <c r="G6" s="61">
        <f>IF(FT!B6&lt;&gt;"",FT!B6*100,"")</f>
        <v>59.143100000000004</v>
      </c>
      <c r="H6" s="61">
        <f t="shared" si="1"/>
        <v>1</v>
      </c>
      <c r="I6" t="str">
        <f>IF(FT!B6&lt;&gt;"",FT!E6,"")</f>
        <v>1 [1.615413]</v>
      </c>
      <c r="J6">
        <f>IF(FT!B6&lt;&gt;"",FT!C6,"")</f>
        <v>1.61541</v>
      </c>
      <c r="K6" t="s">
        <v>54</v>
      </c>
      <c r="L6" s="63">
        <f ca="1">MAX(FT_E)</f>
        <v>4.0167299999999999</v>
      </c>
      <c r="M6" s="63">
        <f ca="1">ROUND(L6,1)</f>
        <v>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1.98611</v>
      </c>
      <c r="G7" s="61">
        <f>IF(FT!B7&lt;&gt;"",FT!B7*100,"")</f>
        <v>57.5276</v>
      </c>
      <c r="H7" s="61">
        <f t="shared" si="1"/>
        <v>1</v>
      </c>
      <c r="I7" t="str">
        <f>IF(FT!B7&lt;&gt;"",FT!E7,"")</f>
        <v>1 [2.018318]</v>
      </c>
      <c r="J7">
        <f>IF(FT!B7&lt;&gt;"",FT!C7,"")</f>
        <v>2.0183200000000001</v>
      </c>
      <c r="K7" t="s">
        <v>55</v>
      </c>
      <c r="L7" s="63">
        <f ca="1">MIN(FT_PH)</f>
        <v>31.790200000000002</v>
      </c>
      <c r="M7" s="63">
        <f ca="1">ROUND(L7,1)</f>
        <v>31.8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3668</v>
      </c>
      <c r="D8" s="61">
        <f>FH!B8*1</f>
        <v>3668</v>
      </c>
      <c r="E8">
        <f t="shared" si="3"/>
        <v>6</v>
      </c>
      <c r="F8" s="61">
        <f>IF(FT!A8&lt;&gt;"",FT!A8*10,"")</f>
        <v>2.0677000000000003</v>
      </c>
      <c r="G8" s="61">
        <f>IF(FT!B8&lt;&gt;"",FT!B8*100,"")</f>
        <v>56.013400000000004</v>
      </c>
      <c r="H8" s="61">
        <f t="shared" si="1"/>
        <v>1</v>
      </c>
      <c r="I8" t="str">
        <f>IF(FT!B8&lt;&gt;"",FT!E8,"")</f>
        <v>1 [2.424308]</v>
      </c>
      <c r="J8">
        <f>IF(FT!B8&lt;&gt;"",FT!C8,"")</f>
        <v>2.4243100000000002</v>
      </c>
      <c r="K8" t="s">
        <v>56</v>
      </c>
      <c r="L8" s="63">
        <f ca="1">MAX(FT_PH)</f>
        <v>64.550300000000007</v>
      </c>
      <c r="M8" s="63">
        <f ca="1">ROUND(L8,1)</f>
        <v>64.599999999999994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2.1520700000000001</v>
      </c>
      <c r="G9" s="61">
        <f>IF(FT!B9&lt;&gt;"",FT!B9*100,"")</f>
        <v>54.328800000000001</v>
      </c>
      <c r="H9" s="61">
        <f t="shared" si="1"/>
        <v>1</v>
      </c>
      <c r="I9" t="str">
        <f>IF(FT!B9&lt;&gt;"",FT!E9,"")</f>
        <v>1 [2.832348]</v>
      </c>
      <c r="J9">
        <f>IF(FT!B9&lt;&gt;"",FT!C9,"")</f>
        <v>2.8323499999999999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5633</v>
      </c>
      <c r="D10" s="61">
        <f>FH!B10*1</f>
        <v>5633</v>
      </c>
      <c r="E10">
        <f t="shared" si="3"/>
        <v>8</v>
      </c>
      <c r="F10" s="61">
        <f>IF(FT!A10&lt;&gt;"",FT!A10*10,"")</f>
        <v>2.23902</v>
      </c>
      <c r="G10" s="61">
        <f>IF(FT!B10&lt;&gt;"",FT!B10*100,"")</f>
        <v>52.598500000000001</v>
      </c>
      <c r="H10" s="61">
        <f t="shared" si="1"/>
        <v>1</v>
      </c>
      <c r="I10" t="str">
        <f>IF(FT!B10&lt;&gt;"",FT!E10,"")</f>
        <v>1 [3.240128]</v>
      </c>
      <c r="J10">
        <f>IF(FT!B10&lt;&gt;"",FT!C10,"")</f>
        <v>3.2401300000000002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2.3273600000000001</v>
      </c>
      <c r="G11" s="61">
        <f>IF(FT!B11&lt;&gt;"",FT!B11*100,"")</f>
        <v>50.908900000000003</v>
      </c>
      <c r="H11" s="61">
        <f t="shared" si="1"/>
        <v>1</v>
      </c>
      <c r="I11" t="str">
        <f>IF(FT!B11&lt;&gt;"",FT!E11,"")</f>
        <v>1 [3.646950]</v>
      </c>
      <c r="J11">
        <f>IF(FT!B11&lt;&gt;"",FT!C11,"")</f>
        <v>3.6469499999999999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2.4170199999999999</v>
      </c>
      <c r="G12" s="61">
        <f>IF(FT!B12&lt;&gt;"",FT!B12*100,"")</f>
        <v>49.335599999999999</v>
      </c>
      <c r="H12" s="61">
        <f t="shared" si="1"/>
        <v>1</v>
      </c>
      <c r="I12" t="str">
        <f>IF(FT!B12&lt;&gt;"",FT!E12,"")</f>
        <v>1 [4.050872]</v>
      </c>
      <c r="J12">
        <f>IF(FT!B12&lt;&gt;"",FT!C12,"")</f>
        <v>4.0508699999999997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11042</v>
      </c>
      <c r="D13" s="61">
        <f>FH!B13*1</f>
        <v>11042</v>
      </c>
      <c r="E13">
        <f t="shared" si="3"/>
        <v>11</v>
      </c>
      <c r="F13" s="61">
        <f>IF(FT!A13&lt;&gt;"",FT!A13*10,"")</f>
        <v>2.5101400000000003</v>
      </c>
      <c r="G13" s="61">
        <f>IF(FT!B13&lt;&gt;"",FT!B13*100,"")</f>
        <v>47.824600000000004</v>
      </c>
      <c r="H13" s="61">
        <f t="shared" si="1"/>
        <v>1</v>
      </c>
      <c r="I13" t="str">
        <f>IF(FT!B13&lt;&gt;"",FT!E13,"")</f>
        <v>1 [4.459109]</v>
      </c>
      <c r="J13">
        <f>IF(FT!B13&lt;&gt;"",FT!C13,"")</f>
        <v>4.4591099999999999</v>
      </c>
      <c r="L13" s="67">
        <f t="array" ref="L13">MAX(IF(ft_nq=2,row_n))</f>
        <v>73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2.6013700000000002</v>
      </c>
      <c r="G14" s="61">
        <f>IF(FT!B14&lt;&gt;"",FT!B14*100,"")</f>
        <v>46.6387</v>
      </c>
      <c r="H14" s="61">
        <f t="shared" si="1"/>
        <v>1</v>
      </c>
      <c r="I14" t="str">
        <f>IF(FT!B14&lt;&gt;"",FT!E14,"")</f>
        <v>1 [4.862978]</v>
      </c>
      <c r="J14">
        <f>IF(FT!B14&lt;&gt;"",FT!C14,"")</f>
        <v>4.8629800000000003</v>
      </c>
      <c r="L14">
        <f>L13+1</f>
        <v>74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12879</v>
      </c>
      <c r="D15" s="61">
        <f>FH!B15*1</f>
        <v>12879</v>
      </c>
      <c r="E15">
        <f t="shared" si="3"/>
        <v>13</v>
      </c>
      <c r="F15" s="61">
        <f>IF(FT!A15&lt;&gt;"",FT!A15*10,"")</f>
        <v>2.6943800000000002</v>
      </c>
      <c r="G15" s="61">
        <f>IF(FT!B15&lt;&gt;"",FT!B15*100,"")</f>
        <v>45.605600000000003</v>
      </c>
      <c r="H15" s="61">
        <f t="shared" si="1"/>
        <v>1</v>
      </c>
      <c r="I15" t="str">
        <f>IF(FT!B15&lt;&gt;"",FT!E15,"")</f>
        <v>1 [5.269600]</v>
      </c>
      <c r="J15">
        <f>IF(FT!B15&lt;&gt;"",FT!C15,"")</f>
        <v>5.2695999999999996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2.7884399999999996</v>
      </c>
      <c r="G16" s="61">
        <f>IF(FT!B16&lt;&gt;"",FT!B16*100,"")</f>
        <v>44.731900000000003</v>
      </c>
      <c r="H16" s="61">
        <f t="shared" si="1"/>
        <v>1</v>
      </c>
      <c r="I16" t="str">
        <f>IF(FT!B16&lt;&gt;"",FT!E16,"")</f>
        <v>1 [5.677594]</v>
      </c>
      <c r="J16">
        <f>IF(FT!B16&lt;&gt;"",FT!C16,"")</f>
        <v>5.6775900000000004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2.8828300000000002</v>
      </c>
      <c r="G17" s="61">
        <f>IF(FT!B17&lt;&gt;"",FT!B17*100,"")</f>
        <v>43.963299999999997</v>
      </c>
      <c r="H17" s="61">
        <f t="shared" si="1"/>
        <v>1</v>
      </c>
      <c r="I17" t="str">
        <f>IF(FT!B17&lt;&gt;"",FT!E17,"")</f>
        <v>1 [6.082576]</v>
      </c>
      <c r="J17">
        <f>IF(FT!B17&lt;&gt;"",FT!C17,"")</f>
        <v>6.0825800000000001</v>
      </c>
      <c r="L17">
        <f>L3+1</f>
        <v>75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17383</v>
      </c>
      <c r="D18" s="61">
        <f>FH!B18*1</f>
        <v>17383</v>
      </c>
      <c r="E18">
        <f t="shared" si="3"/>
        <v>16</v>
      </c>
      <c r="F18" s="61">
        <f>IF(FT!A18&lt;&gt;"",FT!A18*10,"")</f>
        <v>2.9543000000000004</v>
      </c>
      <c r="G18" s="61">
        <f>IF(FT!B18&lt;&gt;"",FT!B18*100,"")</f>
        <v>43.800699999999999</v>
      </c>
      <c r="H18" s="61">
        <f t="shared" si="1"/>
        <v>1</v>
      </c>
      <c r="I18" t="str">
        <f>IF(FT!B18&lt;&gt;"",FT!E18,"")</f>
        <v>1 [6.489366]</v>
      </c>
      <c r="J18">
        <f>IF(FT!B18&lt;&gt;"",FT!C18,"")</f>
        <v>6.4893700000000001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3.0497299999999998</v>
      </c>
      <c r="G19" s="61">
        <f>IF(FT!B19&lt;&gt;"",FT!B19*100,"")</f>
        <v>43.255099999999999</v>
      </c>
      <c r="H19" s="61">
        <f t="shared" si="1"/>
        <v>1</v>
      </c>
      <c r="I19" t="str">
        <f>IF(FT!B19&lt;&gt;"",FT!E19,"")</f>
        <v>1 [6.894498]</v>
      </c>
      <c r="J19">
        <f>IF(FT!B19&lt;&gt;"",FT!C19,"")</f>
        <v>6.8944999999999999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3.1336199999999996</v>
      </c>
      <c r="G20" s="61">
        <f>IF(FT!B20&lt;&gt;"",FT!B20*100,"")</f>
        <v>42.714200000000005</v>
      </c>
      <c r="H20" s="61">
        <f t="shared" si="1"/>
        <v>1</v>
      </c>
      <c r="I20" t="str">
        <f>IF(FT!B20&lt;&gt;"",FT!E20,"")</f>
        <v>1 [7.301157]</v>
      </c>
      <c r="J20">
        <f>IF(FT!B20&lt;&gt;"",FT!C20,"")</f>
        <v>7.3011600000000003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21291</v>
      </c>
      <c r="D21" s="61">
        <f>FH!B21*1</f>
        <v>21291</v>
      </c>
      <c r="E21">
        <f t="shared" si="3"/>
        <v>19</v>
      </c>
      <c r="F21" s="61">
        <f>IF(FT!A21&lt;&gt;"",FT!A21*10,"")</f>
        <v>3.2155</v>
      </c>
      <c r="G21" s="61">
        <f>IF(FT!B21&lt;&gt;"",FT!B21*100,"")</f>
        <v>42.106200000000001</v>
      </c>
      <c r="H21" s="61">
        <f t="shared" si="1"/>
        <v>1</v>
      </c>
      <c r="I21" t="str">
        <f>IF(FT!B21&lt;&gt;"",FT!E21,"")</f>
        <v>1 [7.709356]</v>
      </c>
      <c r="J21">
        <f>IF(FT!B21&lt;&gt;"",FT!C21,"")</f>
        <v>7.7093600000000002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3.3225300000000004</v>
      </c>
      <c r="G22" s="61">
        <f>IF(FT!B22&lt;&gt;"",FT!B22*100,"")</f>
        <v>40.983799999999995</v>
      </c>
      <c r="H22" s="61">
        <f t="shared" si="1"/>
        <v>1</v>
      </c>
      <c r="I22" t="str">
        <f>IF(FT!B22&lt;&gt;"",FT!E22,"")</f>
        <v>1 [8.115994]</v>
      </c>
      <c r="J22">
        <f>IF(FT!B22&lt;&gt;"",FT!C22,"")</f>
        <v>8.11599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20223</v>
      </c>
      <c r="D23" s="61">
        <f>FH!B23*1</f>
        <v>20223</v>
      </c>
      <c r="E23">
        <f t="shared" si="3"/>
        <v>21</v>
      </c>
      <c r="F23" s="61">
        <f>IF(FT!A23&lt;&gt;"",FT!A23*10,"")</f>
        <v>3.3843899999999998</v>
      </c>
      <c r="G23" s="61">
        <f>IF(FT!B23&lt;&gt;"",FT!B23*100,"")</f>
        <v>40.846600000000002</v>
      </c>
      <c r="H23" s="61">
        <f t="shared" si="1"/>
        <v>1</v>
      </c>
      <c r="I23" t="str">
        <f>IF(FT!B23&lt;&gt;"",FT!E23,"")</f>
        <v>1 [8.519925]</v>
      </c>
      <c r="J23">
        <f>IF(FT!B23&lt;&gt;"",FT!C23,"")</f>
        <v>8.5199300000000004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3.48204</v>
      </c>
      <c r="G24" s="61">
        <f>IF(FT!B24&lt;&gt;"",FT!B24*100,"")</f>
        <v>40.0092</v>
      </c>
      <c r="H24" s="61">
        <f t="shared" si="1"/>
        <v>1</v>
      </c>
      <c r="I24" t="str">
        <f>IF(FT!B24&lt;&gt;"",FT!E24,"")</f>
        <v>1 [8.927285]</v>
      </c>
      <c r="J24">
        <f>IF(FT!B24&lt;&gt;"",FT!C24,"")</f>
        <v>8.9272799999999997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3.54975</v>
      </c>
      <c r="G25" s="61">
        <f>IF(FT!B25&lt;&gt;"",FT!B25*100,"")</f>
        <v>39.930700000000002</v>
      </c>
      <c r="H25" s="61">
        <f t="shared" si="1"/>
        <v>1</v>
      </c>
      <c r="I25" t="str">
        <f>IF(FT!B25&lt;&gt;"",FT!E25,"")</f>
        <v>1 [9.332814]</v>
      </c>
      <c r="J25">
        <f>IF(FT!B25&lt;&gt;"",FT!C25,"")</f>
        <v>9.3328100000000003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29216</v>
      </c>
      <c r="D26" s="61">
        <f>FH!B26*1</f>
        <v>29216</v>
      </c>
      <c r="E26">
        <f t="shared" si="3"/>
        <v>24</v>
      </c>
      <c r="F26" s="61">
        <f>IF(FT!A26&lt;&gt;"",FT!A26*10,"")</f>
        <v>3.6173499999999996</v>
      </c>
      <c r="G26" s="61">
        <f>IF(FT!B26&lt;&gt;"",FT!B26*100,"")</f>
        <v>39.817399999999999</v>
      </c>
      <c r="H26" s="61">
        <f t="shared" si="1"/>
        <v>1</v>
      </c>
      <c r="I26" t="str">
        <f>IF(FT!B26&lt;&gt;"",FT!E26,"")</f>
        <v>1 [9.739599]</v>
      </c>
      <c r="J26">
        <f>IF(FT!B26&lt;&gt;"",FT!C26,"")</f>
        <v>9.7395999999999994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3.66987</v>
      </c>
      <c r="G27" s="61">
        <f>IF(FT!B27&lt;&gt;"",FT!B27*100,"")</f>
        <v>39.898000000000003</v>
      </c>
      <c r="H27" s="61">
        <f t="shared" si="1"/>
        <v>1</v>
      </c>
      <c r="I27" t="str">
        <f>IF(FT!B27&lt;&gt;"",FT!E27,"")</f>
        <v>1 [10.145563]</v>
      </c>
      <c r="J27">
        <f>IF(FT!B27&lt;&gt;"",FT!C27,"")</f>
        <v>10.1456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32031</v>
      </c>
      <c r="D28" s="61">
        <f>FH!B28*1</f>
        <v>32031</v>
      </c>
      <c r="E28">
        <f t="shared" si="3"/>
        <v>26</v>
      </c>
      <c r="F28" s="61">
        <f>IF(FT!A28&lt;&gt;"",FT!A28*10,"")</f>
        <v>3.7289599999999998</v>
      </c>
      <c r="G28" s="61">
        <f>IF(FT!B28&lt;&gt;"",FT!B28*100,"")</f>
        <v>39.846599999999995</v>
      </c>
      <c r="H28" s="61">
        <f t="shared" si="1"/>
        <v>1</v>
      </c>
      <c r="I28" t="str">
        <f>IF(FT!B28&lt;&gt;"",FT!E28,"")</f>
        <v>1 [10.548477]</v>
      </c>
      <c r="J28">
        <f>IF(FT!B28&lt;&gt;"",FT!C28,"")</f>
        <v>10.548500000000001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3.78132</v>
      </c>
      <c r="G29" s="61">
        <f>IF(FT!B29&lt;&gt;"",FT!B29*100,"")</f>
        <v>39.823399999999999</v>
      </c>
      <c r="H29" s="61">
        <f t="shared" si="1"/>
        <v>1</v>
      </c>
      <c r="I29" t="str">
        <f>IF(FT!B29&lt;&gt;"",FT!E29,"")</f>
        <v>1 [10.955404]</v>
      </c>
      <c r="J29">
        <f>IF(FT!B29&lt;&gt;"",FT!C29,"")</f>
        <v>10.955399999999999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3.8349600000000001</v>
      </c>
      <c r="G30" s="61">
        <f>IF(FT!B30&lt;&gt;"",FT!B30*100,"")</f>
        <v>39.722799999999999</v>
      </c>
      <c r="H30" s="61">
        <f t="shared" si="1"/>
        <v>1</v>
      </c>
      <c r="I30" t="str">
        <f>IF(FT!B30&lt;&gt;"",FT!E30,"")</f>
        <v>1 [11.363542]</v>
      </c>
      <c r="J30">
        <f>IF(FT!B30&lt;&gt;"",FT!C30,"")</f>
        <v>11.3635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38714</v>
      </c>
      <c r="D31" s="61">
        <f>FH!B31*1</f>
        <v>38714</v>
      </c>
      <c r="E31">
        <f t="shared" si="3"/>
        <v>29</v>
      </c>
      <c r="F31" s="61">
        <f>IF(FT!A31&lt;&gt;"",FT!A31*10,"")</f>
        <v>3.8716499999999998</v>
      </c>
      <c r="G31" s="61">
        <f>IF(FT!B31&lt;&gt;"",FT!B31*100,"")</f>
        <v>39.721699999999998</v>
      </c>
      <c r="H31" s="61">
        <f t="shared" si="1"/>
        <v>1</v>
      </c>
      <c r="I31" t="str">
        <f>IF(FT!B31&lt;&gt;"",FT!E31,"")</f>
        <v>1 [11.770258]</v>
      </c>
      <c r="J31">
        <f>IF(FT!B31&lt;&gt;"",FT!C31,"")</f>
        <v>11.770300000000001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3.9081000000000001</v>
      </c>
      <c r="G32" s="61">
        <f>IF(FT!B32&lt;&gt;"",FT!B32*100,"")</f>
        <v>39.641500000000001</v>
      </c>
      <c r="H32" s="61">
        <f t="shared" si="1"/>
        <v>1</v>
      </c>
      <c r="I32" t="str">
        <f>IF(FT!B32&lt;&gt;"",FT!E32,"")</f>
        <v>1 [12.177106]</v>
      </c>
      <c r="J32">
        <f>IF(FT!B32&lt;&gt;"",FT!C32,"")</f>
        <v>12.177099999999999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39612</v>
      </c>
      <c r="D33" s="61">
        <f>FH!B33*1</f>
        <v>39612</v>
      </c>
      <c r="E33">
        <f t="shared" si="3"/>
        <v>31</v>
      </c>
      <c r="F33" s="61">
        <f>IF(FT!A33&lt;&gt;"",FT!A33*10,"")</f>
        <v>3.9357500000000001</v>
      </c>
      <c r="G33" s="61">
        <f>IF(FT!B33&lt;&gt;"",FT!B33*100,"")</f>
        <v>39.515799999999999</v>
      </c>
      <c r="H33" s="61">
        <f t="shared" si="1"/>
        <v>1</v>
      </c>
      <c r="I33" t="str">
        <f>IF(FT!B33&lt;&gt;"",FT!E33,"")</f>
        <v>1 [12.583141]</v>
      </c>
      <c r="J33">
        <f>IF(FT!B33&lt;&gt;"",FT!C33,"")</f>
        <v>12.5831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3.9585399999999997</v>
      </c>
      <c r="G34" s="61">
        <f>IF(FT!B34&lt;&gt;"",FT!B34*100,"")</f>
        <v>39.358900000000006</v>
      </c>
      <c r="H34" s="61">
        <f t="shared" si="1"/>
        <v>1</v>
      </c>
      <c r="I34" t="str">
        <f>IF(FT!B34&lt;&gt;"",FT!E34,"")</f>
        <v>1 [12.985985]</v>
      </c>
      <c r="J34">
        <f>IF(FT!B34&lt;&gt;"",FT!C34,"")</f>
        <v>12.986000000000001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3.9762399999999998</v>
      </c>
      <c r="G35" s="61">
        <f>IF(FT!B35&lt;&gt;"",FT!B35*100,"")</f>
        <v>39.181800000000003</v>
      </c>
      <c r="H35" s="61">
        <f t="shared" si="1"/>
        <v>1</v>
      </c>
      <c r="I35" t="str">
        <f>IF(FT!B35&lt;&gt;"",FT!E35,"")</f>
        <v>1 [13.390956]</v>
      </c>
      <c r="J35">
        <f>IF(FT!B35&lt;&gt;"",FT!C35,"")</f>
        <v>13.391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39930</v>
      </c>
      <c r="D36" s="61">
        <f>FH!B36*1</f>
        <v>39930</v>
      </c>
      <c r="E36">
        <f t="shared" si="3"/>
        <v>34</v>
      </c>
      <c r="F36" s="61">
        <f>IF(FT!A36&lt;&gt;"",FT!A36*10,"")</f>
        <v>3.9904699999999997</v>
      </c>
      <c r="G36" s="61">
        <f>IF(FT!B36&lt;&gt;"",FT!B36*100,"")</f>
        <v>38.966799999999999</v>
      </c>
      <c r="H36" s="61">
        <f t="shared" si="1"/>
        <v>1</v>
      </c>
      <c r="I36" t="str">
        <f>IF(FT!B36&lt;&gt;"",FT!E36,"")</f>
        <v>1 [13.798844]</v>
      </c>
      <c r="J36">
        <f>IF(FT!B36&lt;&gt;"",FT!C36,"")</f>
        <v>13.7988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3.9986600000000001</v>
      </c>
      <c r="G37" s="61">
        <f>IF(FT!B37&lt;&gt;"",FT!B37*100,"")</f>
        <v>38.759500000000003</v>
      </c>
      <c r="H37" s="61">
        <f t="shared" si="1"/>
        <v>1</v>
      </c>
      <c r="I37" t="str">
        <f>IF(FT!B37&lt;&gt;"",FT!E37,"")</f>
        <v>1 [14.206941]</v>
      </c>
      <c r="J37">
        <f>IF(FT!B37&lt;&gt;"",FT!C37,"")</f>
        <v>14.206899999999999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4.0087899999999994</v>
      </c>
      <c r="G38" s="61">
        <f>IF(FT!B38&lt;&gt;"",FT!B38*100,"")</f>
        <v>38.545699999999997</v>
      </c>
      <c r="H38" s="61">
        <f t="shared" si="1"/>
        <v>1</v>
      </c>
      <c r="I38" t="str">
        <f>IF(FT!B38&lt;&gt;"",FT!E38,"")</f>
        <v>1 [14.612842]</v>
      </c>
      <c r="J38">
        <f>IF(FT!B38&lt;&gt;"",FT!C38,"")</f>
        <v>14.6128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39564</v>
      </c>
      <c r="D39" s="61">
        <f>FH!B39*1</f>
        <v>39564</v>
      </c>
      <c r="E39">
        <f t="shared" si="3"/>
        <v>37</v>
      </c>
      <c r="F39" s="61">
        <f>IF(FT!A39&lt;&gt;"",FT!A39*10,"")</f>
        <v>4.0131699999999997</v>
      </c>
      <c r="G39" s="61">
        <f>IF(FT!B39&lt;&gt;"",FT!B39*100,"")</f>
        <v>38.352399999999996</v>
      </c>
      <c r="H39" s="61">
        <f t="shared" si="1"/>
        <v>1</v>
      </c>
      <c r="I39" t="str">
        <f>IF(FT!B39&lt;&gt;"",FT!E39,"")</f>
        <v>2 [15.017371]</v>
      </c>
      <c r="J39">
        <f>IF(FT!B39&lt;&gt;"",FT!C39,"")</f>
        <v>15.0174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4.0139399999999998</v>
      </c>
      <c r="G40" s="61">
        <f>IF(FT!B40&lt;&gt;"",FT!B40*100,"")</f>
        <v>38.113599999999998</v>
      </c>
      <c r="H40" s="61">
        <f t="shared" si="1"/>
        <v>1</v>
      </c>
      <c r="I40" t="str">
        <f>IF(FT!B40&lt;&gt;"",FT!E40,"")</f>
        <v>2 [15.586107]</v>
      </c>
      <c r="J40">
        <f>IF(FT!B40&lt;&gt;"",FT!C40,"")</f>
        <v>15.5861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42291</v>
      </c>
      <c r="D41" s="61">
        <f>FH!B41*1</f>
        <v>42291</v>
      </c>
      <c r="E41">
        <f t="shared" si="3"/>
        <v>39</v>
      </c>
      <c r="F41" s="61">
        <f>IF(FT!A41&lt;&gt;"",FT!A41*10,"")</f>
        <v>4.0159599999999998</v>
      </c>
      <c r="G41" s="61">
        <f>IF(FT!B41&lt;&gt;"",FT!B41*100,"")</f>
        <v>37.903399999999998</v>
      </c>
      <c r="H41" s="61">
        <f t="shared" si="1"/>
        <v>1</v>
      </c>
      <c r="I41" t="str">
        <f>IF(FT!B41&lt;&gt;"",FT!E41,"")</f>
        <v>2 [15.955651]</v>
      </c>
      <c r="J41">
        <f>IF(FT!B41&lt;&gt;"",FT!C41,"")</f>
        <v>15.9557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4.0167299999999999</v>
      </c>
      <c r="G42" s="61">
        <f>IF(FT!B42&lt;&gt;"",FT!B42*100,"")</f>
        <v>37.707700000000003</v>
      </c>
      <c r="H42" s="61">
        <f t="shared" si="1"/>
        <v>1</v>
      </c>
      <c r="I42" t="str">
        <f>IF(FT!B42&lt;&gt;"",FT!E42,"")</f>
        <v>2 [16.331030]</v>
      </c>
      <c r="J42">
        <f>IF(FT!B42&lt;&gt;"",FT!C42,"")</f>
        <v>16.331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4.0137700000000001</v>
      </c>
      <c r="G43" s="61">
        <f>IF(FT!B43&lt;&gt;"",FT!B43*100,"")</f>
        <v>37.5745</v>
      </c>
      <c r="H43" s="61">
        <f t="shared" si="1"/>
        <v>1</v>
      </c>
      <c r="I43" t="str">
        <f>IF(FT!B43&lt;&gt;"",FT!E43,"")</f>
        <v>2 [16.713213]</v>
      </c>
      <c r="J43">
        <f>IF(FT!B43&lt;&gt;"",FT!C43,"")</f>
        <v>16.713200000000001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46054</v>
      </c>
      <c r="D44" s="61">
        <f>FH!B44*1</f>
        <v>46054</v>
      </c>
      <c r="E44">
        <f t="shared" si="3"/>
        <v>42</v>
      </c>
      <c r="F44" s="61">
        <f>IF(FT!A44&lt;&gt;"",FT!A44*10,"")</f>
        <v>4.0069499999999998</v>
      </c>
      <c r="G44" s="61">
        <f>IF(FT!B44&lt;&gt;"",FT!B44*100,"")</f>
        <v>37.488</v>
      </c>
      <c r="H44" s="61">
        <f t="shared" si="1"/>
        <v>1</v>
      </c>
      <c r="I44" t="str">
        <f>IF(FT!B44&lt;&gt;"",FT!E44,"")</f>
        <v>2 [17.112192]</v>
      </c>
      <c r="J44">
        <f>IF(FT!B44&lt;&gt;"",FT!C44,"")</f>
        <v>17.112200000000001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3.9996799999999997</v>
      </c>
      <c r="G45" s="61">
        <f>IF(FT!B45&lt;&gt;"",FT!B45*100,"")</f>
        <v>37.415599999999998</v>
      </c>
      <c r="H45" s="61">
        <f t="shared" si="1"/>
        <v>1</v>
      </c>
      <c r="I45" t="str">
        <f>IF(FT!B45&lt;&gt;"",FT!E45,"")</f>
        <v>2 [17.520944]</v>
      </c>
      <c r="J45">
        <f>IF(FT!B45&lt;&gt;"",FT!C45,"")</f>
        <v>17.520900000000001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51661</v>
      </c>
      <c r="D46" s="61">
        <f>FH!B46*1</f>
        <v>51661</v>
      </c>
      <c r="E46">
        <f t="shared" si="3"/>
        <v>44</v>
      </c>
      <c r="F46" s="61">
        <f>IF(FT!A46&lt;&gt;"",FT!A46*10,"")</f>
        <v>3.9950999999999999</v>
      </c>
      <c r="G46" s="61">
        <f>IF(FT!B46&lt;&gt;"",FT!B46*100,"")</f>
        <v>37.310200000000002</v>
      </c>
      <c r="H46" s="61">
        <f t="shared" si="1"/>
        <v>1</v>
      </c>
      <c r="I46" t="str">
        <f>IF(FT!B46&lt;&gt;"",FT!E46,"")</f>
        <v>2 [17.924743]</v>
      </c>
      <c r="J46">
        <f>IF(FT!B46&lt;&gt;"",FT!C46,"")</f>
        <v>17.924700000000001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3.9893899999999998</v>
      </c>
      <c r="G47" s="61">
        <f>IF(FT!B47&lt;&gt;"",FT!B47*100,"")</f>
        <v>37.169999999999995</v>
      </c>
      <c r="H47" s="61">
        <f t="shared" si="1"/>
        <v>1</v>
      </c>
      <c r="I47" t="str">
        <f>IF(FT!B47&lt;&gt;"",FT!E47,"")</f>
        <v>2 [18.328746]</v>
      </c>
      <c r="J47">
        <f>IF(FT!B47&lt;&gt;"",FT!C47,"")</f>
        <v>18.328700000000001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3.9836200000000002</v>
      </c>
      <c r="G48" s="61">
        <f>IF(FT!B48&lt;&gt;"",FT!B48*100,"")</f>
        <v>36.9876</v>
      </c>
      <c r="H48" s="61">
        <f t="shared" si="1"/>
        <v>1</v>
      </c>
      <c r="I48" t="str">
        <f>IF(FT!B48&lt;&gt;"",FT!E48,"")</f>
        <v>2 [18.737705]</v>
      </c>
      <c r="J48">
        <f>IF(FT!B48&lt;&gt;"",FT!C48,"")</f>
        <v>18.7377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50415</v>
      </c>
      <c r="D49" s="61">
        <f>FH!B49*1</f>
        <v>50415</v>
      </c>
      <c r="E49">
        <f t="shared" si="3"/>
        <v>47</v>
      </c>
      <c r="F49" s="61">
        <f>IF(FT!A49&lt;&gt;"",FT!A49*10,"")</f>
        <v>3.9723899999999999</v>
      </c>
      <c r="G49" s="61">
        <f>IF(FT!B49&lt;&gt;"",FT!B49*100,"")</f>
        <v>36.846000000000004</v>
      </c>
      <c r="H49" s="61">
        <f t="shared" si="1"/>
        <v>1</v>
      </c>
      <c r="I49" t="str">
        <f>IF(FT!B49&lt;&gt;"",FT!E49,"")</f>
        <v>2 [19.146547]</v>
      </c>
      <c r="J49">
        <f>IF(FT!B49&lt;&gt;"",FT!C49,"")</f>
        <v>19.1465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3.9607999999999999</v>
      </c>
      <c r="G50" s="61">
        <f>IF(FT!B50&lt;&gt;"",FT!B50*100,"")</f>
        <v>36.675799999999995</v>
      </c>
      <c r="H50" s="61">
        <f t="shared" si="1"/>
        <v>1</v>
      </c>
      <c r="I50" t="str">
        <f>IF(FT!B50&lt;&gt;"",FT!E50,"")</f>
        <v>2 [19.553500]</v>
      </c>
      <c r="J50">
        <f>IF(FT!B50&lt;&gt;"",FT!C50,"")</f>
        <v>19.5535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50992</v>
      </c>
      <c r="D51" s="61">
        <f>FH!B51*1</f>
        <v>50992</v>
      </c>
      <c r="E51">
        <f t="shared" si="3"/>
        <v>49</v>
      </c>
      <c r="F51" s="61">
        <f>IF(FT!A51&lt;&gt;"",FT!A51*10,"")</f>
        <v>3.94625</v>
      </c>
      <c r="G51" s="61">
        <f>IF(FT!B51&lt;&gt;"",FT!B51*100,"")</f>
        <v>36.453200000000002</v>
      </c>
      <c r="H51" s="61">
        <f t="shared" si="1"/>
        <v>1</v>
      </c>
      <c r="I51" t="str">
        <f>IF(FT!B51&lt;&gt;"",FT!E51,"")</f>
        <v>2 [19.959572]</v>
      </c>
      <c r="J51">
        <f>IF(FT!B51&lt;&gt;"",FT!C51,"")</f>
        <v>19.959599999999998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3.9301300000000001</v>
      </c>
      <c r="G52" s="61">
        <f>IF(FT!B52&lt;&gt;"",FT!B52*100,"")</f>
        <v>36.1736</v>
      </c>
      <c r="H52" s="61">
        <f t="shared" si="1"/>
        <v>1</v>
      </c>
      <c r="I52" t="str">
        <f>IF(FT!B52&lt;&gt;"",FT!E52,"")</f>
        <v>2 [20.361385]</v>
      </c>
      <c r="J52">
        <f>IF(FT!B52&lt;&gt;"",FT!C52,"")</f>
        <v>20.3614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3.9153799999999999</v>
      </c>
      <c r="G53" s="61">
        <f>IF(FT!B53&lt;&gt;"",FT!B53*100,"")</f>
        <v>35.857599999999998</v>
      </c>
      <c r="H53" s="61">
        <f t="shared" si="1"/>
        <v>1</v>
      </c>
      <c r="I53" t="str">
        <f>IF(FT!B53&lt;&gt;"",FT!E53,"")</f>
        <v>2 [20.775335]</v>
      </c>
      <c r="J53">
        <f>IF(FT!B53&lt;&gt;"",FT!C53,"")</f>
        <v>20.775300000000001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42164</v>
      </c>
      <c r="D54" s="61">
        <f>FH!B54*1</f>
        <v>42164</v>
      </c>
      <c r="E54">
        <f t="shared" si="3"/>
        <v>52</v>
      </c>
      <c r="F54" s="61">
        <f>IF(FT!A54&lt;&gt;"",FT!A54*10,"")</f>
        <v>3.9068399999999999</v>
      </c>
      <c r="G54" s="61">
        <f>IF(FT!B54&lt;&gt;"",FT!B54*100,"")</f>
        <v>35.656700000000001</v>
      </c>
      <c r="H54" s="61">
        <f t="shared" si="1"/>
        <v>1</v>
      </c>
      <c r="I54" t="str">
        <f>IF(FT!B54&lt;&gt;"",FT!E54,"")</f>
        <v>2 [21.179052]</v>
      </c>
      <c r="J54">
        <f>IF(FT!B54&lt;&gt;"",FT!C54,"")</f>
        <v>21.179099999999998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3.9044099999999999</v>
      </c>
      <c r="G55" s="61">
        <f>IF(FT!B55&lt;&gt;"",FT!B55*100,"")</f>
        <v>35.521900000000002</v>
      </c>
      <c r="H55" s="61">
        <f t="shared" si="1"/>
        <v>1</v>
      </c>
      <c r="I55" t="str">
        <f>IF(FT!B55&lt;&gt;"",FT!E55,"")</f>
        <v>2 [21.585116]</v>
      </c>
      <c r="J55">
        <f>IF(FT!B55&lt;&gt;"",FT!C55,"")</f>
        <v>21.585100000000001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3.9033800000000003</v>
      </c>
      <c r="G56" s="61">
        <f>IF(FT!B56&lt;&gt;"",FT!B56*100,"")</f>
        <v>35.393900000000002</v>
      </c>
      <c r="H56" s="61">
        <f t="shared" si="1"/>
        <v>1</v>
      </c>
      <c r="I56" t="str">
        <f>IF(FT!B56&lt;&gt;"",FT!E56,"")</f>
        <v>2 [21.988867]</v>
      </c>
      <c r="J56">
        <f>IF(FT!B56&lt;&gt;"",FT!C56,"")</f>
        <v>21.988900000000001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43045</v>
      </c>
      <c r="D57" s="61">
        <f>FH!B57*1</f>
        <v>43045</v>
      </c>
      <c r="E57">
        <f t="shared" si="3"/>
        <v>55</v>
      </c>
      <c r="F57" s="61">
        <f>IF(FT!A57&lt;&gt;"",FT!A57*10,"")</f>
        <v>3.9027699999999999</v>
      </c>
      <c r="G57" s="61">
        <f>IF(FT!B57&lt;&gt;"",FT!B57*100,"")</f>
        <v>35.249399999999994</v>
      </c>
      <c r="H57" s="61">
        <f t="shared" si="1"/>
        <v>1</v>
      </c>
      <c r="I57" t="str">
        <f>IF(FT!B57&lt;&gt;"",FT!E57,"")</f>
        <v>2 [22.395227]</v>
      </c>
      <c r="J57">
        <f>IF(FT!B57&lt;&gt;"",FT!C57,"")</f>
        <v>22.395199999999999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3.90266</v>
      </c>
      <c r="G58" s="61">
        <f>IF(FT!B58&lt;&gt;"",FT!B58*100,"")</f>
        <v>35.109200000000001</v>
      </c>
      <c r="H58" s="61">
        <f t="shared" si="1"/>
        <v>1</v>
      </c>
      <c r="I58" t="str">
        <f>IF(FT!B58&lt;&gt;"",FT!E58,"")</f>
        <v>2 [22.798852]</v>
      </c>
      <c r="J58">
        <f>IF(FT!B58&lt;&gt;"",FT!C58,"")</f>
        <v>22.7989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39219</v>
      </c>
      <c r="D59" s="61">
        <f>FH!B59*1</f>
        <v>39219</v>
      </c>
      <c r="E59">
        <f t="shared" si="3"/>
        <v>57</v>
      </c>
      <c r="F59" s="61">
        <f>IF(FT!A59&lt;&gt;"",FT!A59*10,"")</f>
        <v>3.90463</v>
      </c>
      <c r="G59" s="61">
        <f>IF(FT!B59&lt;&gt;"",FT!B59*100,"")</f>
        <v>34.918900000000001</v>
      </c>
      <c r="H59" s="61">
        <f t="shared" si="1"/>
        <v>1</v>
      </c>
      <c r="I59" t="str">
        <f>IF(FT!B59&lt;&gt;"",FT!E59,"")</f>
        <v>2 [23.204694]</v>
      </c>
      <c r="J59">
        <f>IF(FT!B59&lt;&gt;"",FT!C59,"")</f>
        <v>23.204699999999999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3.9067000000000003</v>
      </c>
      <c r="G60" s="61">
        <f>IF(FT!B60&lt;&gt;"",FT!B60*100,"")</f>
        <v>34.7027</v>
      </c>
      <c r="H60" s="61">
        <f t="shared" si="1"/>
        <v>1</v>
      </c>
      <c r="I60" t="str">
        <f>IF(FT!B60&lt;&gt;"",FT!E60,"")</f>
        <v>2 [23.618643]</v>
      </c>
      <c r="J60">
        <f>IF(FT!B60&lt;&gt;"",FT!C60,"")</f>
        <v>23.618600000000001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3.9090099999999999</v>
      </c>
      <c r="G61" s="61">
        <f>IF(FT!B61&lt;&gt;"",FT!B61*100,"")</f>
        <v>34.4407</v>
      </c>
      <c r="H61" s="61">
        <f t="shared" si="1"/>
        <v>1</v>
      </c>
      <c r="I61" t="str">
        <f>IF(FT!B61&lt;&gt;"",FT!E61,"")</f>
        <v>2 [24.022606]</v>
      </c>
      <c r="J61">
        <f>IF(FT!B61&lt;&gt;"",FT!C61,"")</f>
        <v>24.022600000000001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36048</v>
      </c>
      <c r="D62" s="61">
        <f>FH!B62*1</f>
        <v>36048</v>
      </c>
      <c r="E62">
        <f t="shared" si="3"/>
        <v>60</v>
      </c>
      <c r="F62" s="61">
        <f>IF(FT!A62&lt;&gt;"",FT!A62*10,"")</f>
        <v>3.9076</v>
      </c>
      <c r="G62" s="61">
        <f>IF(FT!B62&lt;&gt;"",FT!B62*100,"")</f>
        <v>34.224600000000002</v>
      </c>
      <c r="H62" s="61">
        <f t="shared" si="1"/>
        <v>1</v>
      </c>
      <c r="I62" t="str">
        <f>IF(FT!B62&lt;&gt;"",FT!E62,"")</f>
        <v>2 [24.425535]</v>
      </c>
      <c r="J62">
        <f>IF(FT!B62&lt;&gt;"",FT!C62,"")</f>
        <v>24.4255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3.9032200000000001</v>
      </c>
      <c r="G63" s="61">
        <f>IF(FT!B63&lt;&gt;"",FT!B63*100,"")</f>
        <v>34.003299999999996</v>
      </c>
      <c r="H63" s="61">
        <f t="shared" si="1"/>
        <v>1</v>
      </c>
      <c r="I63" t="str">
        <f>IF(FT!B63&lt;&gt;"",FT!E63,"")</f>
        <v>2 [24.831850]</v>
      </c>
      <c r="J63">
        <f>IF(FT!B63&lt;&gt;"",FT!C63,"")</f>
        <v>24.831800000000001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35041</v>
      </c>
      <c r="D64" s="61">
        <f>FH!B64*1</f>
        <v>35041</v>
      </c>
      <c r="E64">
        <f t="shared" si="3"/>
        <v>62</v>
      </c>
      <c r="F64" s="61">
        <f>IF(FT!A64&lt;&gt;"",FT!A64*10,"")</f>
        <v>3.89662</v>
      </c>
      <c r="G64" s="61">
        <f>IF(FT!B64&lt;&gt;"",FT!B64*100,"")</f>
        <v>33.759699999999995</v>
      </c>
      <c r="H64" s="61">
        <f t="shared" si="1"/>
        <v>1</v>
      </c>
      <c r="I64" t="str">
        <f>IF(FT!B64&lt;&gt;"",FT!E64,"")</f>
        <v>2 [25.239190]</v>
      </c>
      <c r="J64">
        <f>IF(FT!B64&lt;&gt;"",FT!C64,"")</f>
        <v>25.2392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3.8889800000000001</v>
      </c>
      <c r="G65" s="61">
        <f>IF(FT!B65&lt;&gt;"",FT!B65*100,"")</f>
        <v>33.4895</v>
      </c>
      <c r="H65" s="61">
        <f t="shared" si="1"/>
        <v>1</v>
      </c>
      <c r="I65" t="str">
        <f>IF(FT!B65&lt;&gt;"",FT!E65,"")</f>
        <v>2 [25.642402]</v>
      </c>
      <c r="J65">
        <f>IF(FT!B65&lt;&gt;"",FT!C65,"")</f>
        <v>25.642399999999999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3.8784400000000003</v>
      </c>
      <c r="G66" s="61">
        <f>IF(FT!B66&lt;&gt;"",FT!B66*100,"")</f>
        <v>33.251599999999996</v>
      </c>
      <c r="H66" s="61">
        <f t="shared" si="1"/>
        <v>1</v>
      </c>
      <c r="I66" t="str">
        <f>IF(FT!B66&lt;&gt;"",FT!E66,"")</f>
        <v>2 [26.048962]</v>
      </c>
      <c r="J66">
        <f>IF(FT!B66&lt;&gt;"",FT!C66,"")</f>
        <v>26.048999999999999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36914</v>
      </c>
      <c r="D67" s="61">
        <f>FH!B67*1</f>
        <v>36914</v>
      </c>
      <c r="E67">
        <f t="shared" si="3"/>
        <v>65</v>
      </c>
      <c r="F67" s="61">
        <f>IF(FT!A67&lt;&gt;"",FT!A67*10,"")</f>
        <v>3.86422</v>
      </c>
      <c r="G67" s="61">
        <f>IF(FT!B67&lt;&gt;"",FT!B67*100,"")</f>
        <v>33.009699999999995</v>
      </c>
      <c r="H67" s="61">
        <f t="shared" ref="H67:H130" si="9">(IF(F67&lt;&gt;"",1,""))</f>
        <v>1</v>
      </c>
      <c r="I67" t="str">
        <f>IF(FT!B67&lt;&gt;"",FT!E67,"")</f>
        <v>2 [26.456922]</v>
      </c>
      <c r="J67">
        <f>IF(FT!B67&lt;&gt;"",FT!C67,"")</f>
        <v>26.456900000000001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3.8348800000000001</v>
      </c>
      <c r="G68" s="61">
        <f>IF(FT!B68&lt;&gt;"",FT!B68*100,"")</f>
        <v>32.953500000000005</v>
      </c>
      <c r="H68" s="61">
        <f t="shared" si="9"/>
        <v>1</v>
      </c>
      <c r="I68" t="str">
        <f>IF(FT!B68&lt;&gt;"",FT!E68,"")</f>
        <v>2 [26.862973]</v>
      </c>
      <c r="J68">
        <f>IF(FT!B68&lt;&gt;"",FT!C68,"")</f>
        <v>26.863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40368</v>
      </c>
      <c r="D69" s="61">
        <f>FH!B69*1</f>
        <v>40368</v>
      </c>
      <c r="E69">
        <f t="shared" si="11"/>
        <v>67</v>
      </c>
      <c r="F69" s="61">
        <f>IF(FT!A69&lt;&gt;"",FT!A69*10,"")</f>
        <v>3.8019699999999998</v>
      </c>
      <c r="G69" s="61">
        <f>IF(FT!B69&lt;&gt;"",FT!B69*100,"")</f>
        <v>32.851300000000002</v>
      </c>
      <c r="H69" s="61">
        <f t="shared" si="9"/>
        <v>1</v>
      </c>
      <c r="I69" t="str">
        <f>IF(FT!B69&lt;&gt;"",FT!E69,"")</f>
        <v>2 [27.267728]</v>
      </c>
      <c r="J69">
        <f>IF(FT!B69&lt;&gt;"",FT!C69,"")</f>
        <v>27.267700000000001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3.7766199999999999</v>
      </c>
      <c r="G70" s="61">
        <f>IF(FT!B70&lt;&gt;"",FT!B70*100,"")</f>
        <v>32.552799999999998</v>
      </c>
      <c r="H70" s="61">
        <f t="shared" si="9"/>
        <v>1</v>
      </c>
      <c r="I70" t="str">
        <f>IF(FT!B70&lt;&gt;"",FT!E70,"")</f>
        <v>2 [27.676308]</v>
      </c>
      <c r="J70">
        <f>IF(FT!B70&lt;&gt;"",FT!C70,"")</f>
        <v>27.676300000000001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3.7406699999999997</v>
      </c>
      <c r="G71" s="61">
        <f>IF(FT!B71&lt;&gt;"",FT!B71*100,"")</f>
        <v>32.457999999999998</v>
      </c>
      <c r="H71" s="61">
        <f t="shared" si="9"/>
        <v>1</v>
      </c>
      <c r="I71" t="str">
        <f>IF(FT!B71&lt;&gt;"",FT!E71,"")</f>
        <v>2 [28.081547]</v>
      </c>
      <c r="J71">
        <f>IF(FT!B71&lt;&gt;"",FT!C71,"")</f>
        <v>28.081499999999998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40084</v>
      </c>
      <c r="D72" s="61">
        <f>FH!B72*1</f>
        <v>40084</v>
      </c>
      <c r="E72">
        <f t="shared" si="11"/>
        <v>70</v>
      </c>
      <c r="F72" s="61">
        <f>IF(FT!A72&lt;&gt;"",FT!A72*10,"")</f>
        <v>3.7086299999999999</v>
      </c>
      <c r="G72" s="61">
        <f>IF(FT!B72&lt;&gt;"",FT!B72*100,"")</f>
        <v>32.414000000000001</v>
      </c>
      <c r="H72" s="61">
        <f t="shared" si="9"/>
        <v>1</v>
      </c>
      <c r="I72" t="str">
        <f>IF(FT!B72&lt;&gt;"",FT!E72,"")</f>
        <v>2 [28.490473]</v>
      </c>
      <c r="J72">
        <f>IF(FT!B72&lt;&gt;"",FT!C72,"")</f>
        <v>28.490500000000001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3.6920700000000002</v>
      </c>
      <c r="G73" s="61">
        <f>IF(FT!B73&lt;&gt;"",FT!B73*100,"")</f>
        <v>32.130700000000004</v>
      </c>
      <c r="H73" s="61">
        <f t="shared" si="9"/>
        <v>1</v>
      </c>
      <c r="I73" t="str">
        <f>IF(FT!B73&lt;&gt;"",FT!E73,"")</f>
        <v>2 [28.896364]</v>
      </c>
      <c r="J73">
        <f>IF(FT!B73&lt;&gt;"",FT!C73,"")</f>
        <v>28.8964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3.7028299999999996</v>
      </c>
      <c r="G74" s="61">
        <f>IF(FT!B74&lt;&gt;"",FT!B74*100,"")</f>
        <v>31.790200000000002</v>
      </c>
      <c r="H74" s="61">
        <f t="shared" si="9"/>
        <v>1</v>
      </c>
      <c r="I74" t="str">
        <f>IF(FT!B74&lt;&gt;"",FT!E74,"")</f>
        <v>2 [29.300343]</v>
      </c>
      <c r="J74">
        <f>IF(FT!B74&lt;&gt;"",FT!C74,"")</f>
        <v>29.3003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41973</v>
      </c>
      <c r="D75" s="61">
        <f>FH!B75*1</f>
        <v>41973</v>
      </c>
      <c r="E75">
        <f t="shared" si="11"/>
        <v>73</v>
      </c>
      <c r="F75" s="61">
        <f>IF(FT!A75&lt;&gt;"",FT!A75*10,"")</f>
        <v>3.70322</v>
      </c>
      <c r="G75" s="61">
        <f>IF(FT!B75&lt;&gt;"",FT!B75*100,"")</f>
        <v>31.918999999999997</v>
      </c>
      <c r="H75" s="61">
        <f t="shared" si="9"/>
        <v>1</v>
      </c>
      <c r="I75" t="str">
        <f>IF(FT!B75&lt;&gt;"",FT!E75,"")</f>
        <v>2 [29.708525]</v>
      </c>
      <c r="J75">
        <f>IF(FT!B75&lt;&gt;"",FT!C75,"")</f>
        <v>29.708500000000001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 t="str">
        <f>IF(FT!A76&lt;&gt;"",FT!A76*10,"")</f>
        <v/>
      </c>
      <c r="G76" s="61" t="str">
        <f>IF(FT!B76&lt;&gt;"",FT!B76*100,"")</f>
        <v/>
      </c>
      <c r="H76" s="61" t="str">
        <f t="shared" si="9"/>
        <v/>
      </c>
      <c r="I76" t="str">
        <f>IF(FT!B76&lt;&gt;"",FT!E76,"")</f>
        <v/>
      </c>
      <c r="J76" t="str">
        <f>IF(FT!B76&lt;&gt;"",FT!C76,"")</f>
        <v/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40787</v>
      </c>
      <c r="D77" s="61">
        <f>FH!B77*1</f>
        <v>40787</v>
      </c>
      <c r="E77">
        <f t="shared" si="11"/>
        <v>75</v>
      </c>
      <c r="F77" s="61" t="str">
        <f>IF(FT!A77&lt;&gt;"",FT!A77*10,"")</f>
        <v/>
      </c>
      <c r="G77" s="61" t="str">
        <f>IF(FT!B77&lt;&gt;"",FT!B77*100,"")</f>
        <v/>
      </c>
      <c r="H77" s="61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 t="str">
        <f>IF(FT!A78&lt;&gt;"",FT!A78*10,"")</f>
        <v/>
      </c>
      <c r="G78" s="61" t="str">
        <f>IF(FT!B78&lt;&gt;"",FT!B78*100,"")</f>
        <v/>
      </c>
      <c r="H78" s="61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 t="str">
        <f>IF(FT!A79&lt;&gt;"",FT!A79*10,"")</f>
        <v/>
      </c>
      <c r="G79" s="61" t="str">
        <f>IF(FT!B79&lt;&gt;"",FT!B79*100,"")</f>
        <v/>
      </c>
      <c r="H79" s="61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45445</v>
      </c>
      <c r="D80" s="61">
        <f>FH!B80*1</f>
        <v>45445</v>
      </c>
      <c r="E80">
        <f t="shared" si="11"/>
        <v>78</v>
      </c>
      <c r="F80" s="61" t="str">
        <f>IF(FT!A80&lt;&gt;"",FT!A80*10,"")</f>
        <v/>
      </c>
      <c r="G80" s="61" t="str">
        <f>IF(FT!B80&lt;&gt;"",FT!B80*100,"")</f>
        <v/>
      </c>
      <c r="H80" s="61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 t="str">
        <f>IF(FT!A81&lt;&gt;"",FT!A81*10,"")</f>
        <v/>
      </c>
      <c r="G81" s="61" t="str">
        <f>IF(FT!B81&lt;&gt;"",FT!B81*100,"")</f>
        <v/>
      </c>
      <c r="H81" s="61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43283</v>
      </c>
      <c r="D82" s="61">
        <f>FH!B82*1</f>
        <v>43283</v>
      </c>
      <c r="E82">
        <f t="shared" si="11"/>
        <v>80</v>
      </c>
      <c r="F82" s="61" t="str">
        <f>IF(FT!A82&lt;&gt;"",FT!A82*10,"")</f>
        <v/>
      </c>
      <c r="G82" s="61" t="str">
        <f>IF(FT!B82&lt;&gt;"",FT!B82*100,"")</f>
        <v/>
      </c>
      <c r="H82" s="61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 t="str">
        <f>IF(FT!A83&lt;&gt;"",FT!A83*10,"")</f>
        <v/>
      </c>
      <c r="G83" s="61" t="str">
        <f>IF(FT!B83&lt;&gt;"",FT!B83*100,"")</f>
        <v/>
      </c>
      <c r="H83" s="61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 t="str">
        <f>IF(FT!A84&lt;&gt;"",FT!A84*10,"")</f>
        <v/>
      </c>
      <c r="G84" s="61" t="str">
        <f>IF(FT!B84&lt;&gt;"",FT!B84*100,"")</f>
        <v/>
      </c>
      <c r="H84" s="61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45782</v>
      </c>
      <c r="D85" s="61">
        <f>FH!B85*1</f>
        <v>45782</v>
      </c>
      <c r="E85">
        <f t="shared" si="11"/>
        <v>83</v>
      </c>
      <c r="F85" s="61" t="str">
        <f>IF(FT!A85&lt;&gt;"",FT!A85*10,"")</f>
        <v/>
      </c>
      <c r="G85" s="61" t="str">
        <f>IF(FT!B85&lt;&gt;"",FT!B85*100,"")</f>
        <v/>
      </c>
      <c r="H85" s="61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 t="str">
        <f>IF(FT!A86&lt;&gt;"",FT!A86*10,"")</f>
        <v/>
      </c>
      <c r="G86" s="61" t="str">
        <f>IF(FT!B86&lt;&gt;"",FT!B86*100,"")</f>
        <v/>
      </c>
      <c r="H86" s="61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 t="str">
        <f>IF(FT!A87&lt;&gt;"",FT!A87*10,"")</f>
        <v/>
      </c>
      <c r="G87" s="61" t="str">
        <f>IF(FT!B87&lt;&gt;"",FT!B87*100,"")</f>
        <v/>
      </c>
      <c r="H87" s="61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47921</v>
      </c>
      <c r="D88" s="61">
        <f>FH!B88*1</f>
        <v>47921</v>
      </c>
      <c r="E88">
        <f t="shared" si="11"/>
        <v>86</v>
      </c>
      <c r="F88" s="61" t="str">
        <f>IF(FT!A88&lt;&gt;"",FT!A88*10,"")</f>
        <v/>
      </c>
      <c r="G88" s="61" t="str">
        <f>IF(FT!B88&lt;&gt;"",FT!B88*100,"")</f>
        <v/>
      </c>
      <c r="H88" s="61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 t="str">
        <f>IF(FT!A89&lt;&gt;"",FT!A89*10,"")</f>
        <v/>
      </c>
      <c r="G89" s="61" t="str">
        <f>IF(FT!B89&lt;&gt;"",FT!B89*100,"")</f>
        <v/>
      </c>
      <c r="H89" s="61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55270</v>
      </c>
      <c r="D90" s="61">
        <f>FH!B90*1</f>
        <v>55270</v>
      </c>
      <c r="E90">
        <f t="shared" si="11"/>
        <v>88</v>
      </c>
      <c r="F90" s="61" t="str">
        <f>IF(FT!A90&lt;&gt;"",FT!A90*10,"")</f>
        <v/>
      </c>
      <c r="G90" s="61" t="str">
        <f>IF(FT!B90&lt;&gt;"",FT!B90*100,"")</f>
        <v/>
      </c>
      <c r="H90" s="61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 t="str">
        <f>IF(FT!A91&lt;&gt;"",FT!A91*10,"")</f>
        <v/>
      </c>
      <c r="G91" s="61" t="str">
        <f>IF(FT!B91&lt;&gt;"",FT!B91*100,"")</f>
        <v/>
      </c>
      <c r="H91" s="61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 t="str">
        <f>IF(FT!A92&lt;&gt;"",FT!A92*10,"")</f>
        <v/>
      </c>
      <c r="G92" s="61" t="str">
        <f>IF(FT!B92&lt;&gt;"",FT!B92*100,"")</f>
        <v/>
      </c>
      <c r="H92" s="61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60625</v>
      </c>
      <c r="D93" s="61">
        <f>FH!B93*1</f>
        <v>60625</v>
      </c>
      <c r="E93">
        <f t="shared" si="11"/>
        <v>91</v>
      </c>
      <c r="F93" s="61" t="str">
        <f>IF(FT!A93&lt;&gt;"",FT!A93*10,"")</f>
        <v/>
      </c>
      <c r="G93" s="61" t="str">
        <f>IF(FT!B93&lt;&gt;"",FT!B93*100,"")</f>
        <v/>
      </c>
      <c r="H93" s="61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 t="str">
        <f>IF(FT!A94&lt;&gt;"",FT!A94*10,"")</f>
        <v/>
      </c>
      <c r="G94" s="61" t="str">
        <f>IF(FT!B94&lt;&gt;"",FT!B94*100,"")</f>
        <v/>
      </c>
      <c r="H94" s="61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65669</v>
      </c>
      <c r="D95" s="61">
        <f>FH!B95*1</f>
        <v>65669</v>
      </c>
      <c r="E95">
        <f t="shared" si="11"/>
        <v>93</v>
      </c>
      <c r="F95" s="61" t="str">
        <f>IF(FT!A95&lt;&gt;"",FT!A95*10,"")</f>
        <v/>
      </c>
      <c r="G95" s="61" t="str">
        <f>IF(FT!B95&lt;&gt;"",FT!B95*100,"")</f>
        <v/>
      </c>
      <c r="H95" s="61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 t="str">
        <f>IF(FT!A96&lt;&gt;"",FT!A96*10,"")</f>
        <v/>
      </c>
      <c r="G96" s="61" t="str">
        <f>IF(FT!B96&lt;&gt;"",FT!B96*100,"")</f>
        <v/>
      </c>
      <c r="H96" s="61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 t="str">
        <f>IF(FT!A97&lt;&gt;"",FT!A97*10,"")</f>
        <v/>
      </c>
      <c r="G97" s="61" t="str">
        <f>IF(FT!B97&lt;&gt;"",FT!B97*100,"")</f>
        <v/>
      </c>
      <c r="H97" s="61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68126</v>
      </c>
      <c r="D98" s="61">
        <f>FH!B98*1</f>
        <v>68126</v>
      </c>
      <c r="E98">
        <f t="shared" si="11"/>
        <v>96</v>
      </c>
      <c r="F98" s="61" t="str">
        <f>IF(FT!A98&lt;&gt;"",FT!A98*10,"")</f>
        <v/>
      </c>
      <c r="G98" s="61" t="str">
        <f>IF(FT!B98&lt;&gt;"",FT!B98*100,"")</f>
        <v/>
      </c>
      <c r="H98" s="61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 t="str">
        <f>IF(FT!A99&lt;&gt;"",FT!A99*10,"")</f>
        <v/>
      </c>
      <c r="G99" s="61" t="str">
        <f>IF(FT!B99&lt;&gt;"",FT!B99*100,"")</f>
        <v/>
      </c>
      <c r="H99" s="61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70999</v>
      </c>
      <c r="D100" s="61">
        <f>FH!B100*1</f>
        <v>70999</v>
      </c>
      <c r="E100">
        <f t="shared" si="11"/>
        <v>98</v>
      </c>
      <c r="F100" s="61" t="str">
        <f>IF(FT!A100&lt;&gt;"",FT!A100*10,"")</f>
        <v/>
      </c>
      <c r="G100" s="61" t="str">
        <f>IF(FT!B100&lt;&gt;"",FT!B100*100,"")</f>
        <v/>
      </c>
      <c r="H100" s="61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 t="str">
        <f>IF(FT!A101&lt;&gt;"",FT!A101*10,"")</f>
        <v/>
      </c>
      <c r="G101" s="61" t="str">
        <f>IF(FT!B101&lt;&gt;"",FT!B101*100,"")</f>
        <v/>
      </c>
      <c r="H101" s="61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 t="str">
        <f>IF(FT!A102&lt;&gt;"",FT!A102*10,"")</f>
        <v/>
      </c>
      <c r="G102" s="61" t="str">
        <f>IF(FT!B102&lt;&gt;"",FT!B102*100,"")</f>
        <v/>
      </c>
      <c r="H102" s="61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66852</v>
      </c>
      <c r="D103" s="61">
        <f>FH!B103*1</f>
        <v>66852</v>
      </c>
      <c r="E103">
        <f t="shared" si="11"/>
        <v>101</v>
      </c>
      <c r="F103" s="61" t="str">
        <f>IF(FT!A103&lt;&gt;"",FT!A103*10,"")</f>
        <v/>
      </c>
      <c r="G103" s="61" t="str">
        <f>IF(FT!B103&lt;&gt;"",FT!B103*100,"")</f>
        <v/>
      </c>
      <c r="H103" s="61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 t="str">
        <f>IF(FT!A104&lt;&gt;"",FT!A104*10,"")</f>
        <v/>
      </c>
      <c r="G104" s="61" t="str">
        <f>IF(FT!B104&lt;&gt;"",FT!B104*100,"")</f>
        <v/>
      </c>
      <c r="H104" s="61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 t="str">
        <f>IF(FT!A105&lt;&gt;"",FT!A105*10,"")</f>
        <v/>
      </c>
      <c r="G105" s="61" t="str">
        <f>IF(FT!B105&lt;&gt;"",FT!B105*100,"")</f>
        <v/>
      </c>
      <c r="H105" s="61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66751</v>
      </c>
      <c r="D106" s="61">
        <f>FH!B106*1</f>
        <v>66751</v>
      </c>
      <c r="E106">
        <f t="shared" si="11"/>
        <v>104</v>
      </c>
      <c r="F106" s="61" t="str">
        <f>IF(FT!A106&lt;&gt;"",FT!A106*10,"")</f>
        <v/>
      </c>
      <c r="G106" s="61" t="str">
        <f>IF(FT!B106&lt;&gt;"",FT!B106*100,"")</f>
        <v/>
      </c>
      <c r="H106" s="61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 t="str">
        <f>IF(FT!A107&lt;&gt;"",FT!A107*10,"")</f>
        <v/>
      </c>
      <c r="G107" s="61" t="str">
        <f>IF(FT!B107&lt;&gt;"",FT!B107*100,"")</f>
        <v/>
      </c>
      <c r="H107" s="61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64731</v>
      </c>
      <c r="D108" s="61">
        <f>FH!B108*1</f>
        <v>64731</v>
      </c>
      <c r="E108">
        <f t="shared" si="11"/>
        <v>106</v>
      </c>
      <c r="F108" s="61" t="str">
        <f>IF(FT!A108&lt;&gt;"",FT!A108*10,"")</f>
        <v/>
      </c>
      <c r="G108" s="61" t="str">
        <f>IF(FT!B108&lt;&gt;"",FT!B108*100,"")</f>
        <v/>
      </c>
      <c r="H108" s="61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 t="str">
        <f>IF(FT!A109&lt;&gt;"",FT!A109*10,"")</f>
        <v/>
      </c>
      <c r="G109" s="61" t="str">
        <f>IF(FT!B109&lt;&gt;"",FT!B109*100,"")</f>
        <v/>
      </c>
      <c r="H109" s="61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 t="str">
        <f>IF(FT!A110&lt;&gt;"",FT!A110*10,"")</f>
        <v/>
      </c>
      <c r="G110" s="61" t="str">
        <f>IF(FT!B110&lt;&gt;"",FT!B110*100,"")</f>
        <v/>
      </c>
      <c r="H110" s="61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64981</v>
      </c>
      <c r="D111" s="61">
        <f>FH!B111*1</f>
        <v>64981</v>
      </c>
      <c r="E111">
        <f t="shared" si="11"/>
        <v>109</v>
      </c>
      <c r="F111" s="61" t="str">
        <f>IF(FT!A111&lt;&gt;"",FT!A111*10,"")</f>
        <v/>
      </c>
      <c r="G111" s="61" t="str">
        <f>IF(FT!B111&lt;&gt;"",FT!B111*100,"")</f>
        <v/>
      </c>
      <c r="H111" s="61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 t="str">
        <f>IF(FT!A112&lt;&gt;"",FT!A112*10,"")</f>
        <v/>
      </c>
      <c r="G112" s="61" t="str">
        <f>IF(FT!B112&lt;&gt;"",FT!B112*100,"")</f>
        <v/>
      </c>
      <c r="H112" s="61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64906</v>
      </c>
      <c r="D113" s="61">
        <f>FH!B113*1</f>
        <v>64906</v>
      </c>
      <c r="E113">
        <f t="shared" si="11"/>
        <v>111</v>
      </c>
      <c r="F113" s="61" t="str">
        <f>IF(FT!A113&lt;&gt;"",FT!A113*10,"")</f>
        <v/>
      </c>
      <c r="G113" s="61" t="str">
        <f>IF(FT!B113&lt;&gt;"",FT!B113*100,"")</f>
        <v/>
      </c>
      <c r="H113" s="61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 t="str">
        <f>IF(FT!A114&lt;&gt;"",FT!A114*10,"")</f>
        <v/>
      </c>
      <c r="G114" s="61" t="str">
        <f>IF(FT!B114&lt;&gt;"",FT!B114*100,"")</f>
        <v/>
      </c>
      <c r="H114" s="61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 t="str">
        <f>IF(FT!A115&lt;&gt;"",FT!A115*10,"")</f>
        <v/>
      </c>
      <c r="G115" s="61" t="str">
        <f>IF(FT!B115&lt;&gt;"",FT!B115*100,"")</f>
        <v/>
      </c>
      <c r="H115" s="61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60594</v>
      </c>
      <c r="D116" s="61">
        <f>FH!B116*1</f>
        <v>60594</v>
      </c>
      <c r="E116">
        <f t="shared" si="11"/>
        <v>114</v>
      </c>
      <c r="F116" s="61" t="str">
        <f>IF(FT!A116&lt;&gt;"",FT!A116*10,"")</f>
        <v/>
      </c>
      <c r="G116" s="61" t="str">
        <f>IF(FT!B116&lt;&gt;"",FT!B116*100,"")</f>
        <v/>
      </c>
      <c r="H116" s="61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 t="str">
        <f>IF(FT!A117&lt;&gt;"",FT!A117*10,"")</f>
        <v/>
      </c>
      <c r="G117" s="61" t="str">
        <f>IF(FT!B117&lt;&gt;"",FT!B117*100,"")</f>
        <v/>
      </c>
      <c r="H117" s="61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58973</v>
      </c>
      <c r="D118" s="61">
        <f>FH!B118*1</f>
        <v>58973</v>
      </c>
      <c r="E118">
        <f t="shared" si="11"/>
        <v>116</v>
      </c>
      <c r="F118" s="61" t="str">
        <f>IF(FT!A118&lt;&gt;"",FT!A118*10,"")</f>
        <v/>
      </c>
      <c r="G118" s="61" t="str">
        <f>IF(FT!B118&lt;&gt;"",FT!B118*100,"")</f>
        <v/>
      </c>
      <c r="H118" s="61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 t="str">
        <f>IF(FT!A119&lt;&gt;"",FT!A119*10,"")</f>
        <v/>
      </c>
      <c r="G119" s="61" t="str">
        <f>IF(FT!B119&lt;&gt;"",FT!B119*100,"")</f>
        <v/>
      </c>
      <c r="H119" s="61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 t="str">
        <f>IF(FT!A120&lt;&gt;"",FT!A120*10,"")</f>
        <v/>
      </c>
      <c r="G120" s="61" t="str">
        <f>IF(FT!B120&lt;&gt;"",FT!B120*100,"")</f>
        <v/>
      </c>
      <c r="H120" s="61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56261</v>
      </c>
      <c r="D121" s="61">
        <f>FH!B121*1</f>
        <v>56261</v>
      </c>
      <c r="E121">
        <f t="shared" si="11"/>
        <v>119</v>
      </c>
      <c r="F121" s="61" t="str">
        <f>IF(FT!A121&lt;&gt;"",FT!A121*10,"")</f>
        <v/>
      </c>
      <c r="G121" s="61" t="str">
        <f>IF(FT!B121&lt;&gt;"",FT!B121*100,"")</f>
        <v/>
      </c>
      <c r="H121" s="61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 t="str">
        <f>IF(FT!A122&lt;&gt;"",FT!A122*10,"")</f>
        <v/>
      </c>
      <c r="G122" s="61" t="str">
        <f>IF(FT!B122&lt;&gt;"",FT!B122*100,"")</f>
        <v/>
      </c>
      <c r="H122" s="61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 t="str">
        <f>IF(FT!A123&lt;&gt;"",FT!A123*10,"")</f>
        <v/>
      </c>
      <c r="G123" s="61" t="str">
        <f>IF(FT!B123&lt;&gt;"",FT!B123*100,"")</f>
        <v/>
      </c>
      <c r="H123" s="61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51903</v>
      </c>
      <c r="D124" s="61">
        <f>FH!B124*1</f>
        <v>51903</v>
      </c>
      <c r="E124">
        <f t="shared" si="11"/>
        <v>122</v>
      </c>
      <c r="F124" s="61" t="str">
        <f>IF(FT!A124&lt;&gt;"",FT!A124*10,"")</f>
        <v/>
      </c>
      <c r="G124" s="61" t="str">
        <f>IF(FT!B124&lt;&gt;"",FT!B124*100,"")</f>
        <v/>
      </c>
      <c r="H124" s="61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 t="str">
        <f>IF(FT!A125&lt;&gt;"",FT!A125*10,"")</f>
        <v/>
      </c>
      <c r="G125" s="61" t="str">
        <f>IF(FT!B125&lt;&gt;"",FT!B125*100,"")</f>
        <v/>
      </c>
      <c r="H125" s="61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55045</v>
      </c>
      <c r="D126" s="61">
        <f>FH!B126*1</f>
        <v>55045</v>
      </c>
      <c r="E126">
        <f t="shared" si="11"/>
        <v>124</v>
      </c>
      <c r="F126" s="61" t="str">
        <f>IF(FT!A126&lt;&gt;"",FT!A126*10,"")</f>
        <v/>
      </c>
      <c r="G126" s="61" t="str">
        <f>IF(FT!B126&lt;&gt;"",FT!B126*100,"")</f>
        <v/>
      </c>
      <c r="H126" s="61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 t="str">
        <f>IF(FT!A127&lt;&gt;"",FT!A127*10,"")</f>
        <v/>
      </c>
      <c r="G127" s="61" t="str">
        <f>IF(FT!B127&lt;&gt;"",FT!B127*100,"")</f>
        <v/>
      </c>
      <c r="H127" s="61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 t="str">
        <f>IF(FT!A128&lt;&gt;"",FT!A128*10,"")</f>
        <v/>
      </c>
      <c r="G128" s="61" t="str">
        <f>IF(FT!B128&lt;&gt;"",FT!B128*100,"")</f>
        <v/>
      </c>
      <c r="H128" s="61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47035</v>
      </c>
      <c r="D129" s="61">
        <f>FH!B129*1</f>
        <v>47035</v>
      </c>
      <c r="E129">
        <f t="shared" si="11"/>
        <v>127</v>
      </c>
      <c r="F129" s="61" t="str">
        <f>IF(FT!A129&lt;&gt;"",FT!A129*10,"")</f>
        <v/>
      </c>
      <c r="G129" s="61" t="str">
        <f>IF(FT!B129&lt;&gt;"",FT!B129*100,"")</f>
        <v/>
      </c>
      <c r="H129" s="61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 t="str">
        <f>IF(FT!A130&lt;&gt;"",FT!A130*10,"")</f>
        <v/>
      </c>
      <c r="G130" s="61" t="str">
        <f>IF(FT!B130&lt;&gt;"",FT!B130*100,"")</f>
        <v/>
      </c>
      <c r="H130" s="61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38805</v>
      </c>
      <c r="D131" s="61">
        <f>FH!B131*1</f>
        <v>38805</v>
      </c>
      <c r="E131">
        <f t="shared" si="11"/>
        <v>129</v>
      </c>
      <c r="F131" s="61" t="str">
        <f>IF(FT!A131&lt;&gt;"",FT!A131*10,"")</f>
        <v/>
      </c>
      <c r="G131" s="61" t="str">
        <f>IF(FT!B131&lt;&gt;"",FT!B131*100,"")</f>
        <v/>
      </c>
      <c r="H131" s="61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 t="str">
        <f>IF(FT!A132&lt;&gt;"",FT!A132*10,"")</f>
        <v/>
      </c>
      <c r="G132" s="61" t="str">
        <f>IF(FT!B132&lt;&gt;"",FT!B132*100,"")</f>
        <v/>
      </c>
      <c r="H132" s="61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 t="str">
        <f>IF(FT!A133&lt;&gt;"",FT!A133*10,"")</f>
        <v/>
      </c>
      <c r="G133" s="61" t="str">
        <f>IF(FT!B133&lt;&gt;"",FT!B133*100,"")</f>
        <v/>
      </c>
      <c r="H133" s="61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36273</v>
      </c>
      <c r="D134" s="61">
        <f>FH!B134*1</f>
        <v>36273</v>
      </c>
      <c r="E134">
        <f t="shared" si="15"/>
        <v>132</v>
      </c>
      <c r="F134" s="61" t="str">
        <f>IF(FT!A134&lt;&gt;"",FT!A134*10,"")</f>
        <v/>
      </c>
      <c r="G134" s="61" t="str">
        <f>IF(FT!B134&lt;&gt;"",FT!B134*100,"")</f>
        <v/>
      </c>
      <c r="H134" s="61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 t="str">
        <f>IF(FT!A135&lt;&gt;"",FT!A135*10,"")</f>
        <v/>
      </c>
      <c r="G135" s="61" t="str">
        <f>IF(FT!B135&lt;&gt;"",FT!B135*100,"")</f>
        <v/>
      </c>
      <c r="H135" s="61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32381</v>
      </c>
      <c r="D136" s="61">
        <f>FH!B136*1</f>
        <v>32381</v>
      </c>
      <c r="E136">
        <f t="shared" si="15"/>
        <v>134</v>
      </c>
      <c r="F136" s="61" t="str">
        <f>IF(FT!A136&lt;&gt;"",FT!A136*10,"")</f>
        <v/>
      </c>
      <c r="G136" s="61" t="str">
        <f>IF(FT!B136&lt;&gt;"",FT!B136*100,"")</f>
        <v/>
      </c>
      <c r="H136" s="61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 t="str">
        <f>IF(FT!A137&lt;&gt;"",FT!A137*10,"")</f>
        <v/>
      </c>
      <c r="G137" s="61" t="str">
        <f>IF(FT!B137&lt;&gt;"",FT!B137*100,"")</f>
        <v/>
      </c>
      <c r="H137" s="61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 t="str">
        <f>IF(FT!A138&lt;&gt;"",FT!A138*10,"")</f>
        <v/>
      </c>
      <c r="G138" s="61" t="str">
        <f>IF(FT!B138&lt;&gt;"",FT!B138*100,"")</f>
        <v/>
      </c>
      <c r="H138" s="61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27915</v>
      </c>
      <c r="D139" s="61">
        <f>FH!B139*1</f>
        <v>27915</v>
      </c>
      <c r="E139">
        <f t="shared" si="15"/>
        <v>137</v>
      </c>
      <c r="F139" s="61" t="str">
        <f>IF(FT!A139&lt;&gt;"",FT!A139*10,"")</f>
        <v/>
      </c>
      <c r="G139" s="61" t="str">
        <f>IF(FT!B139&lt;&gt;"",FT!B139*100,"")</f>
        <v/>
      </c>
      <c r="H139" s="61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 t="str">
        <f>IF(FT!A140&lt;&gt;"",FT!A140*10,"")</f>
        <v/>
      </c>
      <c r="G140" s="61" t="str">
        <f>IF(FT!B140&lt;&gt;"",FT!B140*100,"")</f>
        <v/>
      </c>
      <c r="H140" s="61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 t="str">
        <f>IF(FT!A141&lt;&gt;"",FT!A141*10,"")</f>
        <v/>
      </c>
      <c r="G141" s="61" t="str">
        <f>IF(FT!B141&lt;&gt;"",FT!B141*100,"")</f>
        <v/>
      </c>
      <c r="H141" s="61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23665</v>
      </c>
      <c r="D142" s="61">
        <f>FH!B142*1</f>
        <v>23665</v>
      </c>
      <c r="E142">
        <f t="shared" si="15"/>
        <v>140</v>
      </c>
      <c r="F142" s="61" t="str">
        <f>IF(FT!A142&lt;&gt;"",FT!A142*10,"")</f>
        <v/>
      </c>
      <c r="G142" s="61" t="str">
        <f>IF(FT!B142&lt;&gt;"",FT!B142*100,"")</f>
        <v/>
      </c>
      <c r="H142" s="61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 t="str">
        <f>IF(FT!A143&lt;&gt;"",FT!A143*10,"")</f>
        <v/>
      </c>
      <c r="G143" s="61" t="str">
        <f>IF(FT!B143&lt;&gt;"",FT!B143*100,"")</f>
        <v/>
      </c>
      <c r="H143" s="61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24665</v>
      </c>
      <c r="D144" s="61">
        <f>FH!B144*1</f>
        <v>24665</v>
      </c>
      <c r="E144">
        <f t="shared" si="15"/>
        <v>142</v>
      </c>
      <c r="F144" s="61" t="str">
        <f>IF(FT!A144&lt;&gt;"",FT!A144*10,"")</f>
        <v/>
      </c>
      <c r="G144" s="61" t="str">
        <f>IF(FT!B144&lt;&gt;"",FT!B144*100,"")</f>
        <v/>
      </c>
      <c r="H144" s="61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 t="str">
        <f>IF(FT!A145&lt;&gt;"",FT!A145*10,"")</f>
        <v/>
      </c>
      <c r="G145" s="61" t="str">
        <f>IF(FT!B145&lt;&gt;"",FT!B145*100,"")</f>
        <v/>
      </c>
      <c r="H145" s="61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 t="str">
        <f>IF(FT!A146&lt;&gt;"",FT!A146*10,"")</f>
        <v/>
      </c>
      <c r="G146" s="61" t="str">
        <f>IF(FT!B146&lt;&gt;"",FT!B146*100,"")</f>
        <v/>
      </c>
      <c r="H146" s="61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24068</v>
      </c>
      <c r="D147" s="61">
        <f>FH!B147*1</f>
        <v>24068</v>
      </c>
      <c r="E147">
        <f t="shared" si="15"/>
        <v>145</v>
      </c>
      <c r="F147" s="61" t="str">
        <f>IF(FT!A147&lt;&gt;"",FT!A147*10,"")</f>
        <v/>
      </c>
      <c r="G147" s="61" t="str">
        <f>IF(FT!B147&lt;&gt;"",FT!B147*100,"")</f>
        <v/>
      </c>
      <c r="H147" s="61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 t="str">
        <f>IF(FT!A148&lt;&gt;"",FT!A148*10,"")</f>
        <v/>
      </c>
      <c r="G148" s="61" t="str">
        <f>IF(FT!B148&lt;&gt;"",FT!B148*100,"")</f>
        <v/>
      </c>
      <c r="H148" s="61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19807</v>
      </c>
      <c r="D149" s="61">
        <f>FH!B149*1</f>
        <v>19807</v>
      </c>
      <c r="E149">
        <f t="shared" si="15"/>
        <v>147</v>
      </c>
      <c r="F149" s="61" t="str">
        <f>IF(FT!A149&lt;&gt;"",FT!A149*10,"")</f>
        <v/>
      </c>
      <c r="G149" s="61" t="str">
        <f>IF(FT!B149&lt;&gt;"",FT!B149*100,"")</f>
        <v/>
      </c>
      <c r="H149" s="61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16567</v>
      </c>
      <c r="D152" s="61">
        <f>FH!B152*1</f>
        <v>16567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13901</v>
      </c>
      <c r="D154" s="61">
        <f>FH!B154*1</f>
        <v>13901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10536</v>
      </c>
      <c r="D157" s="61">
        <f>FH!B157*1</f>
        <v>10536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9278</v>
      </c>
      <c r="D160" s="61">
        <f>FH!B160*1</f>
        <v>9278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6982</v>
      </c>
      <c r="D162" s="61">
        <f>FH!B162*1</f>
        <v>6982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6787</v>
      </c>
      <c r="D165" s="61">
        <f>FH!B165*1</f>
        <v>6787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5530</v>
      </c>
      <c r="D167" s="61">
        <f>FH!B167*1</f>
        <v>5530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4431</v>
      </c>
      <c r="D170" s="61">
        <f>FH!B170*1</f>
        <v>4431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3094</v>
      </c>
      <c r="D173" s="61">
        <f>FH!B173*1</f>
        <v>3094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1758</v>
      </c>
      <c r="D175" s="61">
        <f>FH!B175*1</f>
        <v>1758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461</v>
      </c>
      <c r="D178" s="61">
        <f>FH!B178*1</f>
        <v>461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42.776299999999999</v>
      </c>
      <c r="C5" s="66">
        <v>11.995200000000001</v>
      </c>
      <c r="D5" s="66">
        <v>28.041699999999999</v>
      </c>
      <c r="E5" s="66">
        <v>20</v>
      </c>
      <c r="F5" s="66">
        <v>9.0614799999999995</v>
      </c>
      <c r="G5" s="66">
        <v>50</v>
      </c>
      <c r="H5" s="66">
        <v>50.420400000000001</v>
      </c>
    </row>
    <row r="6" spans="1:8">
      <c r="A6" s="58" t="s">
        <v>303</v>
      </c>
      <c r="B6" s="66">
        <v>29.113900000000001</v>
      </c>
      <c r="C6" s="66">
        <v>2.0096500000000002</v>
      </c>
      <c r="D6" s="66">
        <v>6.9027099999999999</v>
      </c>
      <c r="E6" s="66">
        <v>20</v>
      </c>
      <c r="F6" s="66">
        <v>25.071899999999999</v>
      </c>
      <c r="G6" s="66">
        <v>40</v>
      </c>
      <c r="H6" s="66">
        <v>34.9572</v>
      </c>
    </row>
    <row r="7" spans="1:8">
      <c r="A7" s="58" t="s">
        <v>304</v>
      </c>
      <c r="B7" s="66">
        <v>23.633500000000002</v>
      </c>
      <c r="C7" s="66">
        <v>7.4484199999999996</v>
      </c>
      <c r="D7" s="66">
        <v>31.516300000000001</v>
      </c>
      <c r="E7" s="66">
        <v>15</v>
      </c>
      <c r="F7" s="66">
        <v>8.0518000000000001</v>
      </c>
      <c r="G7" s="66">
        <v>40</v>
      </c>
      <c r="H7" s="66">
        <v>41.092399999999998</v>
      </c>
    </row>
    <row r="8" spans="1:8">
      <c r="A8" s="58" t="s">
        <v>305</v>
      </c>
      <c r="B8" s="66">
        <v>29.233799999999999</v>
      </c>
      <c r="C8" s="66">
        <v>3.07951</v>
      </c>
      <c r="D8" s="66">
        <v>10.5341</v>
      </c>
      <c r="E8" s="66">
        <v>20</v>
      </c>
      <c r="F8" s="66">
        <v>18.690899999999999</v>
      </c>
      <c r="G8" s="66">
        <v>50</v>
      </c>
      <c r="H8" s="66">
        <v>36.395899999999997</v>
      </c>
    </row>
    <row r="9" spans="1:8">
      <c r="A9" s="58" t="s">
        <v>306</v>
      </c>
      <c r="B9" s="66">
        <v>61.701999999999998</v>
      </c>
      <c r="C9" s="66">
        <v>8.8203999999999994</v>
      </c>
      <c r="D9" s="66">
        <v>14.295199999999999</v>
      </c>
      <c r="E9" s="66">
        <v>50</v>
      </c>
      <c r="F9" s="66">
        <v>33.760300000000001</v>
      </c>
      <c r="G9" s="66">
        <v>100</v>
      </c>
      <c r="H9" s="66">
        <v>76.449799999999996</v>
      </c>
    </row>
    <row r="10" spans="1:8">
      <c r="A10" s="58" t="s">
        <v>307</v>
      </c>
      <c r="B10" s="66">
        <v>74.072599999999994</v>
      </c>
      <c r="C10" s="66">
        <v>4.1818299999999997</v>
      </c>
      <c r="D10" s="66">
        <v>5.6455799999999998</v>
      </c>
      <c r="E10" s="66">
        <v>40</v>
      </c>
      <c r="F10" s="66">
        <v>61.261099999999999</v>
      </c>
      <c r="G10" s="66">
        <v>100</v>
      </c>
      <c r="H10" s="66">
        <v>77.873900000000006</v>
      </c>
    </row>
    <row r="11" spans="1:8">
      <c r="A11" s="58" t="s">
        <v>308</v>
      </c>
      <c r="B11" s="66">
        <v>24.632100000000001</v>
      </c>
      <c r="C11" s="66">
        <v>7.6394700000000002</v>
      </c>
      <c r="D11" s="66">
        <v>31.014299999999999</v>
      </c>
      <c r="E11" s="66">
        <v>10</v>
      </c>
      <c r="F11" s="66">
        <v>5.5020300000000004</v>
      </c>
      <c r="G11" s="66">
        <v>50</v>
      </c>
      <c r="H11" s="66">
        <v>29.6328</v>
      </c>
    </row>
    <row r="12" spans="1:8">
      <c r="A12" s="58" t="s">
        <v>309</v>
      </c>
      <c r="B12" s="66">
        <v>66.718699999999998</v>
      </c>
      <c r="C12" s="66">
        <v>4.4387400000000001</v>
      </c>
      <c r="D12" s="66">
        <v>6.6529100000000003</v>
      </c>
      <c r="E12" s="66">
        <v>50</v>
      </c>
      <c r="F12" s="66">
        <v>53.950099999999999</v>
      </c>
      <c r="G12" s="66">
        <v>100</v>
      </c>
      <c r="H12" s="66">
        <v>76.988200000000006</v>
      </c>
    </row>
    <row r="13" spans="1:8">
      <c r="A13" s="58" t="s">
        <v>310</v>
      </c>
      <c r="B13" s="66">
        <v>20.388200000000001</v>
      </c>
      <c r="C13" s="66">
        <v>2.8582700000000001</v>
      </c>
      <c r="D13" s="66">
        <v>14.0192</v>
      </c>
      <c r="E13" s="66">
        <v>10</v>
      </c>
      <c r="F13" s="66">
        <v>15.033099999999999</v>
      </c>
      <c r="G13" s="66">
        <v>25</v>
      </c>
      <c r="H13" s="66">
        <v>28.886500000000002</v>
      </c>
    </row>
    <row r="14" spans="1:8">
      <c r="A14" s="58" t="s">
        <v>311</v>
      </c>
      <c r="B14" s="66">
        <v>28.582699999999999</v>
      </c>
      <c r="C14" s="66">
        <v>10.283300000000001</v>
      </c>
      <c r="D14" s="66">
        <v>35.977200000000003</v>
      </c>
      <c r="E14" s="66">
        <v>10</v>
      </c>
      <c r="F14" s="66">
        <v>1.4816400000000001</v>
      </c>
      <c r="G14" s="66">
        <v>50</v>
      </c>
      <c r="H14" s="66">
        <v>36.699599999999997</v>
      </c>
    </row>
    <row r="15" spans="1:8">
      <c r="A15" s="58" t="s">
        <v>312</v>
      </c>
      <c r="B15" s="66">
        <v>0.123792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0.182615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18.459900000000001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0.60084700000000002</v>
      </c>
      <c r="C18" s="66">
        <v>0.101992</v>
      </c>
      <c r="D18" s="66">
        <v>0.16974700000000001</v>
      </c>
      <c r="E18" s="66">
        <v>0</v>
      </c>
      <c r="F18" s="66">
        <v>0.49885499999999999</v>
      </c>
      <c r="G18" s="66">
        <v>0</v>
      </c>
      <c r="H18" s="66">
        <v>0.70283899999999999</v>
      </c>
    </row>
    <row r="19" spans="1:8">
      <c r="A19" s="58" t="s">
        <v>316</v>
      </c>
      <c r="B19" s="66">
        <v>0.71603399999999995</v>
      </c>
      <c r="C19" s="66">
        <v>4.3769500000000003E-2</v>
      </c>
      <c r="D19" s="66">
        <v>6.11277E-2</v>
      </c>
      <c r="E19" s="66">
        <v>0</v>
      </c>
      <c r="F19" s="66">
        <v>0.672265</v>
      </c>
      <c r="G19" s="66">
        <v>0</v>
      </c>
      <c r="H19" s="66">
        <v>0.75980400000000003</v>
      </c>
    </row>
    <row r="20" spans="1:8">
      <c r="A20" s="58" t="s">
        <v>317</v>
      </c>
      <c r="B20" s="66">
        <v>2.7990699999999999E-3</v>
      </c>
      <c r="C20" s="66">
        <v>4.9424500000000003E-2</v>
      </c>
      <c r="D20" s="66">
        <v>17.657499999999999</v>
      </c>
      <c r="E20" s="66">
        <v>0</v>
      </c>
      <c r="F20" s="196">
        <v>3.7537099999999997E-5</v>
      </c>
      <c r="G20" s="66">
        <v>0</v>
      </c>
      <c r="H20" s="66">
        <v>0.70564400000000005</v>
      </c>
    </row>
    <row r="21" spans="1:8">
      <c r="A21" s="58" t="s">
        <v>318</v>
      </c>
      <c r="B21" s="66">
        <v>0.115691</v>
      </c>
      <c r="C21" s="66">
        <v>0.52735699999999996</v>
      </c>
      <c r="D21" s="66">
        <v>4.5583299999999998</v>
      </c>
      <c r="E21" s="66">
        <v>0</v>
      </c>
      <c r="F21" s="66">
        <v>3.212E-3</v>
      </c>
      <c r="G21" s="66">
        <v>0</v>
      </c>
      <c r="H21" s="66">
        <v>2.9405399999999999</v>
      </c>
    </row>
    <row r="22" spans="1:8">
      <c r="A22" s="58" t="s">
        <v>319</v>
      </c>
      <c r="B22" s="66">
        <v>42.998399999999997</v>
      </c>
      <c r="C22" s="66">
        <v>13.2302</v>
      </c>
      <c r="D22" s="66">
        <v>0.30769099999999999</v>
      </c>
      <c r="E22" s="66">
        <v>0</v>
      </c>
      <c r="F22" s="66">
        <v>26.716100000000001</v>
      </c>
      <c r="G22" s="66">
        <v>0</v>
      </c>
      <c r="H22" s="66">
        <v>85.741500000000002</v>
      </c>
    </row>
    <row r="23" spans="1:8">
      <c r="A23" s="58" t="s">
        <v>320</v>
      </c>
      <c r="B23" s="66">
        <v>17.9467</v>
      </c>
      <c r="C23" s="66">
        <v>4.3797699999999997</v>
      </c>
      <c r="D23" s="66">
        <v>0.24404400000000001</v>
      </c>
      <c r="E23" s="66">
        <v>0</v>
      </c>
      <c r="F23" s="66">
        <v>8.1665899999999993</v>
      </c>
      <c r="G23" s="66">
        <v>0</v>
      </c>
      <c r="H23" s="66">
        <v>22.843599999999999</v>
      </c>
    </row>
    <row r="24" spans="1:8">
      <c r="A24" s="58" t="s">
        <v>321</v>
      </c>
      <c r="B24" s="66">
        <v>4.0218600000000004E-3</v>
      </c>
      <c r="C24" s="66">
        <v>3.5635199999999999E-2</v>
      </c>
      <c r="D24" s="66">
        <v>8.8603799999999993</v>
      </c>
      <c r="E24" s="66">
        <v>0</v>
      </c>
      <c r="F24" s="66">
        <v>2.0360300000000001E-4</v>
      </c>
      <c r="G24" s="66">
        <v>0</v>
      </c>
      <c r="H24" s="66">
        <v>0.22556799999999999</v>
      </c>
    </row>
    <row r="25" spans="1:8">
      <c r="A25" s="58" t="s">
        <v>322</v>
      </c>
      <c r="B25" s="66">
        <v>0.141763</v>
      </c>
      <c r="C25" s="66">
        <v>0.33784700000000001</v>
      </c>
      <c r="D25" s="66">
        <v>2.3831799999999999</v>
      </c>
      <c r="E25" s="66">
        <v>0</v>
      </c>
      <c r="F25" s="66">
        <v>6.1104699999999998E-2</v>
      </c>
      <c r="G25" s="66">
        <v>0</v>
      </c>
      <c r="H25" s="66">
        <v>1.4792400000000001</v>
      </c>
    </row>
    <row r="26" spans="1:8">
      <c r="A26" s="58" t="s">
        <v>323</v>
      </c>
      <c r="B26" s="66">
        <v>1.00446E-3</v>
      </c>
      <c r="C26" s="66">
        <v>5.3330499999999998E-3</v>
      </c>
      <c r="D26" s="66">
        <v>5.3093500000000002</v>
      </c>
      <c r="E26" s="66">
        <v>0</v>
      </c>
      <c r="F26" s="196">
        <v>1.31303E-5</v>
      </c>
      <c r="G26" s="66">
        <v>0</v>
      </c>
      <c r="H26" s="66">
        <v>5.8557600000000001E-2</v>
      </c>
    </row>
    <row r="27" spans="1:8">
      <c r="A27" s="58" t="s">
        <v>324</v>
      </c>
      <c r="B27" s="196">
        <v>-9.8476899999999999E-6</v>
      </c>
      <c r="C27" s="66">
        <v>2.4132699999999999E-3</v>
      </c>
      <c r="D27" s="66">
        <v>-245.06</v>
      </c>
      <c r="E27" s="66">
        <v>0</v>
      </c>
      <c r="F27" s="66">
        <v>-2.6440999999999999E-2</v>
      </c>
      <c r="G27" s="66">
        <v>0</v>
      </c>
      <c r="H27" s="66">
        <v>2.3706700000000001E-2</v>
      </c>
    </row>
    <row r="28" spans="1:8">
      <c r="A28" s="58" t="s">
        <v>325</v>
      </c>
      <c r="B28" s="66">
        <v>1.6350900000000002E-2</v>
      </c>
      <c r="C28" s="66">
        <v>3.3430599999999998E-2</v>
      </c>
      <c r="D28" s="66">
        <v>2.0445700000000002</v>
      </c>
      <c r="E28" s="66">
        <v>0</v>
      </c>
      <c r="F28" s="66">
        <v>1.25651E-3</v>
      </c>
      <c r="G28" s="66">
        <v>0</v>
      </c>
      <c r="H28" s="66">
        <v>0.1729</v>
      </c>
    </row>
    <row r="29" spans="1:8">
      <c r="A29" s="58" t="s">
        <v>326</v>
      </c>
      <c r="B29" s="66">
        <v>76.972099999999998</v>
      </c>
      <c r="C29" s="66">
        <v>9.6171000000000006</v>
      </c>
      <c r="D29" s="66">
        <v>0.124943</v>
      </c>
      <c r="E29" s="66">
        <v>0</v>
      </c>
      <c r="F29" s="66">
        <v>48.969700000000003</v>
      </c>
      <c r="G29" s="66">
        <v>0</v>
      </c>
      <c r="H29" s="66">
        <v>93.509</v>
      </c>
    </row>
    <row r="30" spans="1:8">
      <c r="A30" s="58" t="s">
        <v>327</v>
      </c>
      <c r="B30" s="66">
        <v>23.018799999999999</v>
      </c>
      <c r="C30" s="66">
        <v>4.7580400000000003</v>
      </c>
      <c r="D30" s="66">
        <v>0.206702</v>
      </c>
      <c r="E30" s="66">
        <v>0</v>
      </c>
      <c r="F30" s="66">
        <v>10.0421</v>
      </c>
      <c r="G30" s="66">
        <v>0</v>
      </c>
      <c r="H30" s="66">
        <v>27.2807</v>
      </c>
    </row>
    <row r="31" spans="1:8">
      <c r="A31" s="58" t="s">
        <v>328</v>
      </c>
      <c r="B31" s="66">
        <v>139.89699999999999</v>
      </c>
      <c r="C31" s="66">
        <v>41.015900000000002</v>
      </c>
      <c r="D31" s="66">
        <v>0.29318499999999997</v>
      </c>
      <c r="E31" s="66">
        <v>0</v>
      </c>
      <c r="F31" s="66">
        <v>45.682200000000002</v>
      </c>
      <c r="G31" s="66">
        <v>0</v>
      </c>
      <c r="H31" s="66">
        <v>191.56899999999999</v>
      </c>
    </row>
    <row r="32" spans="1:8">
      <c r="A32" s="58" t="s">
        <v>329</v>
      </c>
      <c r="B32" s="66">
        <v>0.23633499999999999</v>
      </c>
      <c r="C32" s="66">
        <v>7.44842E-2</v>
      </c>
      <c r="D32" s="66">
        <v>0.31516300000000003</v>
      </c>
      <c r="E32" s="66">
        <v>0.15</v>
      </c>
      <c r="F32" s="66">
        <v>8.0518000000000006E-2</v>
      </c>
      <c r="G32" s="66">
        <v>0.4</v>
      </c>
      <c r="H32" s="66">
        <v>0.41092400000000001</v>
      </c>
    </row>
    <row r="33" spans="1:8">
      <c r="A33" s="58" t="s">
        <v>330</v>
      </c>
      <c r="B33" s="66">
        <v>0.31706299999999998</v>
      </c>
      <c r="C33" s="66">
        <v>3.2367800000000002E-2</v>
      </c>
      <c r="D33" s="66">
        <v>0.102086</v>
      </c>
      <c r="E33" s="66">
        <v>0</v>
      </c>
      <c r="F33" s="66">
        <v>0.17835599999999999</v>
      </c>
      <c r="G33" s="66">
        <v>0</v>
      </c>
      <c r="H33" s="66">
        <v>0.38377800000000001</v>
      </c>
    </row>
    <row r="34" spans="1:8">
      <c r="A34" s="58" t="s">
        <v>331</v>
      </c>
      <c r="B34" s="66">
        <v>0.20388200000000001</v>
      </c>
      <c r="C34" s="66">
        <v>2.8582699999999999E-2</v>
      </c>
      <c r="D34" s="66">
        <v>0.14019200000000001</v>
      </c>
      <c r="E34" s="66">
        <v>0.1</v>
      </c>
      <c r="F34" s="66">
        <v>0.15033099999999999</v>
      </c>
      <c r="G34" s="66">
        <v>0.25</v>
      </c>
      <c r="H34" s="66">
        <v>0.28886499999999998</v>
      </c>
    </row>
    <row r="35" spans="1:8">
      <c r="A35" s="58" t="s">
        <v>332</v>
      </c>
      <c r="B35" s="66">
        <v>8.5965700000000006E-2</v>
      </c>
      <c r="C35" s="66">
        <v>2.1923100000000001E-2</v>
      </c>
      <c r="D35" s="66">
        <v>0.25502200000000003</v>
      </c>
      <c r="E35" s="66">
        <v>0</v>
      </c>
      <c r="F35" s="66">
        <v>3.76289E-2</v>
      </c>
      <c r="G35" s="66">
        <v>0</v>
      </c>
      <c r="H35" s="66">
        <v>0.14835899999999999</v>
      </c>
    </row>
    <row r="36" spans="1:8">
      <c r="A36" s="58" t="s">
        <v>333</v>
      </c>
      <c r="B36" s="66">
        <v>0.190718</v>
      </c>
      <c r="C36" s="66">
        <v>9.9821199999999999E-2</v>
      </c>
      <c r="D36" s="66">
        <v>0.523397</v>
      </c>
      <c r="E36" s="66">
        <v>0</v>
      </c>
      <c r="F36" s="66">
        <v>4.64614E-2</v>
      </c>
      <c r="G36" s="66">
        <v>0</v>
      </c>
      <c r="H36" s="66">
        <v>0.47487699999999999</v>
      </c>
    </row>
    <row r="37" spans="1:8">
      <c r="A37" s="58" t="s">
        <v>334</v>
      </c>
      <c r="B37" s="66">
        <v>0.285827</v>
      </c>
      <c r="C37" s="66">
        <v>0.10283299999999999</v>
      </c>
      <c r="D37" s="66">
        <v>0.35977199999999998</v>
      </c>
      <c r="E37" s="66">
        <v>0.1</v>
      </c>
      <c r="F37" s="66">
        <v>1.48164E-2</v>
      </c>
      <c r="G37" s="66">
        <v>0.5</v>
      </c>
      <c r="H37" s="66">
        <v>0.36699599999999999</v>
      </c>
    </row>
    <row r="38" spans="1:8">
      <c r="A38" s="58" t="s">
        <v>335</v>
      </c>
      <c r="B38" s="66">
        <v>-4.54582</v>
      </c>
      <c r="C38" s="66">
        <v>44.793300000000002</v>
      </c>
      <c r="D38" s="66">
        <v>-9.8537400000000002</v>
      </c>
      <c r="E38" s="66">
        <v>0</v>
      </c>
      <c r="F38" s="66">
        <v>-98.608000000000004</v>
      </c>
      <c r="G38" s="66">
        <v>0</v>
      </c>
      <c r="H38" s="66">
        <v>322.24299999999999</v>
      </c>
    </row>
    <row r="39" spans="1:8">
      <c r="A39" s="58" t="s">
        <v>336</v>
      </c>
      <c r="B39" s="66">
        <v>-1.95045</v>
      </c>
      <c r="C39" s="66">
        <v>4.7553099999999997</v>
      </c>
      <c r="D39" s="66">
        <v>-2.4380600000000001</v>
      </c>
      <c r="E39" s="66">
        <v>0</v>
      </c>
      <c r="F39" s="66">
        <v>-11.1289</v>
      </c>
      <c r="G39" s="66">
        <v>0</v>
      </c>
      <c r="H39" s="66">
        <v>18.631499999999999</v>
      </c>
    </row>
    <row r="40" spans="1:8">
      <c r="A40" s="58" t="s">
        <v>337</v>
      </c>
      <c r="B40" s="66">
        <v>-0.88128399999999996</v>
      </c>
      <c r="C40" s="66">
        <v>1.00929</v>
      </c>
      <c r="D40" s="66">
        <v>-1.1452500000000001</v>
      </c>
      <c r="E40" s="66">
        <v>0</v>
      </c>
      <c r="F40" s="66">
        <v>-1.86913</v>
      </c>
      <c r="G40" s="66">
        <v>0</v>
      </c>
      <c r="H40" s="66">
        <v>1.6813800000000001</v>
      </c>
    </row>
    <row r="41" spans="1:8">
      <c r="A41" s="58" t="s">
        <v>338</v>
      </c>
      <c r="B41" s="66">
        <v>-5.7687299999999997E-2</v>
      </c>
      <c r="C41" s="66">
        <v>0.24888199999999999</v>
      </c>
      <c r="D41" s="66">
        <v>-4.3143399999999996</v>
      </c>
      <c r="E41" s="66">
        <v>0</v>
      </c>
      <c r="F41" s="66">
        <v>-1</v>
      </c>
      <c r="G41" s="66">
        <v>0</v>
      </c>
      <c r="H41" s="66">
        <v>0.85124</v>
      </c>
    </row>
    <row r="42" spans="1:8">
      <c r="A42" s="58" t="s">
        <v>339</v>
      </c>
      <c r="B42" s="66">
        <v>-5.4274500000000003E-2</v>
      </c>
      <c r="C42" s="66">
        <v>6.0201200000000003E-2</v>
      </c>
      <c r="D42" s="66">
        <v>-1.1092</v>
      </c>
      <c r="E42" s="66">
        <v>0</v>
      </c>
      <c r="F42" s="66">
        <v>-0.147204</v>
      </c>
      <c r="G42" s="66">
        <v>0</v>
      </c>
      <c r="H42" s="66">
        <v>0.14881800000000001</v>
      </c>
    </row>
    <row r="43" spans="1:8">
      <c r="A43" s="58" t="s">
        <v>340</v>
      </c>
      <c r="B43" s="66">
        <v>-5.4228600000000002E-2</v>
      </c>
      <c r="C43" s="66">
        <v>5.0342900000000003E-2</v>
      </c>
      <c r="D43" s="66">
        <v>-0.928346</v>
      </c>
      <c r="E43" s="66">
        <v>0</v>
      </c>
      <c r="F43" s="66">
        <v>-0.136574</v>
      </c>
      <c r="G43" s="66">
        <v>0</v>
      </c>
      <c r="H43" s="66">
        <v>6.6248699999999994E-2</v>
      </c>
    </row>
    <row r="44" spans="1:8">
      <c r="A44" s="58" t="s">
        <v>341</v>
      </c>
      <c r="B44" s="66">
        <v>0.58942799999999995</v>
      </c>
      <c r="C44" s="66">
        <v>10.9688</v>
      </c>
      <c r="D44" s="66">
        <v>18.609300000000001</v>
      </c>
      <c r="E44" s="66">
        <v>0</v>
      </c>
      <c r="F44" s="66">
        <v>-14.090400000000001</v>
      </c>
      <c r="G44" s="66">
        <v>0</v>
      </c>
      <c r="H44" s="66">
        <v>22.7942</v>
      </c>
    </row>
    <row r="45" spans="1:8">
      <c r="A45" s="58" t="s">
        <v>342</v>
      </c>
      <c r="B45" s="66">
        <v>57.244500000000002</v>
      </c>
      <c r="C45" s="66">
        <v>7.4739000000000004</v>
      </c>
      <c r="D45" s="66">
        <v>0.13056100000000001</v>
      </c>
      <c r="E45" s="66">
        <v>0</v>
      </c>
      <c r="F45" s="66">
        <v>36.929000000000002</v>
      </c>
      <c r="G45" s="66">
        <v>0</v>
      </c>
      <c r="H45" s="66">
        <v>74.476900000000001</v>
      </c>
    </row>
    <row r="46" spans="1:8">
      <c r="A46" s="58" t="s">
        <v>343</v>
      </c>
      <c r="B46" s="66">
        <v>33.624899999999997</v>
      </c>
      <c r="C46" s="66">
        <v>9.2698300000000007</v>
      </c>
      <c r="D46" s="66">
        <v>0.27568399999999998</v>
      </c>
      <c r="E46" s="66">
        <v>0</v>
      </c>
      <c r="F46" s="66">
        <v>7.1494099999999996</v>
      </c>
      <c r="G46" s="66">
        <v>0</v>
      </c>
      <c r="H46" s="66">
        <v>37.468299999999999</v>
      </c>
    </row>
    <row r="47" spans="1:8">
      <c r="A47" s="58" t="s">
        <v>344</v>
      </c>
      <c r="B47" s="66">
        <v>1.1695599999999999</v>
      </c>
      <c r="C47" s="66">
        <v>0.53601100000000002</v>
      </c>
      <c r="D47" s="66">
        <v>0.45830199999999999</v>
      </c>
      <c r="E47" s="66">
        <v>0</v>
      </c>
      <c r="F47" s="66">
        <v>0.69909500000000002</v>
      </c>
      <c r="G47" s="66">
        <v>0</v>
      </c>
      <c r="H47" s="66">
        <v>3.9029799999999999</v>
      </c>
    </row>
    <row r="48" spans="1:8">
      <c r="A48" s="58" t="s">
        <v>345</v>
      </c>
      <c r="B48" s="66">
        <v>1.0755600000000001</v>
      </c>
      <c r="C48" s="66">
        <v>0.14103399999999999</v>
      </c>
      <c r="D48" s="66">
        <v>0.13112599999999999</v>
      </c>
      <c r="E48" s="66">
        <v>0</v>
      </c>
      <c r="F48" s="66">
        <v>0.76807599999999998</v>
      </c>
      <c r="G48" s="66">
        <v>0</v>
      </c>
      <c r="H48" s="66">
        <v>1.44557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19.137699999999999</v>
      </c>
      <c r="C5" s="66">
        <f>'M2'!C5-'M1'!C5</f>
        <v>-8.1920000000000002</v>
      </c>
      <c r="D5" s="66">
        <f>'M2'!D5-'M1'!D5</f>
        <v>-35.30677</v>
      </c>
      <c r="E5" s="66">
        <f>'M2'!E5-'M1'!E5</f>
        <v>0</v>
      </c>
      <c r="F5" s="66">
        <f>'M2'!F5-'M1'!F5</f>
        <v>32.318219999999997</v>
      </c>
      <c r="G5" s="66">
        <f>'M2'!G5-'M1'!G5</f>
        <v>0</v>
      </c>
      <c r="H5" s="66">
        <f>'M2'!H5-'M1'!H5</f>
        <v>6.9457999999999984</v>
      </c>
    </row>
    <row r="6" spans="1:8">
      <c r="A6" s="66" t="s">
        <v>244</v>
      </c>
      <c r="B6" s="66">
        <f>'M2'!B6-'M1'!B6</f>
        <v>-3.3908000000000023</v>
      </c>
      <c r="C6" s="66">
        <f>'M2'!C6-'M1'!C6</f>
        <v>0.32962000000000002</v>
      </c>
      <c r="D6" s="66">
        <f>'M2'!D6-'M1'!D6</f>
        <v>1.8063400000000005</v>
      </c>
      <c r="E6" s="66">
        <f>'M2'!E6-'M1'!E6</f>
        <v>0</v>
      </c>
      <c r="F6" s="66">
        <f>'M2'!F6-'M1'!F6</f>
        <v>-2.2431000000000019</v>
      </c>
      <c r="G6" s="66">
        <f>'M2'!G6-'M1'!G6</f>
        <v>0</v>
      </c>
      <c r="H6" s="66">
        <f>'M2'!H6-'M1'!H6</f>
        <v>-3.6270999999999987</v>
      </c>
    </row>
    <row r="7" spans="1:8">
      <c r="A7" s="66" t="s">
        <v>245</v>
      </c>
      <c r="B7" s="66">
        <f>'M2'!B7-'M1'!B7</f>
        <v>-4.1729000000000021</v>
      </c>
      <c r="C7" s="66">
        <f>'M2'!C7-'M1'!C7</f>
        <v>0.22674000000000039</v>
      </c>
      <c r="D7" s="66">
        <f>'M2'!D7-'M1'!D7</f>
        <v>5.8602000000000025</v>
      </c>
      <c r="E7" s="66">
        <f>'M2'!E7-'M1'!E7</f>
        <v>0</v>
      </c>
      <c r="F7" s="66">
        <f>'M2'!F7-'M1'!F7</f>
        <v>-6.5558999999999994</v>
      </c>
      <c r="G7" s="66">
        <f>'M2'!G7-'M1'!G7</f>
        <v>0</v>
      </c>
      <c r="H7" s="66">
        <f>'M2'!H7-'M1'!H7</f>
        <v>-5.6100000000000705E-2</v>
      </c>
    </row>
    <row r="8" spans="1:8">
      <c r="A8" s="66" t="s">
        <v>246</v>
      </c>
      <c r="B8" s="66">
        <f>'M2'!B8-'M1'!B8</f>
        <v>4.4045000000000023</v>
      </c>
      <c r="C8" s="66">
        <f>'M2'!C8-'M1'!C8</f>
        <v>-0.6775199999999999</v>
      </c>
      <c r="D8" s="66">
        <f>'M2'!D8-'M1'!D8</f>
        <v>-3.5898800000000008</v>
      </c>
      <c r="E8" s="66">
        <f>'M2'!E8-'M1'!E8</f>
        <v>0</v>
      </c>
      <c r="F8" s="66">
        <f>'M2'!F8-'M1'!F8</f>
        <v>8.6307000000000009</v>
      </c>
      <c r="G8" s="66">
        <f>'M2'!G8-'M1'!G8</f>
        <v>0</v>
      </c>
      <c r="H8" s="66">
        <f>'M2'!H8-'M1'!H8</f>
        <v>3.6933999999999969</v>
      </c>
    </row>
    <row r="9" spans="1:8">
      <c r="A9" s="66" t="s">
        <v>247</v>
      </c>
      <c r="B9" s="66">
        <f>'M2'!B9-'M1'!B9</f>
        <v>-4.970799999999997</v>
      </c>
      <c r="C9" s="66">
        <f>'M2'!C9-'M1'!C9</f>
        <v>3.1125400000000001</v>
      </c>
      <c r="D9" s="66">
        <f>'M2'!D9-'M1'!D9</f>
        <v>6.0221499999999999</v>
      </c>
      <c r="E9" s="66">
        <f>'M2'!E9-'M1'!E9</f>
        <v>0</v>
      </c>
      <c r="F9" s="66">
        <f>'M2'!F9-'M1'!F9</f>
        <v>-20.212499999999999</v>
      </c>
      <c r="G9" s="66">
        <f>'M2'!G9-'M1'!G9</f>
        <v>0</v>
      </c>
      <c r="H9" s="66">
        <f>'M2'!H9-'M1'!H9</f>
        <v>-2.2099999999994679E-2</v>
      </c>
    </row>
    <row r="10" spans="1:8">
      <c r="A10" s="66" t="s">
        <v>248</v>
      </c>
      <c r="B10" s="66">
        <f>'M2'!B10-'M1'!B10</f>
        <v>0.294399999999996</v>
      </c>
      <c r="C10" s="66">
        <f>'M2'!C10-'M1'!C10</f>
        <v>-3.65849</v>
      </c>
      <c r="D10" s="66">
        <f>'M2'!D10-'M1'!D10</f>
        <v>-4.9633099999999999</v>
      </c>
      <c r="E10" s="66">
        <f>'M2'!E10-'M1'!E10</f>
        <v>0</v>
      </c>
      <c r="F10" s="66">
        <f>'M2'!F10-'M1'!F10</f>
        <v>7.6269999999999953</v>
      </c>
      <c r="G10" s="66">
        <f>'M2'!G10-'M1'!G10</f>
        <v>0</v>
      </c>
      <c r="H10" s="66">
        <f>'M2'!H10-'M1'!H10</f>
        <v>-1.7190000000000083</v>
      </c>
    </row>
    <row r="11" spans="1:8">
      <c r="A11" s="66" t="s">
        <v>249</v>
      </c>
      <c r="B11" s="66">
        <f>'M2'!B11-'M1'!B11</f>
        <v>14.850999999999999</v>
      </c>
      <c r="C11" s="66">
        <f>'M2'!C11-'M1'!C11</f>
        <v>-4.6510400000000001</v>
      </c>
      <c r="D11" s="66">
        <f>'M2'!D11-'M1'!D11</f>
        <v>-45.385399999999997</v>
      </c>
      <c r="E11" s="66">
        <f>'M2'!E11-'M1'!E11</f>
        <v>0</v>
      </c>
      <c r="F11" s="66">
        <f>'M2'!F11-'M1'!F11</f>
        <v>17.470769999999998</v>
      </c>
      <c r="G11" s="66">
        <f>'M2'!G11-'M1'!G11</f>
        <v>0</v>
      </c>
      <c r="H11" s="66">
        <f>'M2'!H11-'M1'!H11</f>
        <v>3.2911999999999999</v>
      </c>
    </row>
    <row r="12" spans="1:8">
      <c r="A12" s="66" t="s">
        <v>250</v>
      </c>
      <c r="B12" s="66">
        <f>'M2'!B12-'M1'!B12</f>
        <v>0.63469999999999516</v>
      </c>
      <c r="C12" s="66">
        <f>'M2'!C12-'M1'!C12</f>
        <v>0.27996999999999961</v>
      </c>
      <c r="D12" s="66">
        <f>'M2'!D12-'M1'!D12</f>
        <v>0.35775000000000023</v>
      </c>
      <c r="E12" s="66">
        <f>'M2'!E12-'M1'!E12</f>
        <v>0</v>
      </c>
      <c r="F12" s="66">
        <f>'M2'!F12-'M1'!F12</f>
        <v>-8.6388000000000034</v>
      </c>
      <c r="G12" s="66">
        <f>'M2'!G12-'M1'!G12</f>
        <v>0</v>
      </c>
      <c r="H12" s="66">
        <f>'M2'!H12-'M1'!H12</f>
        <v>-4.2738000000000085</v>
      </c>
    </row>
    <row r="13" spans="1:8">
      <c r="A13" s="66" t="s">
        <v>251</v>
      </c>
      <c r="B13" s="66">
        <f>'M2'!B13-'M1'!B13</f>
        <v>1.2383999999999986</v>
      </c>
      <c r="C13" s="66">
        <f>'M2'!C13-'M1'!C13</f>
        <v>-2.0504699999999998</v>
      </c>
      <c r="D13" s="66">
        <f>'M2'!D13-'M1'!D13</f>
        <v>-11.07742</v>
      </c>
      <c r="E13" s="66">
        <f>'M2'!E13-'M1'!E13</f>
        <v>0</v>
      </c>
      <c r="F13" s="66">
        <f>'M2'!F13-'M1'!F13</f>
        <v>3.3669999999999991</v>
      </c>
      <c r="G13" s="66">
        <f>'M2'!G13-'M1'!G13</f>
        <v>0</v>
      </c>
      <c r="H13" s="66">
        <f>'M2'!H13-'M1'!H13</f>
        <v>-3.3546000000000014</v>
      </c>
    </row>
    <row r="14" spans="1:8">
      <c r="A14" s="66" t="s">
        <v>252</v>
      </c>
      <c r="B14" s="66">
        <f>'M2'!B14-'M1'!B14</f>
        <v>-20.5047</v>
      </c>
      <c r="C14" s="66">
        <f>'M2'!C14-'M1'!C14</f>
        <v>4.1598499999999996</v>
      </c>
      <c r="D14" s="66">
        <f>'M2'!D14-'M1'!D14</f>
        <v>53.989699999999999</v>
      </c>
      <c r="E14" s="66">
        <f>'M2'!E14-'M1'!E14</f>
        <v>0</v>
      </c>
      <c r="F14" s="66">
        <f>'M2'!F14-'M1'!F14</f>
        <v>1.8319700000000001</v>
      </c>
      <c r="G14" s="66">
        <f>'M2'!G14-'M1'!G14</f>
        <v>0</v>
      </c>
      <c r="H14" s="66">
        <f>'M2'!H14-'M1'!H14</f>
        <v>0.41109999999999758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0.15162200000000003</v>
      </c>
      <c r="C18" s="66">
        <f>'M2'!C18-'M1'!C18</f>
        <v>0.101992</v>
      </c>
      <c r="D18" s="66">
        <f>'M2'!D18-'M1'!D18</f>
        <v>0.16974700000000001</v>
      </c>
      <c r="E18" s="66">
        <f>'M2'!E18-'M1'!E18</f>
        <v>0</v>
      </c>
      <c r="F18" s="66">
        <f>'M2'!F18-'M1'!F18</f>
        <v>0.49885499999999999</v>
      </c>
      <c r="G18" s="66">
        <f>'M2'!G18-'M1'!G18</f>
        <v>0</v>
      </c>
      <c r="H18" s="66">
        <f>'M2'!H18-'M1'!H18</f>
        <v>0.70283899999999999</v>
      </c>
    </row>
    <row r="19" spans="1:8">
      <c r="A19" s="66" t="s">
        <v>256</v>
      </c>
      <c r="B19" s="66">
        <f>'M2'!B19-'M1'!B19</f>
        <v>0.20804499999999992</v>
      </c>
      <c r="C19" s="66">
        <f>'M2'!C19-'M1'!C19</f>
        <v>4.3769500000000003E-2</v>
      </c>
      <c r="D19" s="66">
        <f>'M2'!D19-'M1'!D19</f>
        <v>6.11277E-2</v>
      </c>
      <c r="E19" s="66">
        <f>'M2'!E19-'M1'!E19</f>
        <v>0</v>
      </c>
      <c r="F19" s="66">
        <f>'M2'!F19-'M1'!F19</f>
        <v>0.672265</v>
      </c>
      <c r="G19" s="66">
        <f>'M2'!G19-'M1'!G19</f>
        <v>0</v>
      </c>
      <c r="H19" s="66">
        <f>'M2'!H19-'M1'!H19</f>
        <v>0.75980400000000003</v>
      </c>
    </row>
    <row r="20" spans="1:8">
      <c r="A20" s="66" t="s">
        <v>63</v>
      </c>
      <c r="B20" s="66">
        <f>'M2'!B20-'M1'!B20</f>
        <v>1.6456699999999997E-3</v>
      </c>
      <c r="C20" s="66">
        <f>'M2'!C20-'M1'!C20</f>
        <v>3.7987499999999993E-2</v>
      </c>
      <c r="D20" s="66">
        <f>'M2'!D20-'M1'!D20</f>
        <v>4.8170000000000019</v>
      </c>
      <c r="E20" s="66">
        <f>'M2'!E20-'M1'!E20</f>
        <v>0</v>
      </c>
      <c r="F20" s="66">
        <f>'M2'!F20-'M1'!F20</f>
        <v>8.3802000000000049E-6</v>
      </c>
      <c r="G20" s="66">
        <f>'M2'!G20-'M1'!G20</f>
        <v>0</v>
      </c>
      <c r="H20" s="66">
        <f>'M2'!H20-'M1'!H20</f>
        <v>0.54779400000000011</v>
      </c>
    </row>
    <row r="21" spans="1:8">
      <c r="A21" s="66" t="s">
        <v>64</v>
      </c>
      <c r="B21" s="66">
        <f>'M2'!B21-'M1'!B21</f>
        <v>2.8903999999999999E-2</v>
      </c>
      <c r="C21" s="66">
        <f>'M2'!C21-'M1'!C21</f>
        <v>0.26119900000000001</v>
      </c>
      <c r="D21" s="66">
        <f>'M2'!D21-'M1'!D21</f>
        <v>1.1756000000000002</v>
      </c>
      <c r="E21" s="66">
        <f>'M2'!E21-'M1'!E21</f>
        <v>0</v>
      </c>
      <c r="F21" s="66">
        <f>'M2'!F21-'M1'!F21</f>
        <v>2.1853099999999998E-3</v>
      </c>
      <c r="G21" s="66">
        <f>'M2'!G21-'M1'!G21</f>
        <v>0</v>
      </c>
      <c r="H21" s="66">
        <f>'M2'!H21-'M1'!H21</f>
        <v>0.71574999999999989</v>
      </c>
    </row>
    <row r="22" spans="1:8">
      <c r="A22" s="66" t="s">
        <v>65</v>
      </c>
      <c r="B22" s="66">
        <f>'M2'!B22-'M1'!B22</f>
        <v>-4.1670000000000016</v>
      </c>
      <c r="C22" s="66">
        <f>'M2'!C22-'M1'!C22</f>
        <v>6.6575099999999985</v>
      </c>
      <c r="D22" s="66">
        <f>'M2'!D22-'M1'!D22</f>
        <v>0.18407199999999999</v>
      </c>
      <c r="E22" s="66">
        <f>'M2'!E22-'M1'!E22</f>
        <v>0</v>
      </c>
      <c r="F22" s="66">
        <f>'M2'!F22-'M1'!F22</f>
        <v>-2.6128</v>
      </c>
      <c r="G22" s="66">
        <f>'M2'!G22-'M1'!G22</f>
        <v>0</v>
      </c>
      <c r="H22" s="66">
        <f>'M2'!H22-'M1'!H22</f>
        <v>10.798900000000003</v>
      </c>
    </row>
    <row r="23" spans="1:8">
      <c r="A23" s="66" t="s">
        <v>66</v>
      </c>
      <c r="B23" s="66">
        <f>'M2'!B23-'M1'!B23</f>
        <v>8.6974000000000018</v>
      </c>
      <c r="C23" s="66">
        <f>'M2'!C23-'M1'!C23</f>
        <v>-1.2240399999999998</v>
      </c>
      <c r="D23" s="66">
        <f>'M2'!D23-'M1'!D23</f>
        <v>-0.14285750000000003</v>
      </c>
      <c r="E23" s="66">
        <f>'M2'!E23-'M1'!E23</f>
        <v>0</v>
      </c>
      <c r="F23" s="66">
        <f>'M2'!F23-'M1'!F23</f>
        <v>9.6913100000000014</v>
      </c>
      <c r="G23" s="66">
        <f>'M2'!G23-'M1'!G23</f>
        <v>0</v>
      </c>
      <c r="H23" s="66">
        <f>'M2'!H23-'M1'!H23</f>
        <v>4.8940999999999981</v>
      </c>
    </row>
    <row r="24" spans="1:8">
      <c r="A24" s="66" t="s">
        <v>67</v>
      </c>
      <c r="B24" s="66">
        <f>'M2'!B24-'M1'!B24</f>
        <v>1.1114499999999999E-3</v>
      </c>
      <c r="C24" s="66">
        <f>'M2'!C24-'M1'!C24</f>
        <v>2.7443599999999999E-2</v>
      </c>
      <c r="D24" s="66">
        <f>'M2'!D24-'M1'!D24</f>
        <v>4.6784999999999997</v>
      </c>
      <c r="E24" s="66">
        <f>'M2'!E24-'M1'!E24</f>
        <v>0</v>
      </c>
      <c r="F24" s="66">
        <f>'M2'!F24-'M1'!F24</f>
        <v>-2.8587000000000003E-5</v>
      </c>
      <c r="G24" s="66">
        <f>'M2'!G24-'M1'!G24</f>
        <v>0</v>
      </c>
      <c r="H24" s="66">
        <f>'M2'!H24-'M1'!H24</f>
        <v>0.11240399999999999</v>
      </c>
    </row>
    <row r="25" spans="1:8">
      <c r="A25" s="66" t="s">
        <v>68</v>
      </c>
      <c r="B25" s="66">
        <f>'M2'!B25-'M1'!B25</f>
        <v>5.4539000000000004E-2</v>
      </c>
      <c r="C25" s="66">
        <f>'M2'!C25-'M1'!C25</f>
        <v>0.196047</v>
      </c>
      <c r="D25" s="66">
        <f>'M2'!D25-'M1'!D25</f>
        <v>0.56506999999999996</v>
      </c>
      <c r="E25" s="66">
        <f>'M2'!E25-'M1'!E25</f>
        <v>0</v>
      </c>
      <c r="F25" s="66">
        <f>'M2'!F25-'M1'!F25</f>
        <v>1.1371699999999998E-2</v>
      </c>
      <c r="G25" s="66">
        <f>'M2'!G25-'M1'!G25</f>
        <v>0</v>
      </c>
      <c r="H25" s="66">
        <f>'M2'!H25-'M1'!H25</f>
        <v>0.55496400000000012</v>
      </c>
    </row>
    <row r="26" spans="1:8">
      <c r="A26" s="66" t="s">
        <v>69</v>
      </c>
      <c r="B26" s="66">
        <f>'M2'!B26-'M1'!B26</f>
        <v>4.5956199999999995E-4</v>
      </c>
      <c r="C26" s="66">
        <f>'M2'!C26-'M1'!C26</f>
        <v>3.0933799999999997E-3</v>
      </c>
      <c r="D26" s="66">
        <f>'M2'!D26-'M1'!D26</f>
        <v>0.87881999999999927</v>
      </c>
      <c r="E26" s="66">
        <f>'M2'!E26-'M1'!E26</f>
        <v>0</v>
      </c>
      <c r="F26" s="66">
        <f>'M2'!F26-'M1'!F26</f>
        <v>6.5651000000000009E-6</v>
      </c>
      <c r="G26" s="66">
        <f>'M2'!G26-'M1'!G26</f>
        <v>0</v>
      </c>
      <c r="H26" s="66">
        <f>'M2'!H26-'M1'!H26</f>
        <v>3.6751500000000006E-2</v>
      </c>
    </row>
    <row r="27" spans="1:8">
      <c r="A27" s="66" t="s">
        <v>70</v>
      </c>
      <c r="B27" s="66">
        <f>'M2'!B27-'M1'!B27</f>
        <v>2.9543290000000002E-5</v>
      </c>
      <c r="C27" s="66">
        <f>'M2'!C27-'M1'!C27</f>
        <v>1.0173800000000002E-3</v>
      </c>
      <c r="D27" s="66">
        <f>'M2'!D27-'M1'!D27</f>
        <v>384.85509999999999</v>
      </c>
      <c r="E27" s="66">
        <f>'M2'!E27-'M1'!E27</f>
        <v>0</v>
      </c>
      <c r="F27" s="66">
        <f>'M2'!F27-'M1'!F27</f>
        <v>-1.2545899999999999E-2</v>
      </c>
      <c r="G27" s="66">
        <f>'M2'!G27-'M1'!G27</f>
        <v>0</v>
      </c>
      <c r="H27" s="66">
        <f>'M2'!H27-'M1'!H27</f>
        <v>1.2756100000000001E-2</v>
      </c>
    </row>
    <row r="28" spans="1:8">
      <c r="A28" s="66" t="s">
        <v>71</v>
      </c>
      <c r="B28" s="66">
        <f>'M2'!B28-'M1'!B28</f>
        <v>4.539399999999999E-3</v>
      </c>
      <c r="C28" s="66">
        <f>'M2'!C28-'M1'!C28</f>
        <v>1.1157100000000003E-2</v>
      </c>
      <c r="D28" s="66">
        <f>'M2'!D28-'M1'!D28</f>
        <v>0.13656999999999986</v>
      </c>
      <c r="E28" s="66">
        <f>'M2'!E28-'M1'!E28</f>
        <v>0</v>
      </c>
      <c r="F28" s="66">
        <f>'M2'!F28-'M1'!F28</f>
        <v>1.4323000000000005E-4</v>
      </c>
      <c r="G28" s="66">
        <f>'M2'!G28-'M1'!G28</f>
        <v>0</v>
      </c>
      <c r="H28" s="66">
        <f>'M2'!H28-'M1'!H28</f>
        <v>2.9221999999999998E-2</v>
      </c>
    </row>
    <row r="29" spans="1:8">
      <c r="A29" s="66" t="s">
        <v>72</v>
      </c>
      <c r="B29" s="66">
        <f>'M2'!B29-'M1'!B29</f>
        <v>-4.8022999999999882</v>
      </c>
      <c r="C29" s="66">
        <f>'M2'!C29-'M1'!C29</f>
        <v>1.7094400000000007</v>
      </c>
      <c r="D29" s="66">
        <f>'M2'!D29-'M1'!D29</f>
        <v>3.0260999999999982E-2</v>
      </c>
      <c r="E29" s="66">
        <f>'M2'!E29-'M1'!E29</f>
        <v>0</v>
      </c>
      <c r="F29" s="66">
        <f>'M2'!F29-'M1'!F29</f>
        <v>-3.3753999999999991</v>
      </c>
      <c r="G29" s="66">
        <f>'M2'!G29-'M1'!G29</f>
        <v>0</v>
      </c>
      <c r="H29" s="66">
        <f>'M2'!H29-'M1'!H29</f>
        <v>-3.144599999999997</v>
      </c>
    </row>
    <row r="30" spans="1:8">
      <c r="A30" s="66" t="s">
        <v>73</v>
      </c>
      <c r="B30" s="66">
        <f>'M2'!B30-'M1'!B30</f>
        <v>8.2925000000000004</v>
      </c>
      <c r="C30" s="66">
        <f>'M2'!C30-'M1'!C30</f>
        <v>-2.1452599999999999</v>
      </c>
      <c r="D30" s="66">
        <f>'M2'!D30-'M1'!D30</f>
        <v>-0.1462985</v>
      </c>
      <c r="E30" s="66">
        <f>'M2'!E30-'M1'!E30</f>
        <v>0</v>
      </c>
      <c r="F30" s="66">
        <f>'M2'!F30-'M1'!F30</f>
        <v>12.747300000000001</v>
      </c>
      <c r="G30" s="66">
        <f>'M2'!G30-'M1'!G30</f>
        <v>0</v>
      </c>
      <c r="H30" s="66">
        <f>'M2'!H30-'M1'!H30</f>
        <v>4.2242999999999995</v>
      </c>
    </row>
    <row r="31" spans="1:8">
      <c r="A31" s="66" t="s">
        <v>74</v>
      </c>
      <c r="B31" s="66">
        <f>'M2'!B31-'M1'!B31</f>
        <v>69.237999999999985</v>
      </c>
      <c r="C31" s="66">
        <f>'M2'!C31-'M1'!C31</f>
        <v>-12.7645</v>
      </c>
      <c r="D31" s="66">
        <f>'M2'!D31-'M1'!D31</f>
        <v>-0.18864339999999999</v>
      </c>
      <c r="E31" s="66">
        <f>'M2'!E31-'M1'!E31</f>
        <v>0</v>
      </c>
      <c r="F31" s="66">
        <f>'M2'!F31-'M1'!F31</f>
        <v>94.655799999999999</v>
      </c>
      <c r="G31" s="66">
        <f>'M2'!G31-'M1'!G31</f>
        <v>0</v>
      </c>
      <c r="H31" s="66">
        <f>'M2'!H31-'M1'!H31</f>
        <v>52.111999999999995</v>
      </c>
    </row>
    <row r="32" spans="1:8">
      <c r="A32" s="66" t="s">
        <v>75</v>
      </c>
      <c r="B32" s="66">
        <f>'M2'!B32-'M1'!B32</f>
        <v>-4.1729000000000016E-2</v>
      </c>
      <c r="C32" s="66">
        <f>'M2'!C32-'M1'!C32</f>
        <v>2.2673999999999889E-3</v>
      </c>
      <c r="D32" s="66">
        <f>'M2'!D32-'M1'!D32</f>
        <v>5.8602000000000015E-2</v>
      </c>
      <c r="E32" s="66">
        <f>'M2'!E32-'M1'!E32</f>
        <v>0</v>
      </c>
      <c r="F32" s="66">
        <f>'M2'!F32-'M1'!F32</f>
        <v>-6.5559000000000006E-2</v>
      </c>
      <c r="G32" s="66">
        <f>'M2'!G32-'M1'!G32</f>
        <v>0</v>
      </c>
      <c r="H32" s="66">
        <f>'M2'!H32-'M1'!H32</f>
        <v>-5.6100000000003369E-4</v>
      </c>
    </row>
    <row r="33" spans="1:8">
      <c r="A33" s="66" t="s">
        <v>76</v>
      </c>
      <c r="B33" s="66">
        <f>'M2'!B33-'M1'!B33</f>
        <v>2.5789000000000006E-2</v>
      </c>
      <c r="C33" s="66">
        <f>'M2'!C33-'M1'!C33</f>
        <v>-2.7069099999999999E-2</v>
      </c>
      <c r="D33" s="66">
        <f>'M2'!D33-'M1'!D33</f>
        <v>-9.5731499999999997E-2</v>
      </c>
      <c r="E33" s="66">
        <f>'M2'!E33-'M1'!E33</f>
        <v>0</v>
      </c>
      <c r="F33" s="66">
        <f>'M2'!F33-'M1'!F33</f>
        <v>0.11607300000000001</v>
      </c>
      <c r="G33" s="66">
        <f>'M2'!G33-'M1'!G33</f>
        <v>0</v>
      </c>
      <c r="H33" s="66">
        <f>'M2'!H33-'M1'!H33</f>
        <v>-3.0227000000000004E-2</v>
      </c>
    </row>
    <row r="34" spans="1:8">
      <c r="A34" s="66" t="s">
        <v>77</v>
      </c>
      <c r="B34" s="66">
        <f>'M2'!B34-'M1'!B34</f>
        <v>1.2384000000000006E-2</v>
      </c>
      <c r="C34" s="66">
        <f>'M2'!C34-'M1'!C34</f>
        <v>-2.0504700000000001E-2</v>
      </c>
      <c r="D34" s="66">
        <f>'M2'!D34-'M1'!D34</f>
        <v>-0.11077420000000002</v>
      </c>
      <c r="E34" s="66">
        <f>'M2'!E34-'M1'!E34</f>
        <v>0</v>
      </c>
      <c r="F34" s="66">
        <f>'M2'!F34-'M1'!F34</f>
        <v>3.3670000000000005E-2</v>
      </c>
      <c r="G34" s="66">
        <f>'M2'!G34-'M1'!G34</f>
        <v>0</v>
      </c>
      <c r="H34" s="66">
        <f>'M2'!H34-'M1'!H34</f>
        <v>-3.3545999999999965E-2</v>
      </c>
    </row>
    <row r="35" spans="1:8">
      <c r="A35" s="66" t="s">
        <v>78</v>
      </c>
      <c r="B35" s="66">
        <f>'M2'!B35-'M1'!B35</f>
        <v>-1.6542999999999974E-3</v>
      </c>
      <c r="C35" s="66">
        <f>'M2'!C35-'M1'!C35</f>
        <v>-9.4068999999999993E-3</v>
      </c>
      <c r="D35" s="66">
        <f>'M2'!D35-'M1'!D35</f>
        <v>-0.10393599999999997</v>
      </c>
      <c r="E35" s="66">
        <f>'M2'!E35-'M1'!E35</f>
        <v>0</v>
      </c>
      <c r="F35" s="66">
        <f>'M2'!F35-'M1'!F35</f>
        <v>1.57015E-2</v>
      </c>
      <c r="G35" s="66">
        <f>'M2'!G35-'M1'!G35</f>
        <v>0</v>
      </c>
      <c r="H35" s="66">
        <f>'M2'!H35-'M1'!H35</f>
        <v>-2.4127999999999997E-2</v>
      </c>
    </row>
    <row r="36" spans="1:8">
      <c r="A36" s="66" t="s">
        <v>79</v>
      </c>
      <c r="B36" s="66">
        <f>'M2'!B36-'M1'!B36</f>
        <v>3.4559999999999869E-3</v>
      </c>
      <c r="C36" s="66">
        <f>'M2'!C36-'M1'!C36</f>
        <v>-1.2284400000000001E-2</v>
      </c>
      <c r="D36" s="66">
        <f>'M2'!D36-'M1'!D36</f>
        <v>-7.3950999999999989E-2</v>
      </c>
      <c r="E36" s="66">
        <f>'M2'!E36-'M1'!E36</f>
        <v>0</v>
      </c>
      <c r="F36" s="66">
        <f>'M2'!F36-'M1'!F36</f>
        <v>1.7370000000000024E-3</v>
      </c>
      <c r="G36" s="66">
        <f>'M2'!G36-'M1'!G36</f>
        <v>0</v>
      </c>
      <c r="H36" s="66">
        <f>'M2'!H36-'M1'!H36</f>
        <v>1.8471999999999988E-2</v>
      </c>
    </row>
    <row r="37" spans="1:8">
      <c r="A37" s="66" t="s">
        <v>80</v>
      </c>
      <c r="B37" s="66">
        <f>'M2'!B37-'M1'!B37</f>
        <v>-0.20504700000000001</v>
      </c>
      <c r="C37" s="66">
        <f>'M2'!C37-'M1'!C37</f>
        <v>4.1598499999999997E-2</v>
      </c>
      <c r="D37" s="66">
        <f>'M2'!D37-'M1'!D37</f>
        <v>0.53989699999999996</v>
      </c>
      <c r="E37" s="66">
        <f>'M2'!E37-'M1'!E37</f>
        <v>0</v>
      </c>
      <c r="F37" s="66">
        <f>'M2'!F37-'M1'!F37</f>
        <v>1.8319700000000001E-2</v>
      </c>
      <c r="G37" s="66">
        <f>'M2'!G37-'M1'!G37</f>
        <v>0</v>
      </c>
      <c r="H37" s="66">
        <f>'M2'!H37-'M1'!H37</f>
        <v>4.1109999999999758E-3</v>
      </c>
    </row>
    <row r="38" spans="1:8">
      <c r="A38" s="66" t="s">
        <v>81</v>
      </c>
      <c r="B38" s="66">
        <f>'M2'!B38-'M1'!B38</f>
        <v>7.3662099999999997</v>
      </c>
      <c r="C38" s="66">
        <f>'M2'!C38-'M1'!C38</f>
        <v>-12.360100000000003</v>
      </c>
      <c r="D38" s="66">
        <f>'M2'!D38-'M1'!D38</f>
        <v>-18.526589999999999</v>
      </c>
      <c r="E38" s="66">
        <f>'M2'!E38-'M1'!E38</f>
        <v>0</v>
      </c>
      <c r="F38" s="66">
        <f>'M2'!F38-'M1'!F38</f>
        <v>-20.55510000000001</v>
      </c>
      <c r="G38" s="66">
        <f>'M2'!G38-'M1'!G38</f>
        <v>0</v>
      </c>
      <c r="H38" s="66">
        <f>'M2'!H38-'M1'!H38</f>
        <v>-191.16299999999998</v>
      </c>
    </row>
    <row r="39" spans="1:8">
      <c r="A39" s="66" t="s">
        <v>82</v>
      </c>
      <c r="B39" s="66">
        <f>'M2'!B39-'M1'!B39</f>
        <v>3.312948</v>
      </c>
      <c r="C39" s="66">
        <f>'M2'!C39-'M1'!C39</f>
        <v>2.6385300000000003</v>
      </c>
      <c r="D39" s="66">
        <f>'M2'!D39-'M1'!D39</f>
        <v>-24.216442999999998</v>
      </c>
      <c r="E39" s="66">
        <f>'M2'!E39-'M1'!E39</f>
        <v>0</v>
      </c>
      <c r="F39" s="66">
        <f>'M2'!F39-'M1'!F39</f>
        <v>5.4284699999999999</v>
      </c>
      <c r="G39" s="66">
        <f>'M2'!G39-'M1'!G39</f>
        <v>0</v>
      </c>
      <c r="H39" s="66">
        <f>'M2'!H39-'M1'!H39</f>
        <v>18.302188999999998</v>
      </c>
    </row>
    <row r="40" spans="1:8">
      <c r="A40" s="66" t="s">
        <v>83</v>
      </c>
      <c r="B40" s="66">
        <f>'M2'!B40-'M1'!B40</f>
        <v>1.6462859999999999</v>
      </c>
      <c r="C40" s="66">
        <f>'M2'!C40-'M1'!C40</f>
        <v>0.38396199999999997</v>
      </c>
      <c r="D40" s="66">
        <f>'M2'!D40-'M1'!D40</f>
        <v>1.501652</v>
      </c>
      <c r="E40" s="66">
        <f>'M2'!E40-'M1'!E40</f>
        <v>0</v>
      </c>
      <c r="F40" s="66">
        <f>'M2'!F40-'M1'!F40</f>
        <v>0.40146999999999999</v>
      </c>
      <c r="G40" s="66">
        <f>'M2'!G40-'M1'!G40</f>
        <v>0</v>
      </c>
      <c r="H40" s="66">
        <f>'M2'!H40-'M1'!H40</f>
        <v>2.3386200000000001</v>
      </c>
    </row>
    <row r="41" spans="1:8">
      <c r="A41" s="66" t="s">
        <v>84</v>
      </c>
      <c r="B41" s="66">
        <f>'M2'!B41-'M1'!B41</f>
        <v>3.0960400000000006E-2</v>
      </c>
      <c r="C41" s="66">
        <f>'M2'!C41-'M1'!C41</f>
        <v>-1.5292E-2</v>
      </c>
      <c r="D41" s="66">
        <f>'M2'!D41-'M1'!D41</f>
        <v>-1.8751600000000002</v>
      </c>
      <c r="E41" s="66">
        <f>'M2'!E41-'M1'!E41</f>
        <v>0</v>
      </c>
      <c r="F41" s="66">
        <f>'M2'!F41-'M1'!F41</f>
        <v>0.40837699999999999</v>
      </c>
      <c r="G41" s="66">
        <f>'M2'!G41-'M1'!G41</f>
        <v>0</v>
      </c>
      <c r="H41" s="66">
        <f>'M2'!H41-'M1'!H41</f>
        <v>-6.745599999999996E-2</v>
      </c>
    </row>
    <row r="42" spans="1:8">
      <c r="A42" s="66" t="s">
        <v>85</v>
      </c>
      <c r="B42" s="66">
        <f>'M2'!B42-'M1'!B42</f>
        <v>7.22217E-2</v>
      </c>
      <c r="C42" s="66">
        <f>'M2'!C42-'M1'!C42</f>
        <v>2.7354099999999996E-2</v>
      </c>
      <c r="D42" s="66">
        <f>'M2'!D42-'M1'!D42</f>
        <v>-3.637032</v>
      </c>
      <c r="E42" s="66">
        <f>'M2'!E42-'M1'!E42</f>
        <v>0</v>
      </c>
      <c r="F42" s="66">
        <f>'M2'!F42-'M1'!F42</f>
        <v>2.4230000000000002E-2</v>
      </c>
      <c r="G42" s="66">
        <f>'M2'!G42-'M1'!G42</f>
        <v>0</v>
      </c>
      <c r="H42" s="66">
        <f>'M2'!H42-'M1'!H42</f>
        <v>0.147968142</v>
      </c>
    </row>
    <row r="43" spans="1:8">
      <c r="A43" s="66" t="s">
        <v>86</v>
      </c>
      <c r="B43" s="66">
        <f>'M2'!B43-'M1'!B43</f>
        <v>8.1363710000000006E-2</v>
      </c>
      <c r="C43" s="66">
        <f>'M2'!C43-'M1'!C43</f>
        <v>5.0295999999999952E-3</v>
      </c>
      <c r="D43" s="66">
        <f>'M2'!D43-'M1'!D43</f>
        <v>-4.1994910000000001</v>
      </c>
      <c r="E43" s="66">
        <f>'M2'!E43-'M1'!E43</f>
        <v>0</v>
      </c>
      <c r="F43" s="66">
        <f>'M2'!F43-'M1'!F43</f>
        <v>4.0665199999999999E-2</v>
      </c>
      <c r="G43" s="66">
        <f>'M2'!G43-'M1'!G43</f>
        <v>0</v>
      </c>
      <c r="H43" s="66">
        <f>'M2'!H43-'M1'!H43</f>
        <v>0.11348459999999999</v>
      </c>
    </row>
    <row r="44" spans="1:8">
      <c r="A44" s="66" t="s">
        <v>87</v>
      </c>
      <c r="B44" s="66">
        <f>'M2'!B44-'M1'!B44</f>
        <v>18.867899999999999</v>
      </c>
      <c r="C44" s="66">
        <f>'M2'!C44-'M1'!C44</f>
        <v>1.7249300000000005</v>
      </c>
      <c r="D44" s="66">
        <f>'M2'!D44-'M1'!D44</f>
        <v>1.8107950000000002</v>
      </c>
      <c r="E44" s="66">
        <f>'M2'!E44-'M1'!E44</f>
        <v>0</v>
      </c>
      <c r="F44" s="66">
        <f>'M2'!F44-'M1'!F44</f>
        <v>10.49239</v>
      </c>
      <c r="G44" s="66">
        <f>'M2'!G44-'M1'!G44</f>
        <v>0</v>
      </c>
      <c r="H44" s="66">
        <f>'M2'!H44-'M1'!H44</f>
        <v>19.320409999999999</v>
      </c>
    </row>
    <row r="45" spans="1:8">
      <c r="A45" s="66" t="s">
        <v>88</v>
      </c>
      <c r="B45" s="66">
        <f>'M2'!B45-'M1'!B45</f>
        <v>-3.8879000000000019</v>
      </c>
      <c r="C45" s="66">
        <f>'M2'!C45-'M1'!C45</f>
        <v>-1.15395</v>
      </c>
      <c r="D45" s="66">
        <f>'M2'!D45-'M1'!D45</f>
        <v>-1.1428000000000008E-2</v>
      </c>
      <c r="E45" s="66">
        <f>'M2'!E45-'M1'!E45</f>
        <v>0</v>
      </c>
      <c r="F45" s="66">
        <f>'M2'!F45-'M1'!F45</f>
        <v>7.5771999999999977</v>
      </c>
      <c r="G45" s="66">
        <f>'M2'!G45-'M1'!G45</f>
        <v>0</v>
      </c>
      <c r="H45" s="66">
        <f>'M2'!H45-'M1'!H45</f>
        <v>-6.1998999999999995</v>
      </c>
    </row>
    <row r="46" spans="1:8">
      <c r="A46" s="66" t="s">
        <v>89</v>
      </c>
      <c r="B46" s="66">
        <f>'M2'!B46-'M1'!B46</f>
        <v>15.296500000000002</v>
      </c>
      <c r="C46" s="66">
        <f>'M2'!C46-'M1'!C46</f>
        <v>-6.4480110000000002</v>
      </c>
      <c r="D46" s="66">
        <f>'M2'!D46-'M1'!D46</f>
        <v>-0.33607039999999999</v>
      </c>
      <c r="E46" s="66">
        <f>'M2'!E46-'M1'!E46</f>
        <v>0</v>
      </c>
      <c r="F46" s="66">
        <f>'M2'!F46-'M1'!F46</f>
        <v>26.799690000000002</v>
      </c>
      <c r="G46" s="66">
        <f>'M2'!G46-'M1'!G46</f>
        <v>0</v>
      </c>
      <c r="H46" s="66">
        <f>'M2'!H46-'M1'!H46</f>
        <v>4.1674999999999969</v>
      </c>
    </row>
    <row r="47" spans="1:8">
      <c r="A47" s="66" t="s">
        <v>90</v>
      </c>
      <c r="B47" s="66">
        <f>'M2'!B47-'M1'!B47</f>
        <v>-2.9379999999999962E-2</v>
      </c>
      <c r="C47" s="66">
        <f>'M2'!C47-'M1'!C47</f>
        <v>-0.12414900000000006</v>
      </c>
      <c r="D47" s="66">
        <f>'M2'!D47-'M1'!D47</f>
        <v>-9.5258000000000065E-2</v>
      </c>
      <c r="E47" s="66">
        <f>'M2'!E47-'M1'!E47</f>
        <v>0</v>
      </c>
      <c r="F47" s="66">
        <f>'M2'!F47-'M1'!F47</f>
        <v>-3.1510999999999956E-2</v>
      </c>
      <c r="G47" s="66">
        <f>'M2'!G47-'M1'!G47</f>
        <v>0</v>
      </c>
      <c r="H47" s="66">
        <f>'M2'!H47-'M1'!H47</f>
        <v>-1.30348</v>
      </c>
    </row>
    <row r="48" spans="1:8">
      <c r="A48" s="66" t="s">
        <v>91</v>
      </c>
      <c r="B48" s="66">
        <f>'M2'!B48-'M1'!B48</f>
        <v>-1.4349999999999863E-2</v>
      </c>
      <c r="C48" s="66">
        <f>'M2'!C48-'M1'!C48</f>
        <v>-2.8802999999999995E-2</v>
      </c>
      <c r="D48" s="66">
        <f>'M2'!D48-'M1'!D48</f>
        <v>-2.5023999999999991E-2</v>
      </c>
      <c r="E48" s="66">
        <f>'M2'!E48-'M1'!E48</f>
        <v>0</v>
      </c>
      <c r="F48" s="66">
        <f>'M2'!F48-'M1'!F48</f>
        <v>5.8386999999999967E-2</v>
      </c>
      <c r="G48" s="66">
        <f>'M2'!G48-'M1'!G48</f>
        <v>0</v>
      </c>
      <c r="H48" s="66">
        <f>'M2'!H48-'M1'!H48</f>
        <v>-0.15480000000000005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25.749500000000001</v>
      </c>
      <c r="C5" s="66">
        <v>10.301399999999999</v>
      </c>
      <c r="D5" s="66">
        <v>40.006100000000004</v>
      </c>
      <c r="E5" s="66">
        <v>20</v>
      </c>
      <c r="F5" s="66">
        <v>9.0614799999999995</v>
      </c>
      <c r="G5" s="66">
        <v>50</v>
      </c>
      <c r="H5" s="66">
        <v>43.474600000000002</v>
      </c>
    </row>
    <row r="6" spans="1:8">
      <c r="A6" s="66" t="s">
        <v>358</v>
      </c>
      <c r="B6" s="66">
        <v>29.848400000000002</v>
      </c>
      <c r="C6" s="66">
        <v>1.3053699999999999</v>
      </c>
      <c r="D6" s="66">
        <v>4.3733199999999997</v>
      </c>
      <c r="E6" s="66">
        <v>20</v>
      </c>
      <c r="F6" s="66">
        <v>27.315000000000001</v>
      </c>
      <c r="G6" s="66">
        <v>40</v>
      </c>
      <c r="H6" s="66">
        <v>34.9572</v>
      </c>
    </row>
    <row r="7" spans="1:8">
      <c r="A7" s="66" t="s">
        <v>359</v>
      </c>
      <c r="B7" s="66">
        <v>25.7651</v>
      </c>
      <c r="C7" s="66">
        <v>6.4127599999999996</v>
      </c>
      <c r="D7" s="66">
        <v>24.889299999999999</v>
      </c>
      <c r="E7" s="66">
        <v>15</v>
      </c>
      <c r="F7" s="66">
        <v>14.607699999999999</v>
      </c>
      <c r="G7" s="66">
        <v>40</v>
      </c>
      <c r="H7" s="66">
        <v>41.092399999999998</v>
      </c>
    </row>
    <row r="8" spans="1:8">
      <c r="A8" s="66" t="s">
        <v>360</v>
      </c>
      <c r="B8" s="66">
        <v>26.811399999999999</v>
      </c>
      <c r="C8" s="66">
        <v>2.6972</v>
      </c>
      <c r="D8" s="66">
        <v>10.059900000000001</v>
      </c>
      <c r="E8" s="66">
        <v>20</v>
      </c>
      <c r="F8" s="66">
        <v>18.690899999999999</v>
      </c>
      <c r="G8" s="66">
        <v>50</v>
      </c>
      <c r="H8" s="66">
        <v>32.702500000000001</v>
      </c>
    </row>
    <row r="9" spans="1:8">
      <c r="A9" s="66" t="s">
        <v>361</v>
      </c>
      <c r="B9" s="66">
        <v>64.852599999999995</v>
      </c>
      <c r="C9" s="66">
        <v>6.4403499999999996</v>
      </c>
      <c r="D9" s="66">
        <v>9.9307499999999997</v>
      </c>
      <c r="E9" s="66">
        <v>50</v>
      </c>
      <c r="F9" s="66">
        <v>53.972799999999999</v>
      </c>
      <c r="G9" s="66">
        <v>100</v>
      </c>
      <c r="H9" s="66">
        <v>76.449799999999996</v>
      </c>
    </row>
    <row r="10" spans="1:8">
      <c r="A10" s="66" t="s">
        <v>362</v>
      </c>
      <c r="B10" s="66">
        <v>73.849000000000004</v>
      </c>
      <c r="C10" s="66">
        <v>5.38727</v>
      </c>
      <c r="D10" s="66">
        <v>7.2949799999999998</v>
      </c>
      <c r="E10" s="66">
        <v>40</v>
      </c>
      <c r="F10" s="66">
        <v>61.261099999999999</v>
      </c>
      <c r="G10" s="66">
        <v>100</v>
      </c>
      <c r="H10" s="66">
        <v>77.873900000000006</v>
      </c>
    </row>
    <row r="11" spans="1:8">
      <c r="A11" s="66" t="s">
        <v>363</v>
      </c>
      <c r="B11" s="66">
        <v>12.1661</v>
      </c>
      <c r="C11" s="66">
        <v>6.2347799999999998</v>
      </c>
      <c r="D11" s="66">
        <v>51.247399999999999</v>
      </c>
      <c r="E11" s="66">
        <v>10</v>
      </c>
      <c r="F11" s="66">
        <v>5.5020300000000004</v>
      </c>
      <c r="G11" s="66">
        <v>50</v>
      </c>
      <c r="H11" s="66">
        <v>26.3416</v>
      </c>
    </row>
    <row r="12" spans="1:8">
      <c r="A12" s="66" t="s">
        <v>364</v>
      </c>
      <c r="B12" s="66">
        <v>66.523200000000003</v>
      </c>
      <c r="C12" s="66">
        <v>4.1626200000000004</v>
      </c>
      <c r="D12" s="66">
        <v>6.25739</v>
      </c>
      <c r="E12" s="66">
        <v>50</v>
      </c>
      <c r="F12" s="66">
        <v>62.588900000000002</v>
      </c>
      <c r="G12" s="66">
        <v>100</v>
      </c>
      <c r="H12" s="66">
        <v>76.988200000000006</v>
      </c>
    </row>
    <row r="13" spans="1:8">
      <c r="A13" s="66" t="s">
        <v>365</v>
      </c>
      <c r="B13" s="66">
        <v>19.366800000000001</v>
      </c>
      <c r="C13" s="66">
        <v>3.6288499999999999</v>
      </c>
      <c r="D13" s="66">
        <v>18.737500000000001</v>
      </c>
      <c r="E13" s="66">
        <v>10</v>
      </c>
      <c r="F13" s="66">
        <v>15.033099999999999</v>
      </c>
      <c r="G13" s="66">
        <v>25</v>
      </c>
      <c r="H13" s="66">
        <v>28.886500000000002</v>
      </c>
    </row>
    <row r="14" spans="1:8">
      <c r="A14" s="66" t="s">
        <v>366</v>
      </c>
      <c r="B14" s="66">
        <v>36.288499999999999</v>
      </c>
      <c r="C14" s="66">
        <v>7.7192499999999997</v>
      </c>
      <c r="D14" s="66">
        <v>21.271899999999999</v>
      </c>
      <c r="E14" s="66">
        <v>10</v>
      </c>
      <c r="F14" s="66">
        <v>1.4816400000000001</v>
      </c>
      <c r="G14" s="66">
        <v>50</v>
      </c>
      <c r="H14" s="66">
        <v>36.288499999999999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0.44922499999999999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0.50798900000000002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2.2274600000000001E-3</v>
      </c>
      <c r="C20" s="66">
        <v>2.6164300000000001E-2</v>
      </c>
      <c r="D20" s="66">
        <v>11.7463</v>
      </c>
      <c r="E20" s="66">
        <v>0</v>
      </c>
      <c r="F20" s="196">
        <v>3.7537099999999997E-5</v>
      </c>
      <c r="G20" s="66">
        <v>0</v>
      </c>
      <c r="H20" s="66">
        <v>0.15784999999999999</v>
      </c>
    </row>
    <row r="21" spans="1:8">
      <c r="A21" s="66" t="s">
        <v>373</v>
      </c>
      <c r="B21" s="66">
        <v>0.10859000000000001</v>
      </c>
      <c r="C21" s="66">
        <v>0.37403700000000001</v>
      </c>
      <c r="D21" s="66">
        <v>3.4444900000000001</v>
      </c>
      <c r="E21" s="66">
        <v>0</v>
      </c>
      <c r="F21" s="66">
        <v>3.212E-3</v>
      </c>
      <c r="G21" s="66">
        <v>0</v>
      </c>
      <c r="H21" s="66">
        <v>2.22479</v>
      </c>
    </row>
    <row r="22" spans="1:8">
      <c r="A22" s="66" t="s">
        <v>374</v>
      </c>
      <c r="B22" s="66">
        <v>45.091700000000003</v>
      </c>
      <c r="C22" s="66">
        <v>9.4755900000000004</v>
      </c>
      <c r="D22" s="66">
        <v>0.21014099999999999</v>
      </c>
      <c r="E22" s="66">
        <v>0</v>
      </c>
      <c r="F22" s="66">
        <v>29.328900000000001</v>
      </c>
      <c r="G22" s="66">
        <v>0</v>
      </c>
      <c r="H22" s="66">
        <v>74.942599999999999</v>
      </c>
    </row>
    <row r="23" spans="1:8">
      <c r="A23" s="66" t="s">
        <v>375</v>
      </c>
      <c r="B23" s="66">
        <v>12.956</v>
      </c>
      <c r="C23" s="66">
        <v>2.7846099999999998</v>
      </c>
      <c r="D23" s="66">
        <v>0.21492800000000001</v>
      </c>
      <c r="E23" s="66">
        <v>0</v>
      </c>
      <c r="F23" s="66">
        <v>8.1665899999999993</v>
      </c>
      <c r="G23" s="66">
        <v>0</v>
      </c>
      <c r="H23" s="66">
        <v>17.9495</v>
      </c>
    </row>
    <row r="24" spans="1:8">
      <c r="A24" s="66" t="s">
        <v>376</v>
      </c>
      <c r="B24" s="66">
        <v>3.4934800000000002E-3</v>
      </c>
      <c r="C24" s="66">
        <v>1.85431E-2</v>
      </c>
      <c r="D24" s="66">
        <v>5.3079099999999997</v>
      </c>
      <c r="E24" s="66">
        <v>0</v>
      </c>
      <c r="F24" s="66">
        <v>2.3219000000000001E-4</v>
      </c>
      <c r="G24" s="66">
        <v>0</v>
      </c>
      <c r="H24" s="66">
        <v>0.113164</v>
      </c>
    </row>
    <row r="25" spans="1:8">
      <c r="A25" s="66" t="s">
        <v>377</v>
      </c>
      <c r="B25" s="66">
        <v>0.12069199999999999</v>
      </c>
      <c r="C25" s="66">
        <v>0.214722</v>
      </c>
      <c r="D25" s="66">
        <v>1.7790900000000001</v>
      </c>
      <c r="E25" s="66">
        <v>0</v>
      </c>
      <c r="F25" s="66">
        <v>6.1104699999999998E-2</v>
      </c>
      <c r="G25" s="66">
        <v>0</v>
      </c>
      <c r="H25" s="66">
        <v>0.92427599999999999</v>
      </c>
    </row>
    <row r="26" spans="1:8">
      <c r="A26" s="66" t="s">
        <v>378</v>
      </c>
      <c r="B26" s="66">
        <v>8.1735800000000002E-4</v>
      </c>
      <c r="C26" s="66">
        <v>3.5059000000000002E-3</v>
      </c>
      <c r="D26" s="66">
        <v>4.2893100000000004</v>
      </c>
      <c r="E26" s="66">
        <v>0</v>
      </c>
      <c r="F26" s="196">
        <v>1.31303E-5</v>
      </c>
      <c r="G26" s="66">
        <v>0</v>
      </c>
      <c r="H26" s="66">
        <v>2.1806099999999998E-2</v>
      </c>
    </row>
    <row r="27" spans="1:8">
      <c r="A27" s="66" t="s">
        <v>379</v>
      </c>
      <c r="B27" s="196">
        <v>-1.9695600000000002E-5</v>
      </c>
      <c r="C27" s="66">
        <v>1.8483799999999999E-3</v>
      </c>
      <c r="D27" s="66">
        <v>-93.847099999999998</v>
      </c>
      <c r="E27" s="66">
        <v>0</v>
      </c>
      <c r="F27" s="66">
        <v>-1.3895100000000001E-2</v>
      </c>
      <c r="G27" s="66">
        <v>0</v>
      </c>
      <c r="H27" s="66">
        <v>1.09506E-2</v>
      </c>
    </row>
    <row r="28" spans="1:8">
      <c r="A28" s="66" t="s">
        <v>380</v>
      </c>
      <c r="B28" s="66">
        <v>1.42708E-2</v>
      </c>
      <c r="C28" s="66">
        <v>2.6999599999999999E-2</v>
      </c>
      <c r="D28" s="66">
        <v>1.89194</v>
      </c>
      <c r="E28" s="66">
        <v>0</v>
      </c>
      <c r="F28" s="66">
        <v>1.25651E-3</v>
      </c>
      <c r="G28" s="66">
        <v>0</v>
      </c>
      <c r="H28" s="66">
        <v>0.143678</v>
      </c>
    </row>
    <row r="29" spans="1:8">
      <c r="A29" s="66" t="s">
        <v>381</v>
      </c>
      <c r="B29" s="66">
        <v>78.237399999999994</v>
      </c>
      <c r="C29" s="66">
        <v>8.3536599999999996</v>
      </c>
      <c r="D29" s="66">
        <v>0.10677300000000001</v>
      </c>
      <c r="E29" s="66">
        <v>0</v>
      </c>
      <c r="F29" s="66">
        <v>52.345100000000002</v>
      </c>
      <c r="G29" s="66">
        <v>0</v>
      </c>
      <c r="H29" s="66">
        <v>93.509</v>
      </c>
    </row>
    <row r="30" spans="1:8">
      <c r="A30" s="66" t="s">
        <v>382</v>
      </c>
      <c r="B30" s="66">
        <v>17.360900000000001</v>
      </c>
      <c r="C30" s="66">
        <v>3.3660399999999999</v>
      </c>
      <c r="D30" s="66">
        <v>0.193886</v>
      </c>
      <c r="E30" s="66">
        <v>0</v>
      </c>
      <c r="F30" s="66">
        <v>10.0421</v>
      </c>
      <c r="G30" s="66">
        <v>0</v>
      </c>
      <c r="H30" s="66">
        <v>23.0564</v>
      </c>
    </row>
    <row r="31" spans="1:8">
      <c r="A31" s="66" t="s">
        <v>383</v>
      </c>
      <c r="B31" s="66">
        <v>100.15300000000001</v>
      </c>
      <c r="C31" s="66">
        <v>27.757899999999999</v>
      </c>
      <c r="D31" s="66">
        <v>0.27715699999999999</v>
      </c>
      <c r="E31" s="66">
        <v>0</v>
      </c>
      <c r="F31" s="66">
        <v>45.682200000000002</v>
      </c>
      <c r="G31" s="66">
        <v>0</v>
      </c>
      <c r="H31" s="66">
        <v>139.45699999999999</v>
      </c>
    </row>
    <row r="32" spans="1:8">
      <c r="A32" s="66" t="s">
        <v>384</v>
      </c>
      <c r="B32" s="66">
        <v>0.25765100000000002</v>
      </c>
      <c r="C32" s="66">
        <v>6.4127600000000007E-2</v>
      </c>
      <c r="D32" s="66">
        <v>0.248893</v>
      </c>
      <c r="E32" s="66">
        <v>0.15</v>
      </c>
      <c r="F32" s="66">
        <v>0.14607700000000001</v>
      </c>
      <c r="G32" s="66">
        <v>0.4</v>
      </c>
      <c r="H32" s="66">
        <v>0.41092400000000001</v>
      </c>
    </row>
    <row r="33" spans="1:8">
      <c r="A33" s="66" t="s">
        <v>385</v>
      </c>
      <c r="B33" s="66">
        <v>0.29333300000000001</v>
      </c>
      <c r="C33" s="66">
        <v>3.9594499999999998E-2</v>
      </c>
      <c r="D33" s="66">
        <v>0.13498099999999999</v>
      </c>
      <c r="E33" s="66">
        <v>0</v>
      </c>
      <c r="F33" s="66">
        <v>0.17835599999999999</v>
      </c>
      <c r="G33" s="66">
        <v>0</v>
      </c>
      <c r="H33" s="66">
        <v>0.38377800000000001</v>
      </c>
    </row>
    <row r="34" spans="1:8">
      <c r="A34" s="66" t="s">
        <v>386</v>
      </c>
      <c r="B34" s="66">
        <v>0.19366800000000001</v>
      </c>
      <c r="C34" s="66">
        <v>3.6288500000000001E-2</v>
      </c>
      <c r="D34" s="66">
        <v>0.18737500000000001</v>
      </c>
      <c r="E34" s="66">
        <v>0.1</v>
      </c>
      <c r="F34" s="66">
        <v>0.15033099999999999</v>
      </c>
      <c r="G34" s="66">
        <v>0.25</v>
      </c>
      <c r="H34" s="66">
        <v>0.28886499999999998</v>
      </c>
    </row>
    <row r="35" spans="1:8">
      <c r="A35" s="66" t="s">
        <v>387</v>
      </c>
      <c r="B35" s="66">
        <v>8.7430300000000002E-2</v>
      </c>
      <c r="C35" s="66">
        <v>2.59875E-2</v>
      </c>
      <c r="D35" s="66">
        <v>0.29723699999999997</v>
      </c>
      <c r="E35" s="66">
        <v>0</v>
      </c>
      <c r="F35" s="66">
        <v>3.76289E-2</v>
      </c>
      <c r="G35" s="66">
        <v>0</v>
      </c>
      <c r="H35" s="66">
        <v>0.14835899999999999</v>
      </c>
    </row>
    <row r="36" spans="1:8">
      <c r="A36" s="66" t="s">
        <v>388</v>
      </c>
      <c r="B36" s="66">
        <v>0.18881800000000001</v>
      </c>
      <c r="C36" s="66">
        <v>0.10573100000000001</v>
      </c>
      <c r="D36" s="66">
        <v>0.55995899999999998</v>
      </c>
      <c r="E36" s="66">
        <v>0</v>
      </c>
      <c r="F36" s="66">
        <v>4.64614E-2</v>
      </c>
      <c r="G36" s="66">
        <v>0</v>
      </c>
      <c r="H36" s="66">
        <v>0.45640500000000001</v>
      </c>
    </row>
    <row r="37" spans="1:8">
      <c r="A37" s="66" t="s">
        <v>389</v>
      </c>
      <c r="B37" s="66">
        <v>0.36288500000000001</v>
      </c>
      <c r="C37" s="66">
        <v>7.7192499999999997E-2</v>
      </c>
      <c r="D37" s="66">
        <v>0.21271899999999999</v>
      </c>
      <c r="E37" s="66">
        <v>0.1</v>
      </c>
      <c r="F37" s="66">
        <v>1.48164E-2</v>
      </c>
      <c r="G37" s="66">
        <v>0.5</v>
      </c>
      <c r="H37" s="66">
        <v>0.36288500000000001</v>
      </c>
    </row>
    <row r="38" spans="1:8">
      <c r="A38" s="66" t="s">
        <v>390</v>
      </c>
      <c r="B38" s="66">
        <v>-8.9389199999999995</v>
      </c>
      <c r="C38" s="66">
        <v>50.3566</v>
      </c>
      <c r="D38" s="66">
        <v>-5.6334099999999996</v>
      </c>
      <c r="E38" s="66">
        <v>0</v>
      </c>
      <c r="F38" s="66">
        <v>-78.052899999999994</v>
      </c>
      <c r="G38" s="66">
        <v>0</v>
      </c>
      <c r="H38" s="66">
        <v>322.24299999999999</v>
      </c>
    </row>
    <row r="39" spans="1:8">
      <c r="A39" s="66" t="s">
        <v>391</v>
      </c>
      <c r="B39" s="66">
        <v>-3.5170599999999999</v>
      </c>
      <c r="C39" s="66">
        <v>2.4463200000000001</v>
      </c>
      <c r="D39" s="66">
        <v>-0.69555699999999998</v>
      </c>
      <c r="E39" s="66">
        <v>0</v>
      </c>
      <c r="F39" s="66">
        <v>-11.1289</v>
      </c>
      <c r="G39" s="66">
        <v>0</v>
      </c>
      <c r="H39" s="66">
        <v>0.32931100000000002</v>
      </c>
    </row>
    <row r="40" spans="1:8">
      <c r="A40" s="66" t="s">
        <v>392</v>
      </c>
      <c r="B40" s="66">
        <v>-1.0328299999999999</v>
      </c>
      <c r="C40" s="66">
        <v>0.33704600000000001</v>
      </c>
      <c r="D40" s="66">
        <v>-0.32633200000000001</v>
      </c>
      <c r="E40" s="66">
        <v>0</v>
      </c>
      <c r="F40" s="66">
        <v>-1.86913</v>
      </c>
      <c r="G40" s="66">
        <v>0</v>
      </c>
      <c r="H40" s="66">
        <v>-0.65724000000000005</v>
      </c>
    </row>
    <row r="41" spans="1:8">
      <c r="A41" s="66" t="s">
        <v>393</v>
      </c>
      <c r="B41" s="66">
        <v>-7.7332700000000004E-2</v>
      </c>
      <c r="C41" s="66">
        <v>0.25539400000000001</v>
      </c>
      <c r="D41" s="66">
        <v>-3.30253</v>
      </c>
      <c r="E41" s="66">
        <v>0</v>
      </c>
      <c r="F41" s="66">
        <v>-1</v>
      </c>
      <c r="G41" s="66">
        <v>0</v>
      </c>
      <c r="H41" s="66">
        <v>0.85124</v>
      </c>
    </row>
    <row r="42" spans="1:8">
      <c r="A42" s="66" t="s">
        <v>394</v>
      </c>
      <c r="B42" s="66">
        <v>-8.6717600000000006E-2</v>
      </c>
      <c r="C42" s="66">
        <v>3.0459400000000001E-2</v>
      </c>
      <c r="D42" s="66">
        <v>-0.351248</v>
      </c>
      <c r="E42" s="66">
        <v>0</v>
      </c>
      <c r="F42" s="66">
        <v>-0.147204</v>
      </c>
      <c r="G42" s="66">
        <v>0</v>
      </c>
      <c r="H42" s="66">
        <v>8.4985799999999999E-4</v>
      </c>
    </row>
    <row r="43" spans="1:8">
      <c r="A43" s="66" t="s">
        <v>395</v>
      </c>
      <c r="B43" s="66">
        <v>-8.8459200000000002E-2</v>
      </c>
      <c r="C43" s="66">
        <v>2.6927800000000002E-2</v>
      </c>
      <c r="D43" s="66">
        <v>-0.30440899999999999</v>
      </c>
      <c r="E43" s="66">
        <v>0</v>
      </c>
      <c r="F43" s="66">
        <v>-0.136574</v>
      </c>
      <c r="G43" s="66">
        <v>0</v>
      </c>
      <c r="H43" s="66">
        <v>-4.7235899999999997E-2</v>
      </c>
    </row>
    <row r="44" spans="1:8">
      <c r="A44" s="66" t="s">
        <v>396</v>
      </c>
      <c r="B44" s="66">
        <v>-4.2122000000000002</v>
      </c>
      <c r="C44" s="66">
        <v>5.5395399999999997</v>
      </c>
      <c r="D44" s="66">
        <v>-1.3151200000000001</v>
      </c>
      <c r="E44" s="66">
        <v>0</v>
      </c>
      <c r="F44" s="66">
        <v>-14.090400000000001</v>
      </c>
      <c r="G44" s="66">
        <v>0</v>
      </c>
      <c r="H44" s="66">
        <v>3.4737900000000002</v>
      </c>
    </row>
    <row r="45" spans="1:8">
      <c r="A45" s="66" t="s">
        <v>397</v>
      </c>
      <c r="B45" s="66">
        <v>58.725700000000003</v>
      </c>
      <c r="C45" s="66">
        <v>7.9638600000000004</v>
      </c>
      <c r="D45" s="66">
        <v>0.13561100000000001</v>
      </c>
      <c r="E45" s="66">
        <v>0</v>
      </c>
      <c r="F45" s="66">
        <v>36.929000000000002</v>
      </c>
      <c r="G45" s="66">
        <v>0</v>
      </c>
      <c r="H45" s="66">
        <v>74.476900000000001</v>
      </c>
    </row>
    <row r="46" spans="1:8">
      <c r="A46" s="66" t="s">
        <v>398</v>
      </c>
      <c r="B46" s="66">
        <v>20.3157</v>
      </c>
      <c r="C46" s="66">
        <v>7.3315000000000001</v>
      </c>
      <c r="D46" s="66">
        <v>0.36087900000000001</v>
      </c>
      <c r="E46" s="66">
        <v>0</v>
      </c>
      <c r="F46" s="66">
        <v>7.1494099999999996</v>
      </c>
      <c r="G46" s="66">
        <v>0</v>
      </c>
      <c r="H46" s="66">
        <v>33.300800000000002</v>
      </c>
    </row>
    <row r="47" spans="1:8">
      <c r="A47" s="66" t="s">
        <v>399</v>
      </c>
      <c r="B47" s="66">
        <v>1.17717</v>
      </c>
      <c r="C47" s="66">
        <v>0.59338900000000006</v>
      </c>
      <c r="D47" s="66">
        <v>0.50407900000000005</v>
      </c>
      <c r="E47" s="66">
        <v>0</v>
      </c>
      <c r="F47" s="66">
        <v>0.73060599999999998</v>
      </c>
      <c r="G47" s="66">
        <v>0</v>
      </c>
      <c r="H47" s="66">
        <v>3.9029799999999999</v>
      </c>
    </row>
    <row r="48" spans="1:8">
      <c r="A48" s="66" t="s">
        <v>400</v>
      </c>
      <c r="B48" s="66">
        <v>1.0834699999999999</v>
      </c>
      <c r="C48" s="66">
        <v>0.154695</v>
      </c>
      <c r="D48" s="66">
        <v>0.14277699999999999</v>
      </c>
      <c r="E48" s="66">
        <v>0</v>
      </c>
      <c r="F48" s="66">
        <v>0.76807599999999998</v>
      </c>
      <c r="G48" s="66">
        <v>0</v>
      </c>
      <c r="H48" s="66">
        <v>1.44557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44.8872</v>
      </c>
      <c r="C5" s="66">
        <v>2.1093999999999999</v>
      </c>
      <c r="D5" s="66">
        <v>4.6993299999999998</v>
      </c>
      <c r="E5" s="66">
        <v>20</v>
      </c>
      <c r="F5" s="66">
        <v>41.3797</v>
      </c>
      <c r="G5" s="66">
        <v>50</v>
      </c>
      <c r="H5" s="66">
        <v>50.420400000000001</v>
      </c>
    </row>
    <row r="6" spans="1:8">
      <c r="A6" s="66" t="s">
        <v>358</v>
      </c>
      <c r="B6" s="66">
        <v>26.457599999999999</v>
      </c>
      <c r="C6" s="66">
        <v>1.6349899999999999</v>
      </c>
      <c r="D6" s="66">
        <v>6.1796600000000002</v>
      </c>
      <c r="E6" s="66">
        <v>20</v>
      </c>
      <c r="F6" s="66">
        <v>25.071899999999999</v>
      </c>
      <c r="G6" s="66">
        <v>40</v>
      </c>
      <c r="H6" s="66">
        <v>31.330100000000002</v>
      </c>
    </row>
    <row r="7" spans="1:8">
      <c r="A7" s="66" t="s">
        <v>359</v>
      </c>
      <c r="B7" s="66">
        <v>21.592199999999998</v>
      </c>
      <c r="C7" s="66">
        <v>6.6395</v>
      </c>
      <c r="D7" s="66">
        <v>30.749500000000001</v>
      </c>
      <c r="E7" s="66">
        <v>15</v>
      </c>
      <c r="F7" s="66">
        <v>8.0518000000000001</v>
      </c>
      <c r="G7" s="66">
        <v>40</v>
      </c>
      <c r="H7" s="66">
        <v>41.036299999999997</v>
      </c>
    </row>
    <row r="8" spans="1:8">
      <c r="A8" s="66" t="s">
        <v>360</v>
      </c>
      <c r="B8" s="66">
        <v>31.215900000000001</v>
      </c>
      <c r="C8" s="66">
        <v>2.0196800000000001</v>
      </c>
      <c r="D8" s="66">
        <v>6.4700199999999999</v>
      </c>
      <c r="E8" s="66">
        <v>20</v>
      </c>
      <c r="F8" s="66">
        <v>27.3216</v>
      </c>
      <c r="G8" s="66">
        <v>50</v>
      </c>
      <c r="H8" s="66">
        <v>36.395899999999997</v>
      </c>
    </row>
    <row r="9" spans="1:8">
      <c r="A9" s="66" t="s">
        <v>361</v>
      </c>
      <c r="B9" s="66">
        <v>59.881799999999998</v>
      </c>
      <c r="C9" s="66">
        <v>9.5528899999999997</v>
      </c>
      <c r="D9" s="66">
        <v>15.9529</v>
      </c>
      <c r="E9" s="66">
        <v>50</v>
      </c>
      <c r="F9" s="66">
        <v>33.760300000000001</v>
      </c>
      <c r="G9" s="66">
        <v>100</v>
      </c>
      <c r="H9" s="66">
        <v>76.427700000000002</v>
      </c>
    </row>
    <row r="10" spans="1:8">
      <c r="A10" s="66" t="s">
        <v>362</v>
      </c>
      <c r="B10" s="66">
        <v>74.1434</v>
      </c>
      <c r="C10" s="66">
        <v>1.72878</v>
      </c>
      <c r="D10" s="66">
        <v>2.3316699999999999</v>
      </c>
      <c r="E10" s="66">
        <v>40</v>
      </c>
      <c r="F10" s="66">
        <v>68.888099999999994</v>
      </c>
      <c r="G10" s="66">
        <v>100</v>
      </c>
      <c r="H10" s="66">
        <v>76.154899999999998</v>
      </c>
    </row>
    <row r="11" spans="1:8">
      <c r="A11" s="66" t="s">
        <v>363</v>
      </c>
      <c r="B11" s="66">
        <v>27.017099999999999</v>
      </c>
      <c r="C11" s="66">
        <v>1.5837399999999999</v>
      </c>
      <c r="D11" s="66">
        <v>5.8620000000000001</v>
      </c>
      <c r="E11" s="66">
        <v>10</v>
      </c>
      <c r="F11" s="66">
        <v>22.972799999999999</v>
      </c>
      <c r="G11" s="66">
        <v>50</v>
      </c>
      <c r="H11" s="66">
        <v>29.6328</v>
      </c>
    </row>
    <row r="12" spans="1:8">
      <c r="A12" s="66" t="s">
        <v>364</v>
      </c>
      <c r="B12" s="66">
        <v>67.157899999999998</v>
      </c>
      <c r="C12" s="66">
        <v>4.44259</v>
      </c>
      <c r="D12" s="66">
        <v>6.6151400000000002</v>
      </c>
      <c r="E12" s="66">
        <v>50</v>
      </c>
      <c r="F12" s="66">
        <v>53.950099999999999</v>
      </c>
      <c r="G12" s="66">
        <v>100</v>
      </c>
      <c r="H12" s="66">
        <v>72.714399999999998</v>
      </c>
    </row>
    <row r="13" spans="1:8">
      <c r="A13" s="66" t="s">
        <v>365</v>
      </c>
      <c r="B13" s="66">
        <v>20.6052</v>
      </c>
      <c r="C13" s="66">
        <v>1.5783799999999999</v>
      </c>
      <c r="D13" s="66">
        <v>7.6600799999999998</v>
      </c>
      <c r="E13" s="66">
        <v>10</v>
      </c>
      <c r="F13" s="66">
        <v>18.400099999999998</v>
      </c>
      <c r="G13" s="66">
        <v>25</v>
      </c>
      <c r="H13" s="66">
        <v>25.5319</v>
      </c>
    </row>
    <row r="14" spans="1:8">
      <c r="A14" s="66" t="s">
        <v>366</v>
      </c>
      <c r="B14" s="66">
        <v>15.783799999999999</v>
      </c>
      <c r="C14" s="66">
        <v>11.879099999999999</v>
      </c>
      <c r="D14" s="66">
        <v>75.261600000000001</v>
      </c>
      <c r="E14" s="66">
        <v>10</v>
      </c>
      <c r="F14" s="66">
        <v>3.3136100000000002</v>
      </c>
      <c r="G14" s="66">
        <v>50</v>
      </c>
      <c r="H14" s="66">
        <v>36.699599999999997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0.60084700000000002</v>
      </c>
      <c r="C18" s="66">
        <v>0.101992</v>
      </c>
      <c r="D18" s="66">
        <v>0.16974700000000001</v>
      </c>
      <c r="E18" s="66">
        <v>0</v>
      </c>
      <c r="F18" s="66">
        <v>0.49885499999999999</v>
      </c>
      <c r="G18" s="66">
        <v>0</v>
      </c>
      <c r="H18" s="66">
        <v>0.70283899999999999</v>
      </c>
    </row>
    <row r="19" spans="1:8">
      <c r="A19" s="66" t="s">
        <v>371</v>
      </c>
      <c r="B19" s="66">
        <v>0.71603399999999995</v>
      </c>
      <c r="C19" s="66">
        <v>4.3769500000000003E-2</v>
      </c>
      <c r="D19" s="66">
        <v>6.11277E-2</v>
      </c>
      <c r="E19" s="66">
        <v>0</v>
      </c>
      <c r="F19" s="66">
        <v>0.672265</v>
      </c>
      <c r="G19" s="66">
        <v>0</v>
      </c>
      <c r="H19" s="66">
        <v>0.75980400000000003</v>
      </c>
    </row>
    <row r="20" spans="1:8">
      <c r="A20" s="66" t="s">
        <v>372</v>
      </c>
      <c r="B20" s="66">
        <v>3.8731299999999998E-3</v>
      </c>
      <c r="C20" s="66">
        <v>6.4151799999999995E-2</v>
      </c>
      <c r="D20" s="66">
        <v>16.563300000000002</v>
      </c>
      <c r="E20" s="66">
        <v>0</v>
      </c>
      <c r="F20" s="196">
        <v>4.5917300000000002E-5</v>
      </c>
      <c r="G20" s="66">
        <v>0</v>
      </c>
      <c r="H20" s="66">
        <v>0.70564400000000005</v>
      </c>
    </row>
    <row r="21" spans="1:8">
      <c r="A21" s="66" t="s">
        <v>373</v>
      </c>
      <c r="B21" s="66">
        <v>0.13749400000000001</v>
      </c>
      <c r="C21" s="66">
        <v>0.63523600000000002</v>
      </c>
      <c r="D21" s="66">
        <v>4.6200900000000003</v>
      </c>
      <c r="E21" s="66">
        <v>0</v>
      </c>
      <c r="F21" s="66">
        <v>5.3973099999999998E-3</v>
      </c>
      <c r="G21" s="66">
        <v>0</v>
      </c>
      <c r="H21" s="66">
        <v>2.9405399999999999</v>
      </c>
    </row>
    <row r="22" spans="1:8">
      <c r="A22" s="66" t="s">
        <v>374</v>
      </c>
      <c r="B22" s="66">
        <v>40.924700000000001</v>
      </c>
      <c r="C22" s="66">
        <v>16.133099999999999</v>
      </c>
      <c r="D22" s="66">
        <v>0.39421299999999998</v>
      </c>
      <c r="E22" s="66">
        <v>0</v>
      </c>
      <c r="F22" s="66">
        <v>26.716100000000001</v>
      </c>
      <c r="G22" s="66">
        <v>0</v>
      </c>
      <c r="H22" s="66">
        <v>85.741500000000002</v>
      </c>
    </row>
    <row r="23" spans="1:8">
      <c r="A23" s="66" t="s">
        <v>375</v>
      </c>
      <c r="B23" s="66">
        <v>21.653400000000001</v>
      </c>
      <c r="C23" s="66">
        <v>1.56057</v>
      </c>
      <c r="D23" s="66">
        <v>7.2070499999999996E-2</v>
      </c>
      <c r="E23" s="66">
        <v>0</v>
      </c>
      <c r="F23" s="66">
        <v>17.857900000000001</v>
      </c>
      <c r="G23" s="66">
        <v>0</v>
      </c>
      <c r="H23" s="66">
        <v>22.843599999999999</v>
      </c>
    </row>
    <row r="24" spans="1:8">
      <c r="A24" s="66" t="s">
        <v>376</v>
      </c>
      <c r="B24" s="66">
        <v>4.6049300000000001E-3</v>
      </c>
      <c r="C24" s="66">
        <v>4.5986699999999998E-2</v>
      </c>
      <c r="D24" s="66">
        <v>9.9864099999999993</v>
      </c>
      <c r="E24" s="66">
        <v>0</v>
      </c>
      <c r="F24" s="66">
        <v>2.0360300000000001E-4</v>
      </c>
      <c r="G24" s="66">
        <v>0</v>
      </c>
      <c r="H24" s="66">
        <v>0.22556799999999999</v>
      </c>
    </row>
    <row r="25" spans="1:8">
      <c r="A25" s="66" t="s">
        <v>377</v>
      </c>
      <c r="B25" s="66">
        <v>0.175231</v>
      </c>
      <c r="C25" s="66">
        <v>0.410769</v>
      </c>
      <c r="D25" s="66">
        <v>2.34416</v>
      </c>
      <c r="E25" s="66">
        <v>0</v>
      </c>
      <c r="F25" s="66">
        <v>7.2476399999999996E-2</v>
      </c>
      <c r="G25" s="66">
        <v>0</v>
      </c>
      <c r="H25" s="66">
        <v>1.4792400000000001</v>
      </c>
    </row>
    <row r="26" spans="1:8">
      <c r="A26" s="66" t="s">
        <v>378</v>
      </c>
      <c r="B26" s="66">
        <v>1.27692E-3</v>
      </c>
      <c r="C26" s="66">
        <v>6.5992799999999999E-3</v>
      </c>
      <c r="D26" s="66">
        <v>5.1681299999999997</v>
      </c>
      <c r="E26" s="66">
        <v>0</v>
      </c>
      <c r="F26" s="196">
        <v>1.9695400000000001E-5</v>
      </c>
      <c r="G26" s="66">
        <v>0</v>
      </c>
      <c r="H26" s="66">
        <v>5.8557600000000001E-2</v>
      </c>
    </row>
    <row r="27" spans="1:8">
      <c r="A27" s="66" t="s">
        <v>379</v>
      </c>
      <c r="B27" s="196">
        <v>9.8476899999999999E-6</v>
      </c>
      <c r="C27" s="66">
        <v>2.8657600000000002E-3</v>
      </c>
      <c r="D27" s="66">
        <v>291.00799999999998</v>
      </c>
      <c r="E27" s="66">
        <v>0</v>
      </c>
      <c r="F27" s="66">
        <v>-2.6440999999999999E-2</v>
      </c>
      <c r="G27" s="66">
        <v>0</v>
      </c>
      <c r="H27" s="66">
        <v>2.3706700000000001E-2</v>
      </c>
    </row>
    <row r="28" spans="1:8">
      <c r="A28" s="66" t="s">
        <v>380</v>
      </c>
      <c r="B28" s="66">
        <v>1.8810199999999999E-2</v>
      </c>
      <c r="C28" s="66">
        <v>3.8156700000000002E-2</v>
      </c>
      <c r="D28" s="66">
        <v>2.0285099999999998</v>
      </c>
      <c r="E28" s="66">
        <v>0</v>
      </c>
      <c r="F28" s="66">
        <v>1.39974E-3</v>
      </c>
      <c r="G28" s="66">
        <v>0</v>
      </c>
      <c r="H28" s="66">
        <v>0.1729</v>
      </c>
    </row>
    <row r="29" spans="1:8">
      <c r="A29" s="66" t="s">
        <v>381</v>
      </c>
      <c r="B29" s="66">
        <v>73.435100000000006</v>
      </c>
      <c r="C29" s="66">
        <v>10.0631</v>
      </c>
      <c r="D29" s="66">
        <v>0.13703399999999999</v>
      </c>
      <c r="E29" s="66">
        <v>0</v>
      </c>
      <c r="F29" s="66">
        <v>48.969700000000003</v>
      </c>
      <c r="G29" s="66">
        <v>0</v>
      </c>
      <c r="H29" s="66">
        <v>90.364400000000003</v>
      </c>
    </row>
    <row r="30" spans="1:8">
      <c r="A30" s="66" t="s">
        <v>382</v>
      </c>
      <c r="B30" s="66">
        <v>25.653400000000001</v>
      </c>
      <c r="C30" s="66">
        <v>1.22078</v>
      </c>
      <c r="D30" s="66">
        <v>4.7587499999999998E-2</v>
      </c>
      <c r="E30" s="66">
        <v>0</v>
      </c>
      <c r="F30" s="66">
        <v>22.789400000000001</v>
      </c>
      <c r="G30" s="66">
        <v>0</v>
      </c>
      <c r="H30" s="66">
        <v>27.2807</v>
      </c>
    </row>
    <row r="31" spans="1:8">
      <c r="A31" s="66" t="s">
        <v>383</v>
      </c>
      <c r="B31" s="66">
        <v>169.39099999999999</v>
      </c>
      <c r="C31" s="66">
        <v>14.993399999999999</v>
      </c>
      <c r="D31" s="66">
        <v>8.8513599999999998E-2</v>
      </c>
      <c r="E31" s="66">
        <v>0</v>
      </c>
      <c r="F31" s="66">
        <v>140.33799999999999</v>
      </c>
      <c r="G31" s="66">
        <v>0</v>
      </c>
      <c r="H31" s="66">
        <v>191.56899999999999</v>
      </c>
    </row>
    <row r="32" spans="1:8">
      <c r="A32" s="66" t="s">
        <v>384</v>
      </c>
      <c r="B32" s="66">
        <v>0.215922</v>
      </c>
      <c r="C32" s="66">
        <v>6.6394999999999996E-2</v>
      </c>
      <c r="D32" s="66">
        <v>0.30749500000000002</v>
      </c>
      <c r="E32" s="66">
        <v>0.15</v>
      </c>
      <c r="F32" s="66">
        <v>8.0518000000000006E-2</v>
      </c>
      <c r="G32" s="66">
        <v>0.4</v>
      </c>
      <c r="H32" s="66">
        <v>0.41036299999999998</v>
      </c>
    </row>
    <row r="33" spans="1:8">
      <c r="A33" s="66" t="s">
        <v>385</v>
      </c>
      <c r="B33" s="66">
        <v>0.31912200000000002</v>
      </c>
      <c r="C33" s="66">
        <v>1.2525400000000001E-2</v>
      </c>
      <c r="D33" s="66">
        <v>3.92495E-2</v>
      </c>
      <c r="E33" s="66">
        <v>0</v>
      </c>
      <c r="F33" s="66">
        <v>0.294429</v>
      </c>
      <c r="G33" s="66">
        <v>0</v>
      </c>
      <c r="H33" s="66">
        <v>0.353551</v>
      </c>
    </row>
    <row r="34" spans="1:8">
      <c r="A34" s="66" t="s">
        <v>386</v>
      </c>
      <c r="B34" s="66">
        <v>0.20605200000000001</v>
      </c>
      <c r="C34" s="66">
        <v>1.5783800000000001E-2</v>
      </c>
      <c r="D34" s="66">
        <v>7.6600799999999997E-2</v>
      </c>
      <c r="E34" s="66">
        <v>0.1</v>
      </c>
      <c r="F34" s="66">
        <v>0.184001</v>
      </c>
      <c r="G34" s="66">
        <v>0.25</v>
      </c>
      <c r="H34" s="66">
        <v>0.25531900000000002</v>
      </c>
    </row>
    <row r="35" spans="1:8">
      <c r="A35" s="66" t="s">
        <v>387</v>
      </c>
      <c r="B35" s="66">
        <v>8.5776000000000005E-2</v>
      </c>
      <c r="C35" s="66">
        <v>1.6580600000000001E-2</v>
      </c>
      <c r="D35" s="66">
        <v>0.193301</v>
      </c>
      <c r="E35" s="66">
        <v>0</v>
      </c>
      <c r="F35" s="66">
        <v>5.33304E-2</v>
      </c>
      <c r="G35" s="66">
        <v>0</v>
      </c>
      <c r="H35" s="66">
        <v>0.12423099999999999</v>
      </c>
    </row>
    <row r="36" spans="1:8">
      <c r="A36" s="66" t="s">
        <v>388</v>
      </c>
      <c r="B36" s="66">
        <v>0.192274</v>
      </c>
      <c r="C36" s="66">
        <v>9.3446600000000005E-2</v>
      </c>
      <c r="D36" s="66">
        <v>0.486008</v>
      </c>
      <c r="E36" s="66">
        <v>0</v>
      </c>
      <c r="F36" s="66">
        <v>4.8198400000000002E-2</v>
      </c>
      <c r="G36" s="66">
        <v>0</v>
      </c>
      <c r="H36" s="66">
        <v>0.47487699999999999</v>
      </c>
    </row>
    <row r="37" spans="1:8">
      <c r="A37" s="66" t="s">
        <v>389</v>
      </c>
      <c r="B37" s="66">
        <v>0.15783800000000001</v>
      </c>
      <c r="C37" s="66">
        <v>0.11879099999999999</v>
      </c>
      <c r="D37" s="66">
        <v>0.75261599999999995</v>
      </c>
      <c r="E37" s="66">
        <v>0.1</v>
      </c>
      <c r="F37" s="66">
        <v>3.3136100000000002E-2</v>
      </c>
      <c r="G37" s="66">
        <v>0.5</v>
      </c>
      <c r="H37" s="66">
        <v>0.36699599999999999</v>
      </c>
    </row>
    <row r="38" spans="1:8">
      <c r="A38" s="66" t="s">
        <v>390</v>
      </c>
      <c r="B38" s="66">
        <v>-1.5727100000000001</v>
      </c>
      <c r="C38" s="66">
        <v>37.996499999999997</v>
      </c>
      <c r="D38" s="66">
        <v>-24.16</v>
      </c>
      <c r="E38" s="66">
        <v>0</v>
      </c>
      <c r="F38" s="66">
        <v>-98.608000000000004</v>
      </c>
      <c r="G38" s="66">
        <v>0</v>
      </c>
      <c r="H38" s="66">
        <v>131.08000000000001</v>
      </c>
    </row>
    <row r="39" spans="1:8">
      <c r="A39" s="66" t="s">
        <v>391</v>
      </c>
      <c r="B39" s="66">
        <v>-0.20411199999999999</v>
      </c>
      <c r="C39" s="66">
        <v>5.0848500000000003</v>
      </c>
      <c r="D39" s="66">
        <v>-24.911999999999999</v>
      </c>
      <c r="E39" s="66">
        <v>0</v>
      </c>
      <c r="F39" s="66">
        <v>-5.7004299999999999</v>
      </c>
      <c r="G39" s="66">
        <v>0</v>
      </c>
      <c r="H39" s="66">
        <v>18.631499999999999</v>
      </c>
    </row>
    <row r="40" spans="1:8">
      <c r="A40" s="66" t="s">
        <v>392</v>
      </c>
      <c r="B40" s="66">
        <v>0.613456</v>
      </c>
      <c r="C40" s="66">
        <v>0.72100799999999998</v>
      </c>
      <c r="D40" s="66">
        <v>1.1753199999999999</v>
      </c>
      <c r="E40" s="66">
        <v>0</v>
      </c>
      <c r="F40" s="66">
        <v>-1.46766</v>
      </c>
      <c r="G40" s="66">
        <v>0</v>
      </c>
      <c r="H40" s="66">
        <v>1.6813800000000001</v>
      </c>
    </row>
    <row r="41" spans="1:8">
      <c r="A41" s="66" t="s">
        <v>393</v>
      </c>
      <c r="B41" s="66">
        <v>-4.6372299999999998E-2</v>
      </c>
      <c r="C41" s="66">
        <v>0.24010200000000001</v>
      </c>
      <c r="D41" s="66">
        <v>-5.1776900000000001</v>
      </c>
      <c r="E41" s="66">
        <v>0</v>
      </c>
      <c r="F41" s="66">
        <v>-0.59162300000000001</v>
      </c>
      <c r="G41" s="66">
        <v>0</v>
      </c>
      <c r="H41" s="66">
        <v>0.78378400000000004</v>
      </c>
    </row>
    <row r="42" spans="1:8">
      <c r="A42" s="66" t="s">
        <v>394</v>
      </c>
      <c r="B42" s="66">
        <v>-1.4495900000000001E-2</v>
      </c>
      <c r="C42" s="66">
        <v>5.7813499999999997E-2</v>
      </c>
      <c r="D42" s="66">
        <v>-3.98828</v>
      </c>
      <c r="E42" s="66">
        <v>0</v>
      </c>
      <c r="F42" s="66">
        <v>-0.122974</v>
      </c>
      <c r="G42" s="66">
        <v>0</v>
      </c>
      <c r="H42" s="66">
        <v>0.14881800000000001</v>
      </c>
    </row>
    <row r="43" spans="1:8">
      <c r="A43" s="66" t="s">
        <v>395</v>
      </c>
      <c r="B43" s="66">
        <v>-7.0954900000000003E-3</v>
      </c>
      <c r="C43" s="66">
        <v>3.1957399999999997E-2</v>
      </c>
      <c r="D43" s="66">
        <v>-4.5038999999999998</v>
      </c>
      <c r="E43" s="66">
        <v>0</v>
      </c>
      <c r="F43" s="66">
        <v>-9.5908800000000002E-2</v>
      </c>
      <c r="G43" s="66">
        <v>0</v>
      </c>
      <c r="H43" s="66">
        <v>6.6248699999999994E-2</v>
      </c>
    </row>
    <row r="44" spans="1:8">
      <c r="A44" s="66" t="s">
        <v>396</v>
      </c>
      <c r="B44" s="66">
        <v>14.6557</v>
      </c>
      <c r="C44" s="66">
        <v>7.2644700000000002</v>
      </c>
      <c r="D44" s="66">
        <v>0.49567499999999998</v>
      </c>
      <c r="E44" s="66">
        <v>0</v>
      </c>
      <c r="F44" s="66">
        <v>-3.5980099999999999</v>
      </c>
      <c r="G44" s="66">
        <v>0</v>
      </c>
      <c r="H44" s="66">
        <v>22.7942</v>
      </c>
    </row>
    <row r="45" spans="1:8">
      <c r="A45" s="66" t="s">
        <v>397</v>
      </c>
      <c r="B45" s="66">
        <v>54.837800000000001</v>
      </c>
      <c r="C45" s="66">
        <v>6.8099100000000004</v>
      </c>
      <c r="D45" s="66">
        <v>0.124183</v>
      </c>
      <c r="E45" s="66">
        <v>0</v>
      </c>
      <c r="F45" s="66">
        <v>44.5062</v>
      </c>
      <c r="G45" s="66">
        <v>0</v>
      </c>
      <c r="H45" s="66">
        <v>68.277000000000001</v>
      </c>
    </row>
    <row r="46" spans="1:8">
      <c r="A46" s="66" t="s">
        <v>398</v>
      </c>
      <c r="B46" s="66">
        <v>35.612200000000001</v>
      </c>
      <c r="C46" s="66">
        <v>0.88348899999999997</v>
      </c>
      <c r="D46" s="66">
        <v>2.48086E-2</v>
      </c>
      <c r="E46" s="66">
        <v>0</v>
      </c>
      <c r="F46" s="66">
        <v>33.949100000000001</v>
      </c>
      <c r="G46" s="66">
        <v>0</v>
      </c>
      <c r="H46" s="66">
        <v>37.468299999999999</v>
      </c>
    </row>
    <row r="47" spans="1:8">
      <c r="A47" s="66" t="s">
        <v>399</v>
      </c>
      <c r="B47" s="66">
        <v>1.1477900000000001</v>
      </c>
      <c r="C47" s="66">
        <v>0.46923999999999999</v>
      </c>
      <c r="D47" s="66">
        <v>0.40882099999999999</v>
      </c>
      <c r="E47" s="66">
        <v>0</v>
      </c>
      <c r="F47" s="66">
        <v>0.69909500000000002</v>
      </c>
      <c r="G47" s="66">
        <v>0</v>
      </c>
      <c r="H47" s="66">
        <v>2.5994999999999999</v>
      </c>
    </row>
    <row r="48" spans="1:8">
      <c r="A48" s="66" t="s">
        <v>400</v>
      </c>
      <c r="B48" s="66">
        <v>1.0691200000000001</v>
      </c>
      <c r="C48" s="66">
        <v>0.125892</v>
      </c>
      <c r="D48" s="66">
        <v>0.117753</v>
      </c>
      <c r="E48" s="66">
        <v>0</v>
      </c>
      <c r="F48" s="66">
        <v>0.82646299999999995</v>
      </c>
      <c r="G48" s="66">
        <v>0</v>
      </c>
      <c r="H48" s="66">
        <v>1.29077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85.691574466394485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1.6544892338964361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0.71698096803784295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3668</v>
      </c>
      <c r="B8" s="66">
        <v>3668</v>
      </c>
      <c r="D8">
        <f t="shared" si="0"/>
        <v>5.1662699474640486E-2</v>
      </c>
      <c r="E8">
        <f t="shared" si="0"/>
        <v>5.1662699474640486E-2</v>
      </c>
      <c r="G8">
        <f t="shared" ca="1" si="1"/>
        <v>6</v>
      </c>
      <c r="H8">
        <f t="shared" ca="1" si="2"/>
        <v>0.30997619684784294</v>
      </c>
      <c r="I8">
        <f t="shared" ca="1" si="3"/>
        <v>328.09673581517859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5633</v>
      </c>
      <c r="B10" s="66">
        <v>5633</v>
      </c>
      <c r="D10">
        <f t="shared" si="0"/>
        <v>7.9339145621769316E-2</v>
      </c>
      <c r="E10">
        <f t="shared" si="0"/>
        <v>7.9339145621769316E-2</v>
      </c>
      <c r="G10">
        <f t="shared" ca="1" si="1"/>
        <v>8</v>
      </c>
      <c r="H10">
        <f t="shared" ca="1" si="2"/>
        <v>0.63471316497415453</v>
      </c>
      <c r="I10">
        <f t="shared" ca="1" si="3"/>
        <v>478.88955514441341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11042</v>
      </c>
      <c r="B13" s="66">
        <v>11042</v>
      </c>
      <c r="D13">
        <f t="shared" si="0"/>
        <v>0.15552331722982013</v>
      </c>
      <c r="E13">
        <f t="shared" si="0"/>
        <v>0.15552331722982013</v>
      </c>
      <c r="G13">
        <f t="shared" ca="1" si="1"/>
        <v>11</v>
      </c>
      <c r="H13">
        <f t="shared" ca="1" si="2"/>
        <v>1.7107564895280214</v>
      </c>
      <c r="I13">
        <f t="shared" ca="1" si="3"/>
        <v>867.63834946128497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12879</v>
      </c>
      <c r="B15" s="66">
        <v>12879</v>
      </c>
      <c r="D15">
        <f t="shared" si="0"/>
        <v>0.18139692108339553</v>
      </c>
      <c r="E15">
        <f t="shared" si="0"/>
        <v>0.18139692108339553</v>
      </c>
      <c r="G15">
        <f t="shared" ca="1" si="1"/>
        <v>13</v>
      </c>
      <c r="H15">
        <f t="shared" ca="1" si="2"/>
        <v>2.3581599740841419</v>
      </c>
      <c r="I15">
        <f t="shared" ca="1" si="3"/>
        <v>958.51312151490947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17383</v>
      </c>
      <c r="B18" s="66">
        <v>17383</v>
      </c>
      <c r="D18">
        <f t="shared" si="0"/>
        <v>0.24483443428780688</v>
      </c>
      <c r="E18">
        <f t="shared" si="0"/>
        <v>0.24483443428780688</v>
      </c>
      <c r="G18">
        <f t="shared" ca="1" si="1"/>
        <v>16</v>
      </c>
      <c r="H18">
        <f t="shared" ca="1" si="2"/>
        <v>3.9173509486049101</v>
      </c>
      <c r="I18">
        <f t="shared" ca="1" si="3"/>
        <v>1189.1401714608635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21291</v>
      </c>
      <c r="B21" s="66">
        <v>21291</v>
      </c>
      <c r="D21">
        <f t="shared" si="0"/>
        <v>0.29987746306286006</v>
      </c>
      <c r="E21">
        <f t="shared" si="0"/>
        <v>0.29987746306286006</v>
      </c>
      <c r="G21">
        <f t="shared" ca="1" si="1"/>
        <v>19</v>
      </c>
      <c r="H21">
        <f t="shared" ca="1" si="2"/>
        <v>5.6976717981943414</v>
      </c>
      <c r="I21">
        <f t="shared" ca="1" si="3"/>
        <v>1333.7848158063946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20223</v>
      </c>
      <c r="B23" s="66">
        <v>20223</v>
      </c>
      <c r="D23">
        <f t="shared" si="0"/>
        <v>0.2848349976760236</v>
      </c>
      <c r="E23">
        <f t="shared" si="0"/>
        <v>0.2848349976760236</v>
      </c>
      <c r="G23">
        <f t="shared" ca="1" si="1"/>
        <v>21</v>
      </c>
      <c r="H23">
        <f t="shared" ca="1" si="2"/>
        <v>5.9815349511964957</v>
      </c>
      <c r="I23">
        <f t="shared" ca="1" si="3"/>
        <v>1192.0344102842168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29216</v>
      </c>
      <c r="B26" s="66">
        <v>29216</v>
      </c>
      <c r="D26">
        <f t="shared" si="0"/>
        <v>0.41149875350357046</v>
      </c>
      <c r="E26">
        <f t="shared" si="0"/>
        <v>0.41149875350357046</v>
      </c>
      <c r="G26">
        <f t="shared" ca="1" si="1"/>
        <v>24</v>
      </c>
      <c r="H26">
        <f t="shared" ca="1" si="2"/>
        <v>9.8759700840856901</v>
      </c>
      <c r="I26">
        <f t="shared" ca="1" si="3"/>
        <v>1566.102679219834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32031</v>
      </c>
      <c r="B28" s="66">
        <v>32031</v>
      </c>
      <c r="D28">
        <f t="shared" si="0"/>
        <v>0.45114719925632757</v>
      </c>
      <c r="E28">
        <f t="shared" si="0"/>
        <v>0.45114719925632757</v>
      </c>
      <c r="G28">
        <f t="shared" ca="1" si="1"/>
        <v>26</v>
      </c>
      <c r="H28">
        <f t="shared" ca="1" si="2"/>
        <v>11.729827180664516</v>
      </c>
      <c r="I28">
        <f t="shared" ca="1" si="3"/>
        <v>1607.47539541118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38714</v>
      </c>
      <c r="B31" s="66">
        <v>38714</v>
      </c>
      <c r="D31">
        <f t="shared" si="0"/>
        <v>0.54527528556740235</v>
      </c>
      <c r="E31">
        <f t="shared" si="0"/>
        <v>0.54527528556740235</v>
      </c>
      <c r="G31">
        <f t="shared" ca="1" si="1"/>
        <v>29</v>
      </c>
      <c r="H31">
        <f t="shared" ca="1" si="2"/>
        <v>15.812983281454668</v>
      </c>
      <c r="I31">
        <f t="shared" ca="1" si="3"/>
        <v>1752.4791152501355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39612</v>
      </c>
      <c r="B33" s="66">
        <v>39612</v>
      </c>
      <c r="D33">
        <f t="shared" si="0"/>
        <v>0.55792335103311319</v>
      </c>
      <c r="E33">
        <f t="shared" si="0"/>
        <v>0.55792335103311319</v>
      </c>
      <c r="G33">
        <f t="shared" ca="1" si="1"/>
        <v>31</v>
      </c>
      <c r="H33">
        <f t="shared" ca="1" si="2"/>
        <v>17.295623882026508</v>
      </c>
      <c r="I33">
        <f t="shared" ca="1" si="3"/>
        <v>1668.8426512668211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39930</v>
      </c>
      <c r="B36" s="66">
        <v>39930</v>
      </c>
      <c r="D36">
        <f t="shared" si="0"/>
        <v>0.56240228735615994</v>
      </c>
      <c r="E36">
        <f t="shared" si="0"/>
        <v>0.56240228735615994</v>
      </c>
      <c r="G36">
        <f t="shared" ca="1" si="1"/>
        <v>34</v>
      </c>
      <c r="H36">
        <f t="shared" ca="1" si="2"/>
        <v>19.121677770109439</v>
      </c>
      <c r="I36">
        <f t="shared" ca="1" si="3"/>
        <v>1502.7495248050707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39564</v>
      </c>
      <c r="B39" s="66">
        <v>39564</v>
      </c>
      <c r="D39">
        <f t="shared" si="0"/>
        <v>0.55724728517303057</v>
      </c>
      <c r="E39">
        <f t="shared" si="0"/>
        <v>0.55724728517303057</v>
      </c>
      <c r="G39">
        <f t="shared" ca="1" si="1"/>
        <v>37</v>
      </c>
      <c r="H39">
        <f t="shared" ca="1" si="2"/>
        <v>20.61814955140213</v>
      </c>
      <c r="I39">
        <f t="shared" ca="1" si="3"/>
        <v>1321.1605500329076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42291</v>
      </c>
      <c r="B41" s="66">
        <v>42291</v>
      </c>
      <c r="D41">
        <f t="shared" si="0"/>
        <v>0.59565627684896971</v>
      </c>
      <c r="E41">
        <f t="shared" si="0"/>
        <v>0.59565627684896971</v>
      </c>
      <c r="G41">
        <f t="shared" ca="1" si="1"/>
        <v>39</v>
      </c>
      <c r="H41">
        <f t="shared" ca="1" si="2"/>
        <v>23.23059479710982</v>
      </c>
      <c r="I41">
        <f t="shared" ca="1" si="3"/>
        <v>1298.592111269822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46054</v>
      </c>
      <c r="B44" s="66">
        <v>46054</v>
      </c>
      <c r="D44">
        <f t="shared" si="0"/>
        <v>0.64865702333835684</v>
      </c>
      <c r="E44">
        <f t="shared" si="0"/>
        <v>0.64865702333835684</v>
      </c>
      <c r="G44">
        <f t="shared" ca="1" si="1"/>
        <v>42</v>
      </c>
      <c r="H44">
        <f t="shared" ca="1" si="2"/>
        <v>27.243594980210986</v>
      </c>
      <c r="I44">
        <f t="shared" ca="1" si="3"/>
        <v>1238.2562113395932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51661</v>
      </c>
      <c r="B46" s="66">
        <v>51661</v>
      </c>
      <c r="D46">
        <f t="shared" si="0"/>
        <v>0.72762996661924817</v>
      </c>
      <c r="E46">
        <f t="shared" si="0"/>
        <v>0.72762996661924817</v>
      </c>
      <c r="G46">
        <f t="shared" ca="1" si="1"/>
        <v>44</v>
      </c>
      <c r="H46">
        <f t="shared" ca="1" si="2"/>
        <v>32.015718531246918</v>
      </c>
      <c r="I46">
        <f t="shared" ca="1" si="3"/>
        <v>1264.7572263693235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50415</v>
      </c>
      <c r="B49" s="66">
        <v>50415</v>
      </c>
      <c r="D49">
        <f t="shared" si="0"/>
        <v>0.710080423667939</v>
      </c>
      <c r="E49">
        <f t="shared" si="0"/>
        <v>0.710080423667939</v>
      </c>
      <c r="G49">
        <f t="shared" ca="1" si="1"/>
        <v>47</v>
      </c>
      <c r="H49">
        <f t="shared" ca="1" si="2"/>
        <v>33.373779912393132</v>
      </c>
      <c r="I49">
        <f t="shared" ca="1" si="3"/>
        <v>1063.0173309106217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50992</v>
      </c>
      <c r="B51" s="66">
        <v>50992</v>
      </c>
      <c r="D51">
        <f t="shared" si="0"/>
        <v>0.71820729869434785</v>
      </c>
      <c r="E51">
        <f t="shared" si="0"/>
        <v>0.71820729869434785</v>
      </c>
      <c r="G51">
        <f t="shared" ca="1" si="1"/>
        <v>49</v>
      </c>
      <c r="H51">
        <f t="shared" ca="1" si="2"/>
        <v>35.192157636023047</v>
      </c>
      <c r="I51">
        <f t="shared" ca="1" si="3"/>
        <v>966.90211559144461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42164</v>
      </c>
      <c r="B54" s="66">
        <v>42164</v>
      </c>
      <c r="D54">
        <f t="shared" si="0"/>
        <v>0.5938675192608347</v>
      </c>
      <c r="E54">
        <f t="shared" si="0"/>
        <v>0.5938675192608347</v>
      </c>
      <c r="G54">
        <f t="shared" ca="1" si="1"/>
        <v>52</v>
      </c>
      <c r="H54">
        <f t="shared" ca="1" si="2"/>
        <v>30.881111001563404</v>
      </c>
      <c r="I54">
        <f t="shared" ca="1" si="3"/>
        <v>674.11219904783786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43045</v>
      </c>
      <c r="B57" s="66">
        <v>43045</v>
      </c>
      <c r="D57">
        <f t="shared" si="0"/>
        <v>0.60627614473443292</v>
      </c>
      <c r="E57">
        <f t="shared" si="0"/>
        <v>0.60627614473443292</v>
      </c>
      <c r="G57">
        <f t="shared" ca="1" si="1"/>
        <v>55</v>
      </c>
      <c r="H57">
        <f t="shared" ca="1" si="2"/>
        <v>33.345187960393808</v>
      </c>
      <c r="I57">
        <f t="shared" ca="1" si="3"/>
        <v>571.09560320812136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39219</v>
      </c>
      <c r="B59" s="66">
        <v>39219</v>
      </c>
      <c r="D59">
        <f t="shared" si="0"/>
        <v>0.55238806180368738</v>
      </c>
      <c r="E59">
        <f t="shared" si="0"/>
        <v>0.55238806180368738</v>
      </c>
      <c r="G59">
        <f t="shared" ca="1" si="1"/>
        <v>57</v>
      </c>
      <c r="H59">
        <f t="shared" ca="1" si="2"/>
        <v>31.486119522810181</v>
      </c>
      <c r="I59">
        <f t="shared" ca="1" si="3"/>
        <v>454.72941281707801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36048</v>
      </c>
      <c r="B62" s="66">
        <v>36048</v>
      </c>
      <c r="D62">
        <f t="shared" si="0"/>
        <v>0.50772546092198478</v>
      </c>
      <c r="E62">
        <f t="shared" si="0"/>
        <v>0.50772546092198478</v>
      </c>
      <c r="G62">
        <f t="shared" ca="1" si="1"/>
        <v>60</v>
      </c>
      <c r="H62">
        <f t="shared" ca="1" si="2"/>
        <v>30.463527655319087</v>
      </c>
      <c r="I62">
        <f t="shared" ca="1" si="3"/>
        <v>335.12774382982212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35041</v>
      </c>
      <c r="B64" s="66">
        <v>35041</v>
      </c>
      <c r="D64">
        <f t="shared" si="0"/>
        <v>0.49354216256566996</v>
      </c>
      <c r="E64">
        <f t="shared" si="0"/>
        <v>0.49354216256566996</v>
      </c>
      <c r="G64">
        <f t="shared" ca="1" si="1"/>
        <v>62</v>
      </c>
      <c r="H64">
        <f t="shared" ca="1" si="2"/>
        <v>30.599614079071536</v>
      </c>
      <c r="I64">
        <f t="shared" ca="1" si="3"/>
        <v>277.020626249857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36914</v>
      </c>
      <c r="B67" s="66">
        <v>36914</v>
      </c>
      <c r="D67">
        <f t="shared" ref="D67:E130" si="4">IFERROR( A67/MAX(A$2:A$257), 0 )</f>
        <v>0.51992281581430722</v>
      </c>
      <c r="E67">
        <f t="shared" si="4"/>
        <v>0.51992281581430722</v>
      </c>
      <c r="G67">
        <f t="shared" ref="G67:G130" ca="1" si="5">CELL("row",D67)-2</f>
        <v>65</v>
      </c>
      <c r="H67">
        <f t="shared" ref="H67:H130" ca="1" si="6">D67*G67</f>
        <v>33.794983027929966</v>
      </c>
      <c r="I67">
        <f t="shared" ref="I67:I130" ca="1" si="7">D67*((G67-$L$1)^2)</f>
        <v>222.60040629309745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40368</v>
      </c>
      <c r="B69" s="66">
        <v>40368</v>
      </c>
      <c r="D69">
        <f t="shared" si="4"/>
        <v>0.56857138832941312</v>
      </c>
      <c r="E69">
        <f t="shared" si="4"/>
        <v>0.56857138832941312</v>
      </c>
      <c r="G69">
        <f t="shared" ca="1" si="5"/>
        <v>67</v>
      </c>
      <c r="H69">
        <f t="shared" ca="1" si="6"/>
        <v>38.094283018070676</v>
      </c>
      <c r="I69">
        <f t="shared" ca="1" si="7"/>
        <v>198.64460379907987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40084</v>
      </c>
      <c r="B72" s="66">
        <v>40084</v>
      </c>
      <c r="D72">
        <f t="shared" si="4"/>
        <v>0.5645713319905914</v>
      </c>
      <c r="E72">
        <f t="shared" si="4"/>
        <v>0.5645713319905914</v>
      </c>
      <c r="G72">
        <f t="shared" ca="1" si="5"/>
        <v>70</v>
      </c>
      <c r="H72">
        <f t="shared" ca="1" si="6"/>
        <v>39.519993239341396</v>
      </c>
      <c r="I72">
        <f t="shared" ca="1" si="7"/>
        <v>139.01186371852879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41973</v>
      </c>
      <c r="B75" s="66">
        <v>41973</v>
      </c>
      <c r="D75">
        <f t="shared" si="4"/>
        <v>0.59117734052592286</v>
      </c>
      <c r="E75">
        <f t="shared" si="4"/>
        <v>0.59117734052592286</v>
      </c>
      <c r="G75">
        <f t="shared" ca="1" si="5"/>
        <v>73</v>
      </c>
      <c r="H75">
        <f t="shared" ca="1" si="6"/>
        <v>43.155945858392371</v>
      </c>
      <c r="I75">
        <f t="shared" ca="1" si="7"/>
        <v>95.224518213323535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40787</v>
      </c>
      <c r="B77" s="66">
        <v>40787</v>
      </c>
      <c r="D77">
        <f t="shared" si="4"/>
        <v>0.57447287989971685</v>
      </c>
      <c r="E77">
        <f t="shared" si="4"/>
        <v>0.57447287989971685</v>
      </c>
      <c r="G77">
        <f t="shared" ca="1" si="5"/>
        <v>75</v>
      </c>
      <c r="H77">
        <f t="shared" ca="1" si="6"/>
        <v>43.085465992478767</v>
      </c>
      <c r="I77">
        <f t="shared" ca="1" si="7"/>
        <v>65.667859653449923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45445</v>
      </c>
      <c r="B80" s="66">
        <v>45445</v>
      </c>
      <c r="D80">
        <f t="shared" si="4"/>
        <v>0.64007943773855969</v>
      </c>
      <c r="E80">
        <f t="shared" si="4"/>
        <v>0.64007943773855969</v>
      </c>
      <c r="G80">
        <f t="shared" ca="1" si="5"/>
        <v>78</v>
      </c>
      <c r="H80">
        <f t="shared" ca="1" si="6"/>
        <v>49.926196143607655</v>
      </c>
      <c r="I80">
        <f t="shared" ca="1" si="7"/>
        <v>37.867302935994914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43283</v>
      </c>
      <c r="B82" s="66">
        <v>43283</v>
      </c>
      <c r="D82">
        <f t="shared" si="4"/>
        <v>0.60962830462400874</v>
      </c>
      <c r="E82">
        <f t="shared" si="4"/>
        <v>0.60962830462400874</v>
      </c>
      <c r="G82">
        <f t="shared" ca="1" si="5"/>
        <v>80</v>
      </c>
      <c r="H82">
        <f t="shared" ca="1" si="6"/>
        <v>48.770264369920696</v>
      </c>
      <c r="I82">
        <f t="shared" ca="1" si="7"/>
        <v>19.748311435564315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45782</v>
      </c>
      <c r="B85" s="66">
        <v>45782</v>
      </c>
      <c r="D85">
        <f t="shared" si="4"/>
        <v>0.64482598346455589</v>
      </c>
      <c r="E85">
        <f t="shared" si="4"/>
        <v>0.64482598346455589</v>
      </c>
      <c r="G85">
        <f t="shared" ca="1" si="5"/>
        <v>83</v>
      </c>
      <c r="H85">
        <f t="shared" ca="1" si="6"/>
        <v>53.520556627558136</v>
      </c>
      <c r="I85">
        <f t="shared" ca="1" si="7"/>
        <v>4.671488979241607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47921</v>
      </c>
      <c r="B88" s="66">
        <v>47921</v>
      </c>
      <c r="D88">
        <f t="shared" si="4"/>
        <v>0.67495316835448382</v>
      </c>
      <c r="E88">
        <f t="shared" si="4"/>
        <v>0.67495316835448382</v>
      </c>
      <c r="G88">
        <f t="shared" ca="1" si="5"/>
        <v>86</v>
      </c>
      <c r="H88">
        <f t="shared" ca="1" si="6"/>
        <v>58.045972478485609</v>
      </c>
      <c r="I88">
        <f t="shared" ca="1" si="7"/>
        <v>6.4205804179777642E-2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55270</v>
      </c>
      <c r="B90" s="66">
        <v>55270</v>
      </c>
      <c r="D90">
        <f t="shared" si="4"/>
        <v>0.77846166847420384</v>
      </c>
      <c r="E90">
        <f t="shared" si="4"/>
        <v>0.77846166847420384</v>
      </c>
      <c r="G90">
        <f t="shared" ca="1" si="5"/>
        <v>88</v>
      </c>
      <c r="H90">
        <f t="shared" ca="1" si="6"/>
        <v>68.504626825729943</v>
      </c>
      <c r="I90">
        <f t="shared" ca="1" si="7"/>
        <v>4.1482886816862123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60625</v>
      </c>
      <c r="B93" s="66">
        <v>60625</v>
      </c>
      <c r="D93">
        <f t="shared" si="4"/>
        <v>0.85388526598966186</v>
      </c>
      <c r="E93">
        <f t="shared" si="4"/>
        <v>0.85388526598966186</v>
      </c>
      <c r="G93">
        <f t="shared" ca="1" si="5"/>
        <v>91</v>
      </c>
      <c r="H93">
        <f t="shared" ca="1" si="6"/>
        <v>77.703559205059236</v>
      </c>
      <c r="I93">
        <f t="shared" ca="1" si="7"/>
        <v>24.061958792078013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65669</v>
      </c>
      <c r="B95" s="66">
        <v>65669</v>
      </c>
      <c r="D95">
        <f t="shared" si="4"/>
        <v>0.92492852012000171</v>
      </c>
      <c r="E95">
        <f t="shared" si="4"/>
        <v>0.92492852012000171</v>
      </c>
      <c r="G95">
        <f t="shared" ca="1" si="5"/>
        <v>93</v>
      </c>
      <c r="H95">
        <f t="shared" ca="1" si="6"/>
        <v>86.018352371160162</v>
      </c>
      <c r="I95">
        <f t="shared" ca="1" si="7"/>
        <v>49.403284535918822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68126</v>
      </c>
      <c r="B98" s="66">
        <v>68126</v>
      </c>
      <c r="D98">
        <f t="shared" si="4"/>
        <v>0.9595346413329765</v>
      </c>
      <c r="E98">
        <f t="shared" si="4"/>
        <v>0.9595346413329765</v>
      </c>
      <c r="G98">
        <f t="shared" ca="1" si="5"/>
        <v>96</v>
      </c>
      <c r="H98">
        <f t="shared" ca="1" si="6"/>
        <v>92.115325567965741</v>
      </c>
      <c r="I98">
        <f t="shared" ca="1" si="7"/>
        <v>101.96364079815558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70999</v>
      </c>
      <c r="B100" s="66">
        <v>70999</v>
      </c>
      <c r="D100">
        <f t="shared" si="4"/>
        <v>1</v>
      </c>
      <c r="E100">
        <f t="shared" si="4"/>
        <v>1</v>
      </c>
      <c r="G100">
        <f t="shared" ca="1" si="5"/>
        <v>98</v>
      </c>
      <c r="H100">
        <f t="shared" ca="1" si="6"/>
        <v>98</v>
      </c>
      <c r="I100">
        <f t="shared" ca="1" si="7"/>
        <v>151.49733911631222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66852</v>
      </c>
      <c r="B103" s="66">
        <v>66852</v>
      </c>
      <c r="D103">
        <f t="shared" si="4"/>
        <v>0.94159072662995258</v>
      </c>
      <c r="E103">
        <f t="shared" si="4"/>
        <v>0.94159072662995258</v>
      </c>
      <c r="G103">
        <f t="shared" ca="1" si="5"/>
        <v>101</v>
      </c>
      <c r="H103">
        <f t="shared" ca="1" si="6"/>
        <v>95.100663389625211</v>
      </c>
      <c r="I103">
        <f t="shared" ca="1" si="7"/>
        <v>220.659802211852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66751</v>
      </c>
      <c r="B106" s="66">
        <v>66751</v>
      </c>
      <c r="D106">
        <f t="shared" si="4"/>
        <v>0.94016817138269548</v>
      </c>
      <c r="E106">
        <f t="shared" si="4"/>
        <v>0.94016817138269548</v>
      </c>
      <c r="G106">
        <f t="shared" ca="1" si="5"/>
        <v>104</v>
      </c>
      <c r="H106">
        <f t="shared" ca="1" si="6"/>
        <v>97.777489823800323</v>
      </c>
      <c r="I106">
        <f t="shared" ca="1" si="7"/>
        <v>315.14290957446411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64731</v>
      </c>
      <c r="B108" s="66">
        <v>64731</v>
      </c>
      <c r="D108">
        <f t="shared" si="4"/>
        <v>0.91171706643755546</v>
      </c>
      <c r="E108">
        <f t="shared" si="4"/>
        <v>0.91171706643755546</v>
      </c>
      <c r="G108">
        <f t="shared" ca="1" si="5"/>
        <v>106</v>
      </c>
      <c r="H108">
        <f t="shared" ca="1" si="6"/>
        <v>96.642009042380877</v>
      </c>
      <c r="I108">
        <f t="shared" ca="1" si="7"/>
        <v>376.02142776364605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64981</v>
      </c>
      <c r="B111" s="66">
        <v>64981</v>
      </c>
      <c r="D111">
        <f t="shared" si="4"/>
        <v>0.91523824279215205</v>
      </c>
      <c r="E111">
        <f t="shared" si="4"/>
        <v>0.91523824279215205</v>
      </c>
      <c r="G111">
        <f t="shared" ca="1" si="5"/>
        <v>109</v>
      </c>
      <c r="H111">
        <f t="shared" ca="1" si="6"/>
        <v>99.760968464344572</v>
      </c>
      <c r="I111">
        <f t="shared" ca="1" si="7"/>
        <v>497.23310447048442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64906</v>
      </c>
      <c r="B113" s="66">
        <v>64906</v>
      </c>
      <c r="D113">
        <f t="shared" si="4"/>
        <v>0.91418188988577309</v>
      </c>
      <c r="E113">
        <f t="shared" si="4"/>
        <v>0.91418188988577309</v>
      </c>
      <c r="G113">
        <f t="shared" ca="1" si="5"/>
        <v>111</v>
      </c>
      <c r="H113">
        <f t="shared" ca="1" si="6"/>
        <v>101.47418977732082</v>
      </c>
      <c r="I113">
        <f t="shared" ca="1" si="7"/>
        <v>585.54849578828646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60594</v>
      </c>
      <c r="B116" s="66">
        <v>60594</v>
      </c>
      <c r="D116">
        <f t="shared" si="4"/>
        <v>0.85344864012169186</v>
      </c>
      <c r="E116">
        <f t="shared" si="4"/>
        <v>0.85344864012169186</v>
      </c>
      <c r="G116">
        <f t="shared" ca="1" si="5"/>
        <v>114</v>
      </c>
      <c r="H116">
        <f t="shared" ca="1" si="6"/>
        <v>97.29314497387287</v>
      </c>
      <c r="I116">
        <f t="shared" ca="1" si="7"/>
        <v>683.92553900025609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58973</v>
      </c>
      <c r="B118" s="66">
        <v>58973</v>
      </c>
      <c r="D118">
        <f t="shared" si="4"/>
        <v>0.83061733263848792</v>
      </c>
      <c r="E118">
        <f t="shared" si="4"/>
        <v>0.83061733263848792</v>
      </c>
      <c r="G118">
        <f t="shared" ca="1" si="5"/>
        <v>116</v>
      </c>
      <c r="H118">
        <f t="shared" ca="1" si="6"/>
        <v>96.351610586064595</v>
      </c>
      <c r="I118">
        <f t="shared" ca="1" si="7"/>
        <v>763.00562857879311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56261</v>
      </c>
      <c r="B121" s="66">
        <v>56261</v>
      </c>
      <c r="D121">
        <f t="shared" si="4"/>
        <v>0.79241961154382456</v>
      </c>
      <c r="E121">
        <f t="shared" si="4"/>
        <v>0.79241961154382456</v>
      </c>
      <c r="G121">
        <f t="shared" ca="1" si="5"/>
        <v>119</v>
      </c>
      <c r="H121">
        <f t="shared" ca="1" si="6"/>
        <v>94.29793377371513</v>
      </c>
      <c r="I121">
        <f t="shared" ca="1" si="7"/>
        <v>879.15089806564038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51903</v>
      </c>
      <c r="B124" s="66">
        <v>51903</v>
      </c>
      <c r="D124">
        <f t="shared" si="4"/>
        <v>0.73103846533049766</v>
      </c>
      <c r="E124">
        <f t="shared" si="4"/>
        <v>0.73103846533049766</v>
      </c>
      <c r="G124">
        <f t="shared" ca="1" si="5"/>
        <v>122</v>
      </c>
      <c r="H124">
        <f t="shared" ca="1" si="6"/>
        <v>89.186692770320718</v>
      </c>
      <c r="I124">
        <f t="shared" ca="1" si="7"/>
        <v>963.72929893025037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55045</v>
      </c>
      <c r="B126" s="66">
        <v>55045</v>
      </c>
      <c r="D126">
        <f t="shared" si="4"/>
        <v>0.77529260975506697</v>
      </c>
      <c r="E126">
        <f t="shared" si="4"/>
        <v>0.77529260975506697</v>
      </c>
      <c r="G126">
        <f t="shared" ca="1" si="5"/>
        <v>124</v>
      </c>
      <c r="H126">
        <f t="shared" ca="1" si="6"/>
        <v>96.136283609628308</v>
      </c>
      <c r="I126">
        <f t="shared" ca="1" si="7"/>
        <v>1137.7694020129554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47035</v>
      </c>
      <c r="B129" s="66">
        <v>47035</v>
      </c>
      <c r="D129">
        <f t="shared" si="4"/>
        <v>0.66247411935379374</v>
      </c>
      <c r="E129">
        <f t="shared" si="4"/>
        <v>0.66247411935379374</v>
      </c>
      <c r="G129">
        <f t="shared" ca="1" si="5"/>
        <v>127</v>
      </c>
      <c r="H129">
        <f t="shared" ca="1" si="6"/>
        <v>84.134213157931811</v>
      </c>
      <c r="I129">
        <f t="shared" ca="1" si="7"/>
        <v>1130.4365759204723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38805</v>
      </c>
      <c r="B131" s="66">
        <v>38805</v>
      </c>
      <c r="D131">
        <f t="shared" ref="D131:E194" si="8">IFERROR( A131/MAX(A$2:A$257), 0 )</f>
        <v>0.54655699376047551</v>
      </c>
      <c r="E131">
        <f t="shared" si="8"/>
        <v>0.54655699376047551</v>
      </c>
      <c r="G131">
        <f t="shared" ref="G131:G194" ca="1" si="9">CELL("row",D131)-2</f>
        <v>129</v>
      </c>
      <c r="H131">
        <f t="shared" ref="H131:H194" ca="1" si="10">D131*G131</f>
        <v>70.50585219510134</v>
      </c>
      <c r="I131">
        <f t="shared" ref="I131:I194" ca="1" si="11">D131*((G131-$L$1)^2)</f>
        <v>1025.1330768034104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36273</v>
      </c>
      <c r="B134" s="66">
        <v>36273</v>
      </c>
      <c r="D134">
        <f t="shared" si="8"/>
        <v>0.51089451964112176</v>
      </c>
      <c r="E134">
        <f t="shared" si="8"/>
        <v>0.51089451964112176</v>
      </c>
      <c r="G134">
        <f t="shared" ca="1" si="9"/>
        <v>132</v>
      </c>
      <c r="H134">
        <f t="shared" ca="1" si="10"/>
        <v>67.438076592628079</v>
      </c>
      <c r="I134">
        <f t="shared" ca="1" si="11"/>
        <v>1095.5981112359068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32381</v>
      </c>
      <c r="B136" s="66">
        <v>32381</v>
      </c>
      <c r="D136">
        <f t="shared" si="8"/>
        <v>0.45607684615276273</v>
      </c>
      <c r="E136">
        <f t="shared" si="8"/>
        <v>0.45607684615276273</v>
      </c>
      <c r="G136">
        <f t="shared" ca="1" si="9"/>
        <v>134</v>
      </c>
      <c r="H136">
        <f t="shared" ca="1" si="10"/>
        <v>61.114297384470206</v>
      </c>
      <c r="I136">
        <f t="shared" ca="1" si="11"/>
        <v>1064.3483499287354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27915</v>
      </c>
      <c r="B139" s="66">
        <v>27915</v>
      </c>
      <c r="D139">
        <f t="shared" si="8"/>
        <v>0.39317455175425003</v>
      </c>
      <c r="E139">
        <f t="shared" si="8"/>
        <v>0.39317455175425003</v>
      </c>
      <c r="G139">
        <f t="shared" ca="1" si="9"/>
        <v>137</v>
      </c>
      <c r="H139">
        <f t="shared" ca="1" si="10"/>
        <v>53.864913590332257</v>
      </c>
      <c r="I139">
        <f t="shared" ca="1" si="11"/>
        <v>1035.0534475913532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23665</v>
      </c>
      <c r="B142" s="66">
        <v>23665</v>
      </c>
      <c r="D142">
        <f t="shared" si="8"/>
        <v>0.3333145537261088</v>
      </c>
      <c r="E142">
        <f t="shared" si="8"/>
        <v>0.3333145537261088</v>
      </c>
      <c r="G142">
        <f t="shared" ca="1" si="9"/>
        <v>140</v>
      </c>
      <c r="H142">
        <f t="shared" ca="1" si="10"/>
        <v>46.664037521655231</v>
      </c>
      <c r="I142">
        <f t="shared" ca="1" si="11"/>
        <v>983.07963931070265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24665</v>
      </c>
      <c r="B144" s="66">
        <v>24665</v>
      </c>
      <c r="D144">
        <f t="shared" si="8"/>
        <v>0.34739925914449499</v>
      </c>
      <c r="E144">
        <f t="shared" si="8"/>
        <v>0.34739925914449499</v>
      </c>
      <c r="G144">
        <f t="shared" ca="1" si="9"/>
        <v>142</v>
      </c>
      <c r="H144">
        <f t="shared" ca="1" si="10"/>
        <v>49.330694798518287</v>
      </c>
      <c r="I144">
        <f t="shared" ca="1" si="11"/>
        <v>1101.4775652967687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24068</v>
      </c>
      <c r="B147" s="66">
        <v>24068</v>
      </c>
      <c r="D147">
        <f t="shared" si="8"/>
        <v>0.33899069000971843</v>
      </c>
      <c r="E147">
        <f t="shared" si="8"/>
        <v>0.33899069000971843</v>
      </c>
      <c r="G147">
        <f t="shared" ca="1" si="9"/>
        <v>145</v>
      </c>
      <c r="H147">
        <f t="shared" ca="1" si="10"/>
        <v>49.153650051409173</v>
      </c>
      <c r="I147">
        <f t="shared" ca="1" si="11"/>
        <v>1192.396138222739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19807</v>
      </c>
      <c r="B149" s="66">
        <v>19807</v>
      </c>
      <c r="D149">
        <f t="shared" si="8"/>
        <v>0.27897576022197496</v>
      </c>
      <c r="E149">
        <f t="shared" si="8"/>
        <v>0.27897576022197496</v>
      </c>
      <c r="G149">
        <f t="shared" ca="1" si="9"/>
        <v>147</v>
      </c>
      <c r="H149">
        <f t="shared" ca="1" si="10"/>
        <v>41.009436752630322</v>
      </c>
      <c r="I149">
        <f t="shared" ca="1" si="11"/>
        <v>1048.5926179411117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16567</v>
      </c>
      <c r="B152" s="66">
        <v>16567</v>
      </c>
      <c r="D152">
        <f t="shared" si="8"/>
        <v>0.23334131466640376</v>
      </c>
      <c r="E152">
        <f t="shared" si="8"/>
        <v>0.23334131466640376</v>
      </c>
      <c r="G152">
        <f t="shared" ca="1" si="9"/>
        <v>150</v>
      </c>
      <c r="H152">
        <f t="shared" ca="1" si="10"/>
        <v>35.001197199960565</v>
      </c>
      <c r="I152">
        <f t="shared" ca="1" si="11"/>
        <v>965.00017946626247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13901</v>
      </c>
      <c r="B154" s="66">
        <v>13901</v>
      </c>
      <c r="D154">
        <f t="shared" si="8"/>
        <v>0.1957914900209862</v>
      </c>
      <c r="E154">
        <f t="shared" si="8"/>
        <v>0.1957914900209862</v>
      </c>
      <c r="G154">
        <f t="shared" ca="1" si="9"/>
        <v>152</v>
      </c>
      <c r="H154">
        <f t="shared" ca="1" si="10"/>
        <v>29.7603064831899</v>
      </c>
      <c r="I154">
        <f t="shared" ca="1" si="11"/>
        <v>860.85745196498647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10536</v>
      </c>
      <c r="B157" s="66">
        <v>10536</v>
      </c>
      <c r="D157">
        <f t="shared" si="8"/>
        <v>0.14839645628811673</v>
      </c>
      <c r="E157">
        <f t="shared" si="8"/>
        <v>0.14839645628811673</v>
      </c>
      <c r="G157">
        <f t="shared" ca="1" si="9"/>
        <v>155</v>
      </c>
      <c r="H157">
        <f t="shared" ca="1" si="10"/>
        <v>23.001450724658095</v>
      </c>
      <c r="I157">
        <f t="shared" ca="1" si="11"/>
        <v>712.84580215277936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9278</v>
      </c>
      <c r="B160" s="66">
        <v>9278</v>
      </c>
      <c r="D160">
        <f t="shared" si="8"/>
        <v>0.13067789687178694</v>
      </c>
      <c r="E160">
        <f t="shared" si="8"/>
        <v>0.13067789687178694</v>
      </c>
      <c r="G160">
        <f t="shared" ca="1" si="9"/>
        <v>158</v>
      </c>
      <c r="H160">
        <f t="shared" ca="1" si="10"/>
        <v>20.647107705742336</v>
      </c>
      <c r="I160">
        <f t="shared" ca="1" si="11"/>
        <v>683.25048189997301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6982</v>
      </c>
      <c r="B162" s="66">
        <v>6982</v>
      </c>
      <c r="D162">
        <f t="shared" si="8"/>
        <v>9.8339413231172276E-2</v>
      </c>
      <c r="E162">
        <f t="shared" si="8"/>
        <v>9.8339413231172276E-2</v>
      </c>
      <c r="G162">
        <f t="shared" ca="1" si="9"/>
        <v>160</v>
      </c>
      <c r="H162">
        <f t="shared" ca="1" si="10"/>
        <v>15.734306116987565</v>
      </c>
      <c r="I162">
        <f t="shared" ca="1" si="11"/>
        <v>543.00487864742706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6787</v>
      </c>
      <c r="B165" s="66">
        <v>6787</v>
      </c>
      <c r="D165">
        <f t="shared" si="8"/>
        <v>9.5592895674586967E-2</v>
      </c>
      <c r="E165">
        <f t="shared" si="8"/>
        <v>9.5592895674586967E-2</v>
      </c>
      <c r="G165">
        <f t="shared" ca="1" si="9"/>
        <v>163</v>
      </c>
      <c r="H165">
        <f t="shared" ca="1" si="10"/>
        <v>15.581641994957675</v>
      </c>
      <c r="I165">
        <f t="shared" ca="1" si="11"/>
        <v>571.31979849206175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5530</v>
      </c>
      <c r="B167" s="66">
        <v>5530</v>
      </c>
      <c r="D167">
        <f t="shared" si="8"/>
        <v>7.7888420963675542E-2</v>
      </c>
      <c r="E167">
        <f t="shared" si="8"/>
        <v>7.7888420963675542E-2</v>
      </c>
      <c r="G167">
        <f t="shared" ca="1" si="9"/>
        <v>165</v>
      </c>
      <c r="H167">
        <f t="shared" ca="1" si="10"/>
        <v>12.851589459006464</v>
      </c>
      <c r="I167">
        <f t="shared" ca="1" si="11"/>
        <v>489.9046433643511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4431</v>
      </c>
      <c r="B170" s="66">
        <v>4431</v>
      </c>
      <c r="D170">
        <f t="shared" si="8"/>
        <v>6.2409329708869136E-2</v>
      </c>
      <c r="E170">
        <f t="shared" si="8"/>
        <v>6.2409329708869136E-2</v>
      </c>
      <c r="G170">
        <f t="shared" ca="1" si="9"/>
        <v>168</v>
      </c>
      <c r="H170">
        <f t="shared" ca="1" si="10"/>
        <v>10.484767391090015</v>
      </c>
      <c r="I170">
        <f t="shared" ca="1" si="11"/>
        <v>422.80304518572405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3094</v>
      </c>
      <c r="B173" s="66">
        <v>3094</v>
      </c>
      <c r="D173">
        <f t="shared" si="8"/>
        <v>4.3578078564486825E-2</v>
      </c>
      <c r="E173">
        <f t="shared" si="8"/>
        <v>4.3578078564486825E-2</v>
      </c>
      <c r="G173">
        <f t="shared" ca="1" si="9"/>
        <v>171</v>
      </c>
      <c r="H173">
        <f t="shared" ca="1" si="10"/>
        <v>7.4518514345272466</v>
      </c>
      <c r="I173">
        <f t="shared" ca="1" si="11"/>
        <v>317.1406637131268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1758</v>
      </c>
      <c r="B175" s="66">
        <v>1758</v>
      </c>
      <c r="D175">
        <f t="shared" si="8"/>
        <v>2.4760912125522894E-2</v>
      </c>
      <c r="E175">
        <f t="shared" si="8"/>
        <v>2.4760912125522894E-2</v>
      </c>
      <c r="G175">
        <f t="shared" ca="1" si="9"/>
        <v>173</v>
      </c>
      <c r="H175">
        <f t="shared" ca="1" si="10"/>
        <v>4.2836377977154605</v>
      </c>
      <c r="I175">
        <f t="shared" ca="1" si="11"/>
        <v>188.74651946334808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461</v>
      </c>
      <c r="B178" s="66">
        <v>461</v>
      </c>
      <c r="D178">
        <f t="shared" si="8"/>
        <v>6.4930491978760262E-3</v>
      </c>
      <c r="E178">
        <f t="shared" si="8"/>
        <v>6.4930491978760262E-3</v>
      </c>
      <c r="G178">
        <f t="shared" ca="1" si="9"/>
        <v>176</v>
      </c>
      <c r="H178">
        <f t="shared" ca="1" si="10"/>
        <v>1.1427766588261805</v>
      </c>
      <c r="I178">
        <f t="shared" ca="1" si="11"/>
        <v>52.954788152049943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61.495958322440288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1.1873326124089636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0.59079920242320172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2517</v>
      </c>
      <c r="B8" s="66">
        <v>2517</v>
      </c>
      <c r="D8">
        <f t="shared" si="0"/>
        <v>7.360940515879979</v>
      </c>
      <c r="E8">
        <f t="shared" si="1"/>
        <v>7.360940515879979</v>
      </c>
      <c r="G8">
        <f t="shared" ca="1" si="2"/>
        <v>6</v>
      </c>
      <c r="H8">
        <f t="shared" ca="1" si="3"/>
        <v>44.165643095279876</v>
      </c>
      <c r="I8">
        <f t="shared" ca="1" si="4"/>
        <v>22670.234833442169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4167</v>
      </c>
      <c r="B10" s="66">
        <v>4167</v>
      </c>
      <c r="D10">
        <f t="shared" si="0"/>
        <v>12.186348482189858</v>
      </c>
      <c r="E10">
        <f t="shared" si="1"/>
        <v>12.186348482189858</v>
      </c>
      <c r="G10">
        <f t="shared" ca="1" si="2"/>
        <v>8</v>
      </c>
      <c r="H10">
        <f t="shared" ca="1" si="3"/>
        <v>97.490787857518868</v>
      </c>
      <c r="I10">
        <f t="shared" ca="1" si="4"/>
        <v>34875.106040055944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7743</v>
      </c>
      <c r="B13" s="66">
        <v>7743</v>
      </c>
      <c r="D13">
        <f t="shared" si="0"/>
        <v>22.644323565537814</v>
      </c>
      <c r="E13">
        <f t="shared" si="1"/>
        <v>22.644323565537814</v>
      </c>
      <c r="G13">
        <f t="shared" ca="1" si="2"/>
        <v>11</v>
      </c>
      <c r="H13">
        <f t="shared" ca="1" si="3"/>
        <v>249.08755922091595</v>
      </c>
      <c r="I13">
        <f t="shared" ca="1" si="4"/>
        <v>57739.442916416025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10021</v>
      </c>
      <c r="B15" s="66">
        <v>10021</v>
      </c>
      <c r="D15">
        <f t="shared" si="0"/>
        <v>29.306311048721998</v>
      </c>
      <c r="E15">
        <f t="shared" si="1"/>
        <v>29.306311048721998</v>
      </c>
      <c r="G15">
        <f t="shared" ca="1" si="2"/>
        <v>13</v>
      </c>
      <c r="H15">
        <f t="shared" ca="1" si="3"/>
        <v>380.98204363338596</v>
      </c>
      <c r="I15">
        <f t="shared" ca="1" si="4"/>
        <v>68924.281317086337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14464</v>
      </c>
      <c r="B18" s="66">
        <v>14464</v>
      </c>
      <c r="D18">
        <f t="shared" si="0"/>
        <v>42.299818681640055</v>
      </c>
      <c r="E18">
        <f t="shared" si="1"/>
        <v>42.299818681640055</v>
      </c>
      <c r="G18">
        <f t="shared" ca="1" si="2"/>
        <v>16</v>
      </c>
      <c r="H18">
        <f t="shared" ca="1" si="3"/>
        <v>676.79709890624088</v>
      </c>
      <c r="I18">
        <f t="shared" ca="1" si="4"/>
        <v>87555.642753896478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18401</v>
      </c>
      <c r="B21" s="66">
        <v>18401</v>
      </c>
      <c r="D21">
        <f t="shared" si="0"/>
        <v>53.813534538223081</v>
      </c>
      <c r="E21">
        <f t="shared" si="1"/>
        <v>53.813534538223081</v>
      </c>
      <c r="G21">
        <f t="shared" ca="1" si="2"/>
        <v>19</v>
      </c>
      <c r="H21">
        <f t="shared" ca="1" si="3"/>
        <v>1022.4571562262386</v>
      </c>
      <c r="I21">
        <f t="shared" ca="1" si="4"/>
        <v>97182.210397547082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18770</v>
      </c>
      <c r="B23" s="66">
        <v>18770</v>
      </c>
      <c r="D23">
        <f t="shared" si="0"/>
        <v>54.892671228870562</v>
      </c>
      <c r="E23">
        <f t="shared" si="1"/>
        <v>54.892671228870562</v>
      </c>
      <c r="G23">
        <f t="shared" ca="1" si="2"/>
        <v>21</v>
      </c>
      <c r="H23">
        <f t="shared" ca="1" si="3"/>
        <v>1152.7460958062818</v>
      </c>
      <c r="I23">
        <f t="shared" ca="1" si="4"/>
        <v>90019.734343157994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26010</v>
      </c>
      <c r="B26" s="66">
        <v>26010</v>
      </c>
      <c r="D26">
        <f t="shared" si="0"/>
        <v>76.065976487103001</v>
      </c>
      <c r="E26">
        <f t="shared" si="1"/>
        <v>76.065976487103001</v>
      </c>
      <c r="G26">
        <f t="shared" ca="1" si="2"/>
        <v>24</v>
      </c>
      <c r="H26">
        <f t="shared" ca="1" si="3"/>
        <v>1825.583435690472</v>
      </c>
      <c r="I26">
        <f t="shared" ca="1" si="4"/>
        <v>106944.72311627139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27189</v>
      </c>
      <c r="B28" s="66">
        <v>27189</v>
      </c>
      <c r="D28">
        <f t="shared" si="0"/>
        <v>79.513949815757144</v>
      </c>
      <c r="E28">
        <f t="shared" si="1"/>
        <v>79.513949815757144</v>
      </c>
      <c r="G28">
        <f t="shared" ca="1" si="2"/>
        <v>26</v>
      </c>
      <c r="H28">
        <f t="shared" ca="1" si="3"/>
        <v>2067.3626952096856</v>
      </c>
      <c r="I28">
        <f t="shared" ca="1" si="4"/>
        <v>100184.63930216838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32292</v>
      </c>
      <c r="B31" s="66">
        <v>32292</v>
      </c>
      <c r="D31">
        <f t="shared" si="0"/>
        <v>94.437620635199153</v>
      </c>
      <c r="E31">
        <f t="shared" si="1"/>
        <v>94.437620635199153</v>
      </c>
      <c r="G31">
        <f t="shared" ca="1" si="2"/>
        <v>29</v>
      </c>
      <c r="H31">
        <f t="shared" ca="1" si="3"/>
        <v>2738.6909984207755</v>
      </c>
      <c r="I31">
        <f t="shared" ca="1" si="4"/>
        <v>99724.928721795106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33730</v>
      </c>
      <c r="B33" s="66">
        <v>33730</v>
      </c>
      <c r="D33">
        <f t="shared" si="0"/>
        <v>98.643036790080131</v>
      </c>
      <c r="E33">
        <f t="shared" si="1"/>
        <v>98.643036790080131</v>
      </c>
      <c r="G33">
        <f t="shared" ca="1" si="2"/>
        <v>31</v>
      </c>
      <c r="H33">
        <f t="shared" ca="1" si="3"/>
        <v>3057.9341404924839</v>
      </c>
      <c r="I33">
        <f t="shared" ca="1" si="4"/>
        <v>91738.366901080386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31602</v>
      </c>
      <c r="B36" s="66">
        <v>31602</v>
      </c>
      <c r="D36">
        <f t="shared" si="0"/>
        <v>92.419722758378668</v>
      </c>
      <c r="E36">
        <f t="shared" si="1"/>
        <v>92.419722758378668</v>
      </c>
      <c r="G36">
        <f t="shared" ca="1" si="2"/>
        <v>34</v>
      </c>
      <c r="H36">
        <f t="shared" ca="1" si="3"/>
        <v>3142.2705737848746</v>
      </c>
      <c r="I36">
        <f t="shared" ca="1" si="4"/>
        <v>69871.872656139487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28858</v>
      </c>
      <c r="B39" s="66">
        <v>28858</v>
      </c>
      <c r="D39">
        <f t="shared" si="0"/>
        <v>84.394923085921505</v>
      </c>
      <c r="E39">
        <f t="shared" si="1"/>
        <v>84.394923085921505</v>
      </c>
      <c r="G39">
        <f t="shared" ca="1" si="2"/>
        <v>37</v>
      </c>
      <c r="H39">
        <f t="shared" ca="1" si="3"/>
        <v>3122.6121541790958</v>
      </c>
      <c r="I39">
        <f t="shared" ca="1" si="4"/>
        <v>50641.340204656037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29397</v>
      </c>
      <c r="B41" s="66">
        <v>29397</v>
      </c>
      <c r="D41">
        <f t="shared" si="0"/>
        <v>85.97122302158273</v>
      </c>
      <c r="E41">
        <f t="shared" si="1"/>
        <v>85.97122302158273</v>
      </c>
      <c r="G41">
        <f t="shared" ca="1" si="2"/>
        <v>39</v>
      </c>
      <c r="H41">
        <f t="shared" ca="1" si="3"/>
        <v>3352.8776978417263</v>
      </c>
      <c r="I41">
        <f t="shared" ca="1" si="4"/>
        <v>43507.297000700695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30903</v>
      </c>
      <c r="B44" s="66">
        <v>30903</v>
      </c>
      <c r="D44">
        <f t="shared" si="0"/>
        <v>90.37550447446921</v>
      </c>
      <c r="E44">
        <f t="shared" si="1"/>
        <v>90.37550447446921</v>
      </c>
      <c r="G44">
        <f t="shared" ca="1" si="2"/>
        <v>42</v>
      </c>
      <c r="H44">
        <f t="shared" ca="1" si="3"/>
        <v>3795.7711879277067</v>
      </c>
      <c r="I44">
        <f t="shared" ca="1" si="4"/>
        <v>34351.041575428113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33767</v>
      </c>
      <c r="B46" s="66">
        <v>33767</v>
      </c>
      <c r="D46">
        <f t="shared" si="0"/>
        <v>98.75124290811253</v>
      </c>
      <c r="E46">
        <f t="shared" si="1"/>
        <v>98.75124290811253</v>
      </c>
      <c r="G46">
        <f t="shared" ca="1" si="2"/>
        <v>44</v>
      </c>
      <c r="H46">
        <f t="shared" ca="1" si="3"/>
        <v>4345.0546879569511</v>
      </c>
      <c r="I46">
        <f t="shared" ca="1" si="4"/>
        <v>30228.600529840631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33617</v>
      </c>
      <c r="B49" s="66">
        <v>33617</v>
      </c>
      <c r="D49">
        <f t="shared" si="0"/>
        <v>98.312569456629817</v>
      </c>
      <c r="E49">
        <f t="shared" si="1"/>
        <v>98.312569456629817</v>
      </c>
      <c r="G49">
        <f t="shared" ca="1" si="2"/>
        <v>47</v>
      </c>
      <c r="H49">
        <f t="shared" ca="1" si="3"/>
        <v>4620.6907644616012</v>
      </c>
      <c r="I49">
        <f t="shared" ca="1" si="4"/>
        <v>20658.69625073922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34194</v>
      </c>
      <c r="B51" s="66">
        <v>34194</v>
      </c>
      <c r="D51">
        <f t="shared" si="0"/>
        <v>100</v>
      </c>
      <c r="E51">
        <f t="shared" si="1"/>
        <v>100</v>
      </c>
      <c r="G51">
        <f t="shared" ca="1" si="2"/>
        <v>49</v>
      </c>
      <c r="H51">
        <f t="shared" ca="1" si="3"/>
        <v>4900</v>
      </c>
      <c r="I51">
        <f t="shared" ca="1" si="4"/>
        <v>15614.897439616467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26088</v>
      </c>
      <c r="B54" s="66">
        <v>26088</v>
      </c>
      <c r="D54">
        <f t="shared" si="0"/>
        <v>76.294086681874006</v>
      </c>
      <c r="E54">
        <f t="shared" si="1"/>
        <v>76.294086681874006</v>
      </c>
      <c r="G54">
        <f t="shared" ca="1" si="2"/>
        <v>52</v>
      </c>
      <c r="H54">
        <f t="shared" ca="1" si="3"/>
        <v>3967.2925074574482</v>
      </c>
      <c r="I54">
        <f t="shared" ca="1" si="4"/>
        <v>6879.6838034515149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25454</v>
      </c>
      <c r="B57" s="66">
        <v>25454</v>
      </c>
      <c r="D57">
        <f t="shared" si="0"/>
        <v>74.4399602269404</v>
      </c>
      <c r="E57">
        <f t="shared" si="1"/>
        <v>74.4399602269404</v>
      </c>
      <c r="G57">
        <f t="shared" ca="1" si="2"/>
        <v>55</v>
      </c>
      <c r="H57">
        <f t="shared" ca="1" si="3"/>
        <v>4094.1978124817219</v>
      </c>
      <c r="I57">
        <f t="shared" ca="1" si="4"/>
        <v>3141.1783254583697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22440</v>
      </c>
      <c r="B59" s="66">
        <v>22440</v>
      </c>
      <c r="D59">
        <f t="shared" si="0"/>
        <v>65.625548341814351</v>
      </c>
      <c r="E59">
        <f t="shared" si="1"/>
        <v>65.625548341814351</v>
      </c>
      <c r="G59">
        <f t="shared" ca="1" si="2"/>
        <v>57</v>
      </c>
      <c r="H59">
        <f t="shared" ca="1" si="3"/>
        <v>3740.6562554834181</v>
      </c>
      <c r="I59">
        <f t="shared" ca="1" si="4"/>
        <v>1326.5312901707164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22131</v>
      </c>
      <c r="B62" s="66">
        <v>22131</v>
      </c>
      <c r="D62">
        <f t="shared" si="0"/>
        <v>64.721881031759963</v>
      </c>
      <c r="E62">
        <f t="shared" si="1"/>
        <v>64.721881031759963</v>
      </c>
      <c r="G62">
        <f t="shared" ca="1" si="2"/>
        <v>60</v>
      </c>
      <c r="H62">
        <f t="shared" ca="1" si="3"/>
        <v>3883.3128619055979</v>
      </c>
      <c r="I62">
        <f t="shared" ca="1" si="4"/>
        <v>144.84053464101476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20862</v>
      </c>
      <c r="B64" s="66">
        <v>20862</v>
      </c>
      <c r="D64">
        <f t="shared" si="0"/>
        <v>61.010703632216178</v>
      </c>
      <c r="E64">
        <f t="shared" si="1"/>
        <v>61.010703632216178</v>
      </c>
      <c r="G64">
        <f t="shared" ca="1" si="2"/>
        <v>62</v>
      </c>
      <c r="H64">
        <f t="shared" ca="1" si="3"/>
        <v>3782.6636251974032</v>
      </c>
      <c r="I64">
        <f t="shared" ca="1" si="4"/>
        <v>15.500258119279444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21454</v>
      </c>
      <c r="B67" s="66">
        <v>21454</v>
      </c>
      <c r="D67">
        <f t="shared" ref="D67:D130" si="5">IFERROR( 100*A67/MAX(A$2:A$257), 0 )</f>
        <v>62.742001520734632</v>
      </c>
      <c r="E67">
        <f t="shared" ref="E67:E130" si="6">IFERROR( 100*B67/MAX(B$2:B$257), 0 )</f>
        <v>62.742001520734632</v>
      </c>
      <c r="G67">
        <f t="shared" ref="G67:G130" ca="1" si="7">CELL("row",D67)-2</f>
        <v>65</v>
      </c>
      <c r="H67">
        <f t="shared" ref="H67:H130" ca="1" si="8">D67*G67</f>
        <v>4078.2300988477509</v>
      </c>
      <c r="I67">
        <f t="shared" ref="I67:I130" ca="1" si="9">D67*((G67-$L$1)^2)</f>
        <v>770.36562410666022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21024</v>
      </c>
      <c r="B69" s="66">
        <v>21024</v>
      </c>
      <c r="D69">
        <f t="shared" si="5"/>
        <v>61.484470959817514</v>
      </c>
      <c r="E69">
        <f t="shared" si="6"/>
        <v>61.484470959817514</v>
      </c>
      <c r="G69">
        <f t="shared" ca="1" si="7"/>
        <v>67</v>
      </c>
      <c r="H69">
        <f t="shared" ca="1" si="8"/>
        <v>4119.459554307773</v>
      </c>
      <c r="I69">
        <f t="shared" ca="1" si="9"/>
        <v>1862.6397553650363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19626</v>
      </c>
      <c r="B72" s="66">
        <v>19626</v>
      </c>
      <c r="D72">
        <f t="shared" si="5"/>
        <v>57.396034391998597</v>
      </c>
      <c r="E72">
        <f t="shared" si="6"/>
        <v>57.396034391998597</v>
      </c>
      <c r="G72">
        <f t="shared" ca="1" si="7"/>
        <v>70</v>
      </c>
      <c r="H72">
        <f t="shared" ca="1" si="8"/>
        <v>4017.7224074399019</v>
      </c>
      <c r="I72">
        <f t="shared" ca="1" si="9"/>
        <v>4150.8080188868762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21226</v>
      </c>
      <c r="B75" s="66">
        <v>21226</v>
      </c>
      <c r="D75">
        <f t="shared" si="5"/>
        <v>62.075217874480906</v>
      </c>
      <c r="E75">
        <f t="shared" si="6"/>
        <v>62.075217874480906</v>
      </c>
      <c r="G75">
        <f t="shared" ca="1" si="7"/>
        <v>73</v>
      </c>
      <c r="H75">
        <f t="shared" ca="1" si="8"/>
        <v>4531.4909048371064</v>
      </c>
      <c r="I75">
        <f t="shared" ca="1" si="9"/>
        <v>8215.2190022558025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20383</v>
      </c>
      <c r="B77" s="66">
        <v>20383</v>
      </c>
      <c r="D77">
        <f t="shared" si="5"/>
        <v>59.609873077148038</v>
      </c>
      <c r="E77">
        <f t="shared" si="6"/>
        <v>59.609873077148038</v>
      </c>
      <c r="G77">
        <f t="shared" ca="1" si="7"/>
        <v>75</v>
      </c>
      <c r="H77">
        <f t="shared" ca="1" si="8"/>
        <v>4470.740480786103</v>
      </c>
      <c r="I77">
        <f t="shared" ca="1" si="9"/>
        <v>10870.40528697843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20471</v>
      </c>
      <c r="B80" s="66">
        <v>20471</v>
      </c>
      <c r="D80">
        <f t="shared" si="5"/>
        <v>59.867228168684562</v>
      </c>
      <c r="E80">
        <f t="shared" si="6"/>
        <v>59.867228168684562</v>
      </c>
      <c r="G80">
        <f t="shared" ca="1" si="7"/>
        <v>78</v>
      </c>
      <c r="H80">
        <f t="shared" ca="1" si="8"/>
        <v>4669.643797157396</v>
      </c>
      <c r="I80">
        <f t="shared" ca="1" si="9"/>
        <v>16306.838659942476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21715</v>
      </c>
      <c r="B82" s="66">
        <v>21715</v>
      </c>
      <c r="D82">
        <f t="shared" si="5"/>
        <v>63.505293326314558</v>
      </c>
      <c r="E82">
        <f t="shared" si="6"/>
        <v>63.505293326314558</v>
      </c>
      <c r="G82">
        <f t="shared" ca="1" si="7"/>
        <v>80</v>
      </c>
      <c r="H82">
        <f t="shared" ca="1" si="8"/>
        <v>5080.4234661051651</v>
      </c>
      <c r="I82">
        <f t="shared" ca="1" si="9"/>
        <v>21744.184391301642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20304</v>
      </c>
      <c r="B85" s="66">
        <v>20304</v>
      </c>
      <c r="D85">
        <f t="shared" si="5"/>
        <v>59.378838392700473</v>
      </c>
      <c r="E85">
        <f t="shared" si="6"/>
        <v>59.378838392700473</v>
      </c>
      <c r="G85">
        <f t="shared" ca="1" si="7"/>
        <v>83</v>
      </c>
      <c r="H85">
        <f t="shared" ca="1" si="8"/>
        <v>4928.4435865941396</v>
      </c>
      <c r="I85">
        <f t="shared" ca="1" si="9"/>
        <v>27458.188592090573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20749</v>
      </c>
      <c r="B88" s="66">
        <v>20749</v>
      </c>
      <c r="D88">
        <f t="shared" si="5"/>
        <v>60.680236298765863</v>
      </c>
      <c r="E88">
        <f t="shared" si="6"/>
        <v>60.680236298765863</v>
      </c>
      <c r="G88">
        <f t="shared" ca="1" si="7"/>
        <v>86</v>
      </c>
      <c r="H88">
        <f t="shared" ca="1" si="8"/>
        <v>5218.500321693864</v>
      </c>
      <c r="I88">
        <f t="shared" ca="1" si="9"/>
        <v>36435.330077074395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19871</v>
      </c>
      <c r="B90" s="66">
        <v>19871</v>
      </c>
      <c r="D90">
        <f t="shared" si="5"/>
        <v>58.112534362753699</v>
      </c>
      <c r="E90">
        <f t="shared" si="6"/>
        <v>58.112534362753699</v>
      </c>
      <c r="G90">
        <f t="shared" ca="1" si="7"/>
        <v>88</v>
      </c>
      <c r="H90">
        <f t="shared" ca="1" si="8"/>
        <v>5113.9030239223257</v>
      </c>
      <c r="I90">
        <f t="shared" ca="1" si="9"/>
        <v>40821.976428203001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18459</v>
      </c>
      <c r="B93" s="66">
        <v>18459</v>
      </c>
      <c r="D93">
        <f t="shared" si="5"/>
        <v>53.983154939463063</v>
      </c>
      <c r="E93">
        <f t="shared" si="6"/>
        <v>53.983154939463063</v>
      </c>
      <c r="G93">
        <f t="shared" ca="1" si="7"/>
        <v>91</v>
      </c>
      <c r="H93">
        <f t="shared" ca="1" si="8"/>
        <v>4912.4670994911385</v>
      </c>
      <c r="I93">
        <f t="shared" ca="1" si="9"/>
        <v>46991.714235740423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18439</v>
      </c>
      <c r="B95" s="66">
        <v>18439</v>
      </c>
      <c r="D95">
        <f t="shared" si="5"/>
        <v>53.924665145932032</v>
      </c>
      <c r="E95">
        <f t="shared" si="6"/>
        <v>53.924665145932032</v>
      </c>
      <c r="G95">
        <f t="shared" ca="1" si="7"/>
        <v>93</v>
      </c>
      <c r="H95">
        <f t="shared" ca="1" si="8"/>
        <v>5014.9938585716791</v>
      </c>
      <c r="I95">
        <f t="shared" ca="1" si="9"/>
        <v>53520.48047678818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18490</v>
      </c>
      <c r="B98" s="66">
        <v>18490</v>
      </c>
      <c r="D98">
        <f t="shared" si="5"/>
        <v>54.073814119436157</v>
      </c>
      <c r="E98">
        <f t="shared" si="6"/>
        <v>54.073814119436157</v>
      </c>
      <c r="G98">
        <f t="shared" ca="1" si="7"/>
        <v>96</v>
      </c>
      <c r="H98">
        <f t="shared" ca="1" si="8"/>
        <v>5191.0861554658713</v>
      </c>
      <c r="I98">
        <f t="shared" ca="1" si="9"/>
        <v>64376.438014518681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18002</v>
      </c>
      <c r="B100" s="66">
        <v>18002</v>
      </c>
      <c r="D100">
        <f t="shared" si="5"/>
        <v>52.646663157279058</v>
      </c>
      <c r="E100">
        <f t="shared" si="6"/>
        <v>52.646663157279058</v>
      </c>
      <c r="G100">
        <f t="shared" ca="1" si="7"/>
        <v>98</v>
      </c>
      <c r="H100">
        <f t="shared" ca="1" si="8"/>
        <v>5159.3729894133476</v>
      </c>
      <c r="I100">
        <f t="shared" ca="1" si="9"/>
        <v>70154.050852383138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18652</v>
      </c>
      <c r="B103" s="66">
        <v>18652</v>
      </c>
      <c r="D103">
        <f t="shared" si="5"/>
        <v>54.547581447037494</v>
      </c>
      <c r="E103">
        <f t="shared" si="6"/>
        <v>54.547581447037494</v>
      </c>
      <c r="G103">
        <f t="shared" ca="1" si="7"/>
        <v>101</v>
      </c>
      <c r="H103">
        <f t="shared" ca="1" si="8"/>
        <v>5509.3057261507865</v>
      </c>
      <c r="I103">
        <f t="shared" ca="1" si="9"/>
        <v>85125.281478917401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16735</v>
      </c>
      <c r="B106" s="66">
        <v>16735</v>
      </c>
      <c r="D106">
        <f t="shared" si="5"/>
        <v>48.941334737088376</v>
      </c>
      <c r="E106">
        <f t="shared" si="6"/>
        <v>48.941334737088376</v>
      </c>
      <c r="G106">
        <f t="shared" ca="1" si="7"/>
        <v>104</v>
      </c>
      <c r="H106">
        <f t="shared" ca="1" si="8"/>
        <v>5089.8988126571912</v>
      </c>
      <c r="I106">
        <f t="shared" ca="1" si="9"/>
        <v>88417.100101349977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15745</v>
      </c>
      <c r="B108" s="66">
        <v>15745</v>
      </c>
      <c r="D108">
        <f t="shared" si="5"/>
        <v>46.046089957302449</v>
      </c>
      <c r="E108">
        <f t="shared" si="6"/>
        <v>46.046089957302449</v>
      </c>
      <c r="G108">
        <f t="shared" ca="1" si="7"/>
        <v>106</v>
      </c>
      <c r="H108">
        <f t="shared" ca="1" si="8"/>
        <v>4880.8855354740599</v>
      </c>
      <c r="I108">
        <f t="shared" ca="1" si="9"/>
        <v>91199.333597034172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15261</v>
      </c>
      <c r="B111" s="66">
        <v>15261</v>
      </c>
      <c r="D111">
        <f t="shared" si="5"/>
        <v>44.63063695385155</v>
      </c>
      <c r="E111">
        <f t="shared" si="6"/>
        <v>44.63063695385155</v>
      </c>
      <c r="G111">
        <f t="shared" ca="1" si="7"/>
        <v>109</v>
      </c>
      <c r="H111">
        <f t="shared" ca="1" si="8"/>
        <v>4864.7394279698192</v>
      </c>
      <c r="I111">
        <f t="shared" ca="1" si="9"/>
        <v>100715.01170734198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14253</v>
      </c>
      <c r="B113" s="66">
        <v>14253</v>
      </c>
      <c r="D113">
        <f t="shared" si="5"/>
        <v>41.682751359887696</v>
      </c>
      <c r="E113">
        <f t="shared" si="6"/>
        <v>41.682751359887696</v>
      </c>
      <c r="G113">
        <f t="shared" ca="1" si="7"/>
        <v>111</v>
      </c>
      <c r="H113">
        <f t="shared" ca="1" si="8"/>
        <v>4626.7854009475341</v>
      </c>
      <c r="I113">
        <f t="shared" ca="1" si="9"/>
        <v>102149.84055629816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10618</v>
      </c>
      <c r="B116" s="66">
        <v>10618</v>
      </c>
      <c r="D116">
        <f t="shared" si="5"/>
        <v>31.052231385623209</v>
      </c>
      <c r="E116">
        <f t="shared" si="6"/>
        <v>31.052231385623209</v>
      </c>
      <c r="G116">
        <f t="shared" ca="1" si="7"/>
        <v>114</v>
      </c>
      <c r="H116">
        <f t="shared" ca="1" si="8"/>
        <v>3539.9543779610458</v>
      </c>
      <c r="I116">
        <f t="shared" ca="1" si="9"/>
        <v>85600.89109007793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8780</v>
      </c>
      <c r="B118" s="66">
        <v>8780</v>
      </c>
      <c r="D118">
        <f t="shared" si="5"/>
        <v>25.677019360121658</v>
      </c>
      <c r="E118">
        <f t="shared" si="6"/>
        <v>25.677019360121658</v>
      </c>
      <c r="G118">
        <f t="shared" ca="1" si="7"/>
        <v>116</v>
      </c>
      <c r="H118">
        <f t="shared" ca="1" si="8"/>
        <v>2978.5342457741122</v>
      </c>
      <c r="I118">
        <f t="shared" ca="1" si="9"/>
        <v>76278.479001230851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7241</v>
      </c>
      <c r="B121" s="66">
        <v>7241</v>
      </c>
      <c r="D121">
        <f t="shared" si="5"/>
        <v>21.176229747908991</v>
      </c>
      <c r="E121">
        <f t="shared" si="6"/>
        <v>21.176229747908991</v>
      </c>
      <c r="G121">
        <f t="shared" ca="1" si="7"/>
        <v>119</v>
      </c>
      <c r="H121">
        <f t="shared" ca="1" si="8"/>
        <v>2519.9713400011701</v>
      </c>
      <c r="I121">
        <f t="shared" ca="1" si="9"/>
        <v>70023.752511586863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5311</v>
      </c>
      <c r="B124" s="66">
        <v>5311</v>
      </c>
      <c r="D124">
        <f t="shared" si="5"/>
        <v>15.531964672164706</v>
      </c>
      <c r="E124">
        <f t="shared" si="6"/>
        <v>15.531964672164706</v>
      </c>
      <c r="G124">
        <f t="shared" ca="1" si="7"/>
        <v>122</v>
      </c>
      <c r="H124">
        <f t="shared" ca="1" si="8"/>
        <v>1894.8996900040943</v>
      </c>
      <c r="I124">
        <f t="shared" ca="1" si="9"/>
        <v>56858.469743369875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4389</v>
      </c>
      <c r="B126" s="66">
        <v>4389</v>
      </c>
      <c r="D126">
        <f t="shared" si="5"/>
        <v>12.835585190384277</v>
      </c>
      <c r="E126">
        <f t="shared" si="6"/>
        <v>12.835585190384277</v>
      </c>
      <c r="G126">
        <f t="shared" ca="1" si="7"/>
        <v>124</v>
      </c>
      <c r="H126">
        <f t="shared" ca="1" si="8"/>
        <v>1591.6125636076504</v>
      </c>
      <c r="I126">
        <f t="shared" ca="1" si="9"/>
        <v>50145.489521688607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3586</v>
      </c>
      <c r="B129" s="66">
        <v>3586</v>
      </c>
      <c r="D129">
        <f t="shared" si="5"/>
        <v>10.487219980113471</v>
      </c>
      <c r="E129">
        <f t="shared" si="6"/>
        <v>10.487219980113471</v>
      </c>
      <c r="G129">
        <f t="shared" ca="1" si="7"/>
        <v>127</v>
      </c>
      <c r="H129">
        <f t="shared" ca="1" si="8"/>
        <v>1331.8769374744109</v>
      </c>
      <c r="I129">
        <f t="shared" ca="1" si="9"/>
        <v>44998.348251969321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3294</v>
      </c>
      <c r="B131" s="66">
        <v>3294</v>
      </c>
      <c r="D131">
        <f t="shared" ref="D131:D194" si="10">IFERROR( 100*A131/MAX(A$2:A$257), 0 )</f>
        <v>9.6332689945604493</v>
      </c>
      <c r="E131">
        <f t="shared" ref="E131:E194" si="11">IFERROR( 100*B131/MAX(B$2:B$257), 0 )</f>
        <v>9.6332689945604493</v>
      </c>
      <c r="G131">
        <f t="shared" ref="G131:G194" ca="1" si="12">CELL("row",D131)-2</f>
        <v>129</v>
      </c>
      <c r="H131">
        <f t="shared" ref="H131:H194" ca="1" si="13">D131*G131</f>
        <v>1242.691700298298</v>
      </c>
      <c r="I131">
        <f t="shared" ref="I131:I194" ca="1" si="14">D131*((G131-$L$1)^2)</f>
        <v>43896.838180388484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2919</v>
      </c>
      <c r="B134" s="66">
        <v>2919</v>
      </c>
      <c r="D134">
        <f t="shared" si="10"/>
        <v>8.536585365853659</v>
      </c>
      <c r="E134">
        <f t="shared" si="11"/>
        <v>8.536585365853659</v>
      </c>
      <c r="G134">
        <f t="shared" ca="1" si="12"/>
        <v>132</v>
      </c>
      <c r="H134">
        <f t="shared" ca="1" si="13"/>
        <v>1126.8292682926831</v>
      </c>
      <c r="I134">
        <f t="shared" ca="1" si="14"/>
        <v>42433.828353777491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2092</v>
      </c>
      <c r="B136" s="66">
        <v>2092</v>
      </c>
      <c r="D136">
        <f t="shared" si="10"/>
        <v>6.1180324033456159</v>
      </c>
      <c r="E136">
        <f t="shared" si="11"/>
        <v>6.1180324033456159</v>
      </c>
      <c r="G136">
        <f t="shared" ca="1" si="12"/>
        <v>134</v>
      </c>
      <c r="H136">
        <f t="shared" ca="1" si="13"/>
        <v>819.81634204831255</v>
      </c>
      <c r="I136">
        <f t="shared" ca="1" si="14"/>
        <v>32161.493351594174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1852</v>
      </c>
      <c r="B139" s="66">
        <v>1852</v>
      </c>
      <c r="D139">
        <f t="shared" si="10"/>
        <v>5.41615488097327</v>
      </c>
      <c r="E139">
        <f t="shared" si="11"/>
        <v>5.41615488097327</v>
      </c>
      <c r="G139">
        <f t="shared" ca="1" si="12"/>
        <v>137</v>
      </c>
      <c r="H139">
        <f t="shared" ca="1" si="13"/>
        <v>742.01321869333799</v>
      </c>
      <c r="I139">
        <f t="shared" ca="1" si="14"/>
        <v>30876.74239183962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1375</v>
      </c>
      <c r="B142" s="66">
        <v>1375</v>
      </c>
      <c r="D142">
        <f t="shared" si="10"/>
        <v>4.0211733052582321</v>
      </c>
      <c r="E142">
        <f t="shared" si="11"/>
        <v>4.0211733052582321</v>
      </c>
      <c r="G142">
        <f t="shared" ca="1" si="12"/>
        <v>140</v>
      </c>
      <c r="H142">
        <f t="shared" ca="1" si="13"/>
        <v>562.96426273615248</v>
      </c>
      <c r="I142">
        <f t="shared" ca="1" si="14"/>
        <v>24782.02687490216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746</v>
      </c>
      <c r="B144" s="66">
        <v>746</v>
      </c>
      <c r="D144">
        <f t="shared" si="10"/>
        <v>2.1816692987073756</v>
      </c>
      <c r="E144">
        <f t="shared" si="11"/>
        <v>2.1816692987073756</v>
      </c>
      <c r="G144">
        <f t="shared" ca="1" si="12"/>
        <v>142</v>
      </c>
      <c r="H144">
        <f t="shared" ca="1" si="13"/>
        <v>309.79704041644732</v>
      </c>
      <c r="I144">
        <f t="shared" ca="1" si="14"/>
        <v>14139.182142805797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439</v>
      </c>
      <c r="B147" s="66">
        <v>439</v>
      </c>
      <c r="D147">
        <f t="shared" si="10"/>
        <v>1.283850968006083</v>
      </c>
      <c r="E147">
        <f t="shared" si="11"/>
        <v>1.283850968006083</v>
      </c>
      <c r="G147">
        <f t="shared" ca="1" si="12"/>
        <v>145</v>
      </c>
      <c r="H147">
        <f t="shared" ca="1" si="13"/>
        <v>186.15839036088204</v>
      </c>
      <c r="I147">
        <f t="shared" ca="1" si="14"/>
        <v>8952.1964808974371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240</v>
      </c>
      <c r="B149" s="66">
        <v>240</v>
      </c>
      <c r="D149">
        <f t="shared" si="10"/>
        <v>0.70187752237234602</v>
      </c>
      <c r="E149">
        <f t="shared" si="11"/>
        <v>0.70187752237234602</v>
      </c>
      <c r="G149">
        <f t="shared" ca="1" si="12"/>
        <v>147</v>
      </c>
      <c r="H149">
        <f t="shared" ca="1" si="13"/>
        <v>103.17599578873487</v>
      </c>
      <c r="I149">
        <f t="shared" ca="1" si="14"/>
        <v>5131.3852557977661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102</v>
      </c>
      <c r="B152" s="66">
        <v>102</v>
      </c>
      <c r="D152">
        <f t="shared" si="10"/>
        <v>0.29829794700824708</v>
      </c>
      <c r="E152">
        <f t="shared" si="11"/>
        <v>0.29829794700824708</v>
      </c>
      <c r="G152">
        <f t="shared" ca="1" si="12"/>
        <v>150</v>
      </c>
      <c r="H152">
        <f t="shared" ca="1" si="13"/>
        <v>44.74469205123706</v>
      </c>
      <c r="I152">
        <f t="shared" ca="1" si="14"/>
        <v>2336.5574957970671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156</v>
      </c>
      <c r="B154" s="66">
        <v>156</v>
      </c>
      <c r="D154">
        <f t="shared" si="10"/>
        <v>0.45622038954202493</v>
      </c>
      <c r="E154">
        <f t="shared" si="11"/>
        <v>0.45622038954202493</v>
      </c>
      <c r="G154">
        <f t="shared" ca="1" si="12"/>
        <v>152</v>
      </c>
      <c r="H154">
        <f t="shared" ca="1" si="13"/>
        <v>69.345499210387786</v>
      </c>
      <c r="I154">
        <f t="shared" ca="1" si="14"/>
        <v>3736.8927980226376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101.28039055321642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1.9554701476612204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0.62260300623165643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1178</v>
      </c>
      <c r="B8" s="66">
        <v>1178</v>
      </c>
      <c r="D8">
        <f t="shared" si="0"/>
        <v>2.2039289055191769</v>
      </c>
      <c r="E8">
        <f t="shared" si="1"/>
        <v>2.2039289055191769</v>
      </c>
      <c r="G8">
        <f t="shared" ca="1" si="2"/>
        <v>6</v>
      </c>
      <c r="H8">
        <f t="shared" ca="1" si="3"/>
        <v>13.22357343311506</v>
      </c>
      <c r="I8">
        <f t="shared" ca="1" si="4"/>
        <v>20008.044203256741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1494</v>
      </c>
      <c r="B10" s="66">
        <v>1494</v>
      </c>
      <c r="D10">
        <f t="shared" si="0"/>
        <v>2.795135640785781</v>
      </c>
      <c r="E10">
        <f t="shared" si="1"/>
        <v>2.795135640785781</v>
      </c>
      <c r="G10">
        <f t="shared" ca="1" si="2"/>
        <v>8</v>
      </c>
      <c r="H10">
        <f t="shared" ca="1" si="3"/>
        <v>22.361085126286248</v>
      </c>
      <c r="I10">
        <f t="shared" ca="1" si="4"/>
        <v>24321.121618466452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3340</v>
      </c>
      <c r="B13" s="66">
        <v>3340</v>
      </c>
      <c r="D13">
        <f t="shared" si="0"/>
        <v>6.2488306828811977</v>
      </c>
      <c r="E13">
        <f t="shared" si="1"/>
        <v>6.2488306828811977</v>
      </c>
      <c r="G13">
        <f t="shared" ca="1" si="2"/>
        <v>11</v>
      </c>
      <c r="H13">
        <f t="shared" ca="1" si="3"/>
        <v>68.737137511693177</v>
      </c>
      <c r="I13">
        <f t="shared" ca="1" si="4"/>
        <v>50931.400163880091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2864</v>
      </c>
      <c r="B15" s="66">
        <v>2864</v>
      </c>
      <c r="D15">
        <f t="shared" si="0"/>
        <v>5.3582787652011223</v>
      </c>
      <c r="E15">
        <f t="shared" si="1"/>
        <v>5.3582787652011223</v>
      </c>
      <c r="G15">
        <f t="shared" ca="1" si="2"/>
        <v>13</v>
      </c>
      <c r="H15">
        <f t="shared" ca="1" si="3"/>
        <v>69.657623947614596</v>
      </c>
      <c r="I15">
        <f t="shared" ca="1" si="4"/>
        <v>41759.356311016287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2936</v>
      </c>
      <c r="B18" s="66">
        <v>2936</v>
      </c>
      <c r="D18">
        <f t="shared" si="0"/>
        <v>5.4929840972871844</v>
      </c>
      <c r="E18">
        <f t="shared" si="1"/>
        <v>5.4929840972871844</v>
      </c>
      <c r="G18">
        <f t="shared" ca="1" si="2"/>
        <v>16</v>
      </c>
      <c r="H18">
        <f t="shared" ca="1" si="3"/>
        <v>87.88774555659495</v>
      </c>
      <c r="I18">
        <f t="shared" ca="1" si="4"/>
        <v>39949.072699534503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2924</v>
      </c>
      <c r="B21" s="66">
        <v>2924</v>
      </c>
      <c r="D21">
        <f t="shared" si="0"/>
        <v>5.4705332086061738</v>
      </c>
      <c r="E21">
        <f t="shared" si="1"/>
        <v>5.4705332086061738</v>
      </c>
      <c r="G21">
        <f t="shared" ca="1" si="2"/>
        <v>19</v>
      </c>
      <c r="H21">
        <f t="shared" ca="1" si="3"/>
        <v>103.9401309635173</v>
      </c>
      <c r="I21">
        <f t="shared" ca="1" si="4"/>
        <v>37035.852658336109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1469</v>
      </c>
      <c r="B23" s="66">
        <v>1469</v>
      </c>
      <c r="D23">
        <f t="shared" si="0"/>
        <v>2.7483629560336764</v>
      </c>
      <c r="E23">
        <f t="shared" si="1"/>
        <v>2.7483629560336764</v>
      </c>
      <c r="G23">
        <f t="shared" ca="1" si="2"/>
        <v>21</v>
      </c>
      <c r="H23">
        <f t="shared" ca="1" si="3"/>
        <v>57.715622076707206</v>
      </c>
      <c r="I23">
        <f t="shared" ca="1" si="4"/>
        <v>17713.037393333499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3295</v>
      </c>
      <c r="B26" s="66">
        <v>3295</v>
      </c>
      <c r="D26">
        <f t="shared" si="0"/>
        <v>6.1646398503274087</v>
      </c>
      <c r="E26">
        <f t="shared" si="1"/>
        <v>6.1646398503274087</v>
      </c>
      <c r="G26">
        <f t="shared" ca="1" si="2"/>
        <v>24</v>
      </c>
      <c r="H26">
        <f t="shared" ca="1" si="3"/>
        <v>147.95135640785782</v>
      </c>
      <c r="I26">
        <f t="shared" ca="1" si="4"/>
        <v>36816.824373376978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4957</v>
      </c>
      <c r="B28" s="66">
        <v>4957</v>
      </c>
      <c r="D28">
        <f t="shared" si="0"/>
        <v>9.2740879326473333</v>
      </c>
      <c r="E28">
        <f t="shared" si="1"/>
        <v>9.2740879326473333</v>
      </c>
      <c r="G28">
        <f t="shared" ca="1" si="2"/>
        <v>26</v>
      </c>
      <c r="H28">
        <f t="shared" ca="1" si="3"/>
        <v>241.12628624883067</v>
      </c>
      <c r="I28">
        <f t="shared" ca="1" si="4"/>
        <v>52557.528736285603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6466</v>
      </c>
      <c r="B31" s="66">
        <v>6466</v>
      </c>
      <c r="D31">
        <f t="shared" si="0"/>
        <v>12.097287184284378</v>
      </c>
      <c r="E31">
        <f t="shared" si="1"/>
        <v>12.097287184284378</v>
      </c>
      <c r="G31">
        <f t="shared" ca="1" si="2"/>
        <v>29</v>
      </c>
      <c r="H31">
        <f t="shared" ca="1" si="3"/>
        <v>350.82132834424698</v>
      </c>
      <c r="I31">
        <f t="shared" ca="1" si="4"/>
        <v>63201.730804912761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6008</v>
      </c>
      <c r="B33" s="66">
        <v>6008</v>
      </c>
      <c r="D33">
        <f t="shared" si="0"/>
        <v>11.240411599625819</v>
      </c>
      <c r="E33">
        <f t="shared" si="1"/>
        <v>11.240411599625819</v>
      </c>
      <c r="G33">
        <f t="shared" ca="1" si="2"/>
        <v>31</v>
      </c>
      <c r="H33">
        <f t="shared" ca="1" si="3"/>
        <v>348.4527595884004</v>
      </c>
      <c r="I33">
        <f t="shared" ca="1" si="4"/>
        <v>55520.139278290546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8456</v>
      </c>
      <c r="B36" s="66">
        <v>8456</v>
      </c>
      <c r="D36">
        <f t="shared" si="0"/>
        <v>15.820392890551918</v>
      </c>
      <c r="E36">
        <f t="shared" si="1"/>
        <v>15.820392890551918</v>
      </c>
      <c r="G36">
        <f t="shared" ca="1" si="2"/>
        <v>34</v>
      </c>
      <c r="H36">
        <f t="shared" ca="1" si="3"/>
        <v>537.89335827876528</v>
      </c>
      <c r="I36">
        <f t="shared" ca="1" si="4"/>
        <v>71613.396554745806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10846</v>
      </c>
      <c r="B39" s="66">
        <v>10846</v>
      </c>
      <c r="D39">
        <f t="shared" si="0"/>
        <v>20.291861552853135</v>
      </c>
      <c r="E39">
        <f t="shared" si="1"/>
        <v>20.291861552853135</v>
      </c>
      <c r="G39">
        <f t="shared" ca="1" si="2"/>
        <v>37</v>
      </c>
      <c r="H39">
        <f t="shared" ca="1" si="3"/>
        <v>750.79887745556596</v>
      </c>
      <c r="I39">
        <f t="shared" ca="1" si="4"/>
        <v>83845.334968240582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12989</v>
      </c>
      <c r="B41" s="66">
        <v>12989</v>
      </c>
      <c r="D41">
        <f t="shared" si="0"/>
        <v>24.301216089803553</v>
      </c>
      <c r="E41">
        <f t="shared" si="1"/>
        <v>24.301216089803553</v>
      </c>
      <c r="G41">
        <f t="shared" ca="1" si="2"/>
        <v>39</v>
      </c>
      <c r="H41">
        <f t="shared" ca="1" si="3"/>
        <v>947.74742750233861</v>
      </c>
      <c r="I41">
        <f t="shared" ca="1" si="4"/>
        <v>94260.700279650366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15316</v>
      </c>
      <c r="B44" s="66">
        <v>15316</v>
      </c>
      <c r="D44">
        <f t="shared" si="0"/>
        <v>28.654817586529468</v>
      </c>
      <c r="E44">
        <f t="shared" si="1"/>
        <v>28.654817586529468</v>
      </c>
      <c r="G44">
        <f t="shared" ca="1" si="2"/>
        <v>42</v>
      </c>
      <c r="H44">
        <f t="shared" ca="1" si="3"/>
        <v>1203.5023386342377</v>
      </c>
      <c r="I44">
        <f t="shared" ca="1" si="4"/>
        <v>100697.7485662056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18085</v>
      </c>
      <c r="B46" s="66">
        <v>18085</v>
      </c>
      <c r="D46">
        <f t="shared" si="0"/>
        <v>33.835360149672589</v>
      </c>
      <c r="E46">
        <f t="shared" si="1"/>
        <v>33.835360149672589</v>
      </c>
      <c r="G46">
        <f t="shared" ca="1" si="2"/>
        <v>44</v>
      </c>
      <c r="H46">
        <f t="shared" ca="1" si="3"/>
        <v>1488.7558465855939</v>
      </c>
      <c r="I46">
        <f t="shared" ca="1" si="4"/>
        <v>111015.27637378119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16951</v>
      </c>
      <c r="B49" s="66">
        <v>16951</v>
      </c>
      <c r="D49">
        <f t="shared" si="0"/>
        <v>31.713751169317121</v>
      </c>
      <c r="E49">
        <f t="shared" si="1"/>
        <v>31.713751169317121</v>
      </c>
      <c r="G49">
        <f t="shared" ca="1" si="2"/>
        <v>47</v>
      </c>
      <c r="H49">
        <f t="shared" ca="1" si="3"/>
        <v>1490.5463049579046</v>
      </c>
      <c r="I49">
        <f t="shared" ca="1" si="4"/>
        <v>93440.153222138702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16971</v>
      </c>
      <c r="B51" s="66">
        <v>16971</v>
      </c>
      <c r="D51">
        <f t="shared" si="0"/>
        <v>31.751169317118801</v>
      </c>
      <c r="E51">
        <f t="shared" si="1"/>
        <v>31.751169317118801</v>
      </c>
      <c r="G51">
        <f t="shared" ca="1" si="2"/>
        <v>49</v>
      </c>
      <c r="H51">
        <f t="shared" ca="1" si="3"/>
        <v>1555.8072965388212</v>
      </c>
      <c r="I51">
        <f t="shared" ca="1" si="4"/>
        <v>86783.541779028586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16323</v>
      </c>
      <c r="B54" s="66">
        <v>16323</v>
      </c>
      <c r="D54">
        <f t="shared" si="0"/>
        <v>30.538821328344248</v>
      </c>
      <c r="E54">
        <f t="shared" si="1"/>
        <v>30.538821328344248</v>
      </c>
      <c r="G54">
        <f t="shared" ca="1" si="2"/>
        <v>52</v>
      </c>
      <c r="H54">
        <f t="shared" ca="1" si="3"/>
        <v>1588.0187090739009</v>
      </c>
      <c r="I54">
        <f t="shared" ca="1" si="4"/>
        <v>74165.265043413878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17835</v>
      </c>
      <c r="B57" s="66">
        <v>17835</v>
      </c>
      <c r="D57">
        <f t="shared" si="0"/>
        <v>33.367633302151546</v>
      </c>
      <c r="E57">
        <f t="shared" si="1"/>
        <v>33.367633302151546</v>
      </c>
      <c r="G57">
        <f t="shared" ca="1" si="2"/>
        <v>55</v>
      </c>
      <c r="H57">
        <f t="shared" ca="1" si="3"/>
        <v>1835.2198316183351</v>
      </c>
      <c r="I57">
        <f t="shared" ca="1" si="4"/>
        <v>71469.284555544014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16889</v>
      </c>
      <c r="B59" s="66">
        <v>16889</v>
      </c>
      <c r="D59">
        <f t="shared" si="0"/>
        <v>31.597754911131901</v>
      </c>
      <c r="E59">
        <f t="shared" si="1"/>
        <v>31.597754911131901</v>
      </c>
      <c r="G59">
        <f t="shared" ca="1" si="2"/>
        <v>57</v>
      </c>
      <c r="H59">
        <f t="shared" ca="1" si="3"/>
        <v>1801.0720299345182</v>
      </c>
      <c r="I59">
        <f t="shared" ca="1" si="4"/>
        <v>61955.392341728519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14149</v>
      </c>
      <c r="B62" s="66">
        <v>14149</v>
      </c>
      <c r="D62">
        <f t="shared" si="0"/>
        <v>26.471468662301216</v>
      </c>
      <c r="E62">
        <f t="shared" si="1"/>
        <v>26.471468662301216</v>
      </c>
      <c r="G62">
        <f t="shared" ca="1" si="2"/>
        <v>60</v>
      </c>
      <c r="H62">
        <f t="shared" ca="1" si="3"/>
        <v>1588.288119738073</v>
      </c>
      <c r="I62">
        <f t="shared" ca="1" si="4"/>
        <v>45109.252656978111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14374</v>
      </c>
      <c r="B64" s="66">
        <v>14374</v>
      </c>
      <c r="D64">
        <f t="shared" si="0"/>
        <v>26.89242282507016</v>
      </c>
      <c r="E64">
        <f t="shared" si="1"/>
        <v>26.89242282507016</v>
      </c>
      <c r="G64">
        <f t="shared" ca="1" si="2"/>
        <v>62</v>
      </c>
      <c r="H64">
        <f t="shared" ca="1" si="3"/>
        <v>1667.3302151543498</v>
      </c>
      <c r="I64">
        <f t="shared" ca="1" si="4"/>
        <v>41493.639111053206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15688</v>
      </c>
      <c r="B67" s="66">
        <v>15688</v>
      </c>
      <c r="D67">
        <f t="shared" ref="D67:D130" si="5">IFERROR(100*A67/MAX(A$2:A$257), 0 )</f>
        <v>29.350795135640787</v>
      </c>
      <c r="E67">
        <f t="shared" ref="E67:E130" si="6">IFERROR(100*B67/MAX(B$2:B$257), 0 )</f>
        <v>29.350795135640787</v>
      </c>
      <c r="G67">
        <f t="shared" ref="G67:G130" ca="1" si="7">CELL("row",D67)-2</f>
        <v>65</v>
      </c>
      <c r="H67">
        <f t="shared" ref="H67:H130" ca="1" si="8">D67*G67</f>
        <v>1907.8016838166511</v>
      </c>
      <c r="I67">
        <f t="shared" ref="I67:I130" ca="1" si="9">D67*((G67-$L$1)^2)</f>
        <v>38633.475391263135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19590</v>
      </c>
      <c r="B69" s="66">
        <v>19590</v>
      </c>
      <c r="D69">
        <f t="shared" si="5"/>
        <v>36.651075771749298</v>
      </c>
      <c r="E69">
        <f t="shared" si="6"/>
        <v>36.651075771749298</v>
      </c>
      <c r="G69">
        <f t="shared" ca="1" si="7"/>
        <v>67</v>
      </c>
      <c r="H69">
        <f t="shared" ca="1" si="8"/>
        <v>2455.6220767072032</v>
      </c>
      <c r="I69">
        <f t="shared" ca="1" si="9"/>
        <v>43070.334906012657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20691</v>
      </c>
      <c r="B72" s="66">
        <v>20691</v>
      </c>
      <c r="D72">
        <f t="shared" si="5"/>
        <v>38.710944808231993</v>
      </c>
      <c r="E72">
        <f t="shared" si="6"/>
        <v>38.710944808231993</v>
      </c>
      <c r="G72">
        <f t="shared" ca="1" si="7"/>
        <v>70</v>
      </c>
      <c r="H72">
        <f t="shared" ca="1" si="8"/>
        <v>2709.7661365762397</v>
      </c>
      <c r="I72">
        <f t="shared" ca="1" si="9"/>
        <v>37877.220731430854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20985</v>
      </c>
      <c r="B75" s="66">
        <v>20985</v>
      </c>
      <c r="D75">
        <f t="shared" si="5"/>
        <v>39.260991580916745</v>
      </c>
      <c r="E75">
        <f t="shared" si="6"/>
        <v>39.260991580916745</v>
      </c>
      <c r="G75">
        <f t="shared" ca="1" si="7"/>
        <v>73</v>
      </c>
      <c r="H75">
        <f t="shared" ca="1" si="8"/>
        <v>2866.0523854069224</v>
      </c>
      <c r="I75">
        <f t="shared" ca="1" si="9"/>
        <v>31400.175078286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20804</v>
      </c>
      <c r="B77" s="66">
        <v>20804</v>
      </c>
      <c r="D77">
        <f t="shared" si="5"/>
        <v>38.922357343311504</v>
      </c>
      <c r="E77">
        <f t="shared" si="6"/>
        <v>38.922357343311504</v>
      </c>
      <c r="G77">
        <f t="shared" ca="1" si="7"/>
        <v>75</v>
      </c>
      <c r="H77">
        <f t="shared" ca="1" si="8"/>
        <v>2919.1768007483629</v>
      </c>
      <c r="I77">
        <f t="shared" ca="1" si="9"/>
        <v>26882.073583547099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25297</v>
      </c>
      <c r="B80" s="66">
        <v>25297</v>
      </c>
      <c r="D80">
        <f t="shared" si="5"/>
        <v>47.328344246959773</v>
      </c>
      <c r="E80">
        <f t="shared" si="6"/>
        <v>47.328344246959773</v>
      </c>
      <c r="G80">
        <f t="shared" ca="1" si="7"/>
        <v>78</v>
      </c>
      <c r="H80">
        <f t="shared" ca="1" si="8"/>
        <v>3691.6108512628625</v>
      </c>
      <c r="I80">
        <f t="shared" ca="1" si="9"/>
        <v>25650.854356028743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21912</v>
      </c>
      <c r="B82" s="66">
        <v>21912</v>
      </c>
      <c r="D82">
        <f t="shared" si="5"/>
        <v>40.995322731524787</v>
      </c>
      <c r="E82">
        <f t="shared" si="6"/>
        <v>40.995322731524787</v>
      </c>
      <c r="G82">
        <f t="shared" ca="1" si="7"/>
        <v>80</v>
      </c>
      <c r="H82">
        <f t="shared" ca="1" si="8"/>
        <v>3279.6258185219831</v>
      </c>
      <c r="I82">
        <f t="shared" ca="1" si="9"/>
        <v>18564.937781475634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26005</v>
      </c>
      <c r="B85" s="66">
        <v>26005</v>
      </c>
      <c r="D85">
        <f t="shared" si="5"/>
        <v>48.652946679139383</v>
      </c>
      <c r="E85">
        <f t="shared" si="6"/>
        <v>48.652946679139383</v>
      </c>
      <c r="G85">
        <f t="shared" ca="1" si="7"/>
        <v>83</v>
      </c>
      <c r="H85">
        <f t="shared" ca="1" si="8"/>
        <v>4038.1945743685687</v>
      </c>
      <c r="I85">
        <f t="shared" ca="1" si="9"/>
        <v>16258.485522217248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27632</v>
      </c>
      <c r="B88" s="66">
        <v>27632</v>
      </c>
      <c r="D88">
        <f t="shared" si="5"/>
        <v>51.696913002806362</v>
      </c>
      <c r="E88">
        <f t="shared" si="6"/>
        <v>51.696913002806362</v>
      </c>
      <c r="G88">
        <f t="shared" ca="1" si="7"/>
        <v>86</v>
      </c>
      <c r="H88">
        <f t="shared" ca="1" si="8"/>
        <v>4445.9345182413472</v>
      </c>
      <c r="I88">
        <f t="shared" ca="1" si="9"/>
        <v>12070.729559210982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35873</v>
      </c>
      <c r="B90" s="66">
        <v>35873</v>
      </c>
      <c r="D90">
        <f t="shared" si="5"/>
        <v>67.115060804490184</v>
      </c>
      <c r="E90">
        <f t="shared" si="6"/>
        <v>67.115060804490184</v>
      </c>
      <c r="G90">
        <f t="shared" ca="1" si="7"/>
        <v>88</v>
      </c>
      <c r="H90">
        <f t="shared" ca="1" si="8"/>
        <v>5906.125350795136</v>
      </c>
      <c r="I90">
        <f t="shared" ca="1" si="9"/>
        <v>11837.000940415943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42611</v>
      </c>
      <c r="B93" s="66">
        <v>42611</v>
      </c>
      <c r="D93">
        <f t="shared" si="5"/>
        <v>79.721234798877461</v>
      </c>
      <c r="E93">
        <f t="shared" si="6"/>
        <v>79.721234798877461</v>
      </c>
      <c r="G93">
        <f t="shared" ca="1" si="7"/>
        <v>91</v>
      </c>
      <c r="H93">
        <f t="shared" ca="1" si="8"/>
        <v>7254.6323666978487</v>
      </c>
      <c r="I93">
        <f t="shared" ca="1" si="9"/>
        <v>8425.4526952384858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47615</v>
      </c>
      <c r="B95" s="66">
        <v>47615</v>
      </c>
      <c r="D95">
        <f t="shared" si="5"/>
        <v>89.083255378858752</v>
      </c>
      <c r="E95">
        <f t="shared" si="6"/>
        <v>89.083255378858752</v>
      </c>
      <c r="G95">
        <f t="shared" ca="1" si="7"/>
        <v>93</v>
      </c>
      <c r="H95">
        <f t="shared" ca="1" si="8"/>
        <v>8284.7427502338633</v>
      </c>
      <c r="I95">
        <f t="shared" ca="1" si="9"/>
        <v>6107.9816205657344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49971</v>
      </c>
      <c r="B98" s="66">
        <v>49971</v>
      </c>
      <c r="D98">
        <f t="shared" si="5"/>
        <v>93.491113189897106</v>
      </c>
      <c r="E98">
        <f t="shared" si="6"/>
        <v>93.491113189897106</v>
      </c>
      <c r="G98">
        <f t="shared" ca="1" si="7"/>
        <v>96</v>
      </c>
      <c r="H98">
        <f t="shared" ca="1" si="8"/>
        <v>8975.1468662301231</v>
      </c>
      <c r="I98">
        <f t="shared" ca="1" si="9"/>
        <v>2606.7682441860065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53450</v>
      </c>
      <c r="B100" s="66">
        <v>53450</v>
      </c>
      <c r="D100">
        <f t="shared" si="5"/>
        <v>100</v>
      </c>
      <c r="E100">
        <f t="shared" si="6"/>
        <v>100</v>
      </c>
      <c r="G100">
        <f t="shared" ca="1" si="7"/>
        <v>98</v>
      </c>
      <c r="H100">
        <f t="shared" ca="1" si="8"/>
        <v>9800</v>
      </c>
      <c r="I100">
        <f t="shared" ca="1" si="9"/>
        <v>1076.0962181631535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48769</v>
      </c>
      <c r="B103" s="66">
        <v>48769</v>
      </c>
      <c r="D103">
        <f t="shared" si="5"/>
        <v>91.242282507015901</v>
      </c>
      <c r="E103">
        <f t="shared" si="6"/>
        <v>91.242282507015901</v>
      </c>
      <c r="G103">
        <f t="shared" ca="1" si="7"/>
        <v>101</v>
      </c>
      <c r="H103">
        <f t="shared" ca="1" si="8"/>
        <v>9215.4705332086069</v>
      </c>
      <c r="I103">
        <f t="shared" ca="1" si="9"/>
        <v>7.1733644473687361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50675</v>
      </c>
      <c r="B106" s="66">
        <v>50675</v>
      </c>
      <c r="D106">
        <f t="shared" si="5"/>
        <v>94.808231992516369</v>
      </c>
      <c r="E106">
        <f t="shared" si="6"/>
        <v>94.808231992516369</v>
      </c>
      <c r="G106">
        <f t="shared" ca="1" si="7"/>
        <v>104</v>
      </c>
      <c r="H106">
        <f t="shared" ca="1" si="8"/>
        <v>9860.0561272217019</v>
      </c>
      <c r="I106">
        <f t="shared" ca="1" si="9"/>
        <v>701.22780756458849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49869</v>
      </c>
      <c r="B108" s="66">
        <v>49869</v>
      </c>
      <c r="D108">
        <f t="shared" si="5"/>
        <v>93.300280636108511</v>
      </c>
      <c r="E108">
        <f t="shared" si="6"/>
        <v>93.300280636108511</v>
      </c>
      <c r="G108">
        <f t="shared" ca="1" si="7"/>
        <v>106</v>
      </c>
      <c r="H108">
        <f t="shared" ca="1" si="8"/>
        <v>9889.8297474275023</v>
      </c>
      <c r="I108">
        <f t="shared" ca="1" si="9"/>
        <v>2078.2370047936165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50635</v>
      </c>
      <c r="B111" s="66">
        <v>50635</v>
      </c>
      <c r="D111">
        <f t="shared" si="5"/>
        <v>94.733395696913007</v>
      </c>
      <c r="E111">
        <f t="shared" si="6"/>
        <v>94.733395696913007</v>
      </c>
      <c r="G111">
        <f t="shared" ca="1" si="7"/>
        <v>109</v>
      </c>
      <c r="H111">
        <f t="shared" ca="1" si="8"/>
        <v>10325.940130963518</v>
      </c>
      <c r="I111">
        <f t="shared" ca="1" si="9"/>
        <v>5645.387568756626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51551</v>
      </c>
      <c r="B113" s="66">
        <v>51551</v>
      </c>
      <c r="D113">
        <f t="shared" si="5"/>
        <v>96.447146866230128</v>
      </c>
      <c r="E113">
        <f t="shared" si="6"/>
        <v>96.447146866230128</v>
      </c>
      <c r="G113">
        <f t="shared" ca="1" si="7"/>
        <v>111</v>
      </c>
      <c r="H113">
        <f t="shared" ca="1" si="8"/>
        <v>10705.633302151544</v>
      </c>
      <c r="I113">
        <f t="shared" ca="1" si="9"/>
        <v>9111.4398742655485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50920</v>
      </c>
      <c r="B116" s="66">
        <v>50920</v>
      </c>
      <c r="D116">
        <f t="shared" si="5"/>
        <v>95.266604303086993</v>
      </c>
      <c r="E116">
        <f t="shared" si="6"/>
        <v>95.266604303086993</v>
      </c>
      <c r="G116">
        <f t="shared" ca="1" si="7"/>
        <v>114</v>
      </c>
      <c r="H116">
        <f t="shared" ca="1" si="8"/>
        <v>10860.392890551917</v>
      </c>
      <c r="I116">
        <f t="shared" ca="1" si="9"/>
        <v>15413.037626296937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51114</v>
      </c>
      <c r="B118" s="66">
        <v>51114</v>
      </c>
      <c r="D118">
        <f t="shared" si="5"/>
        <v>95.629560336763333</v>
      </c>
      <c r="E118">
        <f t="shared" si="6"/>
        <v>95.629560336763333</v>
      </c>
      <c r="G118">
        <f t="shared" ca="1" si="7"/>
        <v>116</v>
      </c>
      <c r="H118">
        <f t="shared" ca="1" si="8"/>
        <v>11093.028999064547</v>
      </c>
      <c r="I118">
        <f t="shared" ca="1" si="9"/>
        <v>20719.760603210787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49758</v>
      </c>
      <c r="B121" s="66">
        <v>49758</v>
      </c>
      <c r="D121">
        <f t="shared" si="5"/>
        <v>93.092609915809163</v>
      </c>
      <c r="E121">
        <f t="shared" si="6"/>
        <v>93.092609915809163</v>
      </c>
      <c r="G121">
        <f t="shared" ca="1" si="7"/>
        <v>119</v>
      </c>
      <c r="H121">
        <f t="shared" ca="1" si="8"/>
        <v>11078.02057998129</v>
      </c>
      <c r="I121">
        <f t="shared" ca="1" si="9"/>
        <v>29229.642065597811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47512</v>
      </c>
      <c r="B124" s="66">
        <v>47512</v>
      </c>
      <c r="D124">
        <f t="shared" si="5"/>
        <v>88.890551917680071</v>
      </c>
      <c r="E124">
        <f t="shared" si="6"/>
        <v>88.890551917680071</v>
      </c>
      <c r="G124">
        <f t="shared" ca="1" si="7"/>
        <v>122</v>
      </c>
      <c r="H124">
        <f t="shared" ca="1" si="8"/>
        <v>10844.647333956969</v>
      </c>
      <c r="I124">
        <f t="shared" ca="1" si="9"/>
        <v>38160.910886588557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51271</v>
      </c>
      <c r="B126" s="66">
        <v>51271</v>
      </c>
      <c r="D126">
        <f t="shared" si="5"/>
        <v>95.923292797006553</v>
      </c>
      <c r="E126">
        <f t="shared" si="6"/>
        <v>95.923292797006553</v>
      </c>
      <c r="G126">
        <f t="shared" ca="1" si="7"/>
        <v>124</v>
      </c>
      <c r="H126">
        <f t="shared" ca="1" si="8"/>
        <v>11894.488306828813</v>
      </c>
      <c r="I126">
        <f t="shared" ca="1" si="9"/>
        <v>49513.747953617501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43708</v>
      </c>
      <c r="B129" s="66">
        <v>43708</v>
      </c>
      <c r="D129">
        <f t="shared" si="5"/>
        <v>81.773620205799816</v>
      </c>
      <c r="E129">
        <f t="shared" si="6"/>
        <v>81.773620205799816</v>
      </c>
      <c r="G129">
        <f t="shared" ca="1" si="7"/>
        <v>127</v>
      </c>
      <c r="H129">
        <f t="shared" ca="1" si="8"/>
        <v>10385.249766136576</v>
      </c>
      <c r="I129">
        <f t="shared" ca="1" si="9"/>
        <v>54093.111576493393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35880</v>
      </c>
      <c r="B131" s="66">
        <v>35880</v>
      </c>
      <c r="D131">
        <f t="shared" ref="D131:D194" si="10">IFERROR(100*A131/MAX(A$2:A$257), 0 )</f>
        <v>67.128157156220766</v>
      </c>
      <c r="E131">
        <f t="shared" ref="E131:E194" si="11">IFERROR(100*B131/MAX(B$2:B$257), 0 )</f>
        <v>67.128157156220766</v>
      </c>
      <c r="G131">
        <f t="shared" ref="G131:G194" ca="1" si="12">CELL("row",D131)-2</f>
        <v>129</v>
      </c>
      <c r="H131">
        <f t="shared" ref="H131:H194" ca="1" si="13">D131*G131</f>
        <v>8659.5322731524793</v>
      </c>
      <c r="I131">
        <f t="shared" ref="I131:I194" ca="1" si="14">D131*((G131-$L$1)^2)</f>
        <v>51579.71508702304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33595</v>
      </c>
      <c r="B134" s="66">
        <v>33595</v>
      </c>
      <c r="D134">
        <f t="shared" si="10"/>
        <v>62.85313376987839</v>
      </c>
      <c r="E134">
        <f t="shared" si="11"/>
        <v>62.85313376987839</v>
      </c>
      <c r="G134">
        <f t="shared" ca="1" si="12"/>
        <v>132</v>
      </c>
      <c r="H134">
        <f t="shared" ca="1" si="13"/>
        <v>8296.6136576239478</v>
      </c>
      <c r="I134">
        <f t="shared" ca="1" si="14"/>
        <v>59314.150647878625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30464</v>
      </c>
      <c r="B136" s="66">
        <v>30464</v>
      </c>
      <c r="D136">
        <f t="shared" si="10"/>
        <v>56.995322731524787</v>
      </c>
      <c r="E136">
        <f t="shared" si="11"/>
        <v>56.995322731524787</v>
      </c>
      <c r="G136">
        <f t="shared" ca="1" si="12"/>
        <v>134</v>
      </c>
      <c r="H136">
        <f t="shared" ca="1" si="13"/>
        <v>7637.3732460243218</v>
      </c>
      <c r="I136">
        <f t="shared" ca="1" si="14"/>
        <v>61017.644657346871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26452</v>
      </c>
      <c r="B139" s="66">
        <v>26452</v>
      </c>
      <c r="D139">
        <f t="shared" si="10"/>
        <v>49.489242282507014</v>
      </c>
      <c r="E139">
        <f t="shared" si="11"/>
        <v>49.489242282507014</v>
      </c>
      <c r="G139">
        <f t="shared" ca="1" si="12"/>
        <v>137</v>
      </c>
      <c r="H139">
        <f t="shared" ca="1" si="13"/>
        <v>6780.0261927034608</v>
      </c>
      <c r="I139">
        <f t="shared" ca="1" si="14"/>
        <v>63142.854032481606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22607</v>
      </c>
      <c r="B142" s="66">
        <v>22607</v>
      </c>
      <c r="D142">
        <f t="shared" si="10"/>
        <v>42.295603367633305</v>
      </c>
      <c r="E142">
        <f t="shared" si="11"/>
        <v>42.295603367633305</v>
      </c>
      <c r="G142">
        <f t="shared" ca="1" si="12"/>
        <v>140</v>
      </c>
      <c r="H142">
        <f t="shared" ca="1" si="13"/>
        <v>5921.3844714686629</v>
      </c>
      <c r="I142">
        <f t="shared" ca="1" si="14"/>
        <v>63409.91351949262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24061</v>
      </c>
      <c r="B144" s="66">
        <v>24061</v>
      </c>
      <c r="D144">
        <f t="shared" si="10"/>
        <v>45.015902712815716</v>
      </c>
      <c r="E144">
        <f t="shared" si="11"/>
        <v>45.015902712815716</v>
      </c>
      <c r="G144">
        <f t="shared" ca="1" si="12"/>
        <v>142</v>
      </c>
      <c r="H144">
        <f t="shared" ca="1" si="13"/>
        <v>6392.2581852198318</v>
      </c>
      <c r="I144">
        <f t="shared" ca="1" si="14"/>
        <v>74640.264782356389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23629</v>
      </c>
      <c r="B147" s="66">
        <v>23629</v>
      </c>
      <c r="D147">
        <f t="shared" si="10"/>
        <v>44.207670720299348</v>
      </c>
      <c r="E147">
        <f t="shared" si="11"/>
        <v>44.207670720299348</v>
      </c>
      <c r="G147">
        <f t="shared" ca="1" si="12"/>
        <v>145</v>
      </c>
      <c r="H147">
        <f t="shared" ca="1" si="13"/>
        <v>6410.1122544434056</v>
      </c>
      <c r="I147">
        <f t="shared" ca="1" si="14"/>
        <v>84498.729705306643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19706</v>
      </c>
      <c r="B149" s="66">
        <v>19706</v>
      </c>
      <c r="D149">
        <f t="shared" si="10"/>
        <v>36.868101028999064</v>
      </c>
      <c r="E149">
        <f t="shared" si="11"/>
        <v>36.868101028999064</v>
      </c>
      <c r="G149">
        <f t="shared" ca="1" si="12"/>
        <v>147</v>
      </c>
      <c r="H149">
        <f t="shared" ca="1" si="13"/>
        <v>5419.6108512628625</v>
      </c>
      <c r="I149">
        <f t="shared" ca="1" si="14"/>
        <v>77064.753319113777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16465</v>
      </c>
      <c r="B152" s="66">
        <v>16465</v>
      </c>
      <c r="D152">
        <f t="shared" si="10"/>
        <v>30.804490177736202</v>
      </c>
      <c r="E152">
        <f t="shared" si="11"/>
        <v>30.804490177736202</v>
      </c>
      <c r="G152">
        <f t="shared" ca="1" si="12"/>
        <v>150</v>
      </c>
      <c r="H152">
        <f t="shared" ca="1" si="13"/>
        <v>4620.6735266604301</v>
      </c>
      <c r="I152">
        <f t="shared" ca="1" si="14"/>
        <v>73117.548502553589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13848</v>
      </c>
      <c r="B154" s="66">
        <v>13848</v>
      </c>
      <c r="D154">
        <f t="shared" si="10"/>
        <v>25.908325537885876</v>
      </c>
      <c r="E154">
        <f t="shared" si="11"/>
        <v>25.908325537885876</v>
      </c>
      <c r="G154">
        <f t="shared" ca="1" si="12"/>
        <v>152</v>
      </c>
      <c r="H154">
        <f t="shared" ca="1" si="13"/>
        <v>3938.0654817586533</v>
      </c>
      <c r="I154">
        <f t="shared" ca="1" si="14"/>
        <v>66648.617734611049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10536</v>
      </c>
      <c r="B157" s="66">
        <v>10536</v>
      </c>
      <c r="D157">
        <f t="shared" si="10"/>
        <v>19.711880261927035</v>
      </c>
      <c r="E157">
        <f t="shared" si="11"/>
        <v>19.711880261927035</v>
      </c>
      <c r="G157">
        <f t="shared" ca="1" si="12"/>
        <v>155</v>
      </c>
      <c r="H157">
        <f t="shared" ca="1" si="13"/>
        <v>3055.3414405986905</v>
      </c>
      <c r="I157">
        <f t="shared" ca="1" si="14"/>
        <v>56884.473868129491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9278</v>
      </c>
      <c r="B160" s="66">
        <v>9278</v>
      </c>
      <c r="D160">
        <f t="shared" si="10"/>
        <v>17.358278765201124</v>
      </c>
      <c r="E160">
        <f t="shared" si="11"/>
        <v>17.358278765201124</v>
      </c>
      <c r="G160">
        <f t="shared" ca="1" si="12"/>
        <v>158</v>
      </c>
      <c r="H160">
        <f t="shared" ca="1" si="13"/>
        <v>2742.6080449017777</v>
      </c>
      <c r="I160">
        <f t="shared" ca="1" si="14"/>
        <v>55843.563294279033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6982</v>
      </c>
      <c r="B162" s="66">
        <v>6982</v>
      </c>
      <c r="D162">
        <f t="shared" si="10"/>
        <v>13.062675397567821</v>
      </c>
      <c r="E162">
        <f t="shared" si="11"/>
        <v>13.062675397567821</v>
      </c>
      <c r="G162">
        <f t="shared" ca="1" si="12"/>
        <v>160</v>
      </c>
      <c r="H162">
        <f t="shared" ca="1" si="13"/>
        <v>2090.0280636108514</v>
      </c>
      <c r="I162">
        <f t="shared" ca="1" si="14"/>
        <v>45040.00723942952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6787</v>
      </c>
      <c r="B165" s="66">
        <v>6787</v>
      </c>
      <c r="D165">
        <f t="shared" si="10"/>
        <v>12.697848456501402</v>
      </c>
      <c r="E165">
        <f t="shared" si="11"/>
        <v>12.697848456501402</v>
      </c>
      <c r="G165">
        <f t="shared" ca="1" si="12"/>
        <v>163</v>
      </c>
      <c r="H165">
        <f t="shared" ca="1" si="13"/>
        <v>2069.7492984097285</v>
      </c>
      <c r="I165">
        <f t="shared" ca="1" si="14"/>
        <v>48370.043519772407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5530</v>
      </c>
      <c r="B167" s="66">
        <v>5530</v>
      </c>
      <c r="D167">
        <f t="shared" si="10"/>
        <v>10.346117867165574</v>
      </c>
      <c r="E167">
        <f t="shared" si="11"/>
        <v>10.346117867165574</v>
      </c>
      <c r="G167">
        <f t="shared" ca="1" si="12"/>
        <v>165</v>
      </c>
      <c r="H167">
        <f t="shared" ca="1" si="13"/>
        <v>1707.1094480823199</v>
      </c>
      <c r="I167">
        <f t="shared" ca="1" si="14"/>
        <v>42007.190108737115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4431</v>
      </c>
      <c r="B170" s="66">
        <v>4431</v>
      </c>
      <c r="D170">
        <f t="shared" si="10"/>
        <v>8.2899906454630496</v>
      </c>
      <c r="E170">
        <f t="shared" si="11"/>
        <v>8.2899906454630496</v>
      </c>
      <c r="G170">
        <f t="shared" ca="1" si="12"/>
        <v>168</v>
      </c>
      <c r="H170">
        <f t="shared" ca="1" si="13"/>
        <v>1392.7184284377922</v>
      </c>
      <c r="I170">
        <f t="shared" ca="1" si="14"/>
        <v>36902.945458642724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3094</v>
      </c>
      <c r="B173" s="66">
        <v>3094</v>
      </c>
      <c r="D173">
        <f t="shared" si="10"/>
        <v>5.7885874649204867</v>
      </c>
      <c r="E173">
        <f t="shared" si="11"/>
        <v>5.7885874649204867</v>
      </c>
      <c r="G173">
        <f t="shared" ca="1" si="12"/>
        <v>171</v>
      </c>
      <c r="H173">
        <f t="shared" ca="1" si="13"/>
        <v>989.84845650140323</v>
      </c>
      <c r="I173">
        <f t="shared" ca="1" si="14"/>
        <v>28137.304536443098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1758</v>
      </c>
      <c r="B175" s="66">
        <v>1758</v>
      </c>
      <c r="D175">
        <f t="shared" si="10"/>
        <v>3.2890551917680075</v>
      </c>
      <c r="E175">
        <f t="shared" si="11"/>
        <v>3.2890551917680075</v>
      </c>
      <c r="G175">
        <f t="shared" ca="1" si="12"/>
        <v>173</v>
      </c>
      <c r="H175">
        <f t="shared" ca="1" si="13"/>
        <v>569.0065481758653</v>
      </c>
      <c r="I175">
        <f t="shared" ca="1" si="14"/>
        <v>16917.921015214477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461</v>
      </c>
      <c r="B178" s="66">
        <v>461</v>
      </c>
      <c r="D178">
        <f t="shared" si="10"/>
        <v>0.86248830682881195</v>
      </c>
      <c r="E178">
        <f t="shared" si="11"/>
        <v>0.86248830682881195</v>
      </c>
      <c r="G178">
        <f t="shared" ca="1" si="12"/>
        <v>176</v>
      </c>
      <c r="H178">
        <f t="shared" ca="1" si="13"/>
        <v>151.79794200187089</v>
      </c>
      <c r="I178">
        <f t="shared" ca="1" si="14"/>
        <v>4815.2894977373626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0.16131200000000001</v>
      </c>
      <c r="B2" s="68">
        <v>0.64550300000000005</v>
      </c>
      <c r="C2" s="68">
        <v>0</v>
      </c>
      <c r="D2" s="68">
        <v>1</v>
      </c>
      <c r="E2" s="68" t="s">
        <v>408</v>
      </c>
    </row>
    <row r="3" spans="1:5">
      <c r="A3" s="68">
        <v>0.16830500000000001</v>
      </c>
      <c r="B3" s="68">
        <v>0.63345700000000005</v>
      </c>
      <c r="C3" s="68">
        <v>0.39462599999999998</v>
      </c>
      <c r="D3" s="89">
        <v>1</v>
      </c>
      <c r="E3" s="68" t="s">
        <v>409</v>
      </c>
    </row>
    <row r="4" spans="1:5">
      <c r="A4" s="68">
        <v>0.17543500000000001</v>
      </c>
      <c r="B4" s="68">
        <v>0.62095599999999995</v>
      </c>
      <c r="C4" s="68">
        <v>0.79693599999999998</v>
      </c>
      <c r="D4" s="89">
        <v>1</v>
      </c>
      <c r="E4" s="68" t="s">
        <v>410</v>
      </c>
    </row>
    <row r="5" spans="1:5">
      <c r="A5" s="89">
        <v>0.183059</v>
      </c>
      <c r="B5" s="89">
        <v>0.60626500000000005</v>
      </c>
      <c r="C5" s="89">
        <v>1.2098599999999999</v>
      </c>
      <c r="D5" s="89">
        <v>1</v>
      </c>
      <c r="E5" s="68" t="s">
        <v>411</v>
      </c>
    </row>
    <row r="6" spans="1:5">
      <c r="A6" s="68">
        <v>0.190613</v>
      </c>
      <c r="B6" s="68">
        <v>0.59143100000000004</v>
      </c>
      <c r="C6" s="68">
        <v>1.61541</v>
      </c>
      <c r="D6" s="68">
        <v>1</v>
      </c>
      <c r="E6" s="68" t="s">
        <v>412</v>
      </c>
    </row>
    <row r="7" spans="1:5">
      <c r="A7" s="68">
        <v>0.19861100000000001</v>
      </c>
      <c r="B7" s="68">
        <v>0.57527600000000001</v>
      </c>
      <c r="C7" s="68">
        <v>2.0183200000000001</v>
      </c>
      <c r="D7" s="68">
        <v>1</v>
      </c>
      <c r="E7" s="68" t="s">
        <v>413</v>
      </c>
    </row>
    <row r="8" spans="1:5">
      <c r="A8" s="68">
        <v>0.20677000000000001</v>
      </c>
      <c r="B8" s="68">
        <v>0.56013400000000002</v>
      </c>
      <c r="C8" s="68">
        <v>2.4243100000000002</v>
      </c>
      <c r="D8" s="68">
        <v>1</v>
      </c>
      <c r="E8" s="68" t="s">
        <v>414</v>
      </c>
    </row>
    <row r="9" spans="1:5">
      <c r="A9" s="68">
        <v>0.21520700000000001</v>
      </c>
      <c r="B9" s="68">
        <v>0.54328799999999999</v>
      </c>
      <c r="C9" s="68">
        <v>2.8323499999999999</v>
      </c>
      <c r="D9" s="68">
        <v>1</v>
      </c>
      <c r="E9" s="68" t="s">
        <v>415</v>
      </c>
    </row>
    <row r="10" spans="1:5">
      <c r="A10" s="68">
        <v>0.22390199999999999</v>
      </c>
      <c r="B10" s="68">
        <v>0.52598500000000004</v>
      </c>
      <c r="C10" s="68">
        <v>3.2401300000000002</v>
      </c>
      <c r="D10" s="68">
        <v>1</v>
      </c>
      <c r="E10" s="68" t="s">
        <v>416</v>
      </c>
    </row>
    <row r="11" spans="1:5">
      <c r="A11" s="68">
        <v>0.232736</v>
      </c>
      <c r="B11" s="68">
        <v>0.50908900000000001</v>
      </c>
      <c r="C11" s="68">
        <v>3.6469499999999999</v>
      </c>
      <c r="D11" s="68">
        <v>1</v>
      </c>
      <c r="E11" s="68" t="s">
        <v>417</v>
      </c>
    </row>
    <row r="12" spans="1:5">
      <c r="A12" s="68">
        <v>0.241702</v>
      </c>
      <c r="B12" s="68">
        <v>0.49335600000000002</v>
      </c>
      <c r="C12" s="68">
        <v>4.0508699999999997</v>
      </c>
      <c r="D12" s="68">
        <v>1</v>
      </c>
      <c r="E12" s="68" t="s">
        <v>418</v>
      </c>
    </row>
    <row r="13" spans="1:5">
      <c r="A13" s="68">
        <v>0.25101400000000001</v>
      </c>
      <c r="B13" s="68">
        <v>0.478246</v>
      </c>
      <c r="C13" s="68">
        <v>4.4591099999999999</v>
      </c>
      <c r="D13" s="68">
        <v>1</v>
      </c>
      <c r="E13" s="68" t="s">
        <v>419</v>
      </c>
    </row>
    <row r="14" spans="1:5">
      <c r="A14" s="68">
        <v>0.26013700000000001</v>
      </c>
      <c r="B14" s="68">
        <v>0.466387</v>
      </c>
      <c r="C14" s="68">
        <v>4.8629800000000003</v>
      </c>
      <c r="D14" s="68">
        <v>1</v>
      </c>
      <c r="E14" s="68" t="s">
        <v>420</v>
      </c>
    </row>
    <row r="15" spans="1:5">
      <c r="A15" s="68">
        <v>0.26943800000000001</v>
      </c>
      <c r="B15" s="68">
        <v>0.45605600000000002</v>
      </c>
      <c r="C15" s="68">
        <v>5.2695999999999996</v>
      </c>
      <c r="D15" s="68">
        <v>1</v>
      </c>
      <c r="E15" s="68" t="s">
        <v>421</v>
      </c>
    </row>
    <row r="16" spans="1:5">
      <c r="A16" s="68">
        <v>0.27884399999999998</v>
      </c>
      <c r="B16" s="68">
        <v>0.44731900000000002</v>
      </c>
      <c r="C16" s="68">
        <v>5.6775900000000004</v>
      </c>
      <c r="D16" s="68">
        <v>1</v>
      </c>
      <c r="E16" s="68" t="s">
        <v>422</v>
      </c>
    </row>
    <row r="17" spans="1:5">
      <c r="A17" s="68">
        <v>0.28828300000000001</v>
      </c>
      <c r="B17" s="68">
        <v>0.439633</v>
      </c>
      <c r="C17" s="68">
        <v>6.0825800000000001</v>
      </c>
      <c r="D17" s="68">
        <v>1</v>
      </c>
      <c r="E17" s="68" t="s">
        <v>423</v>
      </c>
    </row>
    <row r="18" spans="1:5">
      <c r="A18" s="68">
        <v>0.29543000000000003</v>
      </c>
      <c r="B18" s="68">
        <v>0.43800699999999998</v>
      </c>
      <c r="C18" s="68">
        <v>6.4893700000000001</v>
      </c>
      <c r="D18" s="68">
        <v>1</v>
      </c>
      <c r="E18" s="68" t="s">
        <v>424</v>
      </c>
    </row>
    <row r="19" spans="1:5">
      <c r="A19" s="68">
        <v>0.30497299999999999</v>
      </c>
      <c r="B19" s="68">
        <v>0.43255100000000002</v>
      </c>
      <c r="C19" s="68">
        <v>6.8944999999999999</v>
      </c>
      <c r="D19" s="68">
        <v>1</v>
      </c>
      <c r="E19" s="68" t="s">
        <v>425</v>
      </c>
    </row>
    <row r="20" spans="1:5">
      <c r="A20" s="68">
        <v>0.31336199999999997</v>
      </c>
      <c r="B20" s="68">
        <v>0.42714200000000002</v>
      </c>
      <c r="C20" s="68">
        <v>7.3011600000000003</v>
      </c>
      <c r="D20" s="68">
        <v>1</v>
      </c>
      <c r="E20" s="68" t="s">
        <v>426</v>
      </c>
    </row>
    <row r="21" spans="1:5">
      <c r="A21" s="68">
        <v>0.32155</v>
      </c>
      <c r="B21" s="68">
        <v>0.42106199999999999</v>
      </c>
      <c r="C21" s="68">
        <v>7.7093600000000002</v>
      </c>
      <c r="D21" s="68">
        <v>1</v>
      </c>
      <c r="E21" s="68" t="s">
        <v>427</v>
      </c>
    </row>
    <row r="22" spans="1:5">
      <c r="A22" s="68">
        <v>0.33225300000000002</v>
      </c>
      <c r="B22" s="68">
        <v>0.40983799999999998</v>
      </c>
      <c r="C22" s="68">
        <v>8.11599</v>
      </c>
      <c r="D22" s="68">
        <v>1</v>
      </c>
      <c r="E22" s="68" t="s">
        <v>428</v>
      </c>
    </row>
    <row r="23" spans="1:5">
      <c r="A23" s="68">
        <v>0.33843899999999999</v>
      </c>
      <c r="B23" s="68">
        <v>0.408466</v>
      </c>
      <c r="C23" s="68">
        <v>8.5199300000000004</v>
      </c>
      <c r="D23" s="68">
        <v>1</v>
      </c>
      <c r="E23" s="68" t="s">
        <v>429</v>
      </c>
    </row>
    <row r="24" spans="1:5">
      <c r="A24" s="68">
        <v>0.34820400000000001</v>
      </c>
      <c r="B24" s="68">
        <v>0.400092</v>
      </c>
      <c r="C24" s="68">
        <v>8.9272799999999997</v>
      </c>
      <c r="D24" s="68">
        <v>1</v>
      </c>
      <c r="E24" s="68" t="s">
        <v>430</v>
      </c>
    </row>
    <row r="25" spans="1:5">
      <c r="A25" s="68">
        <v>0.35497499999999998</v>
      </c>
      <c r="B25" s="68">
        <v>0.39930700000000002</v>
      </c>
      <c r="C25" s="68">
        <v>9.3328100000000003</v>
      </c>
      <c r="D25" s="68">
        <v>1</v>
      </c>
      <c r="E25" s="68" t="s">
        <v>431</v>
      </c>
    </row>
    <row r="26" spans="1:5">
      <c r="A26" s="68">
        <v>0.36173499999999997</v>
      </c>
      <c r="B26" s="68">
        <v>0.39817399999999997</v>
      </c>
      <c r="C26" s="68">
        <v>9.7395999999999994</v>
      </c>
      <c r="D26" s="68">
        <v>1</v>
      </c>
      <c r="E26" s="68" t="s">
        <v>432</v>
      </c>
    </row>
    <row r="27" spans="1:5">
      <c r="A27" s="68">
        <v>0.36698700000000001</v>
      </c>
      <c r="B27" s="68">
        <v>0.39898</v>
      </c>
      <c r="C27" s="68">
        <v>10.1456</v>
      </c>
      <c r="D27" s="68">
        <v>1</v>
      </c>
      <c r="E27" s="68" t="s">
        <v>433</v>
      </c>
    </row>
    <row r="28" spans="1:5">
      <c r="A28" s="68">
        <v>0.37289600000000001</v>
      </c>
      <c r="B28" s="68">
        <v>0.39846599999999999</v>
      </c>
      <c r="C28" s="68">
        <v>10.548500000000001</v>
      </c>
      <c r="D28" s="68">
        <v>1</v>
      </c>
      <c r="E28" s="68" t="s">
        <v>434</v>
      </c>
    </row>
    <row r="29" spans="1:5">
      <c r="A29" s="68">
        <v>0.37813200000000002</v>
      </c>
      <c r="B29" s="68">
        <v>0.39823399999999998</v>
      </c>
      <c r="C29" s="68">
        <v>10.955399999999999</v>
      </c>
      <c r="D29" s="68">
        <v>1</v>
      </c>
      <c r="E29" s="68" t="s">
        <v>435</v>
      </c>
    </row>
    <row r="30" spans="1:5">
      <c r="A30" s="68">
        <v>0.383496</v>
      </c>
      <c r="B30" s="68">
        <v>0.39722800000000003</v>
      </c>
      <c r="C30" s="68">
        <v>11.3635</v>
      </c>
      <c r="D30" s="68">
        <v>1</v>
      </c>
      <c r="E30" s="68" t="s">
        <v>436</v>
      </c>
    </row>
    <row r="31" spans="1:5">
      <c r="A31" s="68">
        <v>0.38716499999999998</v>
      </c>
      <c r="B31" s="68">
        <v>0.39721699999999999</v>
      </c>
      <c r="C31" s="68">
        <v>11.770300000000001</v>
      </c>
      <c r="D31" s="68">
        <v>1</v>
      </c>
      <c r="E31" s="68" t="s">
        <v>437</v>
      </c>
    </row>
    <row r="32" spans="1:5">
      <c r="A32" s="68">
        <v>0.39080999999999999</v>
      </c>
      <c r="B32" s="68">
        <v>0.39641500000000002</v>
      </c>
      <c r="C32" s="68">
        <v>12.177099999999999</v>
      </c>
      <c r="D32" s="68">
        <v>1</v>
      </c>
      <c r="E32" s="68" t="s">
        <v>438</v>
      </c>
    </row>
    <row r="33" spans="1:5">
      <c r="A33" s="68">
        <v>0.39357500000000001</v>
      </c>
      <c r="B33" s="68">
        <v>0.39515800000000001</v>
      </c>
      <c r="C33" s="68">
        <v>12.5831</v>
      </c>
      <c r="D33" s="68">
        <v>1</v>
      </c>
      <c r="E33" s="68" t="s">
        <v>439</v>
      </c>
    </row>
    <row r="34" spans="1:5">
      <c r="A34" s="68">
        <v>0.39585399999999998</v>
      </c>
      <c r="B34" s="68">
        <v>0.39358900000000002</v>
      </c>
      <c r="C34" s="68">
        <v>12.986000000000001</v>
      </c>
      <c r="D34" s="68">
        <v>1</v>
      </c>
      <c r="E34" s="68" t="s">
        <v>440</v>
      </c>
    </row>
    <row r="35" spans="1:5">
      <c r="A35" s="68">
        <v>0.39762399999999998</v>
      </c>
      <c r="B35" s="68">
        <v>0.391818</v>
      </c>
      <c r="C35" s="68">
        <v>13.391</v>
      </c>
      <c r="D35" s="68">
        <v>1</v>
      </c>
      <c r="E35" s="68" t="s">
        <v>441</v>
      </c>
    </row>
    <row r="36" spans="1:5">
      <c r="A36" s="68">
        <v>0.39904699999999999</v>
      </c>
      <c r="B36" s="68">
        <v>0.38966800000000001</v>
      </c>
      <c r="C36" s="68">
        <v>13.7988</v>
      </c>
      <c r="D36" s="68">
        <v>1</v>
      </c>
      <c r="E36" s="68" t="s">
        <v>442</v>
      </c>
    </row>
    <row r="37" spans="1:5">
      <c r="A37" s="68">
        <v>0.399866</v>
      </c>
      <c r="B37" s="68">
        <v>0.38759500000000002</v>
      </c>
      <c r="C37" s="68">
        <v>14.206899999999999</v>
      </c>
      <c r="D37" s="68">
        <v>1</v>
      </c>
      <c r="E37" s="68" t="s">
        <v>443</v>
      </c>
    </row>
    <row r="38" spans="1:5">
      <c r="A38" s="68">
        <v>0.40087899999999999</v>
      </c>
      <c r="B38" s="68">
        <v>0.38545699999999999</v>
      </c>
      <c r="C38" s="68">
        <v>14.6128</v>
      </c>
      <c r="D38" s="68">
        <v>1</v>
      </c>
      <c r="E38" s="68" t="s">
        <v>444</v>
      </c>
    </row>
    <row r="39" spans="1:5">
      <c r="A39" s="68">
        <v>0.40131699999999998</v>
      </c>
      <c r="B39" s="68">
        <v>0.38352399999999998</v>
      </c>
      <c r="C39" s="68">
        <v>15.0174</v>
      </c>
      <c r="D39" s="68">
        <v>2</v>
      </c>
      <c r="E39" s="68" t="s">
        <v>445</v>
      </c>
    </row>
    <row r="40" spans="1:5">
      <c r="A40" s="68">
        <v>0.40139399999999997</v>
      </c>
      <c r="B40" s="68">
        <v>0.38113599999999997</v>
      </c>
      <c r="C40" s="68">
        <v>15.5861</v>
      </c>
      <c r="D40" s="68">
        <v>2</v>
      </c>
      <c r="E40" s="68" t="s">
        <v>446</v>
      </c>
    </row>
    <row r="41" spans="1:5">
      <c r="A41" s="68">
        <v>0.40159600000000001</v>
      </c>
      <c r="B41" s="68">
        <v>0.37903399999999998</v>
      </c>
      <c r="C41" s="68">
        <v>15.9557</v>
      </c>
      <c r="D41" s="68">
        <v>2</v>
      </c>
      <c r="E41" s="68" t="s">
        <v>447</v>
      </c>
    </row>
    <row r="42" spans="1:5">
      <c r="A42" s="68">
        <v>0.401673</v>
      </c>
      <c r="B42" s="68">
        <v>0.377077</v>
      </c>
      <c r="C42" s="68">
        <v>16.331</v>
      </c>
      <c r="D42" s="68">
        <v>2</v>
      </c>
      <c r="E42" s="68" t="s">
        <v>448</v>
      </c>
    </row>
    <row r="43" spans="1:5">
      <c r="A43" s="68">
        <v>0.40137699999999998</v>
      </c>
      <c r="B43" s="68">
        <v>0.375745</v>
      </c>
      <c r="C43" s="68">
        <v>16.713200000000001</v>
      </c>
      <c r="D43" s="68">
        <v>2</v>
      </c>
      <c r="E43" s="68" t="s">
        <v>449</v>
      </c>
    </row>
    <row r="44" spans="1:5">
      <c r="A44" s="68">
        <v>0.40069500000000002</v>
      </c>
      <c r="B44" s="68">
        <v>0.37487999999999999</v>
      </c>
      <c r="C44" s="68">
        <v>17.112200000000001</v>
      </c>
      <c r="D44" s="68">
        <v>2</v>
      </c>
      <c r="E44" s="68" t="s">
        <v>450</v>
      </c>
    </row>
    <row r="45" spans="1:5">
      <c r="A45" s="68">
        <v>0.39996799999999999</v>
      </c>
      <c r="B45" s="68">
        <v>0.37415599999999999</v>
      </c>
      <c r="C45" s="68">
        <v>17.520900000000001</v>
      </c>
      <c r="D45" s="68">
        <v>2</v>
      </c>
      <c r="E45" s="68" t="s">
        <v>451</v>
      </c>
    </row>
    <row r="46" spans="1:5">
      <c r="A46" s="68">
        <v>0.39950999999999998</v>
      </c>
      <c r="B46" s="68">
        <v>0.37310199999999999</v>
      </c>
      <c r="C46" s="68">
        <v>17.924700000000001</v>
      </c>
      <c r="D46" s="68">
        <v>2</v>
      </c>
      <c r="E46" s="68" t="s">
        <v>452</v>
      </c>
    </row>
    <row r="47" spans="1:5">
      <c r="A47" s="68">
        <v>0.39893899999999999</v>
      </c>
      <c r="B47" s="68">
        <v>0.37169999999999997</v>
      </c>
      <c r="C47" s="68">
        <v>18.328700000000001</v>
      </c>
      <c r="D47" s="68">
        <v>2</v>
      </c>
      <c r="E47" s="68" t="s">
        <v>453</v>
      </c>
    </row>
    <row r="48" spans="1:5">
      <c r="A48" s="68">
        <v>0.39836199999999999</v>
      </c>
      <c r="B48" s="68">
        <v>0.36987599999999998</v>
      </c>
      <c r="C48" s="68">
        <v>18.7377</v>
      </c>
      <c r="D48" s="68">
        <v>2</v>
      </c>
      <c r="E48" s="68" t="s">
        <v>454</v>
      </c>
    </row>
    <row r="49" spans="1:5">
      <c r="A49" s="68">
        <v>0.39723900000000001</v>
      </c>
      <c r="B49" s="68">
        <v>0.36846000000000001</v>
      </c>
      <c r="C49" s="68">
        <v>19.1465</v>
      </c>
      <c r="D49" s="68">
        <v>2</v>
      </c>
      <c r="E49" s="68" t="s">
        <v>455</v>
      </c>
    </row>
    <row r="50" spans="1:5">
      <c r="A50" s="68">
        <v>0.39607999999999999</v>
      </c>
      <c r="B50" s="68">
        <v>0.36675799999999997</v>
      </c>
      <c r="C50" s="68">
        <v>19.5535</v>
      </c>
      <c r="D50" s="68">
        <v>2</v>
      </c>
      <c r="E50" s="68" t="s">
        <v>456</v>
      </c>
    </row>
    <row r="51" spans="1:5">
      <c r="A51" s="68">
        <v>0.394625</v>
      </c>
      <c r="B51" s="68">
        <v>0.36453200000000002</v>
      </c>
      <c r="C51" s="68">
        <v>19.959599999999998</v>
      </c>
      <c r="D51" s="68">
        <v>2</v>
      </c>
      <c r="E51" s="68" t="s">
        <v>457</v>
      </c>
    </row>
    <row r="52" spans="1:5">
      <c r="A52" s="68">
        <v>0.393013</v>
      </c>
      <c r="B52" s="68">
        <v>0.361736</v>
      </c>
      <c r="C52" s="68">
        <v>20.3614</v>
      </c>
      <c r="D52" s="68">
        <v>2</v>
      </c>
      <c r="E52" s="68" t="s">
        <v>458</v>
      </c>
    </row>
    <row r="53" spans="1:5">
      <c r="A53" s="68">
        <v>0.391538</v>
      </c>
      <c r="B53" s="68">
        <v>0.35857600000000001</v>
      </c>
      <c r="C53" s="68">
        <v>20.775300000000001</v>
      </c>
      <c r="D53" s="68">
        <v>2</v>
      </c>
      <c r="E53" s="68" t="s">
        <v>459</v>
      </c>
    </row>
    <row r="54" spans="1:5">
      <c r="A54" s="68">
        <v>0.39068399999999998</v>
      </c>
      <c r="B54" s="68">
        <v>0.35656700000000002</v>
      </c>
      <c r="C54" s="68">
        <v>21.179099999999998</v>
      </c>
      <c r="D54" s="68">
        <v>2</v>
      </c>
      <c r="E54" s="68" t="s">
        <v>460</v>
      </c>
    </row>
    <row r="55" spans="1:5">
      <c r="A55" s="68">
        <v>0.39044099999999998</v>
      </c>
      <c r="B55" s="68">
        <v>0.35521900000000001</v>
      </c>
      <c r="C55" s="68">
        <v>21.585100000000001</v>
      </c>
      <c r="D55" s="68">
        <v>2</v>
      </c>
      <c r="E55" s="68" t="s">
        <v>461</v>
      </c>
    </row>
    <row r="56" spans="1:5">
      <c r="A56" s="68">
        <v>0.39033800000000002</v>
      </c>
      <c r="B56" s="68">
        <v>0.353939</v>
      </c>
      <c r="C56" s="68">
        <v>21.988900000000001</v>
      </c>
      <c r="D56" s="68">
        <v>2</v>
      </c>
      <c r="E56" s="68" t="s">
        <v>462</v>
      </c>
    </row>
    <row r="57" spans="1:5">
      <c r="A57" s="68">
        <v>0.39027699999999999</v>
      </c>
      <c r="B57" s="68">
        <v>0.35249399999999997</v>
      </c>
      <c r="C57" s="68">
        <v>22.395199999999999</v>
      </c>
      <c r="D57" s="68">
        <v>2</v>
      </c>
      <c r="E57" s="68" t="s">
        <v>463</v>
      </c>
    </row>
    <row r="58" spans="1:5">
      <c r="A58" s="68">
        <v>0.390266</v>
      </c>
      <c r="B58" s="68">
        <v>0.35109200000000002</v>
      </c>
      <c r="C58" s="68">
        <v>22.7989</v>
      </c>
      <c r="D58" s="68">
        <v>2</v>
      </c>
      <c r="E58" s="68" t="s">
        <v>464</v>
      </c>
    </row>
    <row r="59" spans="1:5">
      <c r="A59" s="68">
        <v>0.390463</v>
      </c>
      <c r="B59" s="68">
        <v>0.34918900000000003</v>
      </c>
      <c r="C59" s="68">
        <v>23.204699999999999</v>
      </c>
      <c r="D59" s="68">
        <v>2</v>
      </c>
      <c r="E59" s="68" t="s">
        <v>465</v>
      </c>
    </row>
    <row r="60" spans="1:5">
      <c r="A60" s="68">
        <v>0.39067000000000002</v>
      </c>
      <c r="B60" s="68">
        <v>0.34702699999999997</v>
      </c>
      <c r="C60" s="68">
        <v>23.618600000000001</v>
      </c>
      <c r="D60" s="68">
        <v>2</v>
      </c>
      <c r="E60" s="68" t="s">
        <v>466</v>
      </c>
    </row>
    <row r="61" spans="1:5">
      <c r="A61" s="68">
        <v>0.390901</v>
      </c>
      <c r="B61" s="68">
        <v>0.34440700000000002</v>
      </c>
      <c r="C61" s="68">
        <v>24.022600000000001</v>
      </c>
      <c r="D61" s="68">
        <v>2</v>
      </c>
      <c r="E61" s="68" t="s">
        <v>467</v>
      </c>
    </row>
    <row r="62" spans="1:5">
      <c r="A62" s="68">
        <v>0.39076</v>
      </c>
      <c r="B62" s="68">
        <v>0.34224599999999999</v>
      </c>
      <c r="C62" s="68">
        <v>24.4255</v>
      </c>
      <c r="D62" s="68">
        <v>2</v>
      </c>
      <c r="E62" s="68" t="s">
        <v>468</v>
      </c>
    </row>
    <row r="63" spans="1:5">
      <c r="A63" s="68">
        <v>0.390322</v>
      </c>
      <c r="B63" s="68">
        <v>0.34003299999999997</v>
      </c>
      <c r="C63" s="68">
        <v>24.831800000000001</v>
      </c>
      <c r="D63" s="68">
        <v>2</v>
      </c>
      <c r="E63" s="68" t="s">
        <v>469</v>
      </c>
    </row>
    <row r="64" spans="1:5">
      <c r="A64" s="68">
        <v>0.38966200000000001</v>
      </c>
      <c r="B64" s="68">
        <v>0.33759699999999998</v>
      </c>
      <c r="C64" s="68">
        <v>25.2392</v>
      </c>
      <c r="D64" s="68">
        <v>2</v>
      </c>
      <c r="E64" s="68" t="s">
        <v>470</v>
      </c>
    </row>
    <row r="65" spans="1:5">
      <c r="A65" s="68">
        <v>0.38889800000000002</v>
      </c>
      <c r="B65" s="68">
        <v>0.334895</v>
      </c>
      <c r="C65" s="68">
        <v>25.642399999999999</v>
      </c>
      <c r="D65" s="68">
        <v>2</v>
      </c>
      <c r="E65" s="68" t="s">
        <v>471</v>
      </c>
    </row>
    <row r="66" spans="1:5">
      <c r="A66" s="68">
        <v>0.38784400000000002</v>
      </c>
      <c r="B66" s="68">
        <v>0.33251599999999998</v>
      </c>
      <c r="C66" s="68">
        <v>26.048999999999999</v>
      </c>
      <c r="D66" s="68">
        <v>2</v>
      </c>
      <c r="E66" s="68" t="s">
        <v>472</v>
      </c>
    </row>
    <row r="67" spans="1:5">
      <c r="A67" s="68">
        <v>0.38642199999999999</v>
      </c>
      <c r="B67" s="68">
        <v>0.33009699999999997</v>
      </c>
      <c r="C67" s="68">
        <v>26.456900000000001</v>
      </c>
      <c r="D67" s="68">
        <v>2</v>
      </c>
      <c r="E67" s="68" t="s">
        <v>473</v>
      </c>
    </row>
    <row r="68" spans="1:5">
      <c r="A68" s="68">
        <v>0.383488</v>
      </c>
      <c r="B68" s="68">
        <v>0.32953500000000002</v>
      </c>
      <c r="C68" s="68">
        <v>26.863</v>
      </c>
      <c r="D68" s="68">
        <v>2</v>
      </c>
      <c r="E68" s="68" t="s">
        <v>474</v>
      </c>
    </row>
    <row r="69" spans="1:5">
      <c r="A69" s="68">
        <v>0.38019700000000001</v>
      </c>
      <c r="B69" s="68">
        <v>0.328513</v>
      </c>
      <c r="C69" s="68">
        <v>27.267700000000001</v>
      </c>
      <c r="D69" s="68">
        <v>2</v>
      </c>
      <c r="E69" s="68" t="s">
        <v>475</v>
      </c>
    </row>
    <row r="70" spans="1:5">
      <c r="A70" s="68">
        <v>0.377662</v>
      </c>
      <c r="B70" s="68">
        <v>0.32552799999999998</v>
      </c>
      <c r="C70" s="68">
        <v>27.676300000000001</v>
      </c>
      <c r="D70" s="68">
        <v>2</v>
      </c>
      <c r="E70" s="68" t="s">
        <v>476</v>
      </c>
    </row>
    <row r="71" spans="1:5">
      <c r="A71" s="68">
        <v>0.37406699999999998</v>
      </c>
      <c r="B71" s="68">
        <v>0.32457999999999998</v>
      </c>
      <c r="C71" s="68">
        <v>28.081499999999998</v>
      </c>
      <c r="D71" s="68">
        <v>2</v>
      </c>
      <c r="E71" s="68" t="s">
        <v>477</v>
      </c>
    </row>
    <row r="72" spans="1:5">
      <c r="A72" s="68">
        <v>0.370863</v>
      </c>
      <c r="B72" s="68">
        <v>0.32413999999999998</v>
      </c>
      <c r="C72" s="68">
        <v>28.490500000000001</v>
      </c>
      <c r="D72" s="68">
        <v>2</v>
      </c>
      <c r="E72" s="68" t="s">
        <v>478</v>
      </c>
    </row>
    <row r="73" spans="1:5">
      <c r="A73" s="68">
        <v>0.36920700000000001</v>
      </c>
      <c r="B73" s="68">
        <v>0.32130700000000001</v>
      </c>
      <c r="C73" s="68">
        <v>28.8964</v>
      </c>
      <c r="D73" s="68">
        <v>2</v>
      </c>
      <c r="E73" s="68" t="s">
        <v>479</v>
      </c>
    </row>
    <row r="74" spans="1:5">
      <c r="A74" s="68">
        <v>0.37028299999999997</v>
      </c>
      <c r="B74" s="68">
        <v>0.31790200000000002</v>
      </c>
      <c r="C74" s="68">
        <v>29.3003</v>
      </c>
      <c r="D74" s="68">
        <v>2</v>
      </c>
      <c r="E74" s="68" t="s">
        <v>480</v>
      </c>
    </row>
    <row r="75" spans="1:5">
      <c r="A75" s="68">
        <v>0.37032199999999998</v>
      </c>
      <c r="B75" s="68">
        <v>0.31918999999999997</v>
      </c>
      <c r="C75" s="68">
        <v>29.708500000000001</v>
      </c>
      <c r="D75" s="68">
        <v>2</v>
      </c>
      <c r="E75" s="68" t="s">
        <v>481</v>
      </c>
    </row>
    <row r="76" spans="1:5">
      <c r="A76" s="68"/>
      <c r="B76" s="68"/>
      <c r="C76" s="68"/>
      <c r="D76" s="68"/>
      <c r="E76" s="68"/>
    </row>
    <row r="77" spans="1:5">
      <c r="A77" s="68"/>
      <c r="B77" s="68"/>
      <c r="C77" s="68"/>
      <c r="D77" s="68"/>
      <c r="E77" s="68"/>
    </row>
    <row r="78" spans="1:5">
      <c r="A78" s="68"/>
      <c r="B78" s="68"/>
      <c r="C78" s="68"/>
      <c r="D78" s="68"/>
      <c r="E78" s="68"/>
    </row>
    <row r="79" spans="1:5">
      <c r="A79" s="68"/>
      <c r="B79" s="68"/>
      <c r="C79" s="68"/>
      <c r="D79" s="68"/>
      <c r="E79" s="68"/>
    </row>
    <row r="80" spans="1:5">
      <c r="A80" s="68"/>
      <c r="B80" s="68"/>
      <c r="C80" s="68"/>
      <c r="D80" s="68"/>
      <c r="E80" s="68"/>
    </row>
    <row r="81" spans="1:5">
      <c r="A81" s="68"/>
      <c r="B81" s="68"/>
      <c r="C81" s="68"/>
      <c r="D81" s="68"/>
      <c r="E81" s="68"/>
    </row>
    <row r="82" spans="1:5">
      <c r="A82" s="68"/>
      <c r="B82" s="68"/>
      <c r="C82" s="68"/>
      <c r="D82" s="68"/>
      <c r="E82" s="68"/>
    </row>
    <row r="83" spans="1:5">
      <c r="A83" s="68"/>
      <c r="B83" s="68"/>
      <c r="C83" s="68"/>
      <c r="D83" s="68"/>
      <c r="E83" s="68"/>
    </row>
    <row r="84" spans="1:5">
      <c r="A84" s="68"/>
      <c r="B84" s="68"/>
      <c r="C84" s="68"/>
      <c r="D84" s="68"/>
      <c r="E84" s="68"/>
    </row>
    <row r="85" spans="1:5">
      <c r="A85" s="68"/>
      <c r="B85" s="68"/>
      <c r="C85" s="68"/>
      <c r="D85" s="68"/>
      <c r="E85" s="68"/>
    </row>
    <row r="86" spans="1:5">
      <c r="A86" s="68"/>
      <c r="B86" s="68"/>
      <c r="C86" s="68"/>
      <c r="D86" s="68"/>
      <c r="E86" s="68"/>
    </row>
    <row r="87" spans="1:5">
      <c r="A87" s="68"/>
      <c r="B87" s="68"/>
      <c r="C87" s="68"/>
      <c r="D87" s="68"/>
      <c r="E87" s="68"/>
    </row>
    <row r="88" spans="1:5">
      <c r="A88" s="68"/>
      <c r="B88" s="68"/>
      <c r="C88" s="68"/>
      <c r="D88" s="68"/>
      <c r="E88" s="68"/>
    </row>
    <row r="89" spans="1:5">
      <c r="A89" s="68"/>
      <c r="B89" s="68"/>
      <c r="C89" s="68"/>
      <c r="D89" s="68"/>
      <c r="E89" s="68"/>
    </row>
    <row r="90" spans="1:5">
      <c r="A90" s="68"/>
      <c r="B90" s="68"/>
      <c r="C90" s="68"/>
      <c r="D90" s="68"/>
      <c r="E90" s="68"/>
    </row>
    <row r="91" spans="1:5">
      <c r="A91" s="68"/>
      <c r="B91" s="68"/>
      <c r="C91" s="68"/>
      <c r="D91" s="68"/>
      <c r="E91" s="68"/>
    </row>
    <row r="92" spans="1:5">
      <c r="A92" s="68"/>
      <c r="B92" s="68"/>
      <c r="C92" s="68"/>
      <c r="D92" s="68"/>
      <c r="E92" s="68"/>
    </row>
    <row r="93" spans="1:5">
      <c r="A93" s="68"/>
      <c r="B93" s="68"/>
      <c r="C93" s="68"/>
      <c r="D93" s="68"/>
      <c r="E93" s="68"/>
    </row>
    <row r="94" spans="1:5">
      <c r="A94" s="68"/>
      <c r="B94" s="68"/>
      <c r="C94" s="68"/>
      <c r="D94" s="68"/>
      <c r="E94" s="68"/>
    </row>
    <row r="95" spans="1:5">
      <c r="A95" s="68"/>
      <c r="B95" s="68"/>
      <c r="C95" s="68"/>
      <c r="D95" s="68"/>
      <c r="E95" s="68"/>
    </row>
    <row r="96" spans="1:5">
      <c r="A96" s="68"/>
      <c r="B96" s="68"/>
      <c r="C96" s="68"/>
      <c r="D96" s="68"/>
      <c r="E96" s="68"/>
    </row>
    <row r="97" spans="1:5">
      <c r="A97" s="68"/>
      <c r="B97" s="68"/>
      <c r="C97" s="68"/>
      <c r="D97" s="68"/>
      <c r="E97" s="68"/>
    </row>
    <row r="98" spans="1:5">
      <c r="A98" s="68"/>
      <c r="B98" s="68"/>
      <c r="C98" s="68"/>
      <c r="D98" s="68"/>
      <c r="E98" s="68"/>
    </row>
    <row r="99" spans="1:5">
      <c r="A99" s="68"/>
      <c r="B99" s="68"/>
      <c r="C99" s="68"/>
      <c r="D99" s="68"/>
      <c r="E99" s="68"/>
    </row>
    <row r="100" spans="1:5">
      <c r="A100" s="68"/>
      <c r="B100" s="68"/>
      <c r="C100" s="68"/>
      <c r="D100" s="68"/>
      <c r="E100" s="68"/>
    </row>
    <row r="101" spans="1:5">
      <c r="A101" s="68"/>
      <c r="B101" s="68"/>
      <c r="C101" s="68"/>
      <c r="D101" s="68"/>
      <c r="E101" s="68"/>
    </row>
    <row r="102" spans="1:5">
      <c r="A102" s="68"/>
      <c r="B102" s="68"/>
      <c r="C102" s="68"/>
      <c r="D102" s="68"/>
      <c r="E102" s="68"/>
    </row>
    <row r="103" spans="1:5">
      <c r="A103" s="68"/>
      <c r="B103" s="68"/>
      <c r="C103" s="68"/>
      <c r="D103" s="68"/>
      <c r="E103" s="68"/>
    </row>
    <row r="104" spans="1:5">
      <c r="A104" s="68"/>
      <c r="B104" s="68"/>
      <c r="C104" s="68"/>
      <c r="D104" s="68"/>
      <c r="E104" s="68"/>
    </row>
    <row r="105" spans="1:5">
      <c r="A105" s="68"/>
      <c r="B105" s="68"/>
      <c r="C105" s="68"/>
      <c r="D105" s="68"/>
      <c r="E105" s="68"/>
    </row>
    <row r="106" spans="1:5">
      <c r="A106" s="68"/>
      <c r="B106" s="68"/>
      <c r="C106" s="68"/>
      <c r="D106" s="68"/>
      <c r="E106" s="68"/>
    </row>
    <row r="107" spans="1:5">
      <c r="A107" s="68"/>
      <c r="B107" s="68"/>
      <c r="C107" s="68"/>
      <c r="D107" s="68"/>
      <c r="E107" s="68"/>
    </row>
    <row r="108" spans="1:5">
      <c r="A108" s="68"/>
      <c r="B108" s="68"/>
      <c r="C108" s="68"/>
      <c r="D108" s="68"/>
      <c r="E108" s="68"/>
    </row>
    <row r="109" spans="1:5">
      <c r="A109" s="68"/>
      <c r="B109" s="68"/>
      <c r="C109" s="68"/>
      <c r="D109" s="68"/>
      <c r="E109" s="68"/>
    </row>
    <row r="110" spans="1:5">
      <c r="A110" s="68"/>
      <c r="B110" s="68"/>
      <c r="C110" s="68"/>
      <c r="D110" s="68"/>
      <c r="E110" s="68"/>
    </row>
    <row r="111" spans="1:5">
      <c r="A111" s="68"/>
      <c r="B111" s="68"/>
      <c r="C111" s="68"/>
      <c r="D111" s="68"/>
      <c r="E111" s="68"/>
    </row>
    <row r="112" spans="1:5">
      <c r="A112" s="68"/>
      <c r="B112" s="68"/>
      <c r="C112" s="68"/>
      <c r="D112" s="68"/>
      <c r="E112" s="68"/>
    </row>
    <row r="113" spans="1:5">
      <c r="A113" s="68"/>
      <c r="B113" s="68"/>
      <c r="C113" s="68"/>
      <c r="D113" s="68"/>
      <c r="E113" s="68"/>
    </row>
    <row r="114" spans="1:5">
      <c r="A114" s="68"/>
      <c r="B114" s="68"/>
      <c r="C114" s="68"/>
      <c r="D114" s="68"/>
      <c r="E114" s="68"/>
    </row>
    <row r="115" spans="1:5">
      <c r="A115" s="68"/>
      <c r="B115" s="68"/>
      <c r="C115" s="68"/>
      <c r="D115" s="68"/>
      <c r="E115" s="68"/>
    </row>
    <row r="116" spans="1:5">
      <c r="A116" s="68"/>
      <c r="B116" s="68"/>
      <c r="C116" s="68"/>
      <c r="D116" s="68"/>
      <c r="E116" s="68"/>
    </row>
    <row r="117" spans="1:5">
      <c r="A117" s="68"/>
      <c r="B117" s="68"/>
      <c r="C117" s="68"/>
      <c r="D117" s="68"/>
      <c r="E117" s="68"/>
    </row>
    <row r="118" spans="1:5">
      <c r="A118" s="68"/>
      <c r="B118" s="68"/>
      <c r="C118" s="68"/>
      <c r="D118" s="68"/>
      <c r="E118" s="68"/>
    </row>
    <row r="119" spans="1:5">
      <c r="A119" s="68"/>
      <c r="B119" s="68"/>
      <c r="C119" s="68"/>
      <c r="D119" s="68"/>
      <c r="E119" s="68"/>
    </row>
    <row r="120" spans="1:5">
      <c r="A120" s="68"/>
      <c r="B120" s="68"/>
      <c r="C120" s="68"/>
      <c r="D120" s="68"/>
      <c r="E120" s="68"/>
    </row>
    <row r="121" spans="1:5">
      <c r="A121" s="68"/>
      <c r="B121" s="68"/>
      <c r="C121" s="68"/>
      <c r="D121" s="68"/>
      <c r="E121" s="68"/>
    </row>
    <row r="122" spans="1:5">
      <c r="A122" s="68"/>
      <c r="B122" s="68"/>
      <c r="C122" s="68"/>
      <c r="D122" s="68"/>
      <c r="E122" s="68"/>
    </row>
    <row r="123" spans="1:5">
      <c r="A123" s="68"/>
      <c r="B123" s="68"/>
      <c r="C123" s="68"/>
      <c r="D123" s="68"/>
      <c r="E123" s="68"/>
    </row>
    <row r="124" spans="1:5">
      <c r="A124" s="68"/>
      <c r="B124" s="68"/>
      <c r="C124" s="68"/>
      <c r="D124" s="68"/>
      <c r="E124" s="68"/>
    </row>
    <row r="125" spans="1:5">
      <c r="A125" s="68"/>
      <c r="B125" s="68"/>
      <c r="C125" s="68"/>
      <c r="D125" s="68"/>
      <c r="E125" s="68"/>
    </row>
    <row r="126" spans="1:5">
      <c r="A126" s="68"/>
      <c r="B126" s="68"/>
      <c r="C126" s="68"/>
      <c r="D126" s="68"/>
      <c r="E126" s="68"/>
    </row>
    <row r="127" spans="1:5">
      <c r="A127" s="68"/>
      <c r="B127" s="68"/>
      <c r="C127" s="68"/>
      <c r="D127" s="68"/>
      <c r="E127" s="68"/>
    </row>
    <row r="128" spans="1:5">
      <c r="A128" s="68"/>
      <c r="B128" s="68"/>
      <c r="C128" s="68"/>
      <c r="D128" s="68"/>
      <c r="E128" s="68"/>
    </row>
    <row r="129" spans="1:5">
      <c r="A129" s="68"/>
      <c r="B129" s="68"/>
      <c r="C129" s="68"/>
      <c r="D129" s="68"/>
      <c r="E129" s="68"/>
    </row>
    <row r="130" spans="1:5">
      <c r="A130" s="68"/>
      <c r="B130" s="68"/>
      <c r="C130" s="68"/>
      <c r="D130" s="68"/>
      <c r="E130" s="68"/>
    </row>
    <row r="131" spans="1:5">
      <c r="A131" s="68"/>
      <c r="B131" s="68"/>
      <c r="C131" s="68"/>
      <c r="D131" s="68"/>
      <c r="E131" s="68"/>
    </row>
    <row r="132" spans="1:5">
      <c r="A132" s="68"/>
      <c r="B132" s="68"/>
      <c r="C132" s="68"/>
      <c r="D132" s="68"/>
      <c r="E132" s="68"/>
    </row>
    <row r="133" spans="1:5">
      <c r="A133" s="68"/>
      <c r="B133" s="68"/>
      <c r="C133" s="68"/>
      <c r="D133" s="68"/>
      <c r="E133" s="68"/>
    </row>
    <row r="134" spans="1:5">
      <c r="A134" s="68"/>
      <c r="B134" s="68"/>
      <c r="C134" s="68"/>
      <c r="D134" s="68"/>
      <c r="E134" s="68"/>
    </row>
    <row r="135" spans="1:5">
      <c r="A135" s="68"/>
      <c r="B135" s="68"/>
      <c r="C135" s="68"/>
      <c r="D135" s="68"/>
      <c r="E135" s="68"/>
    </row>
    <row r="136" spans="1:5">
      <c r="A136" s="68"/>
      <c r="B136" s="68"/>
      <c r="C136" s="68"/>
      <c r="D136" s="68"/>
      <c r="E136" s="68"/>
    </row>
    <row r="137" spans="1:5">
      <c r="A137" s="68"/>
      <c r="B137" s="68"/>
      <c r="C137" s="68"/>
      <c r="D137" s="68"/>
      <c r="E137" s="68"/>
    </row>
    <row r="138" spans="1:5">
      <c r="A138" s="68"/>
      <c r="B138" s="68"/>
      <c r="C138" s="68"/>
      <c r="D138" s="68"/>
      <c r="E138" s="68"/>
    </row>
    <row r="139" spans="1:5">
      <c r="A139" s="68"/>
      <c r="B139" s="68"/>
      <c r="C139" s="68"/>
      <c r="D139" s="68"/>
      <c r="E139" s="68"/>
    </row>
    <row r="140" spans="1:5">
      <c r="A140" s="68"/>
      <c r="B140" s="68"/>
      <c r="C140" s="68"/>
      <c r="D140" s="68"/>
      <c r="E140" s="68"/>
    </row>
    <row r="141" spans="1:5">
      <c r="A141" s="68"/>
      <c r="B141" s="68"/>
      <c r="C141" s="68"/>
      <c r="D141" s="68"/>
      <c r="E141" s="68"/>
    </row>
    <row r="142" spans="1:5">
      <c r="A142" s="68"/>
      <c r="B142" s="68"/>
      <c r="C142" s="68"/>
      <c r="D142" s="68"/>
      <c r="E142" s="68"/>
    </row>
    <row r="143" spans="1:5">
      <c r="A143" s="68"/>
      <c r="B143" s="68"/>
      <c r="C143" s="68"/>
      <c r="D143" s="68"/>
      <c r="E143" s="68"/>
    </row>
    <row r="144" spans="1:5">
      <c r="A144" s="68"/>
      <c r="B144" s="68"/>
      <c r="C144" s="68"/>
      <c r="D144" s="68"/>
      <c r="E144" s="68"/>
    </row>
    <row r="145" spans="1:5">
      <c r="A145" s="68"/>
      <c r="B145" s="68"/>
      <c r="C145" s="68"/>
      <c r="D145" s="68"/>
      <c r="E145" s="68"/>
    </row>
    <row r="146" spans="1:5">
      <c r="A146" s="68"/>
      <c r="B146" s="68"/>
      <c r="C146" s="68"/>
      <c r="D146" s="68"/>
      <c r="E146" s="68"/>
    </row>
    <row r="147" spans="1:5">
      <c r="A147" s="68"/>
      <c r="B147" s="68"/>
      <c r="C147" s="68"/>
      <c r="D147" s="68"/>
      <c r="E147" s="68"/>
    </row>
    <row r="148" spans="1:5">
      <c r="A148" s="68"/>
      <c r="B148" s="68"/>
      <c r="C148" s="68"/>
      <c r="D148" s="68"/>
      <c r="E148" s="68"/>
    </row>
    <row r="149" spans="1:5">
      <c r="A149" s="68"/>
      <c r="B149" s="68"/>
      <c r="C149" s="68"/>
      <c r="D149" s="68"/>
      <c r="E149" s="68"/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482</v>
      </c>
      <c r="C1" s="66" t="s">
        <v>484</v>
      </c>
      <c r="D1" s="66" t="s">
        <v>485</v>
      </c>
      <c r="E1" s="66" t="s">
        <v>486</v>
      </c>
      <c r="F1" s="66" t="s">
        <v>348</v>
      </c>
      <c r="G1" s="66" t="s">
        <v>349</v>
      </c>
      <c r="H1" s="66" t="s">
        <v>487</v>
      </c>
      <c r="I1" s="66" t="s">
        <v>488</v>
      </c>
      <c r="J1" s="66" t="s">
        <v>489</v>
      </c>
      <c r="K1" s="66" t="s">
        <v>490</v>
      </c>
      <c r="L1" s="66" t="s">
        <v>491</v>
      </c>
      <c r="M1" s="66" t="s">
        <v>492</v>
      </c>
      <c r="N1" s="66"/>
    </row>
    <row r="2" spans="1:14">
      <c r="A2" s="75">
        <v>43607.462129629632</v>
      </c>
      <c r="B2" s="66" t="s">
        <v>483</v>
      </c>
      <c r="C2" s="66"/>
      <c r="D2" s="66"/>
      <c r="E2" s="66">
        <v>4.9234099999999996</v>
      </c>
      <c r="F2" s="66">
        <v>1.95459</v>
      </c>
      <c r="G2" s="66">
        <v>0.62380000000000002</v>
      </c>
      <c r="H2" s="66">
        <v>0</v>
      </c>
      <c r="I2" s="66">
        <v>53450</v>
      </c>
      <c r="J2" s="66">
        <v>98</v>
      </c>
      <c r="K2" s="66">
        <v>98</v>
      </c>
      <c r="L2" s="66">
        <v>0</v>
      </c>
      <c r="M2" s="66" t="s">
        <v>493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2019-05-22T03:06:05Z</cp:lastPrinted>
  <dcterms:created xsi:type="dcterms:W3CDTF">2010-10-29T12:53:05Z</dcterms:created>
  <dcterms:modified xsi:type="dcterms:W3CDTF">2019-05-22T03:06:17Z</dcterms:modified>
</cp:coreProperties>
</file>