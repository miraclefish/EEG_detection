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影像数据\山西检测数据（全）\双相\"/>
    </mc:Choice>
  </mc:AlternateContent>
  <bookViews>
    <workbookView xWindow="0" yWindow="0" windowWidth="28800" windowHeight="12435" activeTab="4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<sst xmlns="http://schemas.openxmlformats.org/spreadsheetml/2006/main" count="701" uniqueCount="573">
  <si>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</si>
  <si>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</si>
  <si>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</si>
  <si>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</si>
  <si>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</si>
  <si>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</si>
  <si>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</si>
  <si>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</si>
  <si>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</si>
  <si>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</si>
  <si>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</si>
  <si>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</si>
  <si>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</si>
  <si>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</si>
  <si>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</si>
  <si>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</si>
  <si>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</si>
  <si>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</si>
  <si>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</si>
  <si>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</si>
  <si>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</si>
  <si>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</si>
  <si>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</si>
  <si>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</si>
  <si>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</si>
  <si>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</si>
  <si>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</si>
  <si>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</si>
  <si>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</si>
  <si>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</si>
  <si>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</si>
  <si>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</si>
  <si>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</si>
  <si>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</si>
  <si>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</si>
  <si>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</si>
  <si>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</si>
  <si>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</si>
  <si>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</si>
  <si>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</si>
  <si>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</si>
  <si>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</si>
  <si>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</si>
  <si>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</si>
  <si>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</si>
  <si>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</si>
  <si>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</si>
  <si>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</si>
  <si>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</si>
  <si>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</si>
  <si>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</si>
  <si>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</si>
  <si>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</si>
  <si>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</si>
  <si>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</si>
  <si>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</si>
  <si>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</si>
  <si>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</si>
  <si>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</si>
  <si>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</si>
  <si>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</si>
  <si>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</si>
  <si>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</si>
  <si>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</si>
  <si>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</si>
  <si>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</si>
  <si>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</si>
  <si>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</si>
  <si>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</si>
  <si>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</si>
  <si>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</si>
  <si>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</si>
  <si>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</si>
  <si>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</si>
  <si>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</si>
  <si>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</si>
  <si>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</si>
  <si>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</si>
  <si>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</si>
  <si>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</si>
  <si>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</si>
  <si>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</si>
  <si>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</si>
  <si>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</si>
  <si>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</si>
  <si>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</si>
  <si>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</si>
  <si>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</si>
  <si>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</si>
  <si>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</si>
  <si>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</si>
  <si>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</si>
  <si>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</si>
  <si>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</si>
  <si>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</si>
  <si>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</si>
  <si>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</si>
  <si>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</si>
  <si>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</si>
  <si>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</si>
  <si>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</si>
  <si>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</si>
  <si>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</si>
  <si>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</si>
  <si>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</si>
  <si>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</si>
  <si>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</si>
  <si>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</si>
  <si>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</si>
  <si>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</si>
  <si>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</si>
  <si>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</si>
  <si>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</si>
  <si>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</si>
  <si>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</si>
  <si>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</si>
  <si>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</si>
  <si>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</si>
  <si>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</si>
  <si>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</si>
  <si>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</si>
  <si>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</si>
  <si>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</si>
  <si>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</si>
  <si>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</si>
  <si>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</si>
  <si>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</si>
  <si>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</si>
  <si>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</si>
  <si>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</si>
  <si>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</si>
  <si>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</si>
  <si>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</si>
  <si>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</si>
  <si>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</si>
  <si>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</si>
  <si>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</si>
  <si>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</si>
  <si>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</si>
  <si>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</si>
  <si>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</si>
  <si>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</si>
  <si>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</si>
  <si>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</si>
  <si>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</si>
  <si>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</si>
  <si>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</si>
  <si>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</si>
  <si>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</si>
  <si>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</si>
  <si>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</si>
  <si>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</si>
  <si>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</si>
  <si>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</si>
  <si>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</si>
  <si>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</si>
  <si>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</si>
  <si>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</si>
  <si>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</si>
  <si>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</si>
  <si>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</si>
  <si>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</si>
  <si>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</si>
  <si>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</si>
  <si>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</si>
  <si>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</si>
  <si>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</si>
  <si>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</si>
  <si>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</si>
  <si>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</si>
  <si>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</si>
  <si>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</si>
  <si>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</si>
  <si>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</si>
  <si>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</si>
  <si>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</si>
  <si>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</si>
  <si>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</si>
  <si>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</si>
  <si>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</si>
  <si>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</si>
  <si>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</si>
  <si>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</si>
  <si>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</si>
  <si>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</si>
  <si>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</si>
  <si>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</si>
  <si>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</si>
  <si>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</si>
  <si>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</si>
  <si>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</si>
  <si>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</si>
  <si>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</si>
  <si>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</si>
  <si>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</si>
  <si>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</si>
  <si>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</si>
  <si>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</si>
  <si>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</si>
  <si>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</si>
  <si>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</si>
  <si>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</si>
  <si>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</si>
  <si>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</si>
  <si>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</si>
  <si>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</si>
  <si>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</si>
  <si>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</si>
  <si>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</si>
  <si>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</si>
  <si>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</si>
  <si>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</si>
  <si>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</si>
  <si>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</si>
  <si>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</si>
  <si>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</si>
  <si>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</si>
  <si>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</si>
  <si>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</si>
  <si>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</si>
  <si>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</si>
  <si>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</si>
  <si>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</si>
  <si>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</si>
  <si>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</si>
  <si>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</si>
  <si>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</si>
  <si>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</si>
  <si>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</si>
  <si>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</si>
  <si>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</si>
  <si>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</si>
  <si>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</si>
  <si>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</si>
  <si>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</si>
  <si>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</si>
  <si>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</si>
  <si>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</si>
  <si>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</si>
  <si>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</si>
  <si>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</si>
  <si>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</si>
  <si>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</si>
  <si>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</si>
  <si>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</si>
  <si>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</si>
  <si>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</si>
  <si>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</si>
  <si>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</si>
  <si>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</si>
  <si>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</si>
  <si>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</si>
  <si>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</si>
  <si>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</si>
  <si>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</si>
  <si>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</si>
  <si>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</si>
  <si>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</si>
  <si>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</si>
  <si>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</si>
  <si>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</si>
  <si>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</si>
  <si>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</si>
  <si>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</si>
  <si>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</si>
  <si>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</si>
  <si>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</si>
  <si>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</si>
  <si>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</si>
  <si>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</si>
  <si>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</si>
  <si>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</si>
  <si>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</si>
  <si>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</si>
  <si>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</si>
  <si>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</si>
  <si>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</si>
  <si>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</si>
  <si>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</si>
  <si>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</si>
  <si>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</si>
  <si>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</si>
  <si>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</si>
  <si>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</si>
  <si>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</si>
  <si>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</si>
  <si>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</si>
  <si>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</si>
  <si>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</si>
  <si>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</si>
  <si>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</si>
  <si>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</si>
  <si>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</si>
  <si>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</si>
  <si>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</si>
  <si>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</si>
  <si>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</si>
  <si>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</si>
  <si>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</si>
  <si>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</si>
  <si>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</si>
  <si>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</si>
  <si>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</si>
  <si>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</si>
  <si>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</si>
  <si>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</si>
  <si>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</si>
  <si>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</si>
  <si>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</si>
  <si>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</si>
  <si>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</si>
  <si>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</si>
  <si>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</si>
  <si>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</si>
  <si>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</si>
  <si>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</si>
  <si>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</si>
  <si>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</si>
  <si>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</si>
  <si>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</si>
  <si>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</si>
  <si>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</si>
  <si>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</si>
  <si>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</si>
  <si>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</si>
  <si>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</si>
  <si>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</si>
  <si>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</si>
  <si>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</si>
  <si>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</si>
  <si>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</si>
  <si>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</si>
  <si>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</si>
  <si>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</si>
  <si>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</si>
  <si>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</si>
  <si>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</si>
  <si>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</si>
  <si>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</si>
  <si>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</si>
  <si>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</si>
  <si>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</si>
  <si>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</si>
  <si>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</si>
  <si>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</si>
  <si>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</si>
  <si>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</si>
  <si>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</si>
  <si>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</si>
  <si>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</si>
  <si>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</si>
  <si>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</si>
  <si>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</si>
  <si>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</si>
  <si>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</si>
  <si>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</si>
  <si>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</si>
  <si>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</si>
  <si>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</si>
  <si>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</si>
  <si>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</si>
  <si>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</si>
  <si>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</si>
  <si>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</si>
  <si>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</si>
  <si>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</si>
  <si>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</si>
  <si>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</si>
  <si>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</si>
  <si>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</si>
  <si>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</si>
  <si>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</si>
  <si>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</si>
  <si>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</si>
  <si>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</si>
  <si>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</si>
  <si>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</si>
  <si>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</si>
  <si>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</si>
  <si>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</si>
  <si>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</si>
  <si>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</si>
  <si>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</si>
  <si>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</si>
  <si>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</si>
  <si>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</si>
  <si>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</si>
  <si>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</si>
  <si>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</si>
  <si>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</si>
  <si>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</si>
  <si>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</si>
  <si>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</si>
  <si>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</si>
  <si>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</si>
  <si>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</si>
  <si>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</si>
  <si>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</si>
  <si>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</si>
  <si>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</si>
  <si>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</si>
  <si>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</si>
  <si>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</si>
  <si>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</si>
  <si>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</si>
  <si>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</si>
  <si>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</si>
  <si>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</si>
  <si>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</si>
  <si>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[0.403883]</t>
  </si>
  <si>
    <t>1 [0.811816]</t>
  </si>
  <si>
    <t>1 [1.216935]</t>
  </si>
  <si>
    <t>1 [1.625629]</t>
  </si>
  <si>
    <t>1 [2.029561]</t>
  </si>
  <si>
    <t>1 [2.433545]</t>
  </si>
  <si>
    <t>1 [2.841445]</t>
  </si>
  <si>
    <t>1 [3.243555]</t>
  </si>
  <si>
    <t>1 [3.651280]</t>
  </si>
  <si>
    <t>1 [4.060347]</t>
  </si>
  <si>
    <t>1 [4.467107]</t>
  </si>
  <si>
    <t>1 [4.871951]</t>
  </si>
  <si>
    <t>1 [5.275799]</t>
  </si>
  <si>
    <t>1 [5.681062]</t>
  </si>
  <si>
    <t>1 [6.092928]</t>
  </si>
  <si>
    <t>1 [6.498545]</t>
  </si>
  <si>
    <t>1 [6.904443]</t>
  </si>
  <si>
    <t>1 [7.307417]</t>
  </si>
  <si>
    <t>1 [7.714426]</t>
  </si>
  <si>
    <t>1 [8.123213]</t>
  </si>
  <si>
    <t>1 [8.526343]</t>
  </si>
  <si>
    <t>1 [8.935048]</t>
  </si>
  <si>
    <t>1 [9.341089]</t>
  </si>
  <si>
    <t>1 [9.745980]</t>
  </si>
  <si>
    <t>1 [10.155816]</t>
  </si>
  <si>
    <t>1 [10.562762]</t>
  </si>
  <si>
    <t>1 [10.967719]</t>
  </si>
  <si>
    <t>1 [11.369592]</t>
  </si>
  <si>
    <t>1 [11.782468]</t>
  </si>
  <si>
    <t>1 [12.182430]</t>
  </si>
  <si>
    <t>1 [12.593524]</t>
  </si>
  <si>
    <t>1 [12.996208]</t>
  </si>
  <si>
    <t>1 [13.403102]</t>
  </si>
  <si>
    <t>1 [13.813003]</t>
  </si>
  <si>
    <t>1 [14.213330]</t>
  </si>
  <si>
    <t>1 [14.622873]</t>
  </si>
  <si>
    <t>1 [15.031771]</t>
  </si>
  <si>
    <t>1 [15.432711]</t>
  </si>
  <si>
    <t>1 [15.841767]</t>
  </si>
  <si>
    <t>1 [16.250512]</t>
  </si>
  <si>
    <t>1 [16.654460]</t>
  </si>
  <si>
    <t>1 [17.060938]</t>
  </si>
  <si>
    <t>1 [17.466191]</t>
  </si>
  <si>
    <t>1 [17.873351]</t>
  </si>
  <si>
    <t>1 [18.276259]</t>
  </si>
  <si>
    <t>1 [18.686056]</t>
  </si>
  <si>
    <t>1 [19.090910]</t>
  </si>
  <si>
    <t>1 [19.496917]</t>
  </si>
  <si>
    <t>1 [19.904808]</t>
  </si>
  <si>
    <t>1 [20.309946]</t>
  </si>
  <si>
    <t>1 [20.717553]</t>
  </si>
  <si>
    <t>1 [21.124472]</t>
  </si>
  <si>
    <t>1 [21.529474]</t>
  </si>
  <si>
    <t>1 [21.933921]</t>
  </si>
  <si>
    <t>1 [22.344351]</t>
  </si>
  <si>
    <t>1 [22.750122]</t>
  </si>
  <si>
    <t>1 [23.156098]</t>
  </si>
  <si>
    <t>1 [23.560963]</t>
  </si>
  <si>
    <t>1 [23.961996]</t>
  </si>
  <si>
    <t>1 [24.371867]</t>
  </si>
  <si>
    <t>1 [24.778675]</t>
  </si>
  <si>
    <t>1 [25.184739]</t>
  </si>
  <si>
    <t>1 [25.592576]</t>
  </si>
  <si>
    <t>1 [26.001406]</t>
  </si>
  <si>
    <t>1 [26.403110]</t>
  </si>
  <si>
    <t>1 [26.809016]</t>
  </si>
  <si>
    <t>1 [27.213029]</t>
  </si>
  <si>
    <t>1 [27.623900]</t>
  </si>
  <si>
    <t>1 [28.029257]</t>
  </si>
  <si>
    <t>1 [28.434977]</t>
  </si>
  <si>
    <t>1 [28.836592]</t>
  </si>
  <si>
    <t>1 [29.247053]</t>
  </si>
  <si>
    <t>1 [29.657738]</t>
  </si>
  <si>
    <t>2 [30.062594]</t>
  </si>
  <si>
    <t>2 [30.564246]</t>
  </si>
  <si>
    <t>2 [30.936252]</t>
  </si>
  <si>
    <t>2 [31.330198]</t>
  </si>
  <si>
    <t>2 [31.733072]</t>
  </si>
  <si>
    <t>2 [32.139087]</t>
  </si>
  <si>
    <t>2 [32.550949]</t>
  </si>
  <si>
    <t>2 [32.948863]</t>
  </si>
  <si>
    <t>2 [33.357905]</t>
  </si>
  <si>
    <t>2 [33.761802]</t>
  </si>
  <si>
    <t>2 [34.169547]</t>
  </si>
  <si>
    <t>2 [34.573752]</t>
  </si>
  <si>
    <t>2 [34.979466]</t>
  </si>
  <si>
    <t>2 [35.387623]</t>
  </si>
  <si>
    <t>2 [35.796233]</t>
  </si>
  <si>
    <t>2 [36.197544]</t>
  </si>
  <si>
    <t>2 [36.603400]</t>
  </si>
  <si>
    <t>2 [37.014110]</t>
  </si>
  <si>
    <t>2 [37.417930]</t>
  </si>
  <si>
    <t>2 [37.826135]</t>
  </si>
  <si>
    <t>2 [38.231768]</t>
  </si>
  <si>
    <t>2 [38.636643]</t>
  </si>
  <si>
    <t>2 [39.046637]</t>
  </si>
  <si>
    <t>2 [39.453509]</t>
  </si>
  <si>
    <t>2 [39.858412]</t>
  </si>
  <si>
    <t>2 [40.263340]</t>
  </si>
  <si>
    <t>2 [40.672511]</t>
  </si>
  <si>
    <t>2 [41.078108]</t>
  </si>
  <si>
    <t>2 [41.485261]</t>
  </si>
  <si>
    <t>2 [41.889983]</t>
  </si>
  <si>
    <t>2 [42.296956]</t>
  </si>
  <si>
    <t>2 [42.698761]</t>
  </si>
  <si>
    <t>2 [43.107716]</t>
  </si>
  <si>
    <t>2 [43.514586]</t>
  </si>
  <si>
    <t>2 [43.916529]</t>
  </si>
  <si>
    <t>2 [44.326794]</t>
  </si>
  <si>
    <t>2 [44.731334]</t>
  </si>
  <si>
    <t>2 [45.134340]</t>
  </si>
  <si>
    <t>2 [45.545365]</t>
  </si>
  <si>
    <t>2 [45.951144]</t>
  </si>
  <si>
    <t>2 [46.357131]</t>
  </si>
  <si>
    <t>2 [46.760004]</t>
  </si>
  <si>
    <t>2 [47.167977]</t>
  </si>
  <si>
    <t>2 [47.574751]</t>
  </si>
  <si>
    <t>2 [47.980660]</t>
  </si>
  <si>
    <t>2 [48.387579]</t>
  </si>
  <si>
    <t>2 [48.795473]</t>
  </si>
  <si>
    <t>2 [49.197557]</t>
  </si>
  <si>
    <t>2 [49.607501]</t>
  </si>
  <si>
    <t>2 [50.012225]</t>
  </si>
  <si>
    <t>2 [50.421164]</t>
  </si>
  <si>
    <t>2 [50.826260]</t>
  </si>
  <si>
    <t>2 [51.232926]</t>
  </si>
  <si>
    <t>2 [51.638853]</t>
  </si>
  <si>
    <t>2 [52.042967]</t>
  </si>
  <si>
    <t>2 [52.448176]</t>
  </si>
  <si>
    <t>2 [52.859940]</t>
  </si>
  <si>
    <t>2 [53.263595]</t>
  </si>
  <si>
    <t>2 [53.667454]</t>
  </si>
  <si>
    <t>2 [54.073374]</t>
  </si>
  <si>
    <t>2 [54.483314]</t>
  </si>
  <si>
    <t>2 [54.891179]</t>
  </si>
  <si>
    <t>2 [55.296106]</t>
  </si>
  <si>
    <t>2 [55.702977]</t>
  </si>
  <si>
    <t>2 [56.104002]</t>
  </si>
  <si>
    <t>2 [56.512949]</t>
  </si>
  <si>
    <t>2 [56.920782]</t>
  </si>
  <si>
    <t>2 [57.327702]</t>
  </si>
  <si>
    <t>2 [57.732560]</t>
  </si>
  <si>
    <t>2 [58.135504]</t>
  </si>
  <si>
    <t>2 [58.547661]</t>
  </si>
  <si>
    <t>2 [58.952337]</t>
  </si>
  <si>
    <t>2 [59.361693]</t>
  </si>
  <si>
    <t>2 [59.765274]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</si>
  <si>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</si>
  <si>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</si>
  <si>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</si>
  <si>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</si>
  <si>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</si>
  <si>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</si>
  <si>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</si>
  <si>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</si>
  <si>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</si>
  <si>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</si>
  <si>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</si>
  <si>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</si>
  <si>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</si>
  <si>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</si>
  <si>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</si>
  <si>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</si>
  <si>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贾智伟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</si>
</sst>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11" fontId="0" fillId="0" borderId="0" xfId="0" quotePrefix="1" applyNumberFormat="1">
      <alignment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34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3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36" xfId="0" applyFont="1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0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56.157499999999999</c:v>
                </c:pt>
                <c:pt idx="1">
                  <c:v>18.383900000000001</c:v>
                </c:pt>
                <c:pt idx="2">
                  <c:v>24.151399999999999</c:v>
                </c:pt>
                <c:pt idx="3">
                  <c:v>32.195999999999998</c:v>
                </c:pt>
                <c:pt idx="4">
                  <c:v>39.386099999999999</c:v>
                </c:pt>
                <c:pt idx="5">
                  <c:v>84.709000000000003</c:v>
                </c:pt>
                <c:pt idx="6">
                  <c:v>30.816400000000002</c:v>
                </c:pt>
                <c:pt idx="7">
                  <c:v>61.5548</c:v>
                </c:pt>
                <c:pt idx="8">
                  <c:v>14.3535</c:v>
                </c:pt>
                <c:pt idx="9">
                  <c:v>23.097200000000001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0.5126417236916424</c:v>
                </c:pt>
                <c:pt idx="1">
                  <c:v>0.30997462442851681</c:v>
                </c:pt>
                <c:pt idx="2">
                  <c:v>0.17738365187984081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511</c:v>
                </c:pt>
                <c:pt idx="7">
                  <c:v>0</c:v>
                </c:pt>
                <c:pt idx="8">
                  <c:v>501</c:v>
                </c:pt>
                <c:pt idx="9">
                  <c:v>0</c:v>
                </c:pt>
                <c:pt idx="10">
                  <c:v>0</c:v>
                </c:pt>
                <c:pt idx="11">
                  <c:v>697</c:v>
                </c:pt>
                <c:pt idx="12">
                  <c:v>0</c:v>
                </c:pt>
                <c:pt idx="13">
                  <c:v>1350</c:v>
                </c:pt>
                <c:pt idx="14">
                  <c:v>0</c:v>
                </c:pt>
                <c:pt idx="15">
                  <c:v>0</c:v>
                </c:pt>
                <c:pt idx="16">
                  <c:v>3834</c:v>
                </c:pt>
                <c:pt idx="17">
                  <c:v>0</c:v>
                </c:pt>
                <c:pt idx="18">
                  <c:v>0</c:v>
                </c:pt>
                <c:pt idx="19">
                  <c:v>5732</c:v>
                </c:pt>
                <c:pt idx="20">
                  <c:v>0</c:v>
                </c:pt>
                <c:pt idx="21">
                  <c:v>7295</c:v>
                </c:pt>
                <c:pt idx="22">
                  <c:v>0</c:v>
                </c:pt>
                <c:pt idx="23">
                  <c:v>0</c:v>
                </c:pt>
                <c:pt idx="24">
                  <c:v>14031</c:v>
                </c:pt>
                <c:pt idx="25">
                  <c:v>0</c:v>
                </c:pt>
                <c:pt idx="26">
                  <c:v>20963</c:v>
                </c:pt>
                <c:pt idx="27">
                  <c:v>0</c:v>
                </c:pt>
                <c:pt idx="28">
                  <c:v>0</c:v>
                </c:pt>
                <c:pt idx="29">
                  <c:v>29536</c:v>
                </c:pt>
                <c:pt idx="30">
                  <c:v>0</c:v>
                </c:pt>
                <c:pt idx="31">
                  <c:v>38334</c:v>
                </c:pt>
                <c:pt idx="32">
                  <c:v>0</c:v>
                </c:pt>
                <c:pt idx="33">
                  <c:v>0</c:v>
                </c:pt>
                <c:pt idx="34">
                  <c:v>47498</c:v>
                </c:pt>
                <c:pt idx="35">
                  <c:v>0</c:v>
                </c:pt>
                <c:pt idx="36">
                  <c:v>0</c:v>
                </c:pt>
                <c:pt idx="37">
                  <c:v>62678</c:v>
                </c:pt>
                <c:pt idx="38">
                  <c:v>0</c:v>
                </c:pt>
                <c:pt idx="39">
                  <c:v>79430</c:v>
                </c:pt>
                <c:pt idx="40">
                  <c:v>0</c:v>
                </c:pt>
                <c:pt idx="41">
                  <c:v>0</c:v>
                </c:pt>
                <c:pt idx="42">
                  <c:v>93428</c:v>
                </c:pt>
                <c:pt idx="43">
                  <c:v>0</c:v>
                </c:pt>
                <c:pt idx="44">
                  <c:v>95658</c:v>
                </c:pt>
                <c:pt idx="45">
                  <c:v>0</c:v>
                </c:pt>
                <c:pt idx="46">
                  <c:v>0</c:v>
                </c:pt>
                <c:pt idx="47">
                  <c:v>111806</c:v>
                </c:pt>
                <c:pt idx="48">
                  <c:v>0</c:v>
                </c:pt>
                <c:pt idx="49">
                  <c:v>130767</c:v>
                </c:pt>
                <c:pt idx="50">
                  <c:v>0</c:v>
                </c:pt>
                <c:pt idx="51">
                  <c:v>0</c:v>
                </c:pt>
                <c:pt idx="52">
                  <c:v>160612</c:v>
                </c:pt>
                <c:pt idx="53">
                  <c:v>0</c:v>
                </c:pt>
                <c:pt idx="54">
                  <c:v>0</c:v>
                </c:pt>
                <c:pt idx="55">
                  <c:v>162714</c:v>
                </c:pt>
                <c:pt idx="56">
                  <c:v>0</c:v>
                </c:pt>
                <c:pt idx="57">
                  <c:v>176130</c:v>
                </c:pt>
                <c:pt idx="58">
                  <c:v>0</c:v>
                </c:pt>
                <c:pt idx="59">
                  <c:v>0</c:v>
                </c:pt>
                <c:pt idx="60">
                  <c:v>184667</c:v>
                </c:pt>
                <c:pt idx="61">
                  <c:v>0</c:v>
                </c:pt>
                <c:pt idx="62">
                  <c:v>203668</c:v>
                </c:pt>
                <c:pt idx="63">
                  <c:v>0</c:v>
                </c:pt>
                <c:pt idx="64">
                  <c:v>0</c:v>
                </c:pt>
                <c:pt idx="65">
                  <c:v>195507</c:v>
                </c:pt>
                <c:pt idx="66">
                  <c:v>0</c:v>
                </c:pt>
                <c:pt idx="67">
                  <c:v>209012</c:v>
                </c:pt>
                <c:pt idx="68">
                  <c:v>0</c:v>
                </c:pt>
                <c:pt idx="69">
                  <c:v>0</c:v>
                </c:pt>
                <c:pt idx="70">
                  <c:v>225435</c:v>
                </c:pt>
                <c:pt idx="71">
                  <c:v>0</c:v>
                </c:pt>
                <c:pt idx="72">
                  <c:v>0</c:v>
                </c:pt>
                <c:pt idx="73">
                  <c:v>247459</c:v>
                </c:pt>
                <c:pt idx="74">
                  <c:v>0</c:v>
                </c:pt>
                <c:pt idx="75">
                  <c:v>259791</c:v>
                </c:pt>
                <c:pt idx="76">
                  <c:v>0</c:v>
                </c:pt>
                <c:pt idx="77">
                  <c:v>0</c:v>
                </c:pt>
                <c:pt idx="78">
                  <c:v>259382</c:v>
                </c:pt>
                <c:pt idx="79">
                  <c:v>0</c:v>
                </c:pt>
                <c:pt idx="80">
                  <c:v>257338</c:v>
                </c:pt>
                <c:pt idx="81">
                  <c:v>0</c:v>
                </c:pt>
                <c:pt idx="82">
                  <c:v>0</c:v>
                </c:pt>
                <c:pt idx="83">
                  <c:v>274425</c:v>
                </c:pt>
                <c:pt idx="84">
                  <c:v>0</c:v>
                </c:pt>
                <c:pt idx="85">
                  <c:v>0</c:v>
                </c:pt>
                <c:pt idx="86">
                  <c:v>274714</c:v>
                </c:pt>
                <c:pt idx="87">
                  <c:v>0</c:v>
                </c:pt>
                <c:pt idx="88">
                  <c:v>273234</c:v>
                </c:pt>
                <c:pt idx="89">
                  <c:v>0</c:v>
                </c:pt>
                <c:pt idx="90">
                  <c:v>0</c:v>
                </c:pt>
                <c:pt idx="91">
                  <c:v>301598</c:v>
                </c:pt>
                <c:pt idx="92">
                  <c:v>0</c:v>
                </c:pt>
                <c:pt idx="93">
                  <c:v>290934</c:v>
                </c:pt>
                <c:pt idx="94">
                  <c:v>0</c:v>
                </c:pt>
                <c:pt idx="95">
                  <c:v>0</c:v>
                </c:pt>
                <c:pt idx="96">
                  <c:v>293529</c:v>
                </c:pt>
                <c:pt idx="97">
                  <c:v>0</c:v>
                </c:pt>
                <c:pt idx="98">
                  <c:v>294893</c:v>
                </c:pt>
                <c:pt idx="99">
                  <c:v>0</c:v>
                </c:pt>
                <c:pt idx="100">
                  <c:v>0</c:v>
                </c:pt>
                <c:pt idx="101">
                  <c:v>265473</c:v>
                </c:pt>
                <c:pt idx="102">
                  <c:v>0</c:v>
                </c:pt>
                <c:pt idx="103">
                  <c:v>0</c:v>
                </c:pt>
                <c:pt idx="104">
                  <c:v>247032</c:v>
                </c:pt>
                <c:pt idx="105">
                  <c:v>0</c:v>
                </c:pt>
                <c:pt idx="106">
                  <c:v>235769</c:v>
                </c:pt>
                <c:pt idx="107">
                  <c:v>0</c:v>
                </c:pt>
                <c:pt idx="108">
                  <c:v>0</c:v>
                </c:pt>
                <c:pt idx="109">
                  <c:v>246467</c:v>
                </c:pt>
                <c:pt idx="110">
                  <c:v>0</c:v>
                </c:pt>
                <c:pt idx="111">
                  <c:v>229766</c:v>
                </c:pt>
                <c:pt idx="112">
                  <c:v>0</c:v>
                </c:pt>
                <c:pt idx="113">
                  <c:v>0</c:v>
                </c:pt>
                <c:pt idx="114">
                  <c:v>222142</c:v>
                </c:pt>
                <c:pt idx="115">
                  <c:v>0</c:v>
                </c:pt>
                <c:pt idx="116">
                  <c:v>234528</c:v>
                </c:pt>
                <c:pt idx="117">
                  <c:v>0</c:v>
                </c:pt>
                <c:pt idx="118">
                  <c:v>0</c:v>
                </c:pt>
                <c:pt idx="119">
                  <c:v>235313</c:v>
                </c:pt>
                <c:pt idx="120">
                  <c:v>0</c:v>
                </c:pt>
                <c:pt idx="121">
                  <c:v>0</c:v>
                </c:pt>
                <c:pt idx="122">
                  <c:v>246522</c:v>
                </c:pt>
                <c:pt idx="123">
                  <c:v>0</c:v>
                </c:pt>
                <c:pt idx="124">
                  <c:v>247970</c:v>
                </c:pt>
                <c:pt idx="125">
                  <c:v>0</c:v>
                </c:pt>
                <c:pt idx="126">
                  <c:v>0</c:v>
                </c:pt>
                <c:pt idx="127">
                  <c:v>247221</c:v>
                </c:pt>
                <c:pt idx="128">
                  <c:v>0</c:v>
                </c:pt>
                <c:pt idx="129">
                  <c:v>242994</c:v>
                </c:pt>
                <c:pt idx="130">
                  <c:v>0</c:v>
                </c:pt>
                <c:pt idx="131">
                  <c:v>0</c:v>
                </c:pt>
                <c:pt idx="132">
                  <c:v>233010</c:v>
                </c:pt>
                <c:pt idx="133">
                  <c:v>0</c:v>
                </c:pt>
                <c:pt idx="134">
                  <c:v>235920</c:v>
                </c:pt>
                <c:pt idx="135">
                  <c:v>0</c:v>
                </c:pt>
                <c:pt idx="136">
                  <c:v>0</c:v>
                </c:pt>
                <c:pt idx="137">
                  <c:v>228453</c:v>
                </c:pt>
                <c:pt idx="138">
                  <c:v>0</c:v>
                </c:pt>
                <c:pt idx="139">
                  <c:v>0</c:v>
                </c:pt>
                <c:pt idx="140">
                  <c:v>229703</c:v>
                </c:pt>
                <c:pt idx="141">
                  <c:v>0</c:v>
                </c:pt>
                <c:pt idx="142">
                  <c:v>250580</c:v>
                </c:pt>
                <c:pt idx="143">
                  <c:v>0</c:v>
                </c:pt>
                <c:pt idx="144">
                  <c:v>0</c:v>
                </c:pt>
                <c:pt idx="145">
                  <c:v>282715</c:v>
                </c:pt>
                <c:pt idx="146">
                  <c:v>0</c:v>
                </c:pt>
                <c:pt idx="147">
                  <c:v>317470</c:v>
                </c:pt>
                <c:pt idx="148">
                  <c:v>0</c:v>
                </c:pt>
                <c:pt idx="149">
                  <c:v>0</c:v>
                </c:pt>
                <c:pt idx="150">
                  <c:v>326338</c:v>
                </c:pt>
                <c:pt idx="151">
                  <c:v>0</c:v>
                </c:pt>
                <c:pt idx="152">
                  <c:v>334685</c:v>
                </c:pt>
                <c:pt idx="153">
                  <c:v>0</c:v>
                </c:pt>
                <c:pt idx="154">
                  <c:v>0</c:v>
                </c:pt>
                <c:pt idx="155">
                  <c:v>320088</c:v>
                </c:pt>
                <c:pt idx="156">
                  <c:v>0</c:v>
                </c:pt>
                <c:pt idx="157">
                  <c:v>0</c:v>
                </c:pt>
                <c:pt idx="158">
                  <c:v>322351</c:v>
                </c:pt>
                <c:pt idx="159">
                  <c:v>0</c:v>
                </c:pt>
                <c:pt idx="160">
                  <c:v>316264</c:v>
                </c:pt>
                <c:pt idx="161">
                  <c:v>0</c:v>
                </c:pt>
                <c:pt idx="162">
                  <c:v>0</c:v>
                </c:pt>
                <c:pt idx="163">
                  <c:v>338803</c:v>
                </c:pt>
                <c:pt idx="164">
                  <c:v>0</c:v>
                </c:pt>
                <c:pt idx="165">
                  <c:v>311407</c:v>
                </c:pt>
                <c:pt idx="166">
                  <c:v>0</c:v>
                </c:pt>
                <c:pt idx="167">
                  <c:v>0</c:v>
                </c:pt>
                <c:pt idx="168">
                  <c:v>251521</c:v>
                </c:pt>
                <c:pt idx="169">
                  <c:v>0</c:v>
                </c:pt>
                <c:pt idx="170">
                  <c:v>0</c:v>
                </c:pt>
                <c:pt idx="171">
                  <c:v>182988</c:v>
                </c:pt>
                <c:pt idx="172">
                  <c:v>0</c:v>
                </c:pt>
                <c:pt idx="173">
                  <c:v>129141</c:v>
                </c:pt>
                <c:pt idx="174">
                  <c:v>0</c:v>
                </c:pt>
                <c:pt idx="175">
                  <c:v>0</c:v>
                </c:pt>
                <c:pt idx="176">
                  <c:v>80280</c:v>
                </c:pt>
                <c:pt idx="177">
                  <c:v>0</c:v>
                </c:pt>
                <c:pt idx="178">
                  <c:v>45995</c:v>
                </c:pt>
                <c:pt idx="179">
                  <c:v>0</c:v>
                </c:pt>
                <c:pt idx="180">
                  <c:v>0</c:v>
                </c:pt>
                <c:pt idx="181">
                  <c:v>21446</c:v>
                </c:pt>
                <c:pt idx="182">
                  <c:v>0</c:v>
                </c:pt>
                <c:pt idx="183">
                  <c:v>15986</c:v>
                </c:pt>
                <c:pt idx="184">
                  <c:v>0</c:v>
                </c:pt>
                <c:pt idx="185">
                  <c:v>0</c:v>
                </c:pt>
                <c:pt idx="186">
                  <c:v>7074</c:v>
                </c:pt>
                <c:pt idx="187">
                  <c:v>0</c:v>
                </c:pt>
                <c:pt idx="188">
                  <c:v>0</c:v>
                </c:pt>
                <c:pt idx="189">
                  <c:v>3045</c:v>
                </c:pt>
                <c:pt idx="190">
                  <c:v>0</c:v>
                </c:pt>
                <c:pt idx="191">
                  <c:v>817</c:v>
                </c:pt>
                <c:pt idx="192">
                  <c:v>0</c:v>
                </c:pt>
                <c:pt idx="193">
                  <c:v>0</c:v>
                </c:pt>
                <c:pt idx="194">
                  <c:v>436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  <c:pt idx="74">
                  <c:v>4.5967599999999997</c:v>
                </c:pt>
                <c:pt idx="75">
                  <c:v>4.5984499999999997</c:v>
                </c:pt>
                <c:pt idx="76">
                  <c:v>4.6052400000000002</c:v>
                </c:pt>
                <c:pt idx="77">
                  <c:v>4.6179300000000003</c:v>
                </c:pt>
                <c:pt idx="78">
                  <c:v>4.6350199999999999</c:v>
                </c:pt>
                <c:pt idx="79">
                  <c:v>4.6568900000000006</c:v>
                </c:pt>
                <c:pt idx="80">
                  <c:v>4.6786399999999997</c:v>
                </c:pt>
                <c:pt idx="81">
                  <c:v>4.7027799999999997</c:v>
                </c:pt>
                <c:pt idx="82">
                  <c:v>4.7282200000000003</c:v>
                </c:pt>
                <c:pt idx="83">
                  <c:v>4.7533700000000003</c:v>
                </c:pt>
                <c:pt idx="84">
                  <c:v>4.7792300000000001</c:v>
                </c:pt>
                <c:pt idx="85">
                  <c:v>4.8067299999999999</c:v>
                </c:pt>
                <c:pt idx="86">
                  <c:v>4.8358299999999996</c:v>
                </c:pt>
                <c:pt idx="87">
                  <c:v>4.8623799999999999</c:v>
                </c:pt>
                <c:pt idx="88">
                  <c:v>4.8849999999999998</c:v>
                </c:pt>
                <c:pt idx="89">
                  <c:v>4.9049100000000001</c:v>
                </c:pt>
                <c:pt idx="90">
                  <c:v>4.9226399999999995</c:v>
                </c:pt>
                <c:pt idx="91">
                  <c:v>4.9375099999999996</c:v>
                </c:pt>
                <c:pt idx="92">
                  <c:v>4.94834</c:v>
                </c:pt>
                <c:pt idx="93">
                  <c:v>4.9553199999999995</c:v>
                </c:pt>
                <c:pt idx="94">
                  <c:v>4.9585400000000002</c:v>
                </c:pt>
                <c:pt idx="95">
                  <c:v>4.9603199999999994</c:v>
                </c:pt>
                <c:pt idx="96">
                  <c:v>4.9594100000000001</c:v>
                </c:pt>
                <c:pt idx="97">
                  <c:v>4.9547499999999998</c:v>
                </c:pt>
                <c:pt idx="98">
                  <c:v>4.9484699999999995</c:v>
                </c:pt>
                <c:pt idx="99">
                  <c:v>4.94055</c:v>
                </c:pt>
                <c:pt idx="100">
                  <c:v>4.9279099999999998</c:v>
                </c:pt>
                <c:pt idx="101">
                  <c:v>4.9101999999999997</c:v>
                </c:pt>
                <c:pt idx="102">
                  <c:v>4.8887199999999993</c:v>
                </c:pt>
                <c:pt idx="103">
                  <c:v>4.8630499999999994</c:v>
                </c:pt>
                <c:pt idx="104">
                  <c:v>4.8323900000000002</c:v>
                </c:pt>
                <c:pt idx="105">
                  <c:v>4.79948</c:v>
                </c:pt>
                <c:pt idx="106">
                  <c:v>4.7623999999999995</c:v>
                </c:pt>
                <c:pt idx="107">
                  <c:v>4.7208699999999997</c:v>
                </c:pt>
                <c:pt idx="108">
                  <c:v>4.67598</c:v>
                </c:pt>
                <c:pt idx="109">
                  <c:v>4.62554</c:v>
                </c:pt>
                <c:pt idx="110">
                  <c:v>4.57118</c:v>
                </c:pt>
                <c:pt idx="111">
                  <c:v>4.5130400000000002</c:v>
                </c:pt>
                <c:pt idx="112">
                  <c:v>4.45261</c:v>
                </c:pt>
                <c:pt idx="113">
                  <c:v>4.3938199999999998</c:v>
                </c:pt>
                <c:pt idx="114">
                  <c:v>4.3375900000000005</c:v>
                </c:pt>
                <c:pt idx="115">
                  <c:v>4.2806600000000001</c:v>
                </c:pt>
                <c:pt idx="116">
                  <c:v>4.22377</c:v>
                </c:pt>
                <c:pt idx="117">
                  <c:v>4.1701600000000001</c:v>
                </c:pt>
                <c:pt idx="118">
                  <c:v>4.1196299999999999</c:v>
                </c:pt>
                <c:pt idx="119">
                  <c:v>4.0742399999999996</c:v>
                </c:pt>
                <c:pt idx="120">
                  <c:v>4.0335799999999997</c:v>
                </c:pt>
                <c:pt idx="121">
                  <c:v>3.9961400000000005</c:v>
                </c:pt>
                <c:pt idx="122">
                  <c:v>3.9649400000000004</c:v>
                </c:pt>
                <c:pt idx="123">
                  <c:v>3.9369700000000001</c:v>
                </c:pt>
                <c:pt idx="124">
                  <c:v>3.9175399999999998</c:v>
                </c:pt>
                <c:pt idx="125">
                  <c:v>3.9026499999999995</c:v>
                </c:pt>
                <c:pt idx="126">
                  <c:v>3.8896999999999999</c:v>
                </c:pt>
                <c:pt idx="127">
                  <c:v>3.8757799999999998</c:v>
                </c:pt>
                <c:pt idx="128">
                  <c:v>3.8616000000000001</c:v>
                </c:pt>
                <c:pt idx="129">
                  <c:v>3.8477699999999997</c:v>
                </c:pt>
                <c:pt idx="130">
                  <c:v>3.8357900000000003</c:v>
                </c:pt>
                <c:pt idx="131">
                  <c:v>3.8256899999999998</c:v>
                </c:pt>
                <c:pt idx="132">
                  <c:v>3.81717</c:v>
                </c:pt>
                <c:pt idx="133">
                  <c:v>3.8096899999999998</c:v>
                </c:pt>
                <c:pt idx="134">
                  <c:v>3.80335</c:v>
                </c:pt>
                <c:pt idx="135">
                  <c:v>3.7953999999999999</c:v>
                </c:pt>
                <c:pt idx="136">
                  <c:v>3.7876500000000002</c:v>
                </c:pt>
                <c:pt idx="137">
                  <c:v>3.78186</c:v>
                </c:pt>
                <c:pt idx="138">
                  <c:v>3.77935</c:v>
                </c:pt>
                <c:pt idx="139">
                  <c:v>3.7788200000000001</c:v>
                </c:pt>
                <c:pt idx="140">
                  <c:v>3.7791299999999999</c:v>
                </c:pt>
                <c:pt idx="141">
                  <c:v>3.7810800000000002</c:v>
                </c:pt>
                <c:pt idx="142">
                  <c:v>3.7906299999999997</c:v>
                </c:pt>
                <c:pt idx="143">
                  <c:v>3.8059599999999998</c:v>
                </c:pt>
                <c:pt idx="144">
                  <c:v>3.8173300000000001</c:v>
                </c:pt>
                <c:pt idx="145">
                  <c:v>3.81481</c:v>
                </c:pt>
                <c:pt idx="146">
                  <c:v>3.8187900000000004</c:v>
                </c:pt>
                <c:pt idx="147">
                  <c:v>3.8213599999999999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  <c:pt idx="74">
                  <c:v>26.991199999999999</c:v>
                </c:pt>
                <c:pt idx="75">
                  <c:v>27.569700000000001</c:v>
                </c:pt>
                <c:pt idx="76">
                  <c:v>28.069199999999999</c:v>
                </c:pt>
                <c:pt idx="77">
                  <c:v>28.482299999999999</c:v>
                </c:pt>
                <c:pt idx="78">
                  <c:v>28.796699999999998</c:v>
                </c:pt>
                <c:pt idx="79">
                  <c:v>28.943100000000001</c:v>
                </c:pt>
                <c:pt idx="80">
                  <c:v>29.023199999999999</c:v>
                </c:pt>
                <c:pt idx="81">
                  <c:v>29.099799999999998</c:v>
                </c:pt>
                <c:pt idx="82">
                  <c:v>29.1798</c:v>
                </c:pt>
                <c:pt idx="83">
                  <c:v>29.2471</c:v>
                </c:pt>
                <c:pt idx="84">
                  <c:v>29.293400000000002</c:v>
                </c:pt>
                <c:pt idx="85">
                  <c:v>29.3201</c:v>
                </c:pt>
                <c:pt idx="86">
                  <c:v>29.317</c:v>
                </c:pt>
                <c:pt idx="87">
                  <c:v>29.360500000000002</c:v>
                </c:pt>
                <c:pt idx="88">
                  <c:v>29.490699999999997</c:v>
                </c:pt>
                <c:pt idx="89">
                  <c:v>29.679299999999998</c:v>
                </c:pt>
                <c:pt idx="90">
                  <c:v>29.839600000000001</c:v>
                </c:pt>
                <c:pt idx="91">
                  <c:v>29.982300000000002</c:v>
                </c:pt>
                <c:pt idx="92">
                  <c:v>30.115599999999997</c:v>
                </c:pt>
                <c:pt idx="93">
                  <c:v>30.2209</c:v>
                </c:pt>
                <c:pt idx="94">
                  <c:v>30.341200000000001</c:v>
                </c:pt>
                <c:pt idx="95">
                  <c:v>30.4741</c:v>
                </c:pt>
                <c:pt idx="96">
                  <c:v>30.554199999999998</c:v>
                </c:pt>
                <c:pt idx="97">
                  <c:v>30.5519</c:v>
                </c:pt>
                <c:pt idx="98">
                  <c:v>30.492100000000001</c:v>
                </c:pt>
                <c:pt idx="99">
                  <c:v>30.365500000000001</c:v>
                </c:pt>
                <c:pt idx="100">
                  <c:v>30.1387</c:v>
                </c:pt>
                <c:pt idx="101">
                  <c:v>29.856400000000001</c:v>
                </c:pt>
                <c:pt idx="102">
                  <c:v>29.546400000000002</c:v>
                </c:pt>
                <c:pt idx="103">
                  <c:v>29.271699999999999</c:v>
                </c:pt>
                <c:pt idx="104">
                  <c:v>29.101700000000001</c:v>
                </c:pt>
                <c:pt idx="105">
                  <c:v>29.000799999999998</c:v>
                </c:pt>
                <c:pt idx="106">
                  <c:v>28.932099999999998</c:v>
                </c:pt>
                <c:pt idx="107">
                  <c:v>28.966399999999997</c:v>
                </c:pt>
                <c:pt idx="108">
                  <c:v>29.083199999999998</c:v>
                </c:pt>
                <c:pt idx="109">
                  <c:v>29.394399999999997</c:v>
                </c:pt>
                <c:pt idx="110">
                  <c:v>29.8871</c:v>
                </c:pt>
                <c:pt idx="111">
                  <c:v>30.521799999999999</c:v>
                </c:pt>
                <c:pt idx="112">
                  <c:v>31.225199999999997</c:v>
                </c:pt>
                <c:pt idx="113">
                  <c:v>31.961200000000002</c:v>
                </c:pt>
                <c:pt idx="114">
                  <c:v>32.629100000000001</c:v>
                </c:pt>
                <c:pt idx="115">
                  <c:v>33.392200000000003</c:v>
                </c:pt>
                <c:pt idx="116">
                  <c:v>34.3003</c:v>
                </c:pt>
                <c:pt idx="117">
                  <c:v>35.086800000000004</c:v>
                </c:pt>
                <c:pt idx="118">
                  <c:v>35.774299999999997</c:v>
                </c:pt>
                <c:pt idx="119">
                  <c:v>36.3172</c:v>
                </c:pt>
                <c:pt idx="120">
                  <c:v>36.7455</c:v>
                </c:pt>
                <c:pt idx="121">
                  <c:v>37.108000000000004</c:v>
                </c:pt>
                <c:pt idx="122">
                  <c:v>37.454900000000002</c:v>
                </c:pt>
                <c:pt idx="123">
                  <c:v>37.878499999999995</c:v>
                </c:pt>
                <c:pt idx="124">
                  <c:v>38.070799999999998</c:v>
                </c:pt>
                <c:pt idx="125">
                  <c:v>38.270299999999999</c:v>
                </c:pt>
                <c:pt idx="126">
                  <c:v>38.498399999999997</c:v>
                </c:pt>
                <c:pt idx="127">
                  <c:v>38.809399999999997</c:v>
                </c:pt>
                <c:pt idx="128">
                  <c:v>39.155900000000003</c:v>
                </c:pt>
                <c:pt idx="129">
                  <c:v>39.459800000000001</c:v>
                </c:pt>
                <c:pt idx="130">
                  <c:v>39.664100000000005</c:v>
                </c:pt>
                <c:pt idx="131">
                  <c:v>39.842700000000001</c:v>
                </c:pt>
                <c:pt idx="132">
                  <c:v>39.982199999999999</c:v>
                </c:pt>
                <c:pt idx="133">
                  <c:v>40.105000000000004</c:v>
                </c:pt>
                <c:pt idx="134">
                  <c:v>40.119899999999994</c:v>
                </c:pt>
                <c:pt idx="135">
                  <c:v>40.063500000000005</c:v>
                </c:pt>
                <c:pt idx="136">
                  <c:v>40.037399999999998</c:v>
                </c:pt>
                <c:pt idx="137">
                  <c:v>40.0398</c:v>
                </c:pt>
                <c:pt idx="138">
                  <c:v>39.990700000000004</c:v>
                </c:pt>
                <c:pt idx="139">
                  <c:v>39.9651</c:v>
                </c:pt>
                <c:pt idx="140">
                  <c:v>39.889699999999998</c:v>
                </c:pt>
                <c:pt idx="141">
                  <c:v>39.6952</c:v>
                </c:pt>
                <c:pt idx="142">
                  <c:v>39.487499999999997</c:v>
                </c:pt>
                <c:pt idx="143">
                  <c:v>39.418700000000001</c:v>
                </c:pt>
                <c:pt idx="144">
                  <c:v>39.703099999999999</c:v>
                </c:pt>
                <c:pt idx="145">
                  <c:v>40.366900000000001</c:v>
                </c:pt>
                <c:pt idx="146">
                  <c:v>41.008899999999997</c:v>
                </c:pt>
                <c:pt idx="147">
                  <c:v>41.540500000000002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4.5979599999999996</c:v>
                </c:pt>
                <c:pt idx="1">
                  <c:v>4.5967599999999997</c:v>
                </c:pt>
                <c:pt idx="2">
                  <c:v>4.5984499999999997</c:v>
                </c:pt>
                <c:pt idx="3">
                  <c:v>4.6052400000000002</c:v>
                </c:pt>
                <c:pt idx="4">
                  <c:v>4.6179300000000003</c:v>
                </c:pt>
                <c:pt idx="5">
                  <c:v>4.6350199999999999</c:v>
                </c:pt>
                <c:pt idx="6">
                  <c:v>4.6568900000000006</c:v>
                </c:pt>
                <c:pt idx="7">
                  <c:v>4.6786399999999997</c:v>
                </c:pt>
                <c:pt idx="8">
                  <c:v>4.7027799999999997</c:v>
                </c:pt>
                <c:pt idx="9">
                  <c:v>4.7282200000000003</c:v>
                </c:pt>
                <c:pt idx="10">
                  <c:v>4.7533700000000003</c:v>
                </c:pt>
                <c:pt idx="11">
                  <c:v>4.7792300000000001</c:v>
                </c:pt>
                <c:pt idx="12">
                  <c:v>4.8067299999999999</c:v>
                </c:pt>
                <c:pt idx="13">
                  <c:v>4.8358299999999996</c:v>
                </c:pt>
                <c:pt idx="14">
                  <c:v>4.8623799999999999</c:v>
                </c:pt>
                <c:pt idx="15">
                  <c:v>4.8849999999999998</c:v>
                </c:pt>
                <c:pt idx="16">
                  <c:v>4.9049100000000001</c:v>
                </c:pt>
                <c:pt idx="17">
                  <c:v>4.9226399999999995</c:v>
                </c:pt>
                <c:pt idx="18">
                  <c:v>4.9375099999999996</c:v>
                </c:pt>
                <c:pt idx="19">
                  <c:v>4.94834</c:v>
                </c:pt>
                <c:pt idx="20">
                  <c:v>4.9553199999999995</c:v>
                </c:pt>
                <c:pt idx="21">
                  <c:v>4.9585400000000002</c:v>
                </c:pt>
                <c:pt idx="22">
                  <c:v>4.9603199999999994</c:v>
                </c:pt>
                <c:pt idx="23">
                  <c:v>4.9594100000000001</c:v>
                </c:pt>
                <c:pt idx="24">
                  <c:v>4.9547499999999998</c:v>
                </c:pt>
                <c:pt idx="25">
                  <c:v>4.9484699999999995</c:v>
                </c:pt>
                <c:pt idx="26">
                  <c:v>4.94055</c:v>
                </c:pt>
                <c:pt idx="27">
                  <c:v>4.9279099999999998</c:v>
                </c:pt>
                <c:pt idx="28">
                  <c:v>4.9101999999999997</c:v>
                </c:pt>
                <c:pt idx="29">
                  <c:v>4.8887199999999993</c:v>
                </c:pt>
                <c:pt idx="30">
                  <c:v>4.8630499999999994</c:v>
                </c:pt>
                <c:pt idx="31">
                  <c:v>4.8323900000000002</c:v>
                </c:pt>
                <c:pt idx="32">
                  <c:v>4.79948</c:v>
                </c:pt>
                <c:pt idx="33">
                  <c:v>4.7623999999999995</c:v>
                </c:pt>
                <c:pt idx="34">
                  <c:v>4.7208699999999997</c:v>
                </c:pt>
                <c:pt idx="35">
                  <c:v>4.67598</c:v>
                </c:pt>
                <c:pt idx="36">
                  <c:v>4.62554</c:v>
                </c:pt>
                <c:pt idx="37">
                  <c:v>4.57118</c:v>
                </c:pt>
                <c:pt idx="38">
                  <c:v>4.5130400000000002</c:v>
                </c:pt>
                <c:pt idx="39">
                  <c:v>4.45261</c:v>
                </c:pt>
                <c:pt idx="40">
                  <c:v>4.3938199999999998</c:v>
                </c:pt>
                <c:pt idx="41">
                  <c:v>4.3375900000000005</c:v>
                </c:pt>
                <c:pt idx="42">
                  <c:v>4.2806600000000001</c:v>
                </c:pt>
                <c:pt idx="43">
                  <c:v>4.22377</c:v>
                </c:pt>
                <c:pt idx="44">
                  <c:v>4.1701600000000001</c:v>
                </c:pt>
                <c:pt idx="45">
                  <c:v>4.1196299999999999</c:v>
                </c:pt>
                <c:pt idx="46">
                  <c:v>4.0742399999999996</c:v>
                </c:pt>
                <c:pt idx="47">
                  <c:v>4.0335799999999997</c:v>
                </c:pt>
                <c:pt idx="48">
                  <c:v>3.9961400000000005</c:v>
                </c:pt>
                <c:pt idx="49">
                  <c:v>3.9649400000000004</c:v>
                </c:pt>
                <c:pt idx="50">
                  <c:v>3.9369700000000001</c:v>
                </c:pt>
                <c:pt idx="51">
                  <c:v>3.9175399999999998</c:v>
                </c:pt>
                <c:pt idx="52">
                  <c:v>3.9026499999999995</c:v>
                </c:pt>
                <c:pt idx="53">
                  <c:v>3.8896999999999999</c:v>
                </c:pt>
                <c:pt idx="54">
                  <c:v>3.8757799999999998</c:v>
                </c:pt>
                <c:pt idx="55">
                  <c:v>3.8616000000000001</c:v>
                </c:pt>
                <c:pt idx="56">
                  <c:v>3.8477699999999997</c:v>
                </c:pt>
                <c:pt idx="57">
                  <c:v>3.8357900000000003</c:v>
                </c:pt>
                <c:pt idx="58">
                  <c:v>3.8256899999999998</c:v>
                </c:pt>
                <c:pt idx="59">
                  <c:v>3.81717</c:v>
                </c:pt>
                <c:pt idx="60">
                  <c:v>3.8096899999999998</c:v>
                </c:pt>
                <c:pt idx="61">
                  <c:v>3.80335</c:v>
                </c:pt>
                <c:pt idx="62">
                  <c:v>3.7953999999999999</c:v>
                </c:pt>
                <c:pt idx="63">
                  <c:v>3.7876500000000002</c:v>
                </c:pt>
                <c:pt idx="64">
                  <c:v>3.78186</c:v>
                </c:pt>
                <c:pt idx="65">
                  <c:v>3.77935</c:v>
                </c:pt>
                <c:pt idx="66">
                  <c:v>3.7788200000000001</c:v>
                </c:pt>
                <c:pt idx="67">
                  <c:v>3.7791299999999999</c:v>
                </c:pt>
                <c:pt idx="68">
                  <c:v>3.7810800000000002</c:v>
                </c:pt>
                <c:pt idx="69">
                  <c:v>3.7906299999999997</c:v>
                </c:pt>
                <c:pt idx="70">
                  <c:v>3.8059599999999998</c:v>
                </c:pt>
                <c:pt idx="71">
                  <c:v>3.8173300000000001</c:v>
                </c:pt>
                <c:pt idx="72">
                  <c:v>3.81481</c:v>
                </c:pt>
                <c:pt idx="73">
                  <c:v>3.8187900000000004</c:v>
                </c:pt>
                <c:pt idx="74">
                  <c:v>3.8213599999999999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26.349899999999998</c:v>
                </c:pt>
                <c:pt idx="1">
                  <c:v>26.991199999999999</c:v>
                </c:pt>
                <c:pt idx="2">
                  <c:v>27.569700000000001</c:v>
                </c:pt>
                <c:pt idx="3">
                  <c:v>28.069199999999999</c:v>
                </c:pt>
                <c:pt idx="4">
                  <c:v>28.482299999999999</c:v>
                </c:pt>
                <c:pt idx="5">
                  <c:v>28.796699999999998</c:v>
                </c:pt>
                <c:pt idx="6">
                  <c:v>28.943100000000001</c:v>
                </c:pt>
                <c:pt idx="7">
                  <c:v>29.023199999999999</c:v>
                </c:pt>
                <c:pt idx="8">
                  <c:v>29.099799999999998</c:v>
                </c:pt>
                <c:pt idx="9">
                  <c:v>29.1798</c:v>
                </c:pt>
                <c:pt idx="10">
                  <c:v>29.2471</c:v>
                </c:pt>
                <c:pt idx="11">
                  <c:v>29.293400000000002</c:v>
                </c:pt>
                <c:pt idx="12">
                  <c:v>29.3201</c:v>
                </c:pt>
                <c:pt idx="13">
                  <c:v>29.317</c:v>
                </c:pt>
                <c:pt idx="14">
                  <c:v>29.360500000000002</c:v>
                </c:pt>
                <c:pt idx="15">
                  <c:v>29.490699999999997</c:v>
                </c:pt>
                <c:pt idx="16">
                  <c:v>29.679299999999998</c:v>
                </c:pt>
                <c:pt idx="17">
                  <c:v>29.839600000000001</c:v>
                </c:pt>
                <c:pt idx="18">
                  <c:v>29.982300000000002</c:v>
                </c:pt>
                <c:pt idx="19">
                  <c:v>30.115599999999997</c:v>
                </c:pt>
                <c:pt idx="20">
                  <c:v>30.2209</c:v>
                </c:pt>
                <c:pt idx="21">
                  <c:v>30.341200000000001</c:v>
                </c:pt>
                <c:pt idx="22">
                  <c:v>30.4741</c:v>
                </c:pt>
                <c:pt idx="23">
                  <c:v>30.554199999999998</c:v>
                </c:pt>
                <c:pt idx="24">
                  <c:v>30.5519</c:v>
                </c:pt>
                <c:pt idx="25">
                  <c:v>30.492100000000001</c:v>
                </c:pt>
                <c:pt idx="26">
                  <c:v>30.365500000000001</c:v>
                </c:pt>
                <c:pt idx="27">
                  <c:v>30.1387</c:v>
                </c:pt>
                <c:pt idx="28">
                  <c:v>29.856400000000001</c:v>
                </c:pt>
                <c:pt idx="29">
                  <c:v>29.546400000000002</c:v>
                </c:pt>
                <c:pt idx="30">
                  <c:v>29.271699999999999</c:v>
                </c:pt>
                <c:pt idx="31">
                  <c:v>29.101700000000001</c:v>
                </c:pt>
                <c:pt idx="32">
                  <c:v>29.000799999999998</c:v>
                </c:pt>
                <c:pt idx="33">
                  <c:v>28.932099999999998</c:v>
                </c:pt>
                <c:pt idx="34">
                  <c:v>28.966399999999997</c:v>
                </c:pt>
                <c:pt idx="35">
                  <c:v>29.083199999999998</c:v>
                </c:pt>
                <c:pt idx="36">
                  <c:v>29.394399999999997</c:v>
                </c:pt>
                <c:pt idx="37">
                  <c:v>29.8871</c:v>
                </c:pt>
                <c:pt idx="38">
                  <c:v>30.521799999999999</c:v>
                </c:pt>
                <c:pt idx="39">
                  <c:v>31.225199999999997</c:v>
                </c:pt>
                <c:pt idx="40">
                  <c:v>31.961200000000002</c:v>
                </c:pt>
                <c:pt idx="41">
                  <c:v>32.629100000000001</c:v>
                </c:pt>
                <c:pt idx="42">
                  <c:v>33.392200000000003</c:v>
                </c:pt>
                <c:pt idx="43">
                  <c:v>34.3003</c:v>
                </c:pt>
                <c:pt idx="44">
                  <c:v>35.086800000000004</c:v>
                </c:pt>
                <c:pt idx="45">
                  <c:v>35.774299999999997</c:v>
                </c:pt>
                <c:pt idx="46">
                  <c:v>36.3172</c:v>
                </c:pt>
                <c:pt idx="47">
                  <c:v>36.7455</c:v>
                </c:pt>
                <c:pt idx="48">
                  <c:v>37.108000000000004</c:v>
                </c:pt>
                <c:pt idx="49">
                  <c:v>37.454900000000002</c:v>
                </c:pt>
                <c:pt idx="50">
                  <c:v>37.878499999999995</c:v>
                </c:pt>
                <c:pt idx="51">
                  <c:v>38.070799999999998</c:v>
                </c:pt>
                <c:pt idx="52">
                  <c:v>38.270299999999999</c:v>
                </c:pt>
                <c:pt idx="53">
                  <c:v>38.498399999999997</c:v>
                </c:pt>
                <c:pt idx="54">
                  <c:v>38.809399999999997</c:v>
                </c:pt>
                <c:pt idx="55">
                  <c:v>39.155900000000003</c:v>
                </c:pt>
                <c:pt idx="56">
                  <c:v>39.459800000000001</c:v>
                </c:pt>
                <c:pt idx="57">
                  <c:v>39.664100000000005</c:v>
                </c:pt>
                <c:pt idx="58">
                  <c:v>39.842700000000001</c:v>
                </c:pt>
                <c:pt idx="59">
                  <c:v>39.982199999999999</c:v>
                </c:pt>
                <c:pt idx="60">
                  <c:v>40.105000000000004</c:v>
                </c:pt>
                <c:pt idx="61">
                  <c:v>40.119899999999994</c:v>
                </c:pt>
                <c:pt idx="62">
                  <c:v>40.063500000000005</c:v>
                </c:pt>
                <c:pt idx="63">
                  <c:v>40.037399999999998</c:v>
                </c:pt>
                <c:pt idx="64">
                  <c:v>40.0398</c:v>
                </c:pt>
                <c:pt idx="65">
                  <c:v>39.990700000000004</c:v>
                </c:pt>
                <c:pt idx="66">
                  <c:v>39.9651</c:v>
                </c:pt>
                <c:pt idx="67">
                  <c:v>39.889699999999998</c:v>
                </c:pt>
                <c:pt idx="68">
                  <c:v>39.6952</c:v>
                </c:pt>
                <c:pt idx="69">
                  <c:v>39.487499999999997</c:v>
                </c:pt>
                <c:pt idx="70">
                  <c:v>39.418700000000001</c:v>
                </c:pt>
                <c:pt idx="71">
                  <c:v>39.703099999999999</c:v>
                </c:pt>
                <c:pt idx="72">
                  <c:v>40.366900000000001</c:v>
                </c:pt>
                <c:pt idx="73">
                  <c:v>41.008899999999997</c:v>
                </c:pt>
                <c:pt idx="74">
                  <c:v>41.540500000000002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4.3147520270270254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31.281029729729738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4.3776621621621619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33.669728378378366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4.3776621621621619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33.669728378378366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0.25756310177405228</c:v>
                </c:pt>
                <c:pt idx="1">
                  <c:v>0.38609851240547249</c:v>
                </c:pt>
                <c:pt idx="2">
                  <c:v>0.35633838582047528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  <c:pt idx="74">
                  <c:v>30.0626</c:v>
                </c:pt>
                <c:pt idx="75">
                  <c:v>30.5642</c:v>
                </c:pt>
                <c:pt idx="76">
                  <c:v>30.936299999999999</c:v>
                </c:pt>
                <c:pt idx="77">
                  <c:v>31.330200000000001</c:v>
                </c:pt>
                <c:pt idx="78">
                  <c:v>31.7331</c:v>
                </c:pt>
                <c:pt idx="79">
                  <c:v>32.139099999999999</c:v>
                </c:pt>
                <c:pt idx="80">
                  <c:v>32.550899999999999</c:v>
                </c:pt>
                <c:pt idx="81">
                  <c:v>32.948900000000002</c:v>
                </c:pt>
                <c:pt idx="82">
                  <c:v>33.357900000000001</c:v>
                </c:pt>
                <c:pt idx="83">
                  <c:v>33.761800000000001</c:v>
                </c:pt>
                <c:pt idx="84">
                  <c:v>34.169499999999999</c:v>
                </c:pt>
                <c:pt idx="85">
                  <c:v>34.573799999999999</c:v>
                </c:pt>
                <c:pt idx="86">
                  <c:v>34.979500000000002</c:v>
                </c:pt>
                <c:pt idx="87">
                  <c:v>35.387599999999999</c:v>
                </c:pt>
                <c:pt idx="88">
                  <c:v>35.796199999999999</c:v>
                </c:pt>
                <c:pt idx="89">
                  <c:v>36.197499999999998</c:v>
                </c:pt>
                <c:pt idx="90">
                  <c:v>36.603400000000001</c:v>
                </c:pt>
                <c:pt idx="91">
                  <c:v>37.014099999999999</c:v>
                </c:pt>
                <c:pt idx="92">
                  <c:v>37.417900000000003</c:v>
                </c:pt>
                <c:pt idx="93">
                  <c:v>37.826099999999997</c:v>
                </c:pt>
                <c:pt idx="94">
                  <c:v>38.2318</c:v>
                </c:pt>
                <c:pt idx="95">
                  <c:v>38.636600000000001</c:v>
                </c:pt>
                <c:pt idx="96">
                  <c:v>39.046599999999998</c:v>
                </c:pt>
                <c:pt idx="97">
                  <c:v>39.453499999999998</c:v>
                </c:pt>
                <c:pt idx="98">
                  <c:v>39.858400000000003</c:v>
                </c:pt>
                <c:pt idx="99">
                  <c:v>40.263300000000001</c:v>
                </c:pt>
                <c:pt idx="100">
                  <c:v>40.672499999999999</c:v>
                </c:pt>
                <c:pt idx="101">
                  <c:v>41.078099999999999</c:v>
                </c:pt>
                <c:pt idx="102">
                  <c:v>41.485300000000002</c:v>
                </c:pt>
                <c:pt idx="103">
                  <c:v>41.89</c:v>
                </c:pt>
                <c:pt idx="104">
                  <c:v>42.296999999999997</c:v>
                </c:pt>
                <c:pt idx="105">
                  <c:v>42.698799999999999</c:v>
                </c:pt>
                <c:pt idx="106">
                  <c:v>43.107700000000001</c:v>
                </c:pt>
                <c:pt idx="107">
                  <c:v>43.514600000000002</c:v>
                </c:pt>
                <c:pt idx="108">
                  <c:v>43.916499999999999</c:v>
                </c:pt>
                <c:pt idx="109">
                  <c:v>44.326799999999999</c:v>
                </c:pt>
                <c:pt idx="110">
                  <c:v>44.731299999999997</c:v>
                </c:pt>
                <c:pt idx="111">
                  <c:v>45.134300000000003</c:v>
                </c:pt>
                <c:pt idx="112">
                  <c:v>45.545400000000001</c:v>
                </c:pt>
                <c:pt idx="113">
                  <c:v>45.951099999999997</c:v>
                </c:pt>
                <c:pt idx="114">
                  <c:v>46.357100000000003</c:v>
                </c:pt>
                <c:pt idx="115">
                  <c:v>46.76</c:v>
                </c:pt>
                <c:pt idx="116">
                  <c:v>47.167999999999999</c:v>
                </c:pt>
                <c:pt idx="117">
                  <c:v>47.574800000000003</c:v>
                </c:pt>
                <c:pt idx="118">
                  <c:v>47.980699999999999</c:v>
                </c:pt>
                <c:pt idx="119">
                  <c:v>48.387599999999999</c:v>
                </c:pt>
                <c:pt idx="120">
                  <c:v>48.795499999999997</c:v>
                </c:pt>
                <c:pt idx="121">
                  <c:v>49.197600000000001</c:v>
                </c:pt>
                <c:pt idx="122">
                  <c:v>49.607500000000002</c:v>
                </c:pt>
                <c:pt idx="123">
                  <c:v>50.0122</c:v>
                </c:pt>
                <c:pt idx="124">
                  <c:v>50.421199999999999</c:v>
                </c:pt>
                <c:pt idx="125">
                  <c:v>50.826300000000003</c:v>
                </c:pt>
                <c:pt idx="126">
                  <c:v>51.232900000000001</c:v>
                </c:pt>
                <c:pt idx="127">
                  <c:v>51.6389</c:v>
                </c:pt>
                <c:pt idx="128">
                  <c:v>52.042999999999999</c:v>
                </c:pt>
                <c:pt idx="129">
                  <c:v>52.4482</c:v>
                </c:pt>
                <c:pt idx="130">
                  <c:v>52.859900000000003</c:v>
                </c:pt>
                <c:pt idx="131">
                  <c:v>53.263599999999997</c:v>
                </c:pt>
                <c:pt idx="132">
                  <c:v>53.667499999999997</c:v>
                </c:pt>
                <c:pt idx="133">
                  <c:v>54.073399999999999</c:v>
                </c:pt>
                <c:pt idx="134">
                  <c:v>54.4833</c:v>
                </c:pt>
                <c:pt idx="135">
                  <c:v>54.891199999999998</c:v>
                </c:pt>
                <c:pt idx="136">
                  <c:v>55.296100000000003</c:v>
                </c:pt>
                <c:pt idx="137">
                  <c:v>55.703000000000003</c:v>
                </c:pt>
                <c:pt idx="138">
                  <c:v>56.103999999999999</c:v>
                </c:pt>
                <c:pt idx="139">
                  <c:v>56.512900000000002</c:v>
                </c:pt>
                <c:pt idx="140">
                  <c:v>56.9208</c:v>
                </c:pt>
                <c:pt idx="141">
                  <c:v>57.3277</c:v>
                </c:pt>
                <c:pt idx="142">
                  <c:v>57.732599999999998</c:v>
                </c:pt>
                <c:pt idx="143">
                  <c:v>58.1355</c:v>
                </c:pt>
                <c:pt idx="144">
                  <c:v>58.547699999999999</c:v>
                </c:pt>
                <c:pt idx="145">
                  <c:v>58.952300000000001</c:v>
                </c:pt>
                <c:pt idx="146">
                  <c:v>59.361699999999999</c:v>
                </c:pt>
                <c:pt idx="147">
                  <c:v>59.765300000000003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  <c:pt idx="74">
                  <c:v>4.5967599999999997</c:v>
                </c:pt>
                <c:pt idx="75">
                  <c:v>4.5984499999999997</c:v>
                </c:pt>
                <c:pt idx="76">
                  <c:v>4.6052400000000002</c:v>
                </c:pt>
                <c:pt idx="77">
                  <c:v>4.6179300000000003</c:v>
                </c:pt>
                <c:pt idx="78">
                  <c:v>4.6350199999999999</c:v>
                </c:pt>
                <c:pt idx="79">
                  <c:v>4.6568900000000006</c:v>
                </c:pt>
                <c:pt idx="80">
                  <c:v>4.6786399999999997</c:v>
                </c:pt>
                <c:pt idx="81">
                  <c:v>4.7027799999999997</c:v>
                </c:pt>
                <c:pt idx="82">
                  <c:v>4.7282200000000003</c:v>
                </c:pt>
                <c:pt idx="83">
                  <c:v>4.7533700000000003</c:v>
                </c:pt>
                <c:pt idx="84">
                  <c:v>4.7792300000000001</c:v>
                </c:pt>
                <c:pt idx="85">
                  <c:v>4.8067299999999999</c:v>
                </c:pt>
                <c:pt idx="86">
                  <c:v>4.8358299999999996</c:v>
                </c:pt>
                <c:pt idx="87">
                  <c:v>4.8623799999999999</c:v>
                </c:pt>
                <c:pt idx="88">
                  <c:v>4.8849999999999998</c:v>
                </c:pt>
                <c:pt idx="89">
                  <c:v>4.9049100000000001</c:v>
                </c:pt>
                <c:pt idx="90">
                  <c:v>4.9226399999999995</c:v>
                </c:pt>
                <c:pt idx="91">
                  <c:v>4.9375099999999996</c:v>
                </c:pt>
                <c:pt idx="92">
                  <c:v>4.94834</c:v>
                </c:pt>
                <c:pt idx="93">
                  <c:v>4.9553199999999995</c:v>
                </c:pt>
                <c:pt idx="94">
                  <c:v>4.9585400000000002</c:v>
                </c:pt>
                <c:pt idx="95">
                  <c:v>4.9603199999999994</c:v>
                </c:pt>
                <c:pt idx="96">
                  <c:v>4.9594100000000001</c:v>
                </c:pt>
                <c:pt idx="97">
                  <c:v>4.9547499999999998</c:v>
                </c:pt>
                <c:pt idx="98">
                  <c:v>4.9484699999999995</c:v>
                </c:pt>
                <c:pt idx="99">
                  <c:v>4.94055</c:v>
                </c:pt>
                <c:pt idx="100">
                  <c:v>4.9279099999999998</c:v>
                </c:pt>
                <c:pt idx="101">
                  <c:v>4.9101999999999997</c:v>
                </c:pt>
                <c:pt idx="102">
                  <c:v>4.8887199999999993</c:v>
                </c:pt>
                <c:pt idx="103">
                  <c:v>4.8630499999999994</c:v>
                </c:pt>
                <c:pt idx="104">
                  <c:v>4.8323900000000002</c:v>
                </c:pt>
                <c:pt idx="105">
                  <c:v>4.79948</c:v>
                </c:pt>
                <c:pt idx="106">
                  <c:v>4.7623999999999995</c:v>
                </c:pt>
                <c:pt idx="107">
                  <c:v>4.7208699999999997</c:v>
                </c:pt>
                <c:pt idx="108">
                  <c:v>4.67598</c:v>
                </c:pt>
                <c:pt idx="109">
                  <c:v>4.62554</c:v>
                </c:pt>
                <c:pt idx="110">
                  <c:v>4.57118</c:v>
                </c:pt>
                <c:pt idx="111">
                  <c:v>4.5130400000000002</c:v>
                </c:pt>
                <c:pt idx="112">
                  <c:v>4.45261</c:v>
                </c:pt>
                <c:pt idx="113">
                  <c:v>4.3938199999999998</c:v>
                </c:pt>
                <c:pt idx="114">
                  <c:v>4.3375900000000005</c:v>
                </c:pt>
                <c:pt idx="115">
                  <c:v>4.2806600000000001</c:v>
                </c:pt>
                <c:pt idx="116">
                  <c:v>4.22377</c:v>
                </c:pt>
                <c:pt idx="117">
                  <c:v>4.1701600000000001</c:v>
                </c:pt>
                <c:pt idx="118">
                  <c:v>4.1196299999999999</c:v>
                </c:pt>
                <c:pt idx="119">
                  <c:v>4.0742399999999996</c:v>
                </c:pt>
                <c:pt idx="120">
                  <c:v>4.0335799999999997</c:v>
                </c:pt>
                <c:pt idx="121">
                  <c:v>3.9961400000000005</c:v>
                </c:pt>
                <c:pt idx="122">
                  <c:v>3.9649400000000004</c:v>
                </c:pt>
                <c:pt idx="123">
                  <c:v>3.9369700000000001</c:v>
                </c:pt>
                <c:pt idx="124">
                  <c:v>3.9175399999999998</c:v>
                </c:pt>
                <c:pt idx="125">
                  <c:v>3.9026499999999995</c:v>
                </c:pt>
                <c:pt idx="126">
                  <c:v>3.8896999999999999</c:v>
                </c:pt>
                <c:pt idx="127">
                  <c:v>3.8757799999999998</c:v>
                </c:pt>
                <c:pt idx="128">
                  <c:v>3.8616000000000001</c:v>
                </c:pt>
                <c:pt idx="129">
                  <c:v>3.8477699999999997</c:v>
                </c:pt>
                <c:pt idx="130">
                  <c:v>3.8357900000000003</c:v>
                </c:pt>
                <c:pt idx="131">
                  <c:v>3.8256899999999998</c:v>
                </c:pt>
                <c:pt idx="132">
                  <c:v>3.81717</c:v>
                </c:pt>
                <c:pt idx="133">
                  <c:v>3.8096899999999998</c:v>
                </c:pt>
                <c:pt idx="134">
                  <c:v>3.80335</c:v>
                </c:pt>
                <c:pt idx="135">
                  <c:v>3.7953999999999999</c:v>
                </c:pt>
                <c:pt idx="136">
                  <c:v>3.7876500000000002</c:v>
                </c:pt>
                <c:pt idx="137">
                  <c:v>3.78186</c:v>
                </c:pt>
                <c:pt idx="138">
                  <c:v>3.77935</c:v>
                </c:pt>
                <c:pt idx="139">
                  <c:v>3.7788200000000001</c:v>
                </c:pt>
                <c:pt idx="140">
                  <c:v>3.7791299999999999</c:v>
                </c:pt>
                <c:pt idx="141">
                  <c:v>3.7810800000000002</c:v>
                </c:pt>
                <c:pt idx="142">
                  <c:v>3.7906299999999997</c:v>
                </c:pt>
                <c:pt idx="143">
                  <c:v>3.8059599999999998</c:v>
                </c:pt>
                <c:pt idx="144">
                  <c:v>3.8173300000000001</c:v>
                </c:pt>
                <c:pt idx="145">
                  <c:v>3.81481</c:v>
                </c:pt>
                <c:pt idx="146">
                  <c:v>3.8187900000000004</c:v>
                </c:pt>
                <c:pt idx="147">
                  <c:v>3.8213599999999999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30.0626</c:v>
                </c:pt>
                <c:pt idx="2">
                  <c:v>30.5642</c:v>
                </c:pt>
                <c:pt idx="3">
                  <c:v>30.936299999999999</c:v>
                </c:pt>
                <c:pt idx="4">
                  <c:v>31.330200000000001</c:v>
                </c:pt>
                <c:pt idx="5">
                  <c:v>31.7331</c:v>
                </c:pt>
                <c:pt idx="6">
                  <c:v>32.139099999999999</c:v>
                </c:pt>
                <c:pt idx="7">
                  <c:v>32.550899999999999</c:v>
                </c:pt>
                <c:pt idx="8">
                  <c:v>32.948900000000002</c:v>
                </c:pt>
                <c:pt idx="9">
                  <c:v>33.357900000000001</c:v>
                </c:pt>
                <c:pt idx="10">
                  <c:v>33.761800000000001</c:v>
                </c:pt>
                <c:pt idx="11">
                  <c:v>34.169499999999999</c:v>
                </c:pt>
                <c:pt idx="12">
                  <c:v>34.573799999999999</c:v>
                </c:pt>
                <c:pt idx="13">
                  <c:v>34.979500000000002</c:v>
                </c:pt>
                <c:pt idx="14">
                  <c:v>35.387599999999999</c:v>
                </c:pt>
                <c:pt idx="15">
                  <c:v>35.796199999999999</c:v>
                </c:pt>
                <c:pt idx="16">
                  <c:v>36.197499999999998</c:v>
                </c:pt>
                <c:pt idx="17">
                  <c:v>36.603400000000001</c:v>
                </c:pt>
                <c:pt idx="18">
                  <c:v>37.014099999999999</c:v>
                </c:pt>
                <c:pt idx="19">
                  <c:v>37.417900000000003</c:v>
                </c:pt>
                <c:pt idx="20">
                  <c:v>37.826099999999997</c:v>
                </c:pt>
                <c:pt idx="21">
                  <c:v>38.2318</c:v>
                </c:pt>
                <c:pt idx="22">
                  <c:v>38.636600000000001</c:v>
                </c:pt>
                <c:pt idx="23">
                  <c:v>39.046599999999998</c:v>
                </c:pt>
                <c:pt idx="24">
                  <c:v>39.453499999999998</c:v>
                </c:pt>
                <c:pt idx="25">
                  <c:v>39.858400000000003</c:v>
                </c:pt>
                <c:pt idx="26">
                  <c:v>40.263300000000001</c:v>
                </c:pt>
                <c:pt idx="27">
                  <c:v>40.672499999999999</c:v>
                </c:pt>
                <c:pt idx="28">
                  <c:v>41.078099999999999</c:v>
                </c:pt>
                <c:pt idx="29">
                  <c:v>41.485300000000002</c:v>
                </c:pt>
                <c:pt idx="30">
                  <c:v>41.89</c:v>
                </c:pt>
                <c:pt idx="31">
                  <c:v>42.296999999999997</c:v>
                </c:pt>
                <c:pt idx="32">
                  <c:v>42.698799999999999</c:v>
                </c:pt>
                <c:pt idx="33">
                  <c:v>43.107700000000001</c:v>
                </c:pt>
                <c:pt idx="34">
                  <c:v>43.514600000000002</c:v>
                </c:pt>
                <c:pt idx="35">
                  <c:v>43.916499999999999</c:v>
                </c:pt>
                <c:pt idx="36">
                  <c:v>44.326799999999999</c:v>
                </c:pt>
                <c:pt idx="37">
                  <c:v>44.731299999999997</c:v>
                </c:pt>
                <c:pt idx="38">
                  <c:v>45.134300000000003</c:v>
                </c:pt>
                <c:pt idx="39">
                  <c:v>45.545400000000001</c:v>
                </c:pt>
                <c:pt idx="40">
                  <c:v>45.951099999999997</c:v>
                </c:pt>
                <c:pt idx="41">
                  <c:v>46.357100000000003</c:v>
                </c:pt>
                <c:pt idx="42">
                  <c:v>46.76</c:v>
                </c:pt>
                <c:pt idx="43">
                  <c:v>47.167999999999999</c:v>
                </c:pt>
                <c:pt idx="44">
                  <c:v>47.574800000000003</c:v>
                </c:pt>
                <c:pt idx="45">
                  <c:v>47.980699999999999</c:v>
                </c:pt>
                <c:pt idx="46">
                  <c:v>48.387599999999999</c:v>
                </c:pt>
                <c:pt idx="47">
                  <c:v>48.795499999999997</c:v>
                </c:pt>
                <c:pt idx="48">
                  <c:v>49.197600000000001</c:v>
                </c:pt>
                <c:pt idx="49">
                  <c:v>49.607500000000002</c:v>
                </c:pt>
                <c:pt idx="50">
                  <c:v>50.0122</c:v>
                </c:pt>
                <c:pt idx="51">
                  <c:v>50.421199999999999</c:v>
                </c:pt>
                <c:pt idx="52">
                  <c:v>50.826300000000003</c:v>
                </c:pt>
                <c:pt idx="53">
                  <c:v>51.232900000000001</c:v>
                </c:pt>
                <c:pt idx="54">
                  <c:v>51.6389</c:v>
                </c:pt>
                <c:pt idx="55">
                  <c:v>52.042999999999999</c:v>
                </c:pt>
                <c:pt idx="56">
                  <c:v>52.4482</c:v>
                </c:pt>
                <c:pt idx="57">
                  <c:v>52.859900000000003</c:v>
                </c:pt>
                <c:pt idx="58">
                  <c:v>53.263599999999997</c:v>
                </c:pt>
                <c:pt idx="59">
                  <c:v>53.667499999999997</c:v>
                </c:pt>
                <c:pt idx="60">
                  <c:v>54.073399999999999</c:v>
                </c:pt>
                <c:pt idx="61">
                  <c:v>54.4833</c:v>
                </c:pt>
                <c:pt idx="62">
                  <c:v>54.891199999999998</c:v>
                </c:pt>
                <c:pt idx="63">
                  <c:v>55.296100000000003</c:v>
                </c:pt>
                <c:pt idx="64">
                  <c:v>55.703000000000003</c:v>
                </c:pt>
                <c:pt idx="65">
                  <c:v>56.103999999999999</c:v>
                </c:pt>
                <c:pt idx="66">
                  <c:v>56.512900000000002</c:v>
                </c:pt>
                <c:pt idx="67">
                  <c:v>56.9208</c:v>
                </c:pt>
                <c:pt idx="68">
                  <c:v>57.3277</c:v>
                </c:pt>
                <c:pt idx="69">
                  <c:v>57.732599999999998</c:v>
                </c:pt>
                <c:pt idx="70">
                  <c:v>58.1355</c:v>
                </c:pt>
                <c:pt idx="71">
                  <c:v>58.547699999999999</c:v>
                </c:pt>
                <c:pt idx="72">
                  <c:v>58.952300000000001</c:v>
                </c:pt>
                <c:pt idx="73">
                  <c:v>59.361699999999999</c:v>
                </c:pt>
                <c:pt idx="74">
                  <c:v>59.765300000000003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4.5979599999999996</c:v>
                </c:pt>
                <c:pt idx="1">
                  <c:v>4.5967599999999997</c:v>
                </c:pt>
                <c:pt idx="2">
                  <c:v>4.5984499999999997</c:v>
                </c:pt>
                <c:pt idx="3">
                  <c:v>4.6052400000000002</c:v>
                </c:pt>
                <c:pt idx="4">
                  <c:v>4.6179300000000003</c:v>
                </c:pt>
                <c:pt idx="5">
                  <c:v>4.6350199999999999</c:v>
                </c:pt>
                <c:pt idx="6">
                  <c:v>4.6568900000000006</c:v>
                </c:pt>
                <c:pt idx="7">
                  <c:v>4.6786399999999997</c:v>
                </c:pt>
                <c:pt idx="8">
                  <c:v>4.7027799999999997</c:v>
                </c:pt>
                <c:pt idx="9">
                  <c:v>4.7282200000000003</c:v>
                </c:pt>
                <c:pt idx="10">
                  <c:v>4.7533700000000003</c:v>
                </c:pt>
                <c:pt idx="11">
                  <c:v>4.7792300000000001</c:v>
                </c:pt>
                <c:pt idx="12">
                  <c:v>4.8067299999999999</c:v>
                </c:pt>
                <c:pt idx="13">
                  <c:v>4.8358299999999996</c:v>
                </c:pt>
                <c:pt idx="14">
                  <c:v>4.8623799999999999</c:v>
                </c:pt>
                <c:pt idx="15">
                  <c:v>4.8849999999999998</c:v>
                </c:pt>
                <c:pt idx="16">
                  <c:v>4.9049100000000001</c:v>
                </c:pt>
                <c:pt idx="17">
                  <c:v>4.9226399999999995</c:v>
                </c:pt>
                <c:pt idx="18">
                  <c:v>4.9375099999999996</c:v>
                </c:pt>
                <c:pt idx="19">
                  <c:v>4.94834</c:v>
                </c:pt>
                <c:pt idx="20">
                  <c:v>4.9553199999999995</c:v>
                </c:pt>
                <c:pt idx="21">
                  <c:v>4.9585400000000002</c:v>
                </c:pt>
                <c:pt idx="22">
                  <c:v>4.9603199999999994</c:v>
                </c:pt>
                <c:pt idx="23">
                  <c:v>4.9594100000000001</c:v>
                </c:pt>
                <c:pt idx="24">
                  <c:v>4.9547499999999998</c:v>
                </c:pt>
                <c:pt idx="25">
                  <c:v>4.9484699999999995</c:v>
                </c:pt>
                <c:pt idx="26">
                  <c:v>4.94055</c:v>
                </c:pt>
                <c:pt idx="27">
                  <c:v>4.9279099999999998</c:v>
                </c:pt>
                <c:pt idx="28">
                  <c:v>4.9101999999999997</c:v>
                </c:pt>
                <c:pt idx="29">
                  <c:v>4.8887199999999993</c:v>
                </c:pt>
                <c:pt idx="30">
                  <c:v>4.8630499999999994</c:v>
                </c:pt>
                <c:pt idx="31">
                  <c:v>4.8323900000000002</c:v>
                </c:pt>
                <c:pt idx="32">
                  <c:v>4.79948</c:v>
                </c:pt>
                <c:pt idx="33">
                  <c:v>4.7623999999999995</c:v>
                </c:pt>
                <c:pt idx="34">
                  <c:v>4.7208699999999997</c:v>
                </c:pt>
                <c:pt idx="35">
                  <c:v>4.67598</c:v>
                </c:pt>
                <c:pt idx="36">
                  <c:v>4.62554</c:v>
                </c:pt>
                <c:pt idx="37">
                  <c:v>4.57118</c:v>
                </c:pt>
                <c:pt idx="38">
                  <c:v>4.5130400000000002</c:v>
                </c:pt>
                <c:pt idx="39">
                  <c:v>4.45261</c:v>
                </c:pt>
                <c:pt idx="40">
                  <c:v>4.3938199999999998</c:v>
                </c:pt>
                <c:pt idx="41">
                  <c:v>4.3375900000000005</c:v>
                </c:pt>
                <c:pt idx="42">
                  <c:v>4.2806600000000001</c:v>
                </c:pt>
                <c:pt idx="43">
                  <c:v>4.22377</c:v>
                </c:pt>
                <c:pt idx="44">
                  <c:v>4.1701600000000001</c:v>
                </c:pt>
                <c:pt idx="45">
                  <c:v>4.1196299999999999</c:v>
                </c:pt>
                <c:pt idx="46">
                  <c:v>4.0742399999999996</c:v>
                </c:pt>
                <c:pt idx="47">
                  <c:v>4.0335799999999997</c:v>
                </c:pt>
                <c:pt idx="48">
                  <c:v>3.9961400000000005</c:v>
                </c:pt>
                <c:pt idx="49">
                  <c:v>3.9649400000000004</c:v>
                </c:pt>
                <c:pt idx="50">
                  <c:v>3.9369700000000001</c:v>
                </c:pt>
                <c:pt idx="51">
                  <c:v>3.9175399999999998</c:v>
                </c:pt>
                <c:pt idx="52">
                  <c:v>3.9026499999999995</c:v>
                </c:pt>
                <c:pt idx="53">
                  <c:v>3.8896999999999999</c:v>
                </c:pt>
                <c:pt idx="54">
                  <c:v>3.8757799999999998</c:v>
                </c:pt>
                <c:pt idx="55">
                  <c:v>3.8616000000000001</c:v>
                </c:pt>
                <c:pt idx="56">
                  <c:v>3.8477699999999997</c:v>
                </c:pt>
                <c:pt idx="57">
                  <c:v>3.8357900000000003</c:v>
                </c:pt>
                <c:pt idx="58">
                  <c:v>3.8256899999999998</c:v>
                </c:pt>
                <c:pt idx="59">
                  <c:v>3.81717</c:v>
                </c:pt>
                <c:pt idx="60">
                  <c:v>3.8096899999999998</c:v>
                </c:pt>
                <c:pt idx="61">
                  <c:v>3.80335</c:v>
                </c:pt>
                <c:pt idx="62">
                  <c:v>3.7953999999999999</c:v>
                </c:pt>
                <c:pt idx="63">
                  <c:v>3.7876500000000002</c:v>
                </c:pt>
                <c:pt idx="64">
                  <c:v>3.78186</c:v>
                </c:pt>
                <c:pt idx="65">
                  <c:v>3.77935</c:v>
                </c:pt>
                <c:pt idx="66">
                  <c:v>3.7788200000000001</c:v>
                </c:pt>
                <c:pt idx="67">
                  <c:v>3.7791299999999999</c:v>
                </c:pt>
                <c:pt idx="68">
                  <c:v>3.7810800000000002</c:v>
                </c:pt>
                <c:pt idx="69">
                  <c:v>3.7906299999999997</c:v>
                </c:pt>
                <c:pt idx="70">
                  <c:v>3.8059599999999998</c:v>
                </c:pt>
                <c:pt idx="71">
                  <c:v>3.8173300000000001</c:v>
                </c:pt>
                <c:pt idx="72">
                  <c:v>3.81481</c:v>
                </c:pt>
                <c:pt idx="73">
                  <c:v>3.8187900000000004</c:v>
                </c:pt>
                <c:pt idx="74">
                  <c:v>3.8213599999999999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14.941325000000001</c:v>
                </c:pt>
                <c:pt idx="1">
                  <c:v>44.823975000000004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4.3147520270270254</c:v>
                </c:pt>
                <c:pt idx="1">
                  <c:v>4.3776621621621619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  <c:pt idx="74">
                  <c:v>30.0626</c:v>
                </c:pt>
                <c:pt idx="75">
                  <c:v>30.5642</c:v>
                </c:pt>
                <c:pt idx="76">
                  <c:v>30.936299999999999</c:v>
                </c:pt>
                <c:pt idx="77">
                  <c:v>31.330200000000001</c:v>
                </c:pt>
                <c:pt idx="78">
                  <c:v>31.7331</c:v>
                </c:pt>
                <c:pt idx="79">
                  <c:v>32.139099999999999</c:v>
                </c:pt>
                <c:pt idx="80">
                  <c:v>32.550899999999999</c:v>
                </c:pt>
                <c:pt idx="81">
                  <c:v>32.948900000000002</c:v>
                </c:pt>
                <c:pt idx="82">
                  <c:v>33.357900000000001</c:v>
                </c:pt>
                <c:pt idx="83">
                  <c:v>33.761800000000001</c:v>
                </c:pt>
                <c:pt idx="84">
                  <c:v>34.169499999999999</c:v>
                </c:pt>
                <c:pt idx="85">
                  <c:v>34.573799999999999</c:v>
                </c:pt>
                <c:pt idx="86">
                  <c:v>34.979500000000002</c:v>
                </c:pt>
                <c:pt idx="87">
                  <c:v>35.387599999999999</c:v>
                </c:pt>
                <c:pt idx="88">
                  <c:v>35.796199999999999</c:v>
                </c:pt>
                <c:pt idx="89">
                  <c:v>36.197499999999998</c:v>
                </c:pt>
                <c:pt idx="90">
                  <c:v>36.603400000000001</c:v>
                </c:pt>
                <c:pt idx="91">
                  <c:v>37.014099999999999</c:v>
                </c:pt>
                <c:pt idx="92">
                  <c:v>37.417900000000003</c:v>
                </c:pt>
                <c:pt idx="93">
                  <c:v>37.826099999999997</c:v>
                </c:pt>
                <c:pt idx="94">
                  <c:v>38.2318</c:v>
                </c:pt>
                <c:pt idx="95">
                  <c:v>38.636600000000001</c:v>
                </c:pt>
                <c:pt idx="96">
                  <c:v>39.046599999999998</c:v>
                </c:pt>
                <c:pt idx="97">
                  <c:v>39.453499999999998</c:v>
                </c:pt>
                <c:pt idx="98">
                  <c:v>39.858400000000003</c:v>
                </c:pt>
                <c:pt idx="99">
                  <c:v>40.263300000000001</c:v>
                </c:pt>
                <c:pt idx="100">
                  <c:v>40.672499999999999</c:v>
                </c:pt>
                <c:pt idx="101">
                  <c:v>41.078099999999999</c:v>
                </c:pt>
                <c:pt idx="102">
                  <c:v>41.485300000000002</c:v>
                </c:pt>
                <c:pt idx="103">
                  <c:v>41.89</c:v>
                </c:pt>
                <c:pt idx="104">
                  <c:v>42.296999999999997</c:v>
                </c:pt>
                <c:pt idx="105">
                  <c:v>42.698799999999999</c:v>
                </c:pt>
                <c:pt idx="106">
                  <c:v>43.107700000000001</c:v>
                </c:pt>
                <c:pt idx="107">
                  <c:v>43.514600000000002</c:v>
                </c:pt>
                <c:pt idx="108">
                  <c:v>43.916499999999999</c:v>
                </c:pt>
                <c:pt idx="109">
                  <c:v>44.326799999999999</c:v>
                </c:pt>
                <c:pt idx="110">
                  <c:v>44.731299999999997</c:v>
                </c:pt>
                <c:pt idx="111">
                  <c:v>45.134300000000003</c:v>
                </c:pt>
                <c:pt idx="112">
                  <c:v>45.545400000000001</c:v>
                </c:pt>
                <c:pt idx="113">
                  <c:v>45.951099999999997</c:v>
                </c:pt>
                <c:pt idx="114">
                  <c:v>46.357100000000003</c:v>
                </c:pt>
                <c:pt idx="115">
                  <c:v>46.76</c:v>
                </c:pt>
                <c:pt idx="116">
                  <c:v>47.167999999999999</c:v>
                </c:pt>
                <c:pt idx="117">
                  <c:v>47.574800000000003</c:v>
                </c:pt>
                <c:pt idx="118">
                  <c:v>47.980699999999999</c:v>
                </c:pt>
                <c:pt idx="119">
                  <c:v>48.387599999999999</c:v>
                </c:pt>
                <c:pt idx="120">
                  <c:v>48.795499999999997</c:v>
                </c:pt>
                <c:pt idx="121">
                  <c:v>49.197600000000001</c:v>
                </c:pt>
                <c:pt idx="122">
                  <c:v>49.607500000000002</c:v>
                </c:pt>
                <c:pt idx="123">
                  <c:v>50.0122</c:v>
                </c:pt>
                <c:pt idx="124">
                  <c:v>50.421199999999999</c:v>
                </c:pt>
                <c:pt idx="125">
                  <c:v>50.826300000000003</c:v>
                </c:pt>
                <c:pt idx="126">
                  <c:v>51.232900000000001</c:v>
                </c:pt>
                <c:pt idx="127">
                  <c:v>51.6389</c:v>
                </c:pt>
                <c:pt idx="128">
                  <c:v>52.042999999999999</c:v>
                </c:pt>
                <c:pt idx="129">
                  <c:v>52.4482</c:v>
                </c:pt>
                <c:pt idx="130">
                  <c:v>52.859900000000003</c:v>
                </c:pt>
                <c:pt idx="131">
                  <c:v>53.263599999999997</c:v>
                </c:pt>
                <c:pt idx="132">
                  <c:v>53.667499999999997</c:v>
                </c:pt>
                <c:pt idx="133">
                  <c:v>54.073399999999999</c:v>
                </c:pt>
                <c:pt idx="134">
                  <c:v>54.4833</c:v>
                </c:pt>
                <c:pt idx="135">
                  <c:v>54.891199999999998</c:v>
                </c:pt>
                <c:pt idx="136">
                  <c:v>55.296100000000003</c:v>
                </c:pt>
                <c:pt idx="137">
                  <c:v>55.703000000000003</c:v>
                </c:pt>
                <c:pt idx="138">
                  <c:v>56.103999999999999</c:v>
                </c:pt>
                <c:pt idx="139">
                  <c:v>56.512900000000002</c:v>
                </c:pt>
                <c:pt idx="140">
                  <c:v>56.9208</c:v>
                </c:pt>
                <c:pt idx="141">
                  <c:v>57.3277</c:v>
                </c:pt>
                <c:pt idx="142">
                  <c:v>57.732599999999998</c:v>
                </c:pt>
                <c:pt idx="143">
                  <c:v>58.1355</c:v>
                </c:pt>
                <c:pt idx="144">
                  <c:v>58.547699999999999</c:v>
                </c:pt>
                <c:pt idx="145">
                  <c:v>58.952300000000001</c:v>
                </c:pt>
                <c:pt idx="146">
                  <c:v>59.361699999999999</c:v>
                </c:pt>
                <c:pt idx="147">
                  <c:v>59.765300000000003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  <c:pt idx="74">
                  <c:v>26.991199999999999</c:v>
                </c:pt>
                <c:pt idx="75">
                  <c:v>27.569700000000001</c:v>
                </c:pt>
                <c:pt idx="76">
                  <c:v>28.069199999999999</c:v>
                </c:pt>
                <c:pt idx="77">
                  <c:v>28.482299999999999</c:v>
                </c:pt>
                <c:pt idx="78">
                  <c:v>28.796699999999998</c:v>
                </c:pt>
                <c:pt idx="79">
                  <c:v>28.943100000000001</c:v>
                </c:pt>
                <c:pt idx="80">
                  <c:v>29.023199999999999</c:v>
                </c:pt>
                <c:pt idx="81">
                  <c:v>29.099799999999998</c:v>
                </c:pt>
                <c:pt idx="82">
                  <c:v>29.1798</c:v>
                </c:pt>
                <c:pt idx="83">
                  <c:v>29.2471</c:v>
                </c:pt>
                <c:pt idx="84">
                  <c:v>29.293400000000002</c:v>
                </c:pt>
                <c:pt idx="85">
                  <c:v>29.3201</c:v>
                </c:pt>
                <c:pt idx="86">
                  <c:v>29.317</c:v>
                </c:pt>
                <c:pt idx="87">
                  <c:v>29.360500000000002</c:v>
                </c:pt>
                <c:pt idx="88">
                  <c:v>29.490699999999997</c:v>
                </c:pt>
                <c:pt idx="89">
                  <c:v>29.679299999999998</c:v>
                </c:pt>
                <c:pt idx="90">
                  <c:v>29.839600000000001</c:v>
                </c:pt>
                <c:pt idx="91">
                  <c:v>29.982300000000002</c:v>
                </c:pt>
                <c:pt idx="92">
                  <c:v>30.115599999999997</c:v>
                </c:pt>
                <c:pt idx="93">
                  <c:v>30.2209</c:v>
                </c:pt>
                <c:pt idx="94">
                  <c:v>30.341200000000001</c:v>
                </c:pt>
                <c:pt idx="95">
                  <c:v>30.4741</c:v>
                </c:pt>
                <c:pt idx="96">
                  <c:v>30.554199999999998</c:v>
                </c:pt>
                <c:pt idx="97">
                  <c:v>30.5519</c:v>
                </c:pt>
                <c:pt idx="98">
                  <c:v>30.492100000000001</c:v>
                </c:pt>
                <c:pt idx="99">
                  <c:v>30.365500000000001</c:v>
                </c:pt>
                <c:pt idx="100">
                  <c:v>30.1387</c:v>
                </c:pt>
                <c:pt idx="101">
                  <c:v>29.856400000000001</c:v>
                </c:pt>
                <c:pt idx="102">
                  <c:v>29.546400000000002</c:v>
                </c:pt>
                <c:pt idx="103">
                  <c:v>29.271699999999999</c:v>
                </c:pt>
                <c:pt idx="104">
                  <c:v>29.101700000000001</c:v>
                </c:pt>
                <c:pt idx="105">
                  <c:v>29.000799999999998</c:v>
                </c:pt>
                <c:pt idx="106">
                  <c:v>28.932099999999998</c:v>
                </c:pt>
                <c:pt idx="107">
                  <c:v>28.966399999999997</c:v>
                </c:pt>
                <c:pt idx="108">
                  <c:v>29.083199999999998</c:v>
                </c:pt>
                <c:pt idx="109">
                  <c:v>29.394399999999997</c:v>
                </c:pt>
                <c:pt idx="110">
                  <c:v>29.8871</c:v>
                </c:pt>
                <c:pt idx="111">
                  <c:v>30.521799999999999</c:v>
                </c:pt>
                <c:pt idx="112">
                  <c:v>31.225199999999997</c:v>
                </c:pt>
                <c:pt idx="113">
                  <c:v>31.961200000000002</c:v>
                </c:pt>
                <c:pt idx="114">
                  <c:v>32.629100000000001</c:v>
                </c:pt>
                <c:pt idx="115">
                  <c:v>33.392200000000003</c:v>
                </c:pt>
                <c:pt idx="116">
                  <c:v>34.3003</c:v>
                </c:pt>
                <c:pt idx="117">
                  <c:v>35.086800000000004</c:v>
                </c:pt>
                <c:pt idx="118">
                  <c:v>35.774299999999997</c:v>
                </c:pt>
                <c:pt idx="119">
                  <c:v>36.3172</c:v>
                </c:pt>
                <c:pt idx="120">
                  <c:v>36.7455</c:v>
                </c:pt>
                <c:pt idx="121">
                  <c:v>37.108000000000004</c:v>
                </c:pt>
                <c:pt idx="122">
                  <c:v>37.454900000000002</c:v>
                </c:pt>
                <c:pt idx="123">
                  <c:v>37.878499999999995</c:v>
                </c:pt>
                <c:pt idx="124">
                  <c:v>38.070799999999998</c:v>
                </c:pt>
                <c:pt idx="125">
                  <c:v>38.270299999999999</c:v>
                </c:pt>
                <c:pt idx="126">
                  <c:v>38.498399999999997</c:v>
                </c:pt>
                <c:pt idx="127">
                  <c:v>38.809399999999997</c:v>
                </c:pt>
                <c:pt idx="128">
                  <c:v>39.155900000000003</c:v>
                </c:pt>
                <c:pt idx="129">
                  <c:v>39.459800000000001</c:v>
                </c:pt>
                <c:pt idx="130">
                  <c:v>39.664100000000005</c:v>
                </c:pt>
                <c:pt idx="131">
                  <c:v>39.842700000000001</c:v>
                </c:pt>
                <c:pt idx="132">
                  <c:v>39.982199999999999</c:v>
                </c:pt>
                <c:pt idx="133">
                  <c:v>40.105000000000004</c:v>
                </c:pt>
                <c:pt idx="134">
                  <c:v>40.119899999999994</c:v>
                </c:pt>
                <c:pt idx="135">
                  <c:v>40.063500000000005</c:v>
                </c:pt>
                <c:pt idx="136">
                  <c:v>40.037399999999998</c:v>
                </c:pt>
                <c:pt idx="137">
                  <c:v>40.0398</c:v>
                </c:pt>
                <c:pt idx="138">
                  <c:v>39.990700000000004</c:v>
                </c:pt>
                <c:pt idx="139">
                  <c:v>39.9651</c:v>
                </c:pt>
                <c:pt idx="140">
                  <c:v>39.889699999999998</c:v>
                </c:pt>
                <c:pt idx="141">
                  <c:v>39.6952</c:v>
                </c:pt>
                <c:pt idx="142">
                  <c:v>39.487499999999997</c:v>
                </c:pt>
                <c:pt idx="143">
                  <c:v>39.418700000000001</c:v>
                </c:pt>
                <c:pt idx="144">
                  <c:v>39.703099999999999</c:v>
                </c:pt>
                <c:pt idx="145">
                  <c:v>40.366900000000001</c:v>
                </c:pt>
                <c:pt idx="146">
                  <c:v>41.008899999999997</c:v>
                </c:pt>
                <c:pt idx="147">
                  <c:v>41.540500000000002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30.0626</c:v>
                </c:pt>
                <c:pt idx="2">
                  <c:v>30.5642</c:v>
                </c:pt>
                <c:pt idx="3">
                  <c:v>30.936299999999999</c:v>
                </c:pt>
                <c:pt idx="4">
                  <c:v>31.330200000000001</c:v>
                </c:pt>
                <c:pt idx="5">
                  <c:v>31.7331</c:v>
                </c:pt>
                <c:pt idx="6">
                  <c:v>32.139099999999999</c:v>
                </c:pt>
                <c:pt idx="7">
                  <c:v>32.550899999999999</c:v>
                </c:pt>
                <c:pt idx="8">
                  <c:v>32.948900000000002</c:v>
                </c:pt>
                <c:pt idx="9">
                  <c:v>33.357900000000001</c:v>
                </c:pt>
                <c:pt idx="10">
                  <c:v>33.761800000000001</c:v>
                </c:pt>
                <c:pt idx="11">
                  <c:v>34.169499999999999</c:v>
                </c:pt>
                <c:pt idx="12">
                  <c:v>34.573799999999999</c:v>
                </c:pt>
                <c:pt idx="13">
                  <c:v>34.979500000000002</c:v>
                </c:pt>
                <c:pt idx="14">
                  <c:v>35.387599999999999</c:v>
                </c:pt>
                <c:pt idx="15">
                  <c:v>35.796199999999999</c:v>
                </c:pt>
                <c:pt idx="16">
                  <c:v>36.197499999999998</c:v>
                </c:pt>
                <c:pt idx="17">
                  <c:v>36.603400000000001</c:v>
                </c:pt>
                <c:pt idx="18">
                  <c:v>37.014099999999999</c:v>
                </c:pt>
                <c:pt idx="19">
                  <c:v>37.417900000000003</c:v>
                </c:pt>
                <c:pt idx="20">
                  <c:v>37.826099999999997</c:v>
                </c:pt>
                <c:pt idx="21">
                  <c:v>38.2318</c:v>
                </c:pt>
                <c:pt idx="22">
                  <c:v>38.636600000000001</c:v>
                </c:pt>
                <c:pt idx="23">
                  <c:v>39.046599999999998</c:v>
                </c:pt>
                <c:pt idx="24">
                  <c:v>39.453499999999998</c:v>
                </c:pt>
                <c:pt idx="25">
                  <c:v>39.858400000000003</c:v>
                </c:pt>
                <c:pt idx="26">
                  <c:v>40.263300000000001</c:v>
                </c:pt>
                <c:pt idx="27">
                  <c:v>40.672499999999999</c:v>
                </c:pt>
                <c:pt idx="28">
                  <c:v>41.078099999999999</c:v>
                </c:pt>
                <c:pt idx="29">
                  <c:v>41.485300000000002</c:v>
                </c:pt>
                <c:pt idx="30">
                  <c:v>41.89</c:v>
                </c:pt>
                <c:pt idx="31">
                  <c:v>42.296999999999997</c:v>
                </c:pt>
                <c:pt idx="32">
                  <c:v>42.698799999999999</c:v>
                </c:pt>
                <c:pt idx="33">
                  <c:v>43.107700000000001</c:v>
                </c:pt>
                <c:pt idx="34">
                  <c:v>43.514600000000002</c:v>
                </c:pt>
                <c:pt idx="35">
                  <c:v>43.916499999999999</c:v>
                </c:pt>
                <c:pt idx="36">
                  <c:v>44.326799999999999</c:v>
                </c:pt>
                <c:pt idx="37">
                  <c:v>44.731299999999997</c:v>
                </c:pt>
                <c:pt idx="38">
                  <c:v>45.134300000000003</c:v>
                </c:pt>
                <c:pt idx="39">
                  <c:v>45.545400000000001</c:v>
                </c:pt>
                <c:pt idx="40">
                  <c:v>45.951099999999997</c:v>
                </c:pt>
                <c:pt idx="41">
                  <c:v>46.357100000000003</c:v>
                </c:pt>
                <c:pt idx="42">
                  <c:v>46.76</c:v>
                </c:pt>
                <c:pt idx="43">
                  <c:v>47.167999999999999</c:v>
                </c:pt>
                <c:pt idx="44">
                  <c:v>47.574800000000003</c:v>
                </c:pt>
                <c:pt idx="45">
                  <c:v>47.980699999999999</c:v>
                </c:pt>
                <c:pt idx="46">
                  <c:v>48.387599999999999</c:v>
                </c:pt>
                <c:pt idx="47">
                  <c:v>48.795499999999997</c:v>
                </c:pt>
                <c:pt idx="48">
                  <c:v>49.197600000000001</c:v>
                </c:pt>
                <c:pt idx="49">
                  <c:v>49.607500000000002</c:v>
                </c:pt>
                <c:pt idx="50">
                  <c:v>50.0122</c:v>
                </c:pt>
                <c:pt idx="51">
                  <c:v>50.421199999999999</c:v>
                </c:pt>
                <c:pt idx="52">
                  <c:v>50.826300000000003</c:v>
                </c:pt>
                <c:pt idx="53">
                  <c:v>51.232900000000001</c:v>
                </c:pt>
                <c:pt idx="54">
                  <c:v>51.6389</c:v>
                </c:pt>
                <c:pt idx="55">
                  <c:v>52.042999999999999</c:v>
                </c:pt>
                <c:pt idx="56">
                  <c:v>52.4482</c:v>
                </c:pt>
                <c:pt idx="57">
                  <c:v>52.859900000000003</c:v>
                </c:pt>
                <c:pt idx="58">
                  <c:v>53.263599999999997</c:v>
                </c:pt>
                <c:pt idx="59">
                  <c:v>53.667499999999997</c:v>
                </c:pt>
                <c:pt idx="60">
                  <c:v>54.073399999999999</c:v>
                </c:pt>
                <c:pt idx="61">
                  <c:v>54.4833</c:v>
                </c:pt>
                <c:pt idx="62">
                  <c:v>54.891199999999998</c:v>
                </c:pt>
                <c:pt idx="63">
                  <c:v>55.296100000000003</c:v>
                </c:pt>
                <c:pt idx="64">
                  <c:v>55.703000000000003</c:v>
                </c:pt>
                <c:pt idx="65">
                  <c:v>56.103999999999999</c:v>
                </c:pt>
                <c:pt idx="66">
                  <c:v>56.512900000000002</c:v>
                </c:pt>
                <c:pt idx="67">
                  <c:v>56.9208</c:v>
                </c:pt>
                <c:pt idx="68">
                  <c:v>57.3277</c:v>
                </c:pt>
                <c:pt idx="69">
                  <c:v>57.732599999999998</c:v>
                </c:pt>
                <c:pt idx="70">
                  <c:v>58.1355</c:v>
                </c:pt>
                <c:pt idx="71">
                  <c:v>58.547699999999999</c:v>
                </c:pt>
                <c:pt idx="72">
                  <c:v>58.952300000000001</c:v>
                </c:pt>
                <c:pt idx="73">
                  <c:v>59.361699999999999</c:v>
                </c:pt>
                <c:pt idx="74">
                  <c:v>59.765300000000003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26.349899999999998</c:v>
                </c:pt>
                <c:pt idx="1">
                  <c:v>26.991199999999999</c:v>
                </c:pt>
                <c:pt idx="2">
                  <c:v>27.569700000000001</c:v>
                </c:pt>
                <c:pt idx="3">
                  <c:v>28.069199999999999</c:v>
                </c:pt>
                <c:pt idx="4">
                  <c:v>28.482299999999999</c:v>
                </c:pt>
                <c:pt idx="5">
                  <c:v>28.796699999999998</c:v>
                </c:pt>
                <c:pt idx="6">
                  <c:v>28.943100000000001</c:v>
                </c:pt>
                <c:pt idx="7">
                  <c:v>29.023199999999999</c:v>
                </c:pt>
                <c:pt idx="8">
                  <c:v>29.099799999999998</c:v>
                </c:pt>
                <c:pt idx="9">
                  <c:v>29.1798</c:v>
                </c:pt>
                <c:pt idx="10">
                  <c:v>29.2471</c:v>
                </c:pt>
                <c:pt idx="11">
                  <c:v>29.293400000000002</c:v>
                </c:pt>
                <c:pt idx="12">
                  <c:v>29.3201</c:v>
                </c:pt>
                <c:pt idx="13">
                  <c:v>29.317</c:v>
                </c:pt>
                <c:pt idx="14">
                  <c:v>29.360500000000002</c:v>
                </c:pt>
                <c:pt idx="15">
                  <c:v>29.490699999999997</c:v>
                </c:pt>
                <c:pt idx="16">
                  <c:v>29.679299999999998</c:v>
                </c:pt>
                <c:pt idx="17">
                  <c:v>29.839600000000001</c:v>
                </c:pt>
                <c:pt idx="18">
                  <c:v>29.982300000000002</c:v>
                </c:pt>
                <c:pt idx="19">
                  <c:v>30.115599999999997</c:v>
                </c:pt>
                <c:pt idx="20">
                  <c:v>30.2209</c:v>
                </c:pt>
                <c:pt idx="21">
                  <c:v>30.341200000000001</c:v>
                </c:pt>
                <c:pt idx="22">
                  <c:v>30.4741</c:v>
                </c:pt>
                <c:pt idx="23">
                  <c:v>30.554199999999998</c:v>
                </c:pt>
                <c:pt idx="24">
                  <c:v>30.5519</c:v>
                </c:pt>
                <c:pt idx="25">
                  <c:v>30.492100000000001</c:v>
                </c:pt>
                <c:pt idx="26">
                  <c:v>30.365500000000001</c:v>
                </c:pt>
                <c:pt idx="27">
                  <c:v>30.1387</c:v>
                </c:pt>
                <c:pt idx="28">
                  <c:v>29.856400000000001</c:v>
                </c:pt>
                <c:pt idx="29">
                  <c:v>29.546400000000002</c:v>
                </c:pt>
                <c:pt idx="30">
                  <c:v>29.271699999999999</c:v>
                </c:pt>
                <c:pt idx="31">
                  <c:v>29.101700000000001</c:v>
                </c:pt>
                <c:pt idx="32">
                  <c:v>29.000799999999998</c:v>
                </c:pt>
                <c:pt idx="33">
                  <c:v>28.932099999999998</c:v>
                </c:pt>
                <c:pt idx="34">
                  <c:v>28.966399999999997</c:v>
                </c:pt>
                <c:pt idx="35">
                  <c:v>29.083199999999998</c:v>
                </c:pt>
                <c:pt idx="36">
                  <c:v>29.394399999999997</c:v>
                </c:pt>
                <c:pt idx="37">
                  <c:v>29.8871</c:v>
                </c:pt>
                <c:pt idx="38">
                  <c:v>30.521799999999999</c:v>
                </c:pt>
                <c:pt idx="39">
                  <c:v>31.225199999999997</c:v>
                </c:pt>
                <c:pt idx="40">
                  <c:v>31.961200000000002</c:v>
                </c:pt>
                <c:pt idx="41">
                  <c:v>32.629100000000001</c:v>
                </c:pt>
                <c:pt idx="42">
                  <c:v>33.392200000000003</c:v>
                </c:pt>
                <c:pt idx="43">
                  <c:v>34.3003</c:v>
                </c:pt>
                <c:pt idx="44">
                  <c:v>35.086800000000004</c:v>
                </c:pt>
                <c:pt idx="45">
                  <c:v>35.774299999999997</c:v>
                </c:pt>
                <c:pt idx="46">
                  <c:v>36.3172</c:v>
                </c:pt>
                <c:pt idx="47">
                  <c:v>36.7455</c:v>
                </c:pt>
                <c:pt idx="48">
                  <c:v>37.108000000000004</c:v>
                </c:pt>
                <c:pt idx="49">
                  <c:v>37.454900000000002</c:v>
                </c:pt>
                <c:pt idx="50">
                  <c:v>37.878499999999995</c:v>
                </c:pt>
                <c:pt idx="51">
                  <c:v>38.070799999999998</c:v>
                </c:pt>
                <c:pt idx="52">
                  <c:v>38.270299999999999</c:v>
                </c:pt>
                <c:pt idx="53">
                  <c:v>38.498399999999997</c:v>
                </c:pt>
                <c:pt idx="54">
                  <c:v>38.809399999999997</c:v>
                </c:pt>
                <c:pt idx="55">
                  <c:v>39.155900000000003</c:v>
                </c:pt>
                <c:pt idx="56">
                  <c:v>39.459800000000001</c:v>
                </c:pt>
                <c:pt idx="57">
                  <c:v>39.664100000000005</c:v>
                </c:pt>
                <c:pt idx="58">
                  <c:v>39.842700000000001</c:v>
                </c:pt>
                <c:pt idx="59">
                  <c:v>39.982199999999999</c:v>
                </c:pt>
                <c:pt idx="60">
                  <c:v>40.105000000000004</c:v>
                </c:pt>
                <c:pt idx="61">
                  <c:v>40.119899999999994</c:v>
                </c:pt>
                <c:pt idx="62">
                  <c:v>40.063500000000005</c:v>
                </c:pt>
                <c:pt idx="63">
                  <c:v>40.037399999999998</c:v>
                </c:pt>
                <c:pt idx="64">
                  <c:v>40.0398</c:v>
                </c:pt>
                <c:pt idx="65">
                  <c:v>39.990700000000004</c:v>
                </c:pt>
                <c:pt idx="66">
                  <c:v>39.9651</c:v>
                </c:pt>
                <c:pt idx="67">
                  <c:v>39.889699999999998</c:v>
                </c:pt>
                <c:pt idx="68">
                  <c:v>39.6952</c:v>
                </c:pt>
                <c:pt idx="69">
                  <c:v>39.487499999999997</c:v>
                </c:pt>
                <c:pt idx="70">
                  <c:v>39.418700000000001</c:v>
                </c:pt>
                <c:pt idx="71">
                  <c:v>39.703099999999999</c:v>
                </c:pt>
                <c:pt idx="72">
                  <c:v>40.366900000000001</c:v>
                </c:pt>
                <c:pt idx="73">
                  <c:v>41.008899999999997</c:v>
                </c:pt>
                <c:pt idx="74">
                  <c:v>41.540500000000002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14.941325000000001</c:v>
                </c:pt>
                <c:pt idx="1">
                  <c:v>44.823975000000004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31.281029729729738</c:v>
                </c:pt>
                <c:pt idx="1">
                  <c:v>33.669728378378366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53.4773</c:v>
                </c:pt>
                <c:pt idx="1">
                  <c:v>16.5185</c:v>
                </c:pt>
                <c:pt idx="2">
                  <c:v>23.308700000000002</c:v>
                </c:pt>
                <c:pt idx="3">
                  <c:v>28.357900000000001</c:v>
                </c:pt>
                <c:pt idx="4">
                  <c:v>36.466500000000003</c:v>
                </c:pt>
                <c:pt idx="5">
                  <c:v>86.402500000000003</c:v>
                </c:pt>
                <c:pt idx="6">
                  <c:v>30.9331</c:v>
                </c:pt>
                <c:pt idx="7">
                  <c:v>60.678899999999999</c:v>
                </c:pt>
                <c:pt idx="8">
                  <c:v>14.502599999999999</c:v>
                </c:pt>
                <c:pt idx="9">
                  <c:v>22.6037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58.1661</c:v>
                </c:pt>
                <c:pt idx="1">
                  <c:v>19.8569</c:v>
                </c:pt>
                <c:pt idx="2">
                  <c:v>26.970400000000001</c:v>
                </c:pt>
                <c:pt idx="3">
                  <c:v>33.703699999999998</c:v>
                </c:pt>
                <c:pt idx="4">
                  <c:v>40.384099999999997</c:v>
                </c:pt>
                <c:pt idx="5">
                  <c:v>84.058499999999995</c:v>
                </c:pt>
                <c:pt idx="6">
                  <c:v>30.633600000000001</c:v>
                </c:pt>
                <c:pt idx="7">
                  <c:v>62.162599999999998</c:v>
                </c:pt>
                <c:pt idx="8">
                  <c:v>14.2689</c:v>
                </c:pt>
                <c:pt idx="9">
                  <c:v>23.569500000000001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0.52267055922174888</c:v>
                </c:pt>
                <c:pt idx="1">
                  <c:v>0.29648012944857638</c:v>
                </c:pt>
                <c:pt idx="2">
                  <c:v>0.18084931132967472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164</c:v>
                </c:pt>
                <c:pt idx="7">
                  <c:v>0</c:v>
                </c:pt>
                <c:pt idx="8">
                  <c:v>188</c:v>
                </c:pt>
                <c:pt idx="9">
                  <c:v>0</c:v>
                </c:pt>
                <c:pt idx="10">
                  <c:v>0</c:v>
                </c:pt>
                <c:pt idx="11">
                  <c:v>435</c:v>
                </c:pt>
                <c:pt idx="12">
                  <c:v>0</c:v>
                </c:pt>
                <c:pt idx="13">
                  <c:v>959</c:v>
                </c:pt>
                <c:pt idx="14">
                  <c:v>0</c:v>
                </c:pt>
                <c:pt idx="15">
                  <c:v>0</c:v>
                </c:pt>
                <c:pt idx="16">
                  <c:v>3084</c:v>
                </c:pt>
                <c:pt idx="17">
                  <c:v>0</c:v>
                </c:pt>
                <c:pt idx="18">
                  <c:v>0</c:v>
                </c:pt>
                <c:pt idx="19">
                  <c:v>4443</c:v>
                </c:pt>
                <c:pt idx="20">
                  <c:v>0</c:v>
                </c:pt>
                <c:pt idx="21">
                  <c:v>5747</c:v>
                </c:pt>
                <c:pt idx="22">
                  <c:v>0</c:v>
                </c:pt>
                <c:pt idx="23">
                  <c:v>0</c:v>
                </c:pt>
                <c:pt idx="24">
                  <c:v>10582</c:v>
                </c:pt>
                <c:pt idx="25">
                  <c:v>0</c:v>
                </c:pt>
                <c:pt idx="26">
                  <c:v>17385</c:v>
                </c:pt>
                <c:pt idx="27">
                  <c:v>0</c:v>
                </c:pt>
                <c:pt idx="28">
                  <c:v>0</c:v>
                </c:pt>
                <c:pt idx="29">
                  <c:v>26326</c:v>
                </c:pt>
                <c:pt idx="30">
                  <c:v>0</c:v>
                </c:pt>
                <c:pt idx="31">
                  <c:v>31914</c:v>
                </c:pt>
                <c:pt idx="32">
                  <c:v>0</c:v>
                </c:pt>
                <c:pt idx="33">
                  <c:v>0</c:v>
                </c:pt>
                <c:pt idx="34">
                  <c:v>36780</c:v>
                </c:pt>
                <c:pt idx="35">
                  <c:v>0</c:v>
                </c:pt>
                <c:pt idx="36">
                  <c:v>0</c:v>
                </c:pt>
                <c:pt idx="37">
                  <c:v>49552</c:v>
                </c:pt>
                <c:pt idx="38">
                  <c:v>0</c:v>
                </c:pt>
                <c:pt idx="39">
                  <c:v>56584</c:v>
                </c:pt>
                <c:pt idx="40">
                  <c:v>0</c:v>
                </c:pt>
                <c:pt idx="41">
                  <c:v>0</c:v>
                </c:pt>
                <c:pt idx="42">
                  <c:v>64281</c:v>
                </c:pt>
                <c:pt idx="43">
                  <c:v>0</c:v>
                </c:pt>
                <c:pt idx="44">
                  <c:v>64296</c:v>
                </c:pt>
                <c:pt idx="45">
                  <c:v>0</c:v>
                </c:pt>
                <c:pt idx="46">
                  <c:v>0</c:v>
                </c:pt>
                <c:pt idx="47">
                  <c:v>69644</c:v>
                </c:pt>
                <c:pt idx="48">
                  <c:v>0</c:v>
                </c:pt>
                <c:pt idx="49">
                  <c:v>78375</c:v>
                </c:pt>
                <c:pt idx="50">
                  <c:v>0</c:v>
                </c:pt>
                <c:pt idx="51">
                  <c:v>0</c:v>
                </c:pt>
                <c:pt idx="52">
                  <c:v>94212</c:v>
                </c:pt>
                <c:pt idx="53">
                  <c:v>0</c:v>
                </c:pt>
                <c:pt idx="54">
                  <c:v>0</c:v>
                </c:pt>
                <c:pt idx="55">
                  <c:v>87443</c:v>
                </c:pt>
                <c:pt idx="56">
                  <c:v>0</c:v>
                </c:pt>
                <c:pt idx="57">
                  <c:v>96151</c:v>
                </c:pt>
                <c:pt idx="58">
                  <c:v>0</c:v>
                </c:pt>
                <c:pt idx="59">
                  <c:v>0</c:v>
                </c:pt>
                <c:pt idx="60">
                  <c:v>106516</c:v>
                </c:pt>
                <c:pt idx="61">
                  <c:v>0</c:v>
                </c:pt>
                <c:pt idx="62">
                  <c:v>111096</c:v>
                </c:pt>
                <c:pt idx="63">
                  <c:v>0</c:v>
                </c:pt>
                <c:pt idx="64">
                  <c:v>0</c:v>
                </c:pt>
                <c:pt idx="65">
                  <c:v>109501</c:v>
                </c:pt>
                <c:pt idx="66">
                  <c:v>0</c:v>
                </c:pt>
                <c:pt idx="67">
                  <c:v>116152</c:v>
                </c:pt>
                <c:pt idx="68">
                  <c:v>0</c:v>
                </c:pt>
                <c:pt idx="69">
                  <c:v>0</c:v>
                </c:pt>
                <c:pt idx="70">
                  <c:v>115834</c:v>
                </c:pt>
                <c:pt idx="71">
                  <c:v>0</c:v>
                </c:pt>
                <c:pt idx="72">
                  <c:v>0</c:v>
                </c:pt>
                <c:pt idx="73">
                  <c:v>118736</c:v>
                </c:pt>
                <c:pt idx="74">
                  <c:v>0</c:v>
                </c:pt>
                <c:pt idx="75">
                  <c:v>128692</c:v>
                </c:pt>
                <c:pt idx="76">
                  <c:v>0</c:v>
                </c:pt>
                <c:pt idx="77">
                  <c:v>0</c:v>
                </c:pt>
                <c:pt idx="78">
                  <c:v>128759</c:v>
                </c:pt>
                <c:pt idx="79">
                  <c:v>0</c:v>
                </c:pt>
                <c:pt idx="80">
                  <c:v>135098</c:v>
                </c:pt>
                <c:pt idx="81">
                  <c:v>0</c:v>
                </c:pt>
                <c:pt idx="82">
                  <c:v>0</c:v>
                </c:pt>
                <c:pt idx="83">
                  <c:v>154676</c:v>
                </c:pt>
                <c:pt idx="84">
                  <c:v>0</c:v>
                </c:pt>
                <c:pt idx="85">
                  <c:v>0</c:v>
                </c:pt>
                <c:pt idx="86">
                  <c:v>140763</c:v>
                </c:pt>
                <c:pt idx="87">
                  <c:v>0</c:v>
                </c:pt>
                <c:pt idx="88">
                  <c:v>146624</c:v>
                </c:pt>
                <c:pt idx="89">
                  <c:v>0</c:v>
                </c:pt>
                <c:pt idx="90">
                  <c:v>0</c:v>
                </c:pt>
                <c:pt idx="91">
                  <c:v>156784</c:v>
                </c:pt>
                <c:pt idx="92">
                  <c:v>0</c:v>
                </c:pt>
                <c:pt idx="93">
                  <c:v>148837</c:v>
                </c:pt>
                <c:pt idx="94">
                  <c:v>0</c:v>
                </c:pt>
                <c:pt idx="95">
                  <c:v>0</c:v>
                </c:pt>
                <c:pt idx="96">
                  <c:v>151043</c:v>
                </c:pt>
                <c:pt idx="97">
                  <c:v>0</c:v>
                </c:pt>
                <c:pt idx="98">
                  <c:v>149370</c:v>
                </c:pt>
                <c:pt idx="99">
                  <c:v>0</c:v>
                </c:pt>
                <c:pt idx="100">
                  <c:v>0</c:v>
                </c:pt>
                <c:pt idx="101">
                  <c:v>137130</c:v>
                </c:pt>
                <c:pt idx="102">
                  <c:v>0</c:v>
                </c:pt>
                <c:pt idx="103">
                  <c:v>0</c:v>
                </c:pt>
                <c:pt idx="104">
                  <c:v>128372</c:v>
                </c:pt>
                <c:pt idx="105">
                  <c:v>0</c:v>
                </c:pt>
                <c:pt idx="106">
                  <c:v>118574</c:v>
                </c:pt>
                <c:pt idx="107">
                  <c:v>0</c:v>
                </c:pt>
                <c:pt idx="108">
                  <c:v>0</c:v>
                </c:pt>
                <c:pt idx="109">
                  <c:v>126821</c:v>
                </c:pt>
                <c:pt idx="110">
                  <c:v>0</c:v>
                </c:pt>
                <c:pt idx="111">
                  <c:v>110497</c:v>
                </c:pt>
                <c:pt idx="112">
                  <c:v>0</c:v>
                </c:pt>
                <c:pt idx="113">
                  <c:v>0</c:v>
                </c:pt>
                <c:pt idx="114">
                  <c:v>98203</c:v>
                </c:pt>
                <c:pt idx="115">
                  <c:v>0</c:v>
                </c:pt>
                <c:pt idx="116">
                  <c:v>88618</c:v>
                </c:pt>
                <c:pt idx="117">
                  <c:v>0</c:v>
                </c:pt>
                <c:pt idx="118">
                  <c:v>0</c:v>
                </c:pt>
                <c:pt idx="119">
                  <c:v>80753</c:v>
                </c:pt>
                <c:pt idx="120">
                  <c:v>0</c:v>
                </c:pt>
                <c:pt idx="121">
                  <c:v>0</c:v>
                </c:pt>
                <c:pt idx="122">
                  <c:v>74045</c:v>
                </c:pt>
                <c:pt idx="123">
                  <c:v>0</c:v>
                </c:pt>
                <c:pt idx="124">
                  <c:v>72761</c:v>
                </c:pt>
                <c:pt idx="125">
                  <c:v>0</c:v>
                </c:pt>
                <c:pt idx="126">
                  <c:v>0</c:v>
                </c:pt>
                <c:pt idx="127">
                  <c:v>72710</c:v>
                </c:pt>
                <c:pt idx="128">
                  <c:v>0</c:v>
                </c:pt>
                <c:pt idx="129">
                  <c:v>76476</c:v>
                </c:pt>
                <c:pt idx="130">
                  <c:v>0</c:v>
                </c:pt>
                <c:pt idx="131">
                  <c:v>0</c:v>
                </c:pt>
                <c:pt idx="132">
                  <c:v>82939</c:v>
                </c:pt>
                <c:pt idx="133">
                  <c:v>0</c:v>
                </c:pt>
                <c:pt idx="134">
                  <c:v>92275</c:v>
                </c:pt>
                <c:pt idx="135">
                  <c:v>0</c:v>
                </c:pt>
                <c:pt idx="136">
                  <c:v>0</c:v>
                </c:pt>
                <c:pt idx="137">
                  <c:v>86633</c:v>
                </c:pt>
                <c:pt idx="138">
                  <c:v>0</c:v>
                </c:pt>
                <c:pt idx="139">
                  <c:v>0</c:v>
                </c:pt>
                <c:pt idx="140">
                  <c:v>96224</c:v>
                </c:pt>
                <c:pt idx="141">
                  <c:v>0</c:v>
                </c:pt>
                <c:pt idx="142">
                  <c:v>111433</c:v>
                </c:pt>
                <c:pt idx="143">
                  <c:v>0</c:v>
                </c:pt>
                <c:pt idx="144">
                  <c:v>0</c:v>
                </c:pt>
                <c:pt idx="145">
                  <c:v>142466</c:v>
                </c:pt>
                <c:pt idx="146">
                  <c:v>0</c:v>
                </c:pt>
                <c:pt idx="147">
                  <c:v>169229</c:v>
                </c:pt>
                <c:pt idx="148">
                  <c:v>0</c:v>
                </c:pt>
                <c:pt idx="149">
                  <c:v>0</c:v>
                </c:pt>
                <c:pt idx="150">
                  <c:v>178581</c:v>
                </c:pt>
                <c:pt idx="151">
                  <c:v>0</c:v>
                </c:pt>
                <c:pt idx="152">
                  <c:v>183460</c:v>
                </c:pt>
                <c:pt idx="153">
                  <c:v>0</c:v>
                </c:pt>
                <c:pt idx="154">
                  <c:v>0</c:v>
                </c:pt>
                <c:pt idx="155">
                  <c:v>169271</c:v>
                </c:pt>
                <c:pt idx="156">
                  <c:v>0</c:v>
                </c:pt>
                <c:pt idx="157">
                  <c:v>0</c:v>
                </c:pt>
                <c:pt idx="158">
                  <c:v>150884</c:v>
                </c:pt>
                <c:pt idx="159">
                  <c:v>0</c:v>
                </c:pt>
                <c:pt idx="160">
                  <c:v>123690</c:v>
                </c:pt>
                <c:pt idx="161">
                  <c:v>0</c:v>
                </c:pt>
                <c:pt idx="162">
                  <c:v>0</c:v>
                </c:pt>
                <c:pt idx="163">
                  <c:v>138818</c:v>
                </c:pt>
                <c:pt idx="164">
                  <c:v>0</c:v>
                </c:pt>
                <c:pt idx="165">
                  <c:v>132843</c:v>
                </c:pt>
                <c:pt idx="166">
                  <c:v>0</c:v>
                </c:pt>
                <c:pt idx="167">
                  <c:v>0</c:v>
                </c:pt>
                <c:pt idx="168">
                  <c:v>105293</c:v>
                </c:pt>
                <c:pt idx="169">
                  <c:v>0</c:v>
                </c:pt>
                <c:pt idx="170">
                  <c:v>0</c:v>
                </c:pt>
                <c:pt idx="171">
                  <c:v>68539</c:v>
                </c:pt>
                <c:pt idx="172">
                  <c:v>0</c:v>
                </c:pt>
                <c:pt idx="173">
                  <c:v>45235</c:v>
                </c:pt>
                <c:pt idx="174">
                  <c:v>0</c:v>
                </c:pt>
                <c:pt idx="175">
                  <c:v>0</c:v>
                </c:pt>
                <c:pt idx="176">
                  <c:v>22756</c:v>
                </c:pt>
                <c:pt idx="177">
                  <c:v>0</c:v>
                </c:pt>
                <c:pt idx="178">
                  <c:v>7373</c:v>
                </c:pt>
                <c:pt idx="179">
                  <c:v>0</c:v>
                </c:pt>
                <c:pt idx="180">
                  <c:v>0</c:v>
                </c:pt>
                <c:pt idx="181">
                  <c:v>2758</c:v>
                </c:pt>
                <c:pt idx="182">
                  <c:v>0</c:v>
                </c:pt>
                <c:pt idx="183">
                  <c:v>2630</c:v>
                </c:pt>
                <c:pt idx="184">
                  <c:v>0</c:v>
                </c:pt>
                <c:pt idx="185">
                  <c:v>0</c:v>
                </c:pt>
                <c:pt idx="186">
                  <c:v>1512</c:v>
                </c:pt>
                <c:pt idx="187">
                  <c:v>0</c:v>
                </c:pt>
                <c:pt idx="188">
                  <c:v>0</c:v>
                </c:pt>
                <c:pt idx="189">
                  <c:v>1379</c:v>
                </c:pt>
                <c:pt idx="190">
                  <c:v>0</c:v>
                </c:pt>
                <c:pt idx="191">
                  <c:v>328</c:v>
                </c:pt>
                <c:pt idx="192">
                  <c:v>0</c:v>
                </c:pt>
                <c:pt idx="193">
                  <c:v>0</c:v>
                </c:pt>
                <c:pt idx="194">
                  <c:v>436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347</c:v>
                </c:pt>
                <c:pt idx="7">
                  <c:v>0</c:v>
                </c:pt>
                <c:pt idx="8">
                  <c:v>313</c:v>
                </c:pt>
                <c:pt idx="9">
                  <c:v>0</c:v>
                </c:pt>
                <c:pt idx="10">
                  <c:v>0</c:v>
                </c:pt>
                <c:pt idx="11">
                  <c:v>262</c:v>
                </c:pt>
                <c:pt idx="12">
                  <c:v>0</c:v>
                </c:pt>
                <c:pt idx="13">
                  <c:v>391</c:v>
                </c:pt>
                <c:pt idx="14">
                  <c:v>0</c:v>
                </c:pt>
                <c:pt idx="15">
                  <c:v>0</c:v>
                </c:pt>
                <c:pt idx="16">
                  <c:v>762</c:v>
                </c:pt>
                <c:pt idx="17">
                  <c:v>0</c:v>
                </c:pt>
                <c:pt idx="18">
                  <c:v>0</c:v>
                </c:pt>
                <c:pt idx="19">
                  <c:v>1289</c:v>
                </c:pt>
                <c:pt idx="20">
                  <c:v>0</c:v>
                </c:pt>
                <c:pt idx="21">
                  <c:v>1548</c:v>
                </c:pt>
                <c:pt idx="22">
                  <c:v>0</c:v>
                </c:pt>
                <c:pt idx="23">
                  <c:v>0</c:v>
                </c:pt>
                <c:pt idx="24">
                  <c:v>3462</c:v>
                </c:pt>
                <c:pt idx="25">
                  <c:v>0</c:v>
                </c:pt>
                <c:pt idx="26">
                  <c:v>3650</c:v>
                </c:pt>
                <c:pt idx="27">
                  <c:v>0</c:v>
                </c:pt>
                <c:pt idx="28">
                  <c:v>0</c:v>
                </c:pt>
                <c:pt idx="29">
                  <c:v>3277</c:v>
                </c:pt>
                <c:pt idx="30">
                  <c:v>0</c:v>
                </c:pt>
                <c:pt idx="31">
                  <c:v>6464</c:v>
                </c:pt>
                <c:pt idx="32">
                  <c:v>0</c:v>
                </c:pt>
                <c:pt idx="33">
                  <c:v>0</c:v>
                </c:pt>
                <c:pt idx="34">
                  <c:v>10888</c:v>
                </c:pt>
                <c:pt idx="35">
                  <c:v>0</c:v>
                </c:pt>
                <c:pt idx="36">
                  <c:v>0</c:v>
                </c:pt>
                <c:pt idx="37">
                  <c:v>13401</c:v>
                </c:pt>
                <c:pt idx="38">
                  <c:v>0</c:v>
                </c:pt>
                <c:pt idx="39">
                  <c:v>23089</c:v>
                </c:pt>
                <c:pt idx="40">
                  <c:v>0</c:v>
                </c:pt>
                <c:pt idx="41">
                  <c:v>0</c:v>
                </c:pt>
                <c:pt idx="42">
                  <c:v>29646</c:v>
                </c:pt>
                <c:pt idx="43">
                  <c:v>0</c:v>
                </c:pt>
                <c:pt idx="44">
                  <c:v>32146</c:v>
                </c:pt>
                <c:pt idx="45">
                  <c:v>0</c:v>
                </c:pt>
                <c:pt idx="46">
                  <c:v>0</c:v>
                </c:pt>
                <c:pt idx="47">
                  <c:v>42620</c:v>
                </c:pt>
                <c:pt idx="48">
                  <c:v>0</c:v>
                </c:pt>
                <c:pt idx="49">
                  <c:v>53068</c:v>
                </c:pt>
                <c:pt idx="50">
                  <c:v>0</c:v>
                </c:pt>
                <c:pt idx="51">
                  <c:v>0</c:v>
                </c:pt>
                <c:pt idx="52">
                  <c:v>67978</c:v>
                </c:pt>
                <c:pt idx="53">
                  <c:v>0</c:v>
                </c:pt>
                <c:pt idx="54">
                  <c:v>0</c:v>
                </c:pt>
                <c:pt idx="55">
                  <c:v>77328</c:v>
                </c:pt>
                <c:pt idx="56">
                  <c:v>0</c:v>
                </c:pt>
                <c:pt idx="57">
                  <c:v>82414</c:v>
                </c:pt>
                <c:pt idx="58">
                  <c:v>0</c:v>
                </c:pt>
                <c:pt idx="59">
                  <c:v>0</c:v>
                </c:pt>
                <c:pt idx="60">
                  <c:v>81877</c:v>
                </c:pt>
                <c:pt idx="61">
                  <c:v>0</c:v>
                </c:pt>
                <c:pt idx="62">
                  <c:v>96706</c:v>
                </c:pt>
                <c:pt idx="63">
                  <c:v>0</c:v>
                </c:pt>
                <c:pt idx="64">
                  <c:v>0</c:v>
                </c:pt>
                <c:pt idx="65">
                  <c:v>90078</c:v>
                </c:pt>
                <c:pt idx="66">
                  <c:v>0</c:v>
                </c:pt>
                <c:pt idx="67">
                  <c:v>95849</c:v>
                </c:pt>
                <c:pt idx="68">
                  <c:v>0</c:v>
                </c:pt>
                <c:pt idx="69">
                  <c:v>0</c:v>
                </c:pt>
                <c:pt idx="70">
                  <c:v>112273</c:v>
                </c:pt>
                <c:pt idx="71">
                  <c:v>0</c:v>
                </c:pt>
                <c:pt idx="72">
                  <c:v>0</c:v>
                </c:pt>
                <c:pt idx="73">
                  <c:v>131386</c:v>
                </c:pt>
                <c:pt idx="74">
                  <c:v>0</c:v>
                </c:pt>
                <c:pt idx="75">
                  <c:v>134000</c:v>
                </c:pt>
                <c:pt idx="76">
                  <c:v>0</c:v>
                </c:pt>
                <c:pt idx="77">
                  <c:v>0</c:v>
                </c:pt>
                <c:pt idx="78">
                  <c:v>133703</c:v>
                </c:pt>
                <c:pt idx="79">
                  <c:v>0</c:v>
                </c:pt>
                <c:pt idx="80">
                  <c:v>124518</c:v>
                </c:pt>
                <c:pt idx="81">
                  <c:v>0</c:v>
                </c:pt>
                <c:pt idx="82">
                  <c:v>0</c:v>
                </c:pt>
                <c:pt idx="83">
                  <c:v>122000</c:v>
                </c:pt>
                <c:pt idx="84">
                  <c:v>0</c:v>
                </c:pt>
                <c:pt idx="85">
                  <c:v>0</c:v>
                </c:pt>
                <c:pt idx="86">
                  <c:v>136989</c:v>
                </c:pt>
                <c:pt idx="87">
                  <c:v>0</c:v>
                </c:pt>
                <c:pt idx="88">
                  <c:v>128522</c:v>
                </c:pt>
                <c:pt idx="89">
                  <c:v>0</c:v>
                </c:pt>
                <c:pt idx="90">
                  <c:v>0</c:v>
                </c:pt>
                <c:pt idx="91">
                  <c:v>147005</c:v>
                </c:pt>
                <c:pt idx="92">
                  <c:v>0</c:v>
                </c:pt>
                <c:pt idx="93">
                  <c:v>144400</c:v>
                </c:pt>
                <c:pt idx="94">
                  <c:v>0</c:v>
                </c:pt>
                <c:pt idx="95">
                  <c:v>0</c:v>
                </c:pt>
                <c:pt idx="96">
                  <c:v>144302</c:v>
                </c:pt>
                <c:pt idx="97">
                  <c:v>0</c:v>
                </c:pt>
                <c:pt idx="98">
                  <c:v>147229</c:v>
                </c:pt>
                <c:pt idx="99">
                  <c:v>0</c:v>
                </c:pt>
                <c:pt idx="100">
                  <c:v>0</c:v>
                </c:pt>
                <c:pt idx="101">
                  <c:v>129928</c:v>
                </c:pt>
                <c:pt idx="102">
                  <c:v>0</c:v>
                </c:pt>
                <c:pt idx="103">
                  <c:v>0</c:v>
                </c:pt>
                <c:pt idx="104">
                  <c:v>120384</c:v>
                </c:pt>
                <c:pt idx="105">
                  <c:v>0</c:v>
                </c:pt>
                <c:pt idx="106">
                  <c:v>118333</c:v>
                </c:pt>
                <c:pt idx="107">
                  <c:v>0</c:v>
                </c:pt>
                <c:pt idx="108">
                  <c:v>0</c:v>
                </c:pt>
                <c:pt idx="109">
                  <c:v>120284</c:v>
                </c:pt>
                <c:pt idx="110">
                  <c:v>0</c:v>
                </c:pt>
                <c:pt idx="111">
                  <c:v>120387</c:v>
                </c:pt>
                <c:pt idx="112">
                  <c:v>0</c:v>
                </c:pt>
                <c:pt idx="113">
                  <c:v>0</c:v>
                </c:pt>
                <c:pt idx="114">
                  <c:v>125975</c:v>
                </c:pt>
                <c:pt idx="115">
                  <c:v>0</c:v>
                </c:pt>
                <c:pt idx="116">
                  <c:v>147039</c:v>
                </c:pt>
                <c:pt idx="117">
                  <c:v>0</c:v>
                </c:pt>
                <c:pt idx="118">
                  <c:v>0</c:v>
                </c:pt>
                <c:pt idx="119">
                  <c:v>156329</c:v>
                </c:pt>
                <c:pt idx="120">
                  <c:v>0</c:v>
                </c:pt>
                <c:pt idx="121">
                  <c:v>0</c:v>
                </c:pt>
                <c:pt idx="122">
                  <c:v>173935</c:v>
                </c:pt>
                <c:pt idx="123">
                  <c:v>0</c:v>
                </c:pt>
                <c:pt idx="124">
                  <c:v>177268</c:v>
                </c:pt>
                <c:pt idx="125">
                  <c:v>0</c:v>
                </c:pt>
                <c:pt idx="126">
                  <c:v>0</c:v>
                </c:pt>
                <c:pt idx="127">
                  <c:v>175987</c:v>
                </c:pt>
                <c:pt idx="128">
                  <c:v>0</c:v>
                </c:pt>
                <c:pt idx="129">
                  <c:v>169355</c:v>
                </c:pt>
                <c:pt idx="130">
                  <c:v>0</c:v>
                </c:pt>
                <c:pt idx="131">
                  <c:v>0</c:v>
                </c:pt>
                <c:pt idx="132">
                  <c:v>152120</c:v>
                </c:pt>
                <c:pt idx="133">
                  <c:v>0</c:v>
                </c:pt>
                <c:pt idx="134">
                  <c:v>145761</c:v>
                </c:pt>
                <c:pt idx="135">
                  <c:v>0</c:v>
                </c:pt>
                <c:pt idx="136">
                  <c:v>0</c:v>
                </c:pt>
                <c:pt idx="137">
                  <c:v>143877</c:v>
                </c:pt>
                <c:pt idx="138">
                  <c:v>0</c:v>
                </c:pt>
                <c:pt idx="139">
                  <c:v>0</c:v>
                </c:pt>
                <c:pt idx="140">
                  <c:v>135938</c:v>
                </c:pt>
                <c:pt idx="141">
                  <c:v>0</c:v>
                </c:pt>
                <c:pt idx="142">
                  <c:v>141722</c:v>
                </c:pt>
                <c:pt idx="143">
                  <c:v>0</c:v>
                </c:pt>
                <c:pt idx="144">
                  <c:v>0</c:v>
                </c:pt>
                <c:pt idx="145">
                  <c:v>144385</c:v>
                </c:pt>
                <c:pt idx="146">
                  <c:v>0</c:v>
                </c:pt>
                <c:pt idx="147">
                  <c:v>152681</c:v>
                </c:pt>
                <c:pt idx="148">
                  <c:v>0</c:v>
                </c:pt>
                <c:pt idx="149">
                  <c:v>0</c:v>
                </c:pt>
                <c:pt idx="150">
                  <c:v>152291</c:v>
                </c:pt>
                <c:pt idx="151">
                  <c:v>0</c:v>
                </c:pt>
                <c:pt idx="152">
                  <c:v>155897</c:v>
                </c:pt>
                <c:pt idx="153">
                  <c:v>0</c:v>
                </c:pt>
                <c:pt idx="154">
                  <c:v>0</c:v>
                </c:pt>
                <c:pt idx="155">
                  <c:v>154919</c:v>
                </c:pt>
                <c:pt idx="156">
                  <c:v>0</c:v>
                </c:pt>
                <c:pt idx="157">
                  <c:v>0</c:v>
                </c:pt>
                <c:pt idx="158">
                  <c:v>175228</c:v>
                </c:pt>
                <c:pt idx="159">
                  <c:v>0</c:v>
                </c:pt>
                <c:pt idx="160">
                  <c:v>195599</c:v>
                </c:pt>
                <c:pt idx="161">
                  <c:v>0</c:v>
                </c:pt>
                <c:pt idx="162">
                  <c:v>0</c:v>
                </c:pt>
                <c:pt idx="163">
                  <c:v>205000</c:v>
                </c:pt>
                <c:pt idx="164">
                  <c:v>0</c:v>
                </c:pt>
                <c:pt idx="165">
                  <c:v>184835</c:v>
                </c:pt>
                <c:pt idx="166">
                  <c:v>0</c:v>
                </c:pt>
                <c:pt idx="167">
                  <c:v>0</c:v>
                </c:pt>
                <c:pt idx="168">
                  <c:v>154084</c:v>
                </c:pt>
                <c:pt idx="169">
                  <c:v>0</c:v>
                </c:pt>
                <c:pt idx="170">
                  <c:v>0</c:v>
                </c:pt>
                <c:pt idx="171">
                  <c:v>118729</c:v>
                </c:pt>
                <c:pt idx="172">
                  <c:v>0</c:v>
                </c:pt>
                <c:pt idx="173">
                  <c:v>86884</c:v>
                </c:pt>
                <c:pt idx="174">
                  <c:v>0</c:v>
                </c:pt>
                <c:pt idx="175">
                  <c:v>0</c:v>
                </c:pt>
                <c:pt idx="176">
                  <c:v>59454</c:v>
                </c:pt>
                <c:pt idx="177">
                  <c:v>0</c:v>
                </c:pt>
                <c:pt idx="178">
                  <c:v>38803</c:v>
                </c:pt>
                <c:pt idx="179">
                  <c:v>0</c:v>
                </c:pt>
                <c:pt idx="180">
                  <c:v>0</c:v>
                </c:pt>
                <c:pt idx="181">
                  <c:v>19358</c:v>
                </c:pt>
                <c:pt idx="182">
                  <c:v>0</c:v>
                </c:pt>
                <c:pt idx="183">
                  <c:v>13661</c:v>
                </c:pt>
                <c:pt idx="184">
                  <c:v>0</c:v>
                </c:pt>
                <c:pt idx="185">
                  <c:v>0</c:v>
                </c:pt>
                <c:pt idx="186">
                  <c:v>5562</c:v>
                </c:pt>
                <c:pt idx="187">
                  <c:v>0</c:v>
                </c:pt>
                <c:pt idx="188">
                  <c:v>0</c:v>
                </c:pt>
                <c:pt idx="189">
                  <c:v>1666</c:v>
                </c:pt>
                <c:pt idx="190">
                  <c:v>0</c:v>
                </c:pt>
                <c:pt idx="191">
                  <c:v>489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0.31309946077159606</c:v>
                </c:pt>
                <c:pt idx="1">
                  <c:v>0.40720794425671542</c:v>
                </c:pt>
                <c:pt idx="2">
                  <c:v>0.27969259497168864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0.50331883190647542</c:v>
                </c:pt>
                <c:pt idx="1">
                  <c:v>0.32134619764432321</c:v>
                </c:pt>
                <c:pt idx="2">
                  <c:v>0.17533497044920135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8.3857049999999997</c:v>
                </c:pt>
                <c:pt idx="1">
                  <c:v>17.656679999999998</c:v>
                </c:pt>
                <c:pt idx="2">
                  <c:v>27.690849999999998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  <c:pt idx="74">
                  <c:v>30.0626</c:v>
                </c:pt>
                <c:pt idx="75">
                  <c:v>30.5642</c:v>
                </c:pt>
                <c:pt idx="76">
                  <c:v>30.936299999999999</c:v>
                </c:pt>
                <c:pt idx="77">
                  <c:v>31.330200000000001</c:v>
                </c:pt>
                <c:pt idx="78">
                  <c:v>31.7331</c:v>
                </c:pt>
                <c:pt idx="79">
                  <c:v>32.139099999999999</c:v>
                </c:pt>
                <c:pt idx="80">
                  <c:v>32.550899999999999</c:v>
                </c:pt>
                <c:pt idx="81">
                  <c:v>32.948900000000002</c:v>
                </c:pt>
                <c:pt idx="82">
                  <c:v>33.357900000000001</c:v>
                </c:pt>
                <c:pt idx="83">
                  <c:v>33.761800000000001</c:v>
                </c:pt>
                <c:pt idx="84">
                  <c:v>34.169499999999999</c:v>
                </c:pt>
                <c:pt idx="85">
                  <c:v>34.573799999999999</c:v>
                </c:pt>
                <c:pt idx="86">
                  <c:v>34.979500000000002</c:v>
                </c:pt>
                <c:pt idx="87">
                  <c:v>35.387599999999999</c:v>
                </c:pt>
                <c:pt idx="88">
                  <c:v>35.796199999999999</c:v>
                </c:pt>
                <c:pt idx="89">
                  <c:v>36.197499999999998</c:v>
                </c:pt>
                <c:pt idx="90">
                  <c:v>36.603400000000001</c:v>
                </c:pt>
                <c:pt idx="91">
                  <c:v>37.014099999999999</c:v>
                </c:pt>
                <c:pt idx="92">
                  <c:v>37.417900000000003</c:v>
                </c:pt>
                <c:pt idx="93">
                  <c:v>37.826099999999997</c:v>
                </c:pt>
                <c:pt idx="94">
                  <c:v>38.2318</c:v>
                </c:pt>
                <c:pt idx="95">
                  <c:v>38.636600000000001</c:v>
                </c:pt>
                <c:pt idx="96">
                  <c:v>39.046599999999998</c:v>
                </c:pt>
                <c:pt idx="97">
                  <c:v>39.453499999999998</c:v>
                </c:pt>
                <c:pt idx="98">
                  <c:v>39.858400000000003</c:v>
                </c:pt>
                <c:pt idx="99">
                  <c:v>40.263300000000001</c:v>
                </c:pt>
                <c:pt idx="100">
                  <c:v>40.672499999999999</c:v>
                </c:pt>
                <c:pt idx="101">
                  <c:v>41.078099999999999</c:v>
                </c:pt>
                <c:pt idx="102">
                  <c:v>41.485300000000002</c:v>
                </c:pt>
                <c:pt idx="103">
                  <c:v>41.89</c:v>
                </c:pt>
                <c:pt idx="104">
                  <c:v>42.296999999999997</c:v>
                </c:pt>
                <c:pt idx="105">
                  <c:v>42.698799999999999</c:v>
                </c:pt>
                <c:pt idx="106">
                  <c:v>43.107700000000001</c:v>
                </c:pt>
                <c:pt idx="107">
                  <c:v>43.514600000000002</c:v>
                </c:pt>
                <c:pt idx="108">
                  <c:v>43.916499999999999</c:v>
                </c:pt>
                <c:pt idx="109">
                  <c:v>44.326799999999999</c:v>
                </c:pt>
                <c:pt idx="110">
                  <c:v>44.731299999999997</c:v>
                </c:pt>
                <c:pt idx="111">
                  <c:v>45.134300000000003</c:v>
                </c:pt>
                <c:pt idx="112">
                  <c:v>45.545400000000001</c:v>
                </c:pt>
                <c:pt idx="113">
                  <c:v>45.951099999999997</c:v>
                </c:pt>
                <c:pt idx="114">
                  <c:v>46.357100000000003</c:v>
                </c:pt>
                <c:pt idx="115">
                  <c:v>46.76</c:v>
                </c:pt>
                <c:pt idx="116">
                  <c:v>47.167999999999999</c:v>
                </c:pt>
                <c:pt idx="117">
                  <c:v>47.574800000000003</c:v>
                </c:pt>
                <c:pt idx="118">
                  <c:v>47.980699999999999</c:v>
                </c:pt>
                <c:pt idx="119">
                  <c:v>48.387599999999999</c:v>
                </c:pt>
                <c:pt idx="120">
                  <c:v>48.795499999999997</c:v>
                </c:pt>
                <c:pt idx="121">
                  <c:v>49.197600000000001</c:v>
                </c:pt>
                <c:pt idx="122">
                  <c:v>49.607500000000002</c:v>
                </c:pt>
                <c:pt idx="123">
                  <c:v>50.0122</c:v>
                </c:pt>
                <c:pt idx="124">
                  <c:v>50.421199999999999</c:v>
                </c:pt>
                <c:pt idx="125">
                  <c:v>50.826300000000003</c:v>
                </c:pt>
                <c:pt idx="126">
                  <c:v>51.232900000000001</c:v>
                </c:pt>
                <c:pt idx="127">
                  <c:v>51.6389</c:v>
                </c:pt>
                <c:pt idx="128">
                  <c:v>52.042999999999999</c:v>
                </c:pt>
                <c:pt idx="129">
                  <c:v>52.4482</c:v>
                </c:pt>
                <c:pt idx="130">
                  <c:v>52.859900000000003</c:v>
                </c:pt>
                <c:pt idx="131">
                  <c:v>53.263599999999997</c:v>
                </c:pt>
                <c:pt idx="132">
                  <c:v>53.667499999999997</c:v>
                </c:pt>
                <c:pt idx="133">
                  <c:v>54.073399999999999</c:v>
                </c:pt>
                <c:pt idx="134">
                  <c:v>54.4833</c:v>
                </c:pt>
                <c:pt idx="135">
                  <c:v>54.891199999999998</c:v>
                </c:pt>
                <c:pt idx="136">
                  <c:v>55.296100000000003</c:v>
                </c:pt>
                <c:pt idx="137">
                  <c:v>55.703000000000003</c:v>
                </c:pt>
                <c:pt idx="138">
                  <c:v>56.103999999999999</c:v>
                </c:pt>
                <c:pt idx="139">
                  <c:v>56.512900000000002</c:v>
                </c:pt>
                <c:pt idx="140">
                  <c:v>56.9208</c:v>
                </c:pt>
                <c:pt idx="141">
                  <c:v>57.3277</c:v>
                </c:pt>
                <c:pt idx="142">
                  <c:v>57.732599999999998</c:v>
                </c:pt>
                <c:pt idx="143">
                  <c:v>58.1355</c:v>
                </c:pt>
                <c:pt idx="144">
                  <c:v>58.547699999999999</c:v>
                </c:pt>
                <c:pt idx="145">
                  <c:v>58.952300000000001</c:v>
                </c:pt>
                <c:pt idx="146">
                  <c:v>59.361699999999999</c:v>
                </c:pt>
                <c:pt idx="147">
                  <c:v>59.765300000000003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  <c:pt idx="74">
                  <c:v>4.5967599999999997</c:v>
                </c:pt>
                <c:pt idx="75">
                  <c:v>4.5984499999999997</c:v>
                </c:pt>
                <c:pt idx="76">
                  <c:v>4.6052400000000002</c:v>
                </c:pt>
                <c:pt idx="77">
                  <c:v>4.6179300000000003</c:v>
                </c:pt>
                <c:pt idx="78">
                  <c:v>4.6350199999999999</c:v>
                </c:pt>
                <c:pt idx="79">
                  <c:v>4.6568900000000006</c:v>
                </c:pt>
                <c:pt idx="80">
                  <c:v>4.6786399999999997</c:v>
                </c:pt>
                <c:pt idx="81">
                  <c:v>4.7027799999999997</c:v>
                </c:pt>
                <c:pt idx="82">
                  <c:v>4.7282200000000003</c:v>
                </c:pt>
                <c:pt idx="83">
                  <c:v>4.7533700000000003</c:v>
                </c:pt>
                <c:pt idx="84">
                  <c:v>4.7792300000000001</c:v>
                </c:pt>
                <c:pt idx="85">
                  <c:v>4.8067299999999999</c:v>
                </c:pt>
                <c:pt idx="86">
                  <c:v>4.8358299999999996</c:v>
                </c:pt>
                <c:pt idx="87">
                  <c:v>4.8623799999999999</c:v>
                </c:pt>
                <c:pt idx="88">
                  <c:v>4.8849999999999998</c:v>
                </c:pt>
                <c:pt idx="89">
                  <c:v>4.9049100000000001</c:v>
                </c:pt>
                <c:pt idx="90">
                  <c:v>4.9226399999999995</c:v>
                </c:pt>
                <c:pt idx="91">
                  <c:v>4.9375099999999996</c:v>
                </c:pt>
                <c:pt idx="92">
                  <c:v>4.94834</c:v>
                </c:pt>
                <c:pt idx="93">
                  <c:v>4.9553199999999995</c:v>
                </c:pt>
                <c:pt idx="94">
                  <c:v>4.9585400000000002</c:v>
                </c:pt>
                <c:pt idx="95">
                  <c:v>4.9603199999999994</c:v>
                </c:pt>
                <c:pt idx="96">
                  <c:v>4.9594100000000001</c:v>
                </c:pt>
                <c:pt idx="97">
                  <c:v>4.9547499999999998</c:v>
                </c:pt>
                <c:pt idx="98">
                  <c:v>4.9484699999999995</c:v>
                </c:pt>
                <c:pt idx="99">
                  <c:v>4.94055</c:v>
                </c:pt>
                <c:pt idx="100">
                  <c:v>4.9279099999999998</c:v>
                </c:pt>
                <c:pt idx="101">
                  <c:v>4.9101999999999997</c:v>
                </c:pt>
                <c:pt idx="102">
                  <c:v>4.8887199999999993</c:v>
                </c:pt>
                <c:pt idx="103">
                  <c:v>4.8630499999999994</c:v>
                </c:pt>
                <c:pt idx="104">
                  <c:v>4.8323900000000002</c:v>
                </c:pt>
                <c:pt idx="105">
                  <c:v>4.79948</c:v>
                </c:pt>
                <c:pt idx="106">
                  <c:v>4.7623999999999995</c:v>
                </c:pt>
                <c:pt idx="107">
                  <c:v>4.7208699999999997</c:v>
                </c:pt>
                <c:pt idx="108">
                  <c:v>4.67598</c:v>
                </c:pt>
                <c:pt idx="109">
                  <c:v>4.62554</c:v>
                </c:pt>
                <c:pt idx="110">
                  <c:v>4.57118</c:v>
                </c:pt>
                <c:pt idx="111">
                  <c:v>4.5130400000000002</c:v>
                </c:pt>
                <c:pt idx="112">
                  <c:v>4.45261</c:v>
                </c:pt>
                <c:pt idx="113">
                  <c:v>4.3938199999999998</c:v>
                </c:pt>
                <c:pt idx="114">
                  <c:v>4.3375900000000005</c:v>
                </c:pt>
                <c:pt idx="115">
                  <c:v>4.2806600000000001</c:v>
                </c:pt>
                <c:pt idx="116">
                  <c:v>4.22377</c:v>
                </c:pt>
                <c:pt idx="117">
                  <c:v>4.1701600000000001</c:v>
                </c:pt>
                <c:pt idx="118">
                  <c:v>4.1196299999999999</c:v>
                </c:pt>
                <c:pt idx="119">
                  <c:v>4.0742399999999996</c:v>
                </c:pt>
                <c:pt idx="120">
                  <c:v>4.0335799999999997</c:v>
                </c:pt>
                <c:pt idx="121">
                  <c:v>3.9961400000000005</c:v>
                </c:pt>
                <c:pt idx="122">
                  <c:v>3.9649400000000004</c:v>
                </c:pt>
                <c:pt idx="123">
                  <c:v>3.9369700000000001</c:v>
                </c:pt>
                <c:pt idx="124">
                  <c:v>3.9175399999999998</c:v>
                </c:pt>
                <c:pt idx="125">
                  <c:v>3.9026499999999995</c:v>
                </c:pt>
                <c:pt idx="126">
                  <c:v>3.8896999999999999</c:v>
                </c:pt>
                <c:pt idx="127">
                  <c:v>3.8757799999999998</c:v>
                </c:pt>
                <c:pt idx="128">
                  <c:v>3.8616000000000001</c:v>
                </c:pt>
                <c:pt idx="129">
                  <c:v>3.8477699999999997</c:v>
                </c:pt>
                <c:pt idx="130">
                  <c:v>3.8357900000000003</c:v>
                </c:pt>
                <c:pt idx="131">
                  <c:v>3.8256899999999998</c:v>
                </c:pt>
                <c:pt idx="132">
                  <c:v>3.81717</c:v>
                </c:pt>
                <c:pt idx="133">
                  <c:v>3.8096899999999998</c:v>
                </c:pt>
                <c:pt idx="134">
                  <c:v>3.80335</c:v>
                </c:pt>
                <c:pt idx="135">
                  <c:v>3.7953999999999999</c:v>
                </c:pt>
                <c:pt idx="136">
                  <c:v>3.7876500000000002</c:v>
                </c:pt>
                <c:pt idx="137">
                  <c:v>3.78186</c:v>
                </c:pt>
                <c:pt idx="138">
                  <c:v>3.77935</c:v>
                </c:pt>
                <c:pt idx="139">
                  <c:v>3.7788200000000001</c:v>
                </c:pt>
                <c:pt idx="140">
                  <c:v>3.7791299999999999</c:v>
                </c:pt>
                <c:pt idx="141">
                  <c:v>3.7810800000000002</c:v>
                </c:pt>
                <c:pt idx="142">
                  <c:v>3.7906299999999997</c:v>
                </c:pt>
                <c:pt idx="143">
                  <c:v>3.8059599999999998</c:v>
                </c:pt>
                <c:pt idx="144">
                  <c:v>3.8173300000000001</c:v>
                </c:pt>
                <c:pt idx="145">
                  <c:v>3.81481</c:v>
                </c:pt>
                <c:pt idx="146">
                  <c:v>3.8187900000000004</c:v>
                </c:pt>
                <c:pt idx="147">
                  <c:v>3.8213599999999999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30.0626</c:v>
                </c:pt>
                <c:pt idx="2">
                  <c:v>30.5642</c:v>
                </c:pt>
                <c:pt idx="3">
                  <c:v>30.936299999999999</c:v>
                </c:pt>
                <c:pt idx="4">
                  <c:v>31.330200000000001</c:v>
                </c:pt>
                <c:pt idx="5">
                  <c:v>31.7331</c:v>
                </c:pt>
                <c:pt idx="6">
                  <c:v>32.139099999999999</c:v>
                </c:pt>
                <c:pt idx="7">
                  <c:v>32.550899999999999</c:v>
                </c:pt>
                <c:pt idx="8">
                  <c:v>32.948900000000002</c:v>
                </c:pt>
                <c:pt idx="9">
                  <c:v>33.357900000000001</c:v>
                </c:pt>
                <c:pt idx="10">
                  <c:v>33.761800000000001</c:v>
                </c:pt>
                <c:pt idx="11">
                  <c:v>34.169499999999999</c:v>
                </c:pt>
                <c:pt idx="12">
                  <c:v>34.573799999999999</c:v>
                </c:pt>
                <c:pt idx="13">
                  <c:v>34.979500000000002</c:v>
                </c:pt>
                <c:pt idx="14">
                  <c:v>35.387599999999999</c:v>
                </c:pt>
                <c:pt idx="15">
                  <c:v>35.796199999999999</c:v>
                </c:pt>
                <c:pt idx="16">
                  <c:v>36.197499999999998</c:v>
                </c:pt>
                <c:pt idx="17">
                  <c:v>36.603400000000001</c:v>
                </c:pt>
                <c:pt idx="18">
                  <c:v>37.014099999999999</c:v>
                </c:pt>
                <c:pt idx="19">
                  <c:v>37.417900000000003</c:v>
                </c:pt>
                <c:pt idx="20">
                  <c:v>37.826099999999997</c:v>
                </c:pt>
                <c:pt idx="21">
                  <c:v>38.2318</c:v>
                </c:pt>
                <c:pt idx="22">
                  <c:v>38.636600000000001</c:v>
                </c:pt>
                <c:pt idx="23">
                  <c:v>39.046599999999998</c:v>
                </c:pt>
                <c:pt idx="24">
                  <c:v>39.453499999999998</c:v>
                </c:pt>
                <c:pt idx="25">
                  <c:v>39.858400000000003</c:v>
                </c:pt>
                <c:pt idx="26">
                  <c:v>40.263300000000001</c:v>
                </c:pt>
                <c:pt idx="27">
                  <c:v>40.672499999999999</c:v>
                </c:pt>
                <c:pt idx="28">
                  <c:v>41.078099999999999</c:v>
                </c:pt>
                <c:pt idx="29">
                  <c:v>41.485300000000002</c:v>
                </c:pt>
                <c:pt idx="30">
                  <c:v>41.89</c:v>
                </c:pt>
                <c:pt idx="31">
                  <c:v>42.296999999999997</c:v>
                </c:pt>
                <c:pt idx="32">
                  <c:v>42.698799999999999</c:v>
                </c:pt>
                <c:pt idx="33">
                  <c:v>43.107700000000001</c:v>
                </c:pt>
                <c:pt idx="34">
                  <c:v>43.514600000000002</c:v>
                </c:pt>
                <c:pt idx="35">
                  <c:v>43.916499999999999</c:v>
                </c:pt>
                <c:pt idx="36">
                  <c:v>44.326799999999999</c:v>
                </c:pt>
                <c:pt idx="37">
                  <c:v>44.731299999999997</c:v>
                </c:pt>
                <c:pt idx="38">
                  <c:v>45.134300000000003</c:v>
                </c:pt>
                <c:pt idx="39">
                  <c:v>45.545400000000001</c:v>
                </c:pt>
                <c:pt idx="40">
                  <c:v>45.951099999999997</c:v>
                </c:pt>
                <c:pt idx="41">
                  <c:v>46.357100000000003</c:v>
                </c:pt>
                <c:pt idx="42">
                  <c:v>46.76</c:v>
                </c:pt>
                <c:pt idx="43">
                  <c:v>47.167999999999999</c:v>
                </c:pt>
                <c:pt idx="44">
                  <c:v>47.574800000000003</c:v>
                </c:pt>
                <c:pt idx="45">
                  <c:v>47.980699999999999</c:v>
                </c:pt>
                <c:pt idx="46">
                  <c:v>48.387599999999999</c:v>
                </c:pt>
                <c:pt idx="47">
                  <c:v>48.795499999999997</c:v>
                </c:pt>
                <c:pt idx="48">
                  <c:v>49.197600000000001</c:v>
                </c:pt>
                <c:pt idx="49">
                  <c:v>49.607500000000002</c:v>
                </c:pt>
                <c:pt idx="50">
                  <c:v>50.0122</c:v>
                </c:pt>
                <c:pt idx="51">
                  <c:v>50.421199999999999</c:v>
                </c:pt>
                <c:pt idx="52">
                  <c:v>50.826300000000003</c:v>
                </c:pt>
                <c:pt idx="53">
                  <c:v>51.232900000000001</c:v>
                </c:pt>
                <c:pt idx="54">
                  <c:v>51.6389</c:v>
                </c:pt>
                <c:pt idx="55">
                  <c:v>52.042999999999999</c:v>
                </c:pt>
                <c:pt idx="56">
                  <c:v>52.4482</c:v>
                </c:pt>
                <c:pt idx="57">
                  <c:v>52.859900000000003</c:v>
                </c:pt>
                <c:pt idx="58">
                  <c:v>53.263599999999997</c:v>
                </c:pt>
                <c:pt idx="59">
                  <c:v>53.667499999999997</c:v>
                </c:pt>
                <c:pt idx="60">
                  <c:v>54.073399999999999</c:v>
                </c:pt>
                <c:pt idx="61">
                  <c:v>54.4833</c:v>
                </c:pt>
                <c:pt idx="62">
                  <c:v>54.891199999999998</c:v>
                </c:pt>
                <c:pt idx="63">
                  <c:v>55.296100000000003</c:v>
                </c:pt>
                <c:pt idx="64">
                  <c:v>55.703000000000003</c:v>
                </c:pt>
                <c:pt idx="65">
                  <c:v>56.103999999999999</c:v>
                </c:pt>
                <c:pt idx="66">
                  <c:v>56.512900000000002</c:v>
                </c:pt>
                <c:pt idx="67">
                  <c:v>56.9208</c:v>
                </c:pt>
                <c:pt idx="68">
                  <c:v>57.3277</c:v>
                </c:pt>
                <c:pt idx="69">
                  <c:v>57.732599999999998</c:v>
                </c:pt>
                <c:pt idx="70">
                  <c:v>58.1355</c:v>
                </c:pt>
                <c:pt idx="71">
                  <c:v>58.547699999999999</c:v>
                </c:pt>
                <c:pt idx="72">
                  <c:v>58.952300000000001</c:v>
                </c:pt>
                <c:pt idx="73">
                  <c:v>59.361699999999999</c:v>
                </c:pt>
                <c:pt idx="74">
                  <c:v>59.765300000000003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4.5979599999999996</c:v>
                </c:pt>
                <c:pt idx="1">
                  <c:v>4.5967599999999997</c:v>
                </c:pt>
                <c:pt idx="2">
                  <c:v>4.5984499999999997</c:v>
                </c:pt>
                <c:pt idx="3">
                  <c:v>4.6052400000000002</c:v>
                </c:pt>
                <c:pt idx="4">
                  <c:v>4.6179300000000003</c:v>
                </c:pt>
                <c:pt idx="5">
                  <c:v>4.6350199999999999</c:v>
                </c:pt>
                <c:pt idx="6">
                  <c:v>4.6568900000000006</c:v>
                </c:pt>
                <c:pt idx="7">
                  <c:v>4.6786399999999997</c:v>
                </c:pt>
                <c:pt idx="8">
                  <c:v>4.7027799999999997</c:v>
                </c:pt>
                <c:pt idx="9">
                  <c:v>4.7282200000000003</c:v>
                </c:pt>
                <c:pt idx="10">
                  <c:v>4.7533700000000003</c:v>
                </c:pt>
                <c:pt idx="11">
                  <c:v>4.7792300000000001</c:v>
                </c:pt>
                <c:pt idx="12">
                  <c:v>4.8067299999999999</c:v>
                </c:pt>
                <c:pt idx="13">
                  <c:v>4.8358299999999996</c:v>
                </c:pt>
                <c:pt idx="14">
                  <c:v>4.8623799999999999</c:v>
                </c:pt>
                <c:pt idx="15">
                  <c:v>4.8849999999999998</c:v>
                </c:pt>
                <c:pt idx="16">
                  <c:v>4.9049100000000001</c:v>
                </c:pt>
                <c:pt idx="17">
                  <c:v>4.9226399999999995</c:v>
                </c:pt>
                <c:pt idx="18">
                  <c:v>4.9375099999999996</c:v>
                </c:pt>
                <c:pt idx="19">
                  <c:v>4.94834</c:v>
                </c:pt>
                <c:pt idx="20">
                  <c:v>4.9553199999999995</c:v>
                </c:pt>
                <c:pt idx="21">
                  <c:v>4.9585400000000002</c:v>
                </c:pt>
                <c:pt idx="22">
                  <c:v>4.9603199999999994</c:v>
                </c:pt>
                <c:pt idx="23">
                  <c:v>4.9594100000000001</c:v>
                </c:pt>
                <c:pt idx="24">
                  <c:v>4.9547499999999998</c:v>
                </c:pt>
                <c:pt idx="25">
                  <c:v>4.9484699999999995</c:v>
                </c:pt>
                <c:pt idx="26">
                  <c:v>4.94055</c:v>
                </c:pt>
                <c:pt idx="27">
                  <c:v>4.9279099999999998</c:v>
                </c:pt>
                <c:pt idx="28">
                  <c:v>4.9101999999999997</c:v>
                </c:pt>
                <c:pt idx="29">
                  <c:v>4.8887199999999993</c:v>
                </c:pt>
                <c:pt idx="30">
                  <c:v>4.8630499999999994</c:v>
                </c:pt>
                <c:pt idx="31">
                  <c:v>4.8323900000000002</c:v>
                </c:pt>
                <c:pt idx="32">
                  <c:v>4.79948</c:v>
                </c:pt>
                <c:pt idx="33">
                  <c:v>4.7623999999999995</c:v>
                </c:pt>
                <c:pt idx="34">
                  <c:v>4.7208699999999997</c:v>
                </c:pt>
                <c:pt idx="35">
                  <c:v>4.67598</c:v>
                </c:pt>
                <c:pt idx="36">
                  <c:v>4.62554</c:v>
                </c:pt>
                <c:pt idx="37">
                  <c:v>4.57118</c:v>
                </c:pt>
                <c:pt idx="38">
                  <c:v>4.5130400000000002</c:v>
                </c:pt>
                <c:pt idx="39">
                  <c:v>4.45261</c:v>
                </c:pt>
                <c:pt idx="40">
                  <c:v>4.3938199999999998</c:v>
                </c:pt>
                <c:pt idx="41">
                  <c:v>4.3375900000000005</c:v>
                </c:pt>
                <c:pt idx="42">
                  <c:v>4.2806600000000001</c:v>
                </c:pt>
                <c:pt idx="43">
                  <c:v>4.22377</c:v>
                </c:pt>
                <c:pt idx="44">
                  <c:v>4.1701600000000001</c:v>
                </c:pt>
                <c:pt idx="45">
                  <c:v>4.1196299999999999</c:v>
                </c:pt>
                <c:pt idx="46">
                  <c:v>4.0742399999999996</c:v>
                </c:pt>
                <c:pt idx="47">
                  <c:v>4.0335799999999997</c:v>
                </c:pt>
                <c:pt idx="48">
                  <c:v>3.9961400000000005</c:v>
                </c:pt>
                <c:pt idx="49">
                  <c:v>3.9649400000000004</c:v>
                </c:pt>
                <c:pt idx="50">
                  <c:v>3.9369700000000001</c:v>
                </c:pt>
                <c:pt idx="51">
                  <c:v>3.9175399999999998</c:v>
                </c:pt>
                <c:pt idx="52">
                  <c:v>3.9026499999999995</c:v>
                </c:pt>
                <c:pt idx="53">
                  <c:v>3.8896999999999999</c:v>
                </c:pt>
                <c:pt idx="54">
                  <c:v>3.8757799999999998</c:v>
                </c:pt>
                <c:pt idx="55">
                  <c:v>3.8616000000000001</c:v>
                </c:pt>
                <c:pt idx="56">
                  <c:v>3.8477699999999997</c:v>
                </c:pt>
                <c:pt idx="57">
                  <c:v>3.8357900000000003</c:v>
                </c:pt>
                <c:pt idx="58">
                  <c:v>3.8256899999999998</c:v>
                </c:pt>
                <c:pt idx="59">
                  <c:v>3.81717</c:v>
                </c:pt>
                <c:pt idx="60">
                  <c:v>3.8096899999999998</c:v>
                </c:pt>
                <c:pt idx="61">
                  <c:v>3.80335</c:v>
                </c:pt>
                <c:pt idx="62">
                  <c:v>3.7953999999999999</c:v>
                </c:pt>
                <c:pt idx="63">
                  <c:v>3.7876500000000002</c:v>
                </c:pt>
                <c:pt idx="64">
                  <c:v>3.78186</c:v>
                </c:pt>
                <c:pt idx="65">
                  <c:v>3.77935</c:v>
                </c:pt>
                <c:pt idx="66">
                  <c:v>3.7788200000000001</c:v>
                </c:pt>
                <c:pt idx="67">
                  <c:v>3.7791299999999999</c:v>
                </c:pt>
                <c:pt idx="68">
                  <c:v>3.7810800000000002</c:v>
                </c:pt>
                <c:pt idx="69">
                  <c:v>3.7906299999999997</c:v>
                </c:pt>
                <c:pt idx="70">
                  <c:v>3.8059599999999998</c:v>
                </c:pt>
                <c:pt idx="71">
                  <c:v>3.8173300000000001</c:v>
                </c:pt>
                <c:pt idx="72">
                  <c:v>3.81481</c:v>
                </c:pt>
                <c:pt idx="73">
                  <c:v>3.8187900000000004</c:v>
                </c:pt>
                <c:pt idx="74">
                  <c:v>3.8213599999999999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14.941325000000001</c:v>
                </c:pt>
                <c:pt idx="1">
                  <c:v>44.823975000000004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4.3147520270270254</c:v>
                </c:pt>
                <c:pt idx="1">
                  <c:v>4.3776621621621619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  <c:pt idx="74">
                  <c:v>30.0626</c:v>
                </c:pt>
                <c:pt idx="75">
                  <c:v>30.5642</c:v>
                </c:pt>
                <c:pt idx="76">
                  <c:v>30.936299999999999</c:v>
                </c:pt>
                <c:pt idx="77">
                  <c:v>31.330200000000001</c:v>
                </c:pt>
                <c:pt idx="78">
                  <c:v>31.7331</c:v>
                </c:pt>
                <c:pt idx="79">
                  <c:v>32.139099999999999</c:v>
                </c:pt>
                <c:pt idx="80">
                  <c:v>32.550899999999999</c:v>
                </c:pt>
                <c:pt idx="81">
                  <c:v>32.948900000000002</c:v>
                </c:pt>
                <c:pt idx="82">
                  <c:v>33.357900000000001</c:v>
                </c:pt>
                <c:pt idx="83">
                  <c:v>33.761800000000001</c:v>
                </c:pt>
                <c:pt idx="84">
                  <c:v>34.169499999999999</c:v>
                </c:pt>
                <c:pt idx="85">
                  <c:v>34.573799999999999</c:v>
                </c:pt>
                <c:pt idx="86">
                  <c:v>34.979500000000002</c:v>
                </c:pt>
                <c:pt idx="87">
                  <c:v>35.387599999999999</c:v>
                </c:pt>
                <c:pt idx="88">
                  <c:v>35.796199999999999</c:v>
                </c:pt>
                <c:pt idx="89">
                  <c:v>36.197499999999998</c:v>
                </c:pt>
                <c:pt idx="90">
                  <c:v>36.603400000000001</c:v>
                </c:pt>
                <c:pt idx="91">
                  <c:v>37.014099999999999</c:v>
                </c:pt>
                <c:pt idx="92">
                  <c:v>37.417900000000003</c:v>
                </c:pt>
                <c:pt idx="93">
                  <c:v>37.826099999999997</c:v>
                </c:pt>
                <c:pt idx="94">
                  <c:v>38.2318</c:v>
                </c:pt>
                <c:pt idx="95">
                  <c:v>38.636600000000001</c:v>
                </c:pt>
                <c:pt idx="96">
                  <c:v>39.046599999999998</c:v>
                </c:pt>
                <c:pt idx="97">
                  <c:v>39.453499999999998</c:v>
                </c:pt>
                <c:pt idx="98">
                  <c:v>39.858400000000003</c:v>
                </c:pt>
                <c:pt idx="99">
                  <c:v>40.263300000000001</c:v>
                </c:pt>
                <c:pt idx="100">
                  <c:v>40.672499999999999</c:v>
                </c:pt>
                <c:pt idx="101">
                  <c:v>41.078099999999999</c:v>
                </c:pt>
                <c:pt idx="102">
                  <c:v>41.485300000000002</c:v>
                </c:pt>
                <c:pt idx="103">
                  <c:v>41.89</c:v>
                </c:pt>
                <c:pt idx="104">
                  <c:v>42.296999999999997</c:v>
                </c:pt>
                <c:pt idx="105">
                  <c:v>42.698799999999999</c:v>
                </c:pt>
                <c:pt idx="106">
                  <c:v>43.107700000000001</c:v>
                </c:pt>
                <c:pt idx="107">
                  <c:v>43.514600000000002</c:v>
                </c:pt>
                <c:pt idx="108">
                  <c:v>43.916499999999999</c:v>
                </c:pt>
                <c:pt idx="109">
                  <c:v>44.326799999999999</c:v>
                </c:pt>
                <c:pt idx="110">
                  <c:v>44.731299999999997</c:v>
                </c:pt>
                <c:pt idx="111">
                  <c:v>45.134300000000003</c:v>
                </c:pt>
                <c:pt idx="112">
                  <c:v>45.545400000000001</c:v>
                </c:pt>
                <c:pt idx="113">
                  <c:v>45.951099999999997</c:v>
                </c:pt>
                <c:pt idx="114">
                  <c:v>46.357100000000003</c:v>
                </c:pt>
                <c:pt idx="115">
                  <c:v>46.76</c:v>
                </c:pt>
                <c:pt idx="116">
                  <c:v>47.167999999999999</c:v>
                </c:pt>
                <c:pt idx="117">
                  <c:v>47.574800000000003</c:v>
                </c:pt>
                <c:pt idx="118">
                  <c:v>47.980699999999999</c:v>
                </c:pt>
                <c:pt idx="119">
                  <c:v>48.387599999999999</c:v>
                </c:pt>
                <c:pt idx="120">
                  <c:v>48.795499999999997</c:v>
                </c:pt>
                <c:pt idx="121">
                  <c:v>49.197600000000001</c:v>
                </c:pt>
                <c:pt idx="122">
                  <c:v>49.607500000000002</c:v>
                </c:pt>
                <c:pt idx="123">
                  <c:v>50.0122</c:v>
                </c:pt>
                <c:pt idx="124">
                  <c:v>50.421199999999999</c:v>
                </c:pt>
                <c:pt idx="125">
                  <c:v>50.826300000000003</c:v>
                </c:pt>
                <c:pt idx="126">
                  <c:v>51.232900000000001</c:v>
                </c:pt>
                <c:pt idx="127">
                  <c:v>51.6389</c:v>
                </c:pt>
                <c:pt idx="128">
                  <c:v>52.042999999999999</c:v>
                </c:pt>
                <c:pt idx="129">
                  <c:v>52.4482</c:v>
                </c:pt>
                <c:pt idx="130">
                  <c:v>52.859900000000003</c:v>
                </c:pt>
                <c:pt idx="131">
                  <c:v>53.263599999999997</c:v>
                </c:pt>
                <c:pt idx="132">
                  <c:v>53.667499999999997</c:v>
                </c:pt>
                <c:pt idx="133">
                  <c:v>54.073399999999999</c:v>
                </c:pt>
                <c:pt idx="134">
                  <c:v>54.4833</c:v>
                </c:pt>
                <c:pt idx="135">
                  <c:v>54.891199999999998</c:v>
                </c:pt>
                <c:pt idx="136">
                  <c:v>55.296100000000003</c:v>
                </c:pt>
                <c:pt idx="137">
                  <c:v>55.703000000000003</c:v>
                </c:pt>
                <c:pt idx="138">
                  <c:v>56.103999999999999</c:v>
                </c:pt>
                <c:pt idx="139">
                  <c:v>56.512900000000002</c:v>
                </c:pt>
                <c:pt idx="140">
                  <c:v>56.9208</c:v>
                </c:pt>
                <c:pt idx="141">
                  <c:v>57.3277</c:v>
                </c:pt>
                <c:pt idx="142">
                  <c:v>57.732599999999998</c:v>
                </c:pt>
                <c:pt idx="143">
                  <c:v>58.1355</c:v>
                </c:pt>
                <c:pt idx="144">
                  <c:v>58.547699999999999</c:v>
                </c:pt>
                <c:pt idx="145">
                  <c:v>58.952300000000001</c:v>
                </c:pt>
                <c:pt idx="146">
                  <c:v>59.361699999999999</c:v>
                </c:pt>
                <c:pt idx="147">
                  <c:v>59.765300000000003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  <c:pt idx="74">
                  <c:v>26.991199999999999</c:v>
                </c:pt>
                <c:pt idx="75">
                  <c:v>27.569700000000001</c:v>
                </c:pt>
                <c:pt idx="76">
                  <c:v>28.069199999999999</c:v>
                </c:pt>
                <c:pt idx="77">
                  <c:v>28.482299999999999</c:v>
                </c:pt>
                <c:pt idx="78">
                  <c:v>28.796699999999998</c:v>
                </c:pt>
                <c:pt idx="79">
                  <c:v>28.943100000000001</c:v>
                </c:pt>
                <c:pt idx="80">
                  <c:v>29.023199999999999</c:v>
                </c:pt>
                <c:pt idx="81">
                  <c:v>29.099799999999998</c:v>
                </c:pt>
                <c:pt idx="82">
                  <c:v>29.1798</c:v>
                </c:pt>
                <c:pt idx="83">
                  <c:v>29.2471</c:v>
                </c:pt>
                <c:pt idx="84">
                  <c:v>29.293400000000002</c:v>
                </c:pt>
                <c:pt idx="85">
                  <c:v>29.3201</c:v>
                </c:pt>
                <c:pt idx="86">
                  <c:v>29.317</c:v>
                </c:pt>
                <c:pt idx="87">
                  <c:v>29.360500000000002</c:v>
                </c:pt>
                <c:pt idx="88">
                  <c:v>29.490699999999997</c:v>
                </c:pt>
                <c:pt idx="89">
                  <c:v>29.679299999999998</c:v>
                </c:pt>
                <c:pt idx="90">
                  <c:v>29.839600000000001</c:v>
                </c:pt>
                <c:pt idx="91">
                  <c:v>29.982300000000002</c:v>
                </c:pt>
                <c:pt idx="92">
                  <c:v>30.115599999999997</c:v>
                </c:pt>
                <c:pt idx="93">
                  <c:v>30.2209</c:v>
                </c:pt>
                <c:pt idx="94">
                  <c:v>30.341200000000001</c:v>
                </c:pt>
                <c:pt idx="95">
                  <c:v>30.4741</c:v>
                </c:pt>
                <c:pt idx="96">
                  <c:v>30.554199999999998</c:v>
                </c:pt>
                <c:pt idx="97">
                  <c:v>30.5519</c:v>
                </c:pt>
                <c:pt idx="98">
                  <c:v>30.492100000000001</c:v>
                </c:pt>
                <c:pt idx="99">
                  <c:v>30.365500000000001</c:v>
                </c:pt>
                <c:pt idx="100">
                  <c:v>30.1387</c:v>
                </c:pt>
                <c:pt idx="101">
                  <c:v>29.856400000000001</c:v>
                </c:pt>
                <c:pt idx="102">
                  <c:v>29.546400000000002</c:v>
                </c:pt>
                <c:pt idx="103">
                  <c:v>29.271699999999999</c:v>
                </c:pt>
                <c:pt idx="104">
                  <c:v>29.101700000000001</c:v>
                </c:pt>
                <c:pt idx="105">
                  <c:v>29.000799999999998</c:v>
                </c:pt>
                <c:pt idx="106">
                  <c:v>28.932099999999998</c:v>
                </c:pt>
                <c:pt idx="107">
                  <c:v>28.966399999999997</c:v>
                </c:pt>
                <c:pt idx="108">
                  <c:v>29.083199999999998</c:v>
                </c:pt>
                <c:pt idx="109">
                  <c:v>29.394399999999997</c:v>
                </c:pt>
                <c:pt idx="110">
                  <c:v>29.8871</c:v>
                </c:pt>
                <c:pt idx="111">
                  <c:v>30.521799999999999</c:v>
                </c:pt>
                <c:pt idx="112">
                  <c:v>31.225199999999997</c:v>
                </c:pt>
                <c:pt idx="113">
                  <c:v>31.961200000000002</c:v>
                </c:pt>
                <c:pt idx="114">
                  <c:v>32.629100000000001</c:v>
                </c:pt>
                <c:pt idx="115">
                  <c:v>33.392200000000003</c:v>
                </c:pt>
                <c:pt idx="116">
                  <c:v>34.3003</c:v>
                </c:pt>
                <c:pt idx="117">
                  <c:v>35.086800000000004</c:v>
                </c:pt>
                <c:pt idx="118">
                  <c:v>35.774299999999997</c:v>
                </c:pt>
                <c:pt idx="119">
                  <c:v>36.3172</c:v>
                </c:pt>
                <c:pt idx="120">
                  <c:v>36.7455</c:v>
                </c:pt>
                <c:pt idx="121">
                  <c:v>37.108000000000004</c:v>
                </c:pt>
                <c:pt idx="122">
                  <c:v>37.454900000000002</c:v>
                </c:pt>
                <c:pt idx="123">
                  <c:v>37.878499999999995</c:v>
                </c:pt>
                <c:pt idx="124">
                  <c:v>38.070799999999998</c:v>
                </c:pt>
                <c:pt idx="125">
                  <c:v>38.270299999999999</c:v>
                </c:pt>
                <c:pt idx="126">
                  <c:v>38.498399999999997</c:v>
                </c:pt>
                <c:pt idx="127">
                  <c:v>38.809399999999997</c:v>
                </c:pt>
                <c:pt idx="128">
                  <c:v>39.155900000000003</c:v>
                </c:pt>
                <c:pt idx="129">
                  <c:v>39.459800000000001</c:v>
                </c:pt>
                <c:pt idx="130">
                  <c:v>39.664100000000005</c:v>
                </c:pt>
                <c:pt idx="131">
                  <c:v>39.842700000000001</c:v>
                </c:pt>
                <c:pt idx="132">
                  <c:v>39.982199999999999</c:v>
                </c:pt>
                <c:pt idx="133">
                  <c:v>40.105000000000004</c:v>
                </c:pt>
                <c:pt idx="134">
                  <c:v>40.119899999999994</c:v>
                </c:pt>
                <c:pt idx="135">
                  <c:v>40.063500000000005</c:v>
                </c:pt>
                <c:pt idx="136">
                  <c:v>40.037399999999998</c:v>
                </c:pt>
                <c:pt idx="137">
                  <c:v>40.0398</c:v>
                </c:pt>
                <c:pt idx="138">
                  <c:v>39.990700000000004</c:v>
                </c:pt>
                <c:pt idx="139">
                  <c:v>39.9651</c:v>
                </c:pt>
                <c:pt idx="140">
                  <c:v>39.889699999999998</c:v>
                </c:pt>
                <c:pt idx="141">
                  <c:v>39.6952</c:v>
                </c:pt>
                <c:pt idx="142">
                  <c:v>39.487499999999997</c:v>
                </c:pt>
                <c:pt idx="143">
                  <c:v>39.418700000000001</c:v>
                </c:pt>
                <c:pt idx="144">
                  <c:v>39.703099999999999</c:v>
                </c:pt>
                <c:pt idx="145">
                  <c:v>40.366900000000001</c:v>
                </c:pt>
                <c:pt idx="146">
                  <c:v>41.008899999999997</c:v>
                </c:pt>
                <c:pt idx="147">
                  <c:v>41.540500000000002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0.40388299999999999</c:v>
                </c:pt>
                <c:pt idx="2">
                  <c:v>0.81181599999999998</c:v>
                </c:pt>
                <c:pt idx="3">
                  <c:v>1.2169399999999999</c:v>
                </c:pt>
                <c:pt idx="4">
                  <c:v>1.6256299999999999</c:v>
                </c:pt>
                <c:pt idx="5">
                  <c:v>2.02956</c:v>
                </c:pt>
                <c:pt idx="6">
                  <c:v>2.4335499999999999</c:v>
                </c:pt>
                <c:pt idx="7">
                  <c:v>2.84144</c:v>
                </c:pt>
                <c:pt idx="8">
                  <c:v>3.2435499999999999</c:v>
                </c:pt>
                <c:pt idx="9">
                  <c:v>3.6512799999999999</c:v>
                </c:pt>
                <c:pt idx="10">
                  <c:v>4.0603499999999997</c:v>
                </c:pt>
                <c:pt idx="11">
                  <c:v>4.4671099999999999</c:v>
                </c:pt>
                <c:pt idx="12">
                  <c:v>4.87195</c:v>
                </c:pt>
                <c:pt idx="13">
                  <c:v>5.2758000000000003</c:v>
                </c:pt>
                <c:pt idx="14">
                  <c:v>5.6810600000000004</c:v>
                </c:pt>
                <c:pt idx="15">
                  <c:v>6.09293</c:v>
                </c:pt>
                <c:pt idx="16">
                  <c:v>6.4985499999999998</c:v>
                </c:pt>
                <c:pt idx="17">
                  <c:v>6.9044400000000001</c:v>
                </c:pt>
                <c:pt idx="18">
                  <c:v>7.3074199999999996</c:v>
                </c:pt>
                <c:pt idx="19">
                  <c:v>7.7144300000000001</c:v>
                </c:pt>
                <c:pt idx="20">
                  <c:v>8.1232100000000003</c:v>
                </c:pt>
                <c:pt idx="21">
                  <c:v>8.5263399999999994</c:v>
                </c:pt>
                <c:pt idx="22">
                  <c:v>8.9350500000000004</c:v>
                </c:pt>
                <c:pt idx="23">
                  <c:v>9.3410899999999994</c:v>
                </c:pt>
                <c:pt idx="24">
                  <c:v>9.7459799999999994</c:v>
                </c:pt>
                <c:pt idx="25">
                  <c:v>10.155799999999999</c:v>
                </c:pt>
                <c:pt idx="26">
                  <c:v>10.562799999999999</c:v>
                </c:pt>
                <c:pt idx="27">
                  <c:v>10.967700000000001</c:v>
                </c:pt>
                <c:pt idx="28">
                  <c:v>11.3696</c:v>
                </c:pt>
                <c:pt idx="29">
                  <c:v>11.782500000000001</c:v>
                </c:pt>
                <c:pt idx="30">
                  <c:v>12.182399999999999</c:v>
                </c:pt>
                <c:pt idx="31">
                  <c:v>12.593500000000001</c:v>
                </c:pt>
                <c:pt idx="32">
                  <c:v>12.9962</c:v>
                </c:pt>
                <c:pt idx="33">
                  <c:v>13.4031</c:v>
                </c:pt>
                <c:pt idx="34">
                  <c:v>13.813000000000001</c:v>
                </c:pt>
                <c:pt idx="35">
                  <c:v>14.2133</c:v>
                </c:pt>
                <c:pt idx="36">
                  <c:v>14.6229</c:v>
                </c:pt>
                <c:pt idx="37">
                  <c:v>15.0318</c:v>
                </c:pt>
                <c:pt idx="38">
                  <c:v>15.432700000000001</c:v>
                </c:pt>
                <c:pt idx="39">
                  <c:v>15.841799999999999</c:v>
                </c:pt>
                <c:pt idx="40">
                  <c:v>16.250499999999999</c:v>
                </c:pt>
                <c:pt idx="41">
                  <c:v>16.654499999999999</c:v>
                </c:pt>
                <c:pt idx="42">
                  <c:v>17.0609</c:v>
                </c:pt>
                <c:pt idx="43">
                  <c:v>17.466200000000001</c:v>
                </c:pt>
                <c:pt idx="44">
                  <c:v>17.8734</c:v>
                </c:pt>
                <c:pt idx="45">
                  <c:v>18.276299999999999</c:v>
                </c:pt>
                <c:pt idx="46">
                  <c:v>18.6861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19.904800000000002</c:v>
                </c:pt>
                <c:pt idx="50">
                  <c:v>20.309899999999999</c:v>
                </c:pt>
                <c:pt idx="51">
                  <c:v>20.717600000000001</c:v>
                </c:pt>
                <c:pt idx="52">
                  <c:v>21.124500000000001</c:v>
                </c:pt>
                <c:pt idx="53">
                  <c:v>21.529499999999999</c:v>
                </c:pt>
                <c:pt idx="54">
                  <c:v>21.933900000000001</c:v>
                </c:pt>
                <c:pt idx="55">
                  <c:v>22.3444</c:v>
                </c:pt>
                <c:pt idx="56">
                  <c:v>22.7501</c:v>
                </c:pt>
                <c:pt idx="57">
                  <c:v>23.156099999999999</c:v>
                </c:pt>
                <c:pt idx="58">
                  <c:v>23.561</c:v>
                </c:pt>
                <c:pt idx="59">
                  <c:v>23.962</c:v>
                </c:pt>
                <c:pt idx="60">
                  <c:v>24.3719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25.592600000000001</c:v>
                </c:pt>
                <c:pt idx="64">
                  <c:v>26.0014</c:v>
                </c:pt>
                <c:pt idx="65">
                  <c:v>26.403099999999998</c:v>
                </c:pt>
                <c:pt idx="66">
                  <c:v>26.809000000000001</c:v>
                </c:pt>
                <c:pt idx="67">
                  <c:v>27.213000000000001</c:v>
                </c:pt>
                <c:pt idx="68">
                  <c:v>27.623899999999999</c:v>
                </c:pt>
                <c:pt idx="69">
                  <c:v>28.029299999999999</c:v>
                </c:pt>
                <c:pt idx="70">
                  <c:v>28.434999999999999</c:v>
                </c:pt>
                <c:pt idx="71">
                  <c:v>28.836600000000001</c:v>
                </c:pt>
                <c:pt idx="72">
                  <c:v>29.2471</c:v>
                </c:pt>
                <c:pt idx="73">
                  <c:v>29.657699999999998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30.0626</c:v>
                </c:pt>
                <c:pt idx="2">
                  <c:v>30.5642</c:v>
                </c:pt>
                <c:pt idx="3">
                  <c:v>30.936299999999999</c:v>
                </c:pt>
                <c:pt idx="4">
                  <c:v>31.330200000000001</c:v>
                </c:pt>
                <c:pt idx="5">
                  <c:v>31.7331</c:v>
                </c:pt>
                <c:pt idx="6">
                  <c:v>32.139099999999999</c:v>
                </c:pt>
                <c:pt idx="7">
                  <c:v>32.550899999999999</c:v>
                </c:pt>
                <c:pt idx="8">
                  <c:v>32.948900000000002</c:v>
                </c:pt>
                <c:pt idx="9">
                  <c:v>33.357900000000001</c:v>
                </c:pt>
                <c:pt idx="10">
                  <c:v>33.761800000000001</c:v>
                </c:pt>
                <c:pt idx="11">
                  <c:v>34.169499999999999</c:v>
                </c:pt>
                <c:pt idx="12">
                  <c:v>34.573799999999999</c:v>
                </c:pt>
                <c:pt idx="13">
                  <c:v>34.979500000000002</c:v>
                </c:pt>
                <c:pt idx="14">
                  <c:v>35.387599999999999</c:v>
                </c:pt>
                <c:pt idx="15">
                  <c:v>35.796199999999999</c:v>
                </c:pt>
                <c:pt idx="16">
                  <c:v>36.197499999999998</c:v>
                </c:pt>
                <c:pt idx="17">
                  <c:v>36.603400000000001</c:v>
                </c:pt>
                <c:pt idx="18">
                  <c:v>37.014099999999999</c:v>
                </c:pt>
                <c:pt idx="19">
                  <c:v>37.417900000000003</c:v>
                </c:pt>
                <c:pt idx="20">
                  <c:v>37.826099999999997</c:v>
                </c:pt>
                <c:pt idx="21">
                  <c:v>38.2318</c:v>
                </c:pt>
                <c:pt idx="22">
                  <c:v>38.636600000000001</c:v>
                </c:pt>
                <c:pt idx="23">
                  <c:v>39.046599999999998</c:v>
                </c:pt>
                <c:pt idx="24">
                  <c:v>39.453499999999998</c:v>
                </c:pt>
                <c:pt idx="25">
                  <c:v>39.858400000000003</c:v>
                </c:pt>
                <c:pt idx="26">
                  <c:v>40.263300000000001</c:v>
                </c:pt>
                <c:pt idx="27">
                  <c:v>40.672499999999999</c:v>
                </c:pt>
                <c:pt idx="28">
                  <c:v>41.078099999999999</c:v>
                </c:pt>
                <c:pt idx="29">
                  <c:v>41.485300000000002</c:v>
                </c:pt>
                <c:pt idx="30">
                  <c:v>41.89</c:v>
                </c:pt>
                <c:pt idx="31">
                  <c:v>42.296999999999997</c:v>
                </c:pt>
                <c:pt idx="32">
                  <c:v>42.698799999999999</c:v>
                </c:pt>
                <c:pt idx="33">
                  <c:v>43.107700000000001</c:v>
                </c:pt>
                <c:pt idx="34">
                  <c:v>43.514600000000002</c:v>
                </c:pt>
                <c:pt idx="35">
                  <c:v>43.916499999999999</c:v>
                </c:pt>
                <c:pt idx="36">
                  <c:v>44.326799999999999</c:v>
                </c:pt>
                <c:pt idx="37">
                  <c:v>44.731299999999997</c:v>
                </c:pt>
                <c:pt idx="38">
                  <c:v>45.134300000000003</c:v>
                </c:pt>
                <c:pt idx="39">
                  <c:v>45.545400000000001</c:v>
                </c:pt>
                <c:pt idx="40">
                  <c:v>45.951099999999997</c:v>
                </c:pt>
                <c:pt idx="41">
                  <c:v>46.357100000000003</c:v>
                </c:pt>
                <c:pt idx="42">
                  <c:v>46.76</c:v>
                </c:pt>
                <c:pt idx="43">
                  <c:v>47.167999999999999</c:v>
                </c:pt>
                <c:pt idx="44">
                  <c:v>47.574800000000003</c:v>
                </c:pt>
                <c:pt idx="45">
                  <c:v>47.980699999999999</c:v>
                </c:pt>
                <c:pt idx="46">
                  <c:v>48.387599999999999</c:v>
                </c:pt>
                <c:pt idx="47">
                  <c:v>48.795499999999997</c:v>
                </c:pt>
                <c:pt idx="48">
                  <c:v>49.197600000000001</c:v>
                </c:pt>
                <c:pt idx="49">
                  <c:v>49.607500000000002</c:v>
                </c:pt>
                <c:pt idx="50">
                  <c:v>50.0122</c:v>
                </c:pt>
                <c:pt idx="51">
                  <c:v>50.421199999999999</c:v>
                </c:pt>
                <c:pt idx="52">
                  <c:v>50.826300000000003</c:v>
                </c:pt>
                <c:pt idx="53">
                  <c:v>51.232900000000001</c:v>
                </c:pt>
                <c:pt idx="54">
                  <c:v>51.6389</c:v>
                </c:pt>
                <c:pt idx="55">
                  <c:v>52.042999999999999</c:v>
                </c:pt>
                <c:pt idx="56">
                  <c:v>52.4482</c:v>
                </c:pt>
                <c:pt idx="57">
                  <c:v>52.859900000000003</c:v>
                </c:pt>
                <c:pt idx="58">
                  <c:v>53.263599999999997</c:v>
                </c:pt>
                <c:pt idx="59">
                  <c:v>53.667499999999997</c:v>
                </c:pt>
                <c:pt idx="60">
                  <c:v>54.073399999999999</c:v>
                </c:pt>
                <c:pt idx="61">
                  <c:v>54.4833</c:v>
                </c:pt>
                <c:pt idx="62">
                  <c:v>54.891199999999998</c:v>
                </c:pt>
                <c:pt idx="63">
                  <c:v>55.296100000000003</c:v>
                </c:pt>
                <c:pt idx="64">
                  <c:v>55.703000000000003</c:v>
                </c:pt>
                <c:pt idx="65">
                  <c:v>56.103999999999999</c:v>
                </c:pt>
                <c:pt idx="66">
                  <c:v>56.512900000000002</c:v>
                </c:pt>
                <c:pt idx="67">
                  <c:v>56.9208</c:v>
                </c:pt>
                <c:pt idx="68">
                  <c:v>57.3277</c:v>
                </c:pt>
                <c:pt idx="69">
                  <c:v>57.732599999999998</c:v>
                </c:pt>
                <c:pt idx="70">
                  <c:v>58.1355</c:v>
                </c:pt>
                <c:pt idx="71">
                  <c:v>58.547699999999999</c:v>
                </c:pt>
                <c:pt idx="72">
                  <c:v>58.952300000000001</c:v>
                </c:pt>
                <c:pt idx="73">
                  <c:v>59.361699999999999</c:v>
                </c:pt>
                <c:pt idx="74">
                  <c:v>59.765300000000003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26.349899999999998</c:v>
                </c:pt>
                <c:pt idx="1">
                  <c:v>26.991199999999999</c:v>
                </c:pt>
                <c:pt idx="2">
                  <c:v>27.569700000000001</c:v>
                </c:pt>
                <c:pt idx="3">
                  <c:v>28.069199999999999</c:v>
                </c:pt>
                <c:pt idx="4">
                  <c:v>28.482299999999999</c:v>
                </c:pt>
                <c:pt idx="5">
                  <c:v>28.796699999999998</c:v>
                </c:pt>
                <c:pt idx="6">
                  <c:v>28.943100000000001</c:v>
                </c:pt>
                <c:pt idx="7">
                  <c:v>29.023199999999999</c:v>
                </c:pt>
                <c:pt idx="8">
                  <c:v>29.099799999999998</c:v>
                </c:pt>
                <c:pt idx="9">
                  <c:v>29.1798</c:v>
                </c:pt>
                <c:pt idx="10">
                  <c:v>29.2471</c:v>
                </c:pt>
                <c:pt idx="11">
                  <c:v>29.293400000000002</c:v>
                </c:pt>
                <c:pt idx="12">
                  <c:v>29.3201</c:v>
                </c:pt>
                <c:pt idx="13">
                  <c:v>29.317</c:v>
                </c:pt>
                <c:pt idx="14">
                  <c:v>29.360500000000002</c:v>
                </c:pt>
                <c:pt idx="15">
                  <c:v>29.490699999999997</c:v>
                </c:pt>
                <c:pt idx="16">
                  <c:v>29.679299999999998</c:v>
                </c:pt>
                <c:pt idx="17">
                  <c:v>29.839600000000001</c:v>
                </c:pt>
                <c:pt idx="18">
                  <c:v>29.982300000000002</c:v>
                </c:pt>
                <c:pt idx="19">
                  <c:v>30.115599999999997</c:v>
                </c:pt>
                <c:pt idx="20">
                  <c:v>30.2209</c:v>
                </c:pt>
                <c:pt idx="21">
                  <c:v>30.341200000000001</c:v>
                </c:pt>
                <c:pt idx="22">
                  <c:v>30.4741</c:v>
                </c:pt>
                <c:pt idx="23">
                  <c:v>30.554199999999998</c:v>
                </c:pt>
                <c:pt idx="24">
                  <c:v>30.5519</c:v>
                </c:pt>
                <c:pt idx="25">
                  <c:v>30.492100000000001</c:v>
                </c:pt>
                <c:pt idx="26">
                  <c:v>30.365500000000001</c:v>
                </c:pt>
                <c:pt idx="27">
                  <c:v>30.1387</c:v>
                </c:pt>
                <c:pt idx="28">
                  <c:v>29.856400000000001</c:v>
                </c:pt>
                <c:pt idx="29">
                  <c:v>29.546400000000002</c:v>
                </c:pt>
                <c:pt idx="30">
                  <c:v>29.271699999999999</c:v>
                </c:pt>
                <c:pt idx="31">
                  <c:v>29.101700000000001</c:v>
                </c:pt>
                <c:pt idx="32">
                  <c:v>29.000799999999998</c:v>
                </c:pt>
                <c:pt idx="33">
                  <c:v>28.932099999999998</c:v>
                </c:pt>
                <c:pt idx="34">
                  <c:v>28.966399999999997</c:v>
                </c:pt>
                <c:pt idx="35">
                  <c:v>29.083199999999998</c:v>
                </c:pt>
                <c:pt idx="36">
                  <c:v>29.394399999999997</c:v>
                </c:pt>
                <c:pt idx="37">
                  <c:v>29.8871</c:v>
                </c:pt>
                <c:pt idx="38">
                  <c:v>30.521799999999999</c:v>
                </c:pt>
                <c:pt idx="39">
                  <c:v>31.225199999999997</c:v>
                </c:pt>
                <c:pt idx="40">
                  <c:v>31.961200000000002</c:v>
                </c:pt>
                <c:pt idx="41">
                  <c:v>32.629100000000001</c:v>
                </c:pt>
                <c:pt idx="42">
                  <c:v>33.392200000000003</c:v>
                </c:pt>
                <c:pt idx="43">
                  <c:v>34.3003</c:v>
                </c:pt>
                <c:pt idx="44">
                  <c:v>35.086800000000004</c:v>
                </c:pt>
                <c:pt idx="45">
                  <c:v>35.774299999999997</c:v>
                </c:pt>
                <c:pt idx="46">
                  <c:v>36.3172</c:v>
                </c:pt>
                <c:pt idx="47">
                  <c:v>36.7455</c:v>
                </c:pt>
                <c:pt idx="48">
                  <c:v>37.108000000000004</c:v>
                </c:pt>
                <c:pt idx="49">
                  <c:v>37.454900000000002</c:v>
                </c:pt>
                <c:pt idx="50">
                  <c:v>37.878499999999995</c:v>
                </c:pt>
                <c:pt idx="51">
                  <c:v>38.070799999999998</c:v>
                </c:pt>
                <c:pt idx="52">
                  <c:v>38.270299999999999</c:v>
                </c:pt>
                <c:pt idx="53">
                  <c:v>38.498399999999997</c:v>
                </c:pt>
                <c:pt idx="54">
                  <c:v>38.809399999999997</c:v>
                </c:pt>
                <c:pt idx="55">
                  <c:v>39.155900000000003</c:v>
                </c:pt>
                <c:pt idx="56">
                  <c:v>39.459800000000001</c:v>
                </c:pt>
                <c:pt idx="57">
                  <c:v>39.664100000000005</c:v>
                </c:pt>
                <c:pt idx="58">
                  <c:v>39.842700000000001</c:v>
                </c:pt>
                <c:pt idx="59">
                  <c:v>39.982199999999999</c:v>
                </c:pt>
                <c:pt idx="60">
                  <c:v>40.105000000000004</c:v>
                </c:pt>
                <c:pt idx="61">
                  <c:v>40.119899999999994</c:v>
                </c:pt>
                <c:pt idx="62">
                  <c:v>40.063500000000005</c:v>
                </c:pt>
                <c:pt idx="63">
                  <c:v>40.037399999999998</c:v>
                </c:pt>
                <c:pt idx="64">
                  <c:v>40.0398</c:v>
                </c:pt>
                <c:pt idx="65">
                  <c:v>39.990700000000004</c:v>
                </c:pt>
                <c:pt idx="66">
                  <c:v>39.9651</c:v>
                </c:pt>
                <c:pt idx="67">
                  <c:v>39.889699999999998</c:v>
                </c:pt>
                <c:pt idx="68">
                  <c:v>39.6952</c:v>
                </c:pt>
                <c:pt idx="69">
                  <c:v>39.487499999999997</c:v>
                </c:pt>
                <c:pt idx="70">
                  <c:v>39.418700000000001</c:v>
                </c:pt>
                <c:pt idx="71">
                  <c:v>39.703099999999999</c:v>
                </c:pt>
                <c:pt idx="72">
                  <c:v>40.366900000000001</c:v>
                </c:pt>
                <c:pt idx="73">
                  <c:v>41.008899999999997</c:v>
                </c:pt>
                <c:pt idx="74">
                  <c:v>41.540500000000002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14.941325000000001</c:v>
                </c:pt>
                <c:pt idx="1">
                  <c:v>44.823975000000004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31.281029729729738</c:v>
                </c:pt>
                <c:pt idx="1">
                  <c:v>33.669728378378366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  <c:pt idx="74">
                  <c:v>4.5967599999999997</c:v>
                </c:pt>
                <c:pt idx="75">
                  <c:v>4.5984499999999997</c:v>
                </c:pt>
                <c:pt idx="76">
                  <c:v>4.6052400000000002</c:v>
                </c:pt>
                <c:pt idx="77">
                  <c:v>4.6179300000000003</c:v>
                </c:pt>
                <c:pt idx="78">
                  <c:v>4.6350199999999999</c:v>
                </c:pt>
                <c:pt idx="79">
                  <c:v>4.6568900000000006</c:v>
                </c:pt>
                <c:pt idx="80">
                  <c:v>4.6786399999999997</c:v>
                </c:pt>
                <c:pt idx="81">
                  <c:v>4.7027799999999997</c:v>
                </c:pt>
                <c:pt idx="82">
                  <c:v>4.7282200000000003</c:v>
                </c:pt>
                <c:pt idx="83">
                  <c:v>4.7533700000000003</c:v>
                </c:pt>
                <c:pt idx="84">
                  <c:v>4.7792300000000001</c:v>
                </c:pt>
                <c:pt idx="85">
                  <c:v>4.8067299999999999</c:v>
                </c:pt>
                <c:pt idx="86">
                  <c:v>4.8358299999999996</c:v>
                </c:pt>
                <c:pt idx="87">
                  <c:v>4.8623799999999999</c:v>
                </c:pt>
                <c:pt idx="88">
                  <c:v>4.8849999999999998</c:v>
                </c:pt>
                <c:pt idx="89">
                  <c:v>4.9049100000000001</c:v>
                </c:pt>
                <c:pt idx="90">
                  <c:v>4.9226399999999995</c:v>
                </c:pt>
                <c:pt idx="91">
                  <c:v>4.9375099999999996</c:v>
                </c:pt>
                <c:pt idx="92">
                  <c:v>4.94834</c:v>
                </c:pt>
                <c:pt idx="93">
                  <c:v>4.9553199999999995</c:v>
                </c:pt>
                <c:pt idx="94">
                  <c:v>4.9585400000000002</c:v>
                </c:pt>
                <c:pt idx="95">
                  <c:v>4.9603199999999994</c:v>
                </c:pt>
                <c:pt idx="96">
                  <c:v>4.9594100000000001</c:v>
                </c:pt>
                <c:pt idx="97">
                  <c:v>4.9547499999999998</c:v>
                </c:pt>
                <c:pt idx="98">
                  <c:v>4.9484699999999995</c:v>
                </c:pt>
                <c:pt idx="99">
                  <c:v>4.94055</c:v>
                </c:pt>
                <c:pt idx="100">
                  <c:v>4.9279099999999998</c:v>
                </c:pt>
                <c:pt idx="101">
                  <c:v>4.9101999999999997</c:v>
                </c:pt>
                <c:pt idx="102">
                  <c:v>4.8887199999999993</c:v>
                </c:pt>
                <c:pt idx="103">
                  <c:v>4.8630499999999994</c:v>
                </c:pt>
                <c:pt idx="104">
                  <c:v>4.8323900000000002</c:v>
                </c:pt>
                <c:pt idx="105">
                  <c:v>4.79948</c:v>
                </c:pt>
                <c:pt idx="106">
                  <c:v>4.7623999999999995</c:v>
                </c:pt>
                <c:pt idx="107">
                  <c:v>4.7208699999999997</c:v>
                </c:pt>
                <c:pt idx="108">
                  <c:v>4.67598</c:v>
                </c:pt>
                <c:pt idx="109">
                  <c:v>4.62554</c:v>
                </c:pt>
                <c:pt idx="110">
                  <c:v>4.57118</c:v>
                </c:pt>
                <c:pt idx="111">
                  <c:v>4.5130400000000002</c:v>
                </c:pt>
                <c:pt idx="112">
                  <c:v>4.45261</c:v>
                </c:pt>
                <c:pt idx="113">
                  <c:v>4.3938199999999998</c:v>
                </c:pt>
                <c:pt idx="114">
                  <c:v>4.3375900000000005</c:v>
                </c:pt>
                <c:pt idx="115">
                  <c:v>4.2806600000000001</c:v>
                </c:pt>
                <c:pt idx="116">
                  <c:v>4.22377</c:v>
                </c:pt>
                <c:pt idx="117">
                  <c:v>4.1701600000000001</c:v>
                </c:pt>
                <c:pt idx="118">
                  <c:v>4.1196299999999999</c:v>
                </c:pt>
                <c:pt idx="119">
                  <c:v>4.0742399999999996</c:v>
                </c:pt>
                <c:pt idx="120">
                  <c:v>4.0335799999999997</c:v>
                </c:pt>
                <c:pt idx="121">
                  <c:v>3.9961400000000005</c:v>
                </c:pt>
                <c:pt idx="122">
                  <c:v>3.9649400000000004</c:v>
                </c:pt>
                <c:pt idx="123">
                  <c:v>3.9369700000000001</c:v>
                </c:pt>
                <c:pt idx="124">
                  <c:v>3.9175399999999998</c:v>
                </c:pt>
                <c:pt idx="125">
                  <c:v>3.9026499999999995</c:v>
                </c:pt>
                <c:pt idx="126">
                  <c:v>3.8896999999999999</c:v>
                </c:pt>
                <c:pt idx="127">
                  <c:v>3.8757799999999998</c:v>
                </c:pt>
                <c:pt idx="128">
                  <c:v>3.8616000000000001</c:v>
                </c:pt>
                <c:pt idx="129">
                  <c:v>3.8477699999999997</c:v>
                </c:pt>
                <c:pt idx="130">
                  <c:v>3.8357900000000003</c:v>
                </c:pt>
                <c:pt idx="131">
                  <c:v>3.8256899999999998</c:v>
                </c:pt>
                <c:pt idx="132">
                  <c:v>3.81717</c:v>
                </c:pt>
                <c:pt idx="133">
                  <c:v>3.8096899999999998</c:v>
                </c:pt>
                <c:pt idx="134">
                  <c:v>3.80335</c:v>
                </c:pt>
                <c:pt idx="135">
                  <c:v>3.7953999999999999</c:v>
                </c:pt>
                <c:pt idx="136">
                  <c:v>3.7876500000000002</c:v>
                </c:pt>
                <c:pt idx="137">
                  <c:v>3.78186</c:v>
                </c:pt>
                <c:pt idx="138">
                  <c:v>3.77935</c:v>
                </c:pt>
                <c:pt idx="139">
                  <c:v>3.7788200000000001</c:v>
                </c:pt>
                <c:pt idx="140">
                  <c:v>3.7791299999999999</c:v>
                </c:pt>
                <c:pt idx="141">
                  <c:v>3.7810800000000002</c:v>
                </c:pt>
                <c:pt idx="142">
                  <c:v>3.7906299999999997</c:v>
                </c:pt>
                <c:pt idx="143">
                  <c:v>3.8059599999999998</c:v>
                </c:pt>
                <c:pt idx="144">
                  <c:v>3.8173300000000001</c:v>
                </c:pt>
                <c:pt idx="145">
                  <c:v>3.81481</c:v>
                </c:pt>
                <c:pt idx="146">
                  <c:v>3.8187900000000004</c:v>
                </c:pt>
                <c:pt idx="147">
                  <c:v>3.8213599999999999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  <c:pt idx="74">
                  <c:v>26.991199999999999</c:v>
                </c:pt>
                <c:pt idx="75">
                  <c:v>27.569700000000001</c:v>
                </c:pt>
                <c:pt idx="76">
                  <c:v>28.069199999999999</c:v>
                </c:pt>
                <c:pt idx="77">
                  <c:v>28.482299999999999</c:v>
                </c:pt>
                <c:pt idx="78">
                  <c:v>28.796699999999998</c:v>
                </c:pt>
                <c:pt idx="79">
                  <c:v>28.943100000000001</c:v>
                </c:pt>
                <c:pt idx="80">
                  <c:v>29.023199999999999</c:v>
                </c:pt>
                <c:pt idx="81">
                  <c:v>29.099799999999998</c:v>
                </c:pt>
                <c:pt idx="82">
                  <c:v>29.1798</c:v>
                </c:pt>
                <c:pt idx="83">
                  <c:v>29.2471</c:v>
                </c:pt>
                <c:pt idx="84">
                  <c:v>29.293400000000002</c:v>
                </c:pt>
                <c:pt idx="85">
                  <c:v>29.3201</c:v>
                </c:pt>
                <c:pt idx="86">
                  <c:v>29.317</c:v>
                </c:pt>
                <c:pt idx="87">
                  <c:v>29.360500000000002</c:v>
                </c:pt>
                <c:pt idx="88">
                  <c:v>29.490699999999997</c:v>
                </c:pt>
                <c:pt idx="89">
                  <c:v>29.679299999999998</c:v>
                </c:pt>
                <c:pt idx="90">
                  <c:v>29.839600000000001</c:v>
                </c:pt>
                <c:pt idx="91">
                  <c:v>29.982300000000002</c:v>
                </c:pt>
                <c:pt idx="92">
                  <c:v>30.115599999999997</c:v>
                </c:pt>
                <c:pt idx="93">
                  <c:v>30.2209</c:v>
                </c:pt>
                <c:pt idx="94">
                  <c:v>30.341200000000001</c:v>
                </c:pt>
                <c:pt idx="95">
                  <c:v>30.4741</c:v>
                </c:pt>
                <c:pt idx="96">
                  <c:v>30.554199999999998</c:v>
                </c:pt>
                <c:pt idx="97">
                  <c:v>30.5519</c:v>
                </c:pt>
                <c:pt idx="98">
                  <c:v>30.492100000000001</c:v>
                </c:pt>
                <c:pt idx="99">
                  <c:v>30.365500000000001</c:v>
                </c:pt>
                <c:pt idx="100">
                  <c:v>30.1387</c:v>
                </c:pt>
                <c:pt idx="101">
                  <c:v>29.856400000000001</c:v>
                </c:pt>
                <c:pt idx="102">
                  <c:v>29.546400000000002</c:v>
                </c:pt>
                <c:pt idx="103">
                  <c:v>29.271699999999999</c:v>
                </c:pt>
                <c:pt idx="104">
                  <c:v>29.101700000000001</c:v>
                </c:pt>
                <c:pt idx="105">
                  <c:v>29.000799999999998</c:v>
                </c:pt>
                <c:pt idx="106">
                  <c:v>28.932099999999998</c:v>
                </c:pt>
                <c:pt idx="107">
                  <c:v>28.966399999999997</c:v>
                </c:pt>
                <c:pt idx="108">
                  <c:v>29.083199999999998</c:v>
                </c:pt>
                <c:pt idx="109">
                  <c:v>29.394399999999997</c:v>
                </c:pt>
                <c:pt idx="110">
                  <c:v>29.8871</c:v>
                </c:pt>
                <c:pt idx="111">
                  <c:v>30.521799999999999</c:v>
                </c:pt>
                <c:pt idx="112">
                  <c:v>31.225199999999997</c:v>
                </c:pt>
                <c:pt idx="113">
                  <c:v>31.961200000000002</c:v>
                </c:pt>
                <c:pt idx="114">
                  <c:v>32.629100000000001</c:v>
                </c:pt>
                <c:pt idx="115">
                  <c:v>33.392200000000003</c:v>
                </c:pt>
                <c:pt idx="116">
                  <c:v>34.3003</c:v>
                </c:pt>
                <c:pt idx="117">
                  <c:v>35.086800000000004</c:v>
                </c:pt>
                <c:pt idx="118">
                  <c:v>35.774299999999997</c:v>
                </c:pt>
                <c:pt idx="119">
                  <c:v>36.3172</c:v>
                </c:pt>
                <c:pt idx="120">
                  <c:v>36.7455</c:v>
                </c:pt>
                <c:pt idx="121">
                  <c:v>37.108000000000004</c:v>
                </c:pt>
                <c:pt idx="122">
                  <c:v>37.454900000000002</c:v>
                </c:pt>
                <c:pt idx="123">
                  <c:v>37.878499999999995</c:v>
                </c:pt>
                <c:pt idx="124">
                  <c:v>38.070799999999998</c:v>
                </c:pt>
                <c:pt idx="125">
                  <c:v>38.270299999999999</c:v>
                </c:pt>
                <c:pt idx="126">
                  <c:v>38.498399999999997</c:v>
                </c:pt>
                <c:pt idx="127">
                  <c:v>38.809399999999997</c:v>
                </c:pt>
                <c:pt idx="128">
                  <c:v>39.155900000000003</c:v>
                </c:pt>
                <c:pt idx="129">
                  <c:v>39.459800000000001</c:v>
                </c:pt>
                <c:pt idx="130">
                  <c:v>39.664100000000005</c:v>
                </c:pt>
                <c:pt idx="131">
                  <c:v>39.842700000000001</c:v>
                </c:pt>
                <c:pt idx="132">
                  <c:v>39.982199999999999</c:v>
                </c:pt>
                <c:pt idx="133">
                  <c:v>40.105000000000004</c:v>
                </c:pt>
                <c:pt idx="134">
                  <c:v>40.119899999999994</c:v>
                </c:pt>
                <c:pt idx="135">
                  <c:v>40.063500000000005</c:v>
                </c:pt>
                <c:pt idx="136">
                  <c:v>40.037399999999998</c:v>
                </c:pt>
                <c:pt idx="137">
                  <c:v>40.0398</c:v>
                </c:pt>
                <c:pt idx="138">
                  <c:v>39.990700000000004</c:v>
                </c:pt>
                <c:pt idx="139">
                  <c:v>39.9651</c:v>
                </c:pt>
                <c:pt idx="140">
                  <c:v>39.889699999999998</c:v>
                </c:pt>
                <c:pt idx="141">
                  <c:v>39.6952</c:v>
                </c:pt>
                <c:pt idx="142">
                  <c:v>39.487499999999997</c:v>
                </c:pt>
                <c:pt idx="143">
                  <c:v>39.418700000000001</c:v>
                </c:pt>
                <c:pt idx="144">
                  <c:v>39.703099999999999</c:v>
                </c:pt>
                <c:pt idx="145">
                  <c:v>40.366900000000001</c:v>
                </c:pt>
                <c:pt idx="146">
                  <c:v>41.008899999999997</c:v>
                </c:pt>
                <c:pt idx="147">
                  <c:v>41.540500000000002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2.6151799999999996</c:v>
                </c:pt>
                <c:pt idx="1">
                  <c:v>2.72567</c:v>
                </c:pt>
                <c:pt idx="2">
                  <c:v>2.8355899999999998</c:v>
                </c:pt>
                <c:pt idx="3">
                  <c:v>2.9469799999999999</c:v>
                </c:pt>
                <c:pt idx="4">
                  <c:v>3.0560399999999999</c:v>
                </c:pt>
                <c:pt idx="5">
                  <c:v>3.1608399999999999</c:v>
                </c:pt>
                <c:pt idx="6">
                  <c:v>3.2603200000000001</c:v>
                </c:pt>
                <c:pt idx="7">
                  <c:v>3.3570199999999999</c:v>
                </c:pt>
                <c:pt idx="8">
                  <c:v>3.45024</c:v>
                </c:pt>
                <c:pt idx="9">
                  <c:v>3.5385</c:v>
                </c:pt>
                <c:pt idx="10">
                  <c:v>3.6222599999999998</c:v>
                </c:pt>
                <c:pt idx="11">
                  <c:v>3.7027900000000002</c:v>
                </c:pt>
                <c:pt idx="12">
                  <c:v>3.77902</c:v>
                </c:pt>
                <c:pt idx="13">
                  <c:v>3.8496599999999996</c:v>
                </c:pt>
                <c:pt idx="14">
                  <c:v>3.9179199999999996</c:v>
                </c:pt>
                <c:pt idx="15">
                  <c:v>3.9849299999999999</c:v>
                </c:pt>
                <c:pt idx="16">
                  <c:v>4.04915</c:v>
                </c:pt>
                <c:pt idx="17">
                  <c:v>4.1101299999999998</c:v>
                </c:pt>
                <c:pt idx="18">
                  <c:v>4.1690199999999997</c:v>
                </c:pt>
                <c:pt idx="19">
                  <c:v>4.2246499999999996</c:v>
                </c:pt>
                <c:pt idx="20">
                  <c:v>4.2736700000000001</c:v>
                </c:pt>
                <c:pt idx="21">
                  <c:v>4.3176699999999997</c:v>
                </c:pt>
                <c:pt idx="22">
                  <c:v>4.3567299999999998</c:v>
                </c:pt>
                <c:pt idx="23">
                  <c:v>4.3924200000000004</c:v>
                </c:pt>
                <c:pt idx="24">
                  <c:v>4.4271899999999995</c:v>
                </c:pt>
                <c:pt idx="25">
                  <c:v>4.4602599999999999</c:v>
                </c:pt>
                <c:pt idx="26">
                  <c:v>4.4897799999999997</c:v>
                </c:pt>
                <c:pt idx="27">
                  <c:v>4.5152299999999999</c:v>
                </c:pt>
                <c:pt idx="28">
                  <c:v>4.5365500000000001</c:v>
                </c:pt>
                <c:pt idx="29">
                  <c:v>4.5549900000000001</c:v>
                </c:pt>
                <c:pt idx="30">
                  <c:v>4.5719900000000004</c:v>
                </c:pt>
                <c:pt idx="31">
                  <c:v>4.5876000000000001</c:v>
                </c:pt>
                <c:pt idx="32">
                  <c:v>4.6001799999999999</c:v>
                </c:pt>
                <c:pt idx="33">
                  <c:v>4.6104699999999994</c:v>
                </c:pt>
                <c:pt idx="34">
                  <c:v>4.6204099999999997</c:v>
                </c:pt>
                <c:pt idx="35">
                  <c:v>4.6293199999999999</c:v>
                </c:pt>
                <c:pt idx="36">
                  <c:v>4.6369699999999998</c:v>
                </c:pt>
                <c:pt idx="37">
                  <c:v>4.64506</c:v>
                </c:pt>
                <c:pt idx="38">
                  <c:v>4.6544699999999999</c:v>
                </c:pt>
                <c:pt idx="39">
                  <c:v>4.66432</c:v>
                </c:pt>
                <c:pt idx="40">
                  <c:v>4.6715099999999996</c:v>
                </c:pt>
                <c:pt idx="41">
                  <c:v>4.6750100000000003</c:v>
                </c:pt>
                <c:pt idx="42">
                  <c:v>4.6768900000000002</c:v>
                </c:pt>
                <c:pt idx="43">
                  <c:v>4.6766000000000005</c:v>
                </c:pt>
                <c:pt idx="44">
                  <c:v>4.6772200000000002</c:v>
                </c:pt>
                <c:pt idx="45">
                  <c:v>4.6802000000000001</c:v>
                </c:pt>
                <c:pt idx="46">
                  <c:v>4.6834300000000004</c:v>
                </c:pt>
                <c:pt idx="47">
                  <c:v>4.68818</c:v>
                </c:pt>
                <c:pt idx="48">
                  <c:v>4.6935700000000002</c:v>
                </c:pt>
                <c:pt idx="49">
                  <c:v>4.6973099999999999</c:v>
                </c:pt>
                <c:pt idx="50">
                  <c:v>4.6995900000000006</c:v>
                </c:pt>
                <c:pt idx="51">
                  <c:v>4.7015200000000004</c:v>
                </c:pt>
                <c:pt idx="52">
                  <c:v>4.7026500000000002</c:v>
                </c:pt>
                <c:pt idx="53">
                  <c:v>4.6992599999999998</c:v>
                </c:pt>
                <c:pt idx="54">
                  <c:v>4.6958000000000002</c:v>
                </c:pt>
                <c:pt idx="55">
                  <c:v>4.6938500000000003</c:v>
                </c:pt>
                <c:pt idx="56">
                  <c:v>4.6886400000000004</c:v>
                </c:pt>
                <c:pt idx="57">
                  <c:v>4.6795399999999994</c:v>
                </c:pt>
                <c:pt idx="58">
                  <c:v>4.6742499999999998</c:v>
                </c:pt>
                <c:pt idx="59">
                  <c:v>4.6711299999999998</c:v>
                </c:pt>
                <c:pt idx="60">
                  <c:v>4.6656899999999997</c:v>
                </c:pt>
                <c:pt idx="61">
                  <c:v>4.6556699999999998</c:v>
                </c:pt>
                <c:pt idx="62">
                  <c:v>4.6489000000000003</c:v>
                </c:pt>
                <c:pt idx="63">
                  <c:v>4.6402299999999999</c:v>
                </c:pt>
                <c:pt idx="64">
                  <c:v>4.6262799999999995</c:v>
                </c:pt>
                <c:pt idx="65">
                  <c:v>4.6169200000000004</c:v>
                </c:pt>
                <c:pt idx="66">
                  <c:v>4.61029</c:v>
                </c:pt>
                <c:pt idx="67">
                  <c:v>4.6057899999999998</c:v>
                </c:pt>
                <c:pt idx="68">
                  <c:v>4.6031199999999997</c:v>
                </c:pt>
                <c:pt idx="69">
                  <c:v>4.6007899999999999</c:v>
                </c:pt>
                <c:pt idx="70">
                  <c:v>4.5987099999999996</c:v>
                </c:pt>
                <c:pt idx="71">
                  <c:v>4.5972</c:v>
                </c:pt>
                <c:pt idx="72">
                  <c:v>4.5967599999999997</c:v>
                </c:pt>
                <c:pt idx="73">
                  <c:v>4.5979599999999996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51.271000000000001</c:v>
                </c:pt>
                <c:pt idx="1">
                  <c:v>49.767499999999998</c:v>
                </c:pt>
                <c:pt idx="2">
                  <c:v>48.345700000000001</c:v>
                </c:pt>
                <c:pt idx="3">
                  <c:v>46.932000000000002</c:v>
                </c:pt>
                <c:pt idx="4">
                  <c:v>45.661799999999999</c:v>
                </c:pt>
                <c:pt idx="5">
                  <c:v>44.583300000000001</c:v>
                </c:pt>
                <c:pt idx="6">
                  <c:v>43.784500000000001</c:v>
                </c:pt>
                <c:pt idx="7">
                  <c:v>43.058500000000002</c:v>
                </c:pt>
                <c:pt idx="8">
                  <c:v>42.345599999999997</c:v>
                </c:pt>
                <c:pt idx="9">
                  <c:v>41.8157</c:v>
                </c:pt>
                <c:pt idx="10">
                  <c:v>41.450700000000005</c:v>
                </c:pt>
                <c:pt idx="11">
                  <c:v>41.153399999999998</c:v>
                </c:pt>
                <c:pt idx="12">
                  <c:v>40.9709</c:v>
                </c:pt>
                <c:pt idx="13">
                  <c:v>40.983799999999995</c:v>
                </c:pt>
                <c:pt idx="14">
                  <c:v>41.014200000000002</c:v>
                </c:pt>
                <c:pt idx="15">
                  <c:v>41.009499999999996</c:v>
                </c:pt>
                <c:pt idx="16">
                  <c:v>41.025300000000001</c:v>
                </c:pt>
                <c:pt idx="17">
                  <c:v>40.976500000000001</c:v>
                </c:pt>
                <c:pt idx="18">
                  <c:v>40.7502</c:v>
                </c:pt>
                <c:pt idx="19">
                  <c:v>40.522799999999997</c:v>
                </c:pt>
                <c:pt idx="20">
                  <c:v>40.311700000000002</c:v>
                </c:pt>
                <c:pt idx="21">
                  <c:v>40.057200000000002</c:v>
                </c:pt>
                <c:pt idx="22">
                  <c:v>39.747399999999999</c:v>
                </c:pt>
                <c:pt idx="23">
                  <c:v>39.387599999999999</c:v>
                </c:pt>
                <c:pt idx="24">
                  <c:v>38.909500000000001</c:v>
                </c:pt>
                <c:pt idx="25">
                  <c:v>38.252499999999998</c:v>
                </c:pt>
                <c:pt idx="26">
                  <c:v>37.521300000000004</c:v>
                </c:pt>
                <c:pt idx="27">
                  <c:v>36.733399999999996</c:v>
                </c:pt>
                <c:pt idx="28">
                  <c:v>35.804600000000001</c:v>
                </c:pt>
                <c:pt idx="29">
                  <c:v>34.889199999999995</c:v>
                </c:pt>
                <c:pt idx="30">
                  <c:v>33.982800000000005</c:v>
                </c:pt>
                <c:pt idx="31">
                  <c:v>33.066200000000002</c:v>
                </c:pt>
                <c:pt idx="32">
                  <c:v>32.224499999999999</c:v>
                </c:pt>
                <c:pt idx="33">
                  <c:v>31.479700000000001</c:v>
                </c:pt>
                <c:pt idx="34">
                  <c:v>30.737599999999997</c:v>
                </c:pt>
                <c:pt idx="35">
                  <c:v>29.984100000000002</c:v>
                </c:pt>
                <c:pt idx="36">
                  <c:v>29.239500000000003</c:v>
                </c:pt>
                <c:pt idx="37">
                  <c:v>28.439999999999998</c:v>
                </c:pt>
                <c:pt idx="38">
                  <c:v>27.596900000000002</c:v>
                </c:pt>
                <c:pt idx="39">
                  <c:v>26.799899999999997</c:v>
                </c:pt>
                <c:pt idx="40">
                  <c:v>26.076100000000004</c:v>
                </c:pt>
                <c:pt idx="41">
                  <c:v>25.399500000000003</c:v>
                </c:pt>
                <c:pt idx="42">
                  <c:v>24.726200000000002</c:v>
                </c:pt>
                <c:pt idx="43">
                  <c:v>24.142900000000001</c:v>
                </c:pt>
                <c:pt idx="44">
                  <c:v>23.580000000000002</c:v>
                </c:pt>
                <c:pt idx="45">
                  <c:v>23.0168</c:v>
                </c:pt>
                <c:pt idx="46">
                  <c:v>22.477499999999999</c:v>
                </c:pt>
                <c:pt idx="47">
                  <c:v>21.963799999999999</c:v>
                </c:pt>
                <c:pt idx="48">
                  <c:v>21.45</c:v>
                </c:pt>
                <c:pt idx="49">
                  <c:v>21.015700000000002</c:v>
                </c:pt>
                <c:pt idx="50">
                  <c:v>20.734500000000001</c:v>
                </c:pt>
                <c:pt idx="51">
                  <c:v>20.502100000000002</c:v>
                </c:pt>
                <c:pt idx="52">
                  <c:v>20.344100000000001</c:v>
                </c:pt>
                <c:pt idx="53">
                  <c:v>20.3338</c:v>
                </c:pt>
                <c:pt idx="54">
                  <c:v>20.366199999999999</c:v>
                </c:pt>
                <c:pt idx="55">
                  <c:v>20.3871</c:v>
                </c:pt>
                <c:pt idx="56">
                  <c:v>20.535600000000002</c:v>
                </c:pt>
                <c:pt idx="57">
                  <c:v>20.6693</c:v>
                </c:pt>
                <c:pt idx="58">
                  <c:v>20.705200000000001</c:v>
                </c:pt>
                <c:pt idx="59">
                  <c:v>20.702999999999999</c:v>
                </c:pt>
                <c:pt idx="60">
                  <c:v>20.799799999999998</c:v>
                </c:pt>
                <c:pt idx="61">
                  <c:v>21.0716</c:v>
                </c:pt>
                <c:pt idx="62">
                  <c:v>21.285799999999998</c:v>
                </c:pt>
                <c:pt idx="63">
                  <c:v>21.6204</c:v>
                </c:pt>
                <c:pt idx="64">
                  <c:v>22.0105</c:v>
                </c:pt>
                <c:pt idx="65">
                  <c:v>22.263500000000001</c:v>
                </c:pt>
                <c:pt idx="66">
                  <c:v>22.569400000000002</c:v>
                </c:pt>
                <c:pt idx="67">
                  <c:v>22.938300000000002</c:v>
                </c:pt>
                <c:pt idx="68">
                  <c:v>23.3947</c:v>
                </c:pt>
                <c:pt idx="69">
                  <c:v>23.8627</c:v>
                </c:pt>
                <c:pt idx="70">
                  <c:v>24.360200000000003</c:v>
                </c:pt>
                <c:pt idx="71">
                  <c:v>24.9665</c:v>
                </c:pt>
                <c:pt idx="72">
                  <c:v>25.585000000000001</c:v>
                </c:pt>
                <c:pt idx="73">
                  <c:v>26.349899999999998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4.5979599999999996</c:v>
                </c:pt>
                <c:pt idx="1">
                  <c:v>4.5967599999999997</c:v>
                </c:pt>
                <c:pt idx="2">
                  <c:v>4.5984499999999997</c:v>
                </c:pt>
                <c:pt idx="3">
                  <c:v>4.6052400000000002</c:v>
                </c:pt>
                <c:pt idx="4">
                  <c:v>4.6179300000000003</c:v>
                </c:pt>
                <c:pt idx="5">
                  <c:v>4.6350199999999999</c:v>
                </c:pt>
                <c:pt idx="6">
                  <c:v>4.6568900000000006</c:v>
                </c:pt>
                <c:pt idx="7">
                  <c:v>4.6786399999999997</c:v>
                </c:pt>
                <c:pt idx="8">
                  <c:v>4.7027799999999997</c:v>
                </c:pt>
                <c:pt idx="9">
                  <c:v>4.7282200000000003</c:v>
                </c:pt>
                <c:pt idx="10">
                  <c:v>4.7533700000000003</c:v>
                </c:pt>
                <c:pt idx="11">
                  <c:v>4.7792300000000001</c:v>
                </c:pt>
                <c:pt idx="12">
                  <c:v>4.8067299999999999</c:v>
                </c:pt>
                <c:pt idx="13">
                  <c:v>4.8358299999999996</c:v>
                </c:pt>
                <c:pt idx="14">
                  <c:v>4.8623799999999999</c:v>
                </c:pt>
                <c:pt idx="15">
                  <c:v>4.8849999999999998</c:v>
                </c:pt>
                <c:pt idx="16">
                  <c:v>4.9049100000000001</c:v>
                </c:pt>
                <c:pt idx="17">
                  <c:v>4.9226399999999995</c:v>
                </c:pt>
                <c:pt idx="18">
                  <c:v>4.9375099999999996</c:v>
                </c:pt>
                <c:pt idx="19">
                  <c:v>4.94834</c:v>
                </c:pt>
                <c:pt idx="20">
                  <c:v>4.9553199999999995</c:v>
                </c:pt>
                <c:pt idx="21">
                  <c:v>4.9585400000000002</c:v>
                </c:pt>
                <c:pt idx="22">
                  <c:v>4.9603199999999994</c:v>
                </c:pt>
                <c:pt idx="23">
                  <c:v>4.9594100000000001</c:v>
                </c:pt>
                <c:pt idx="24">
                  <c:v>4.9547499999999998</c:v>
                </c:pt>
                <c:pt idx="25">
                  <c:v>4.9484699999999995</c:v>
                </c:pt>
                <c:pt idx="26">
                  <c:v>4.94055</c:v>
                </c:pt>
                <c:pt idx="27">
                  <c:v>4.9279099999999998</c:v>
                </c:pt>
                <c:pt idx="28">
                  <c:v>4.9101999999999997</c:v>
                </c:pt>
                <c:pt idx="29">
                  <c:v>4.8887199999999993</c:v>
                </c:pt>
                <c:pt idx="30">
                  <c:v>4.8630499999999994</c:v>
                </c:pt>
                <c:pt idx="31">
                  <c:v>4.8323900000000002</c:v>
                </c:pt>
                <c:pt idx="32">
                  <c:v>4.79948</c:v>
                </c:pt>
                <c:pt idx="33">
                  <c:v>4.7623999999999995</c:v>
                </c:pt>
                <c:pt idx="34">
                  <c:v>4.7208699999999997</c:v>
                </c:pt>
                <c:pt idx="35">
                  <c:v>4.67598</c:v>
                </c:pt>
                <c:pt idx="36">
                  <c:v>4.62554</c:v>
                </c:pt>
                <c:pt idx="37">
                  <c:v>4.57118</c:v>
                </c:pt>
                <c:pt idx="38">
                  <c:v>4.5130400000000002</c:v>
                </c:pt>
                <c:pt idx="39">
                  <c:v>4.45261</c:v>
                </c:pt>
                <c:pt idx="40">
                  <c:v>4.3938199999999998</c:v>
                </c:pt>
                <c:pt idx="41">
                  <c:v>4.3375900000000005</c:v>
                </c:pt>
                <c:pt idx="42">
                  <c:v>4.2806600000000001</c:v>
                </c:pt>
                <c:pt idx="43">
                  <c:v>4.22377</c:v>
                </c:pt>
                <c:pt idx="44">
                  <c:v>4.1701600000000001</c:v>
                </c:pt>
                <c:pt idx="45">
                  <c:v>4.1196299999999999</c:v>
                </c:pt>
                <c:pt idx="46">
                  <c:v>4.0742399999999996</c:v>
                </c:pt>
                <c:pt idx="47">
                  <c:v>4.0335799999999997</c:v>
                </c:pt>
                <c:pt idx="48">
                  <c:v>3.9961400000000005</c:v>
                </c:pt>
                <c:pt idx="49">
                  <c:v>3.9649400000000004</c:v>
                </c:pt>
                <c:pt idx="50">
                  <c:v>3.9369700000000001</c:v>
                </c:pt>
                <c:pt idx="51">
                  <c:v>3.9175399999999998</c:v>
                </c:pt>
                <c:pt idx="52">
                  <c:v>3.9026499999999995</c:v>
                </c:pt>
                <c:pt idx="53">
                  <c:v>3.8896999999999999</c:v>
                </c:pt>
                <c:pt idx="54">
                  <c:v>3.8757799999999998</c:v>
                </c:pt>
                <c:pt idx="55">
                  <c:v>3.8616000000000001</c:v>
                </c:pt>
                <c:pt idx="56">
                  <c:v>3.8477699999999997</c:v>
                </c:pt>
                <c:pt idx="57">
                  <c:v>3.8357900000000003</c:v>
                </c:pt>
                <c:pt idx="58">
                  <c:v>3.8256899999999998</c:v>
                </c:pt>
                <c:pt idx="59">
                  <c:v>3.81717</c:v>
                </c:pt>
                <c:pt idx="60">
                  <c:v>3.8096899999999998</c:v>
                </c:pt>
                <c:pt idx="61">
                  <c:v>3.80335</c:v>
                </c:pt>
                <c:pt idx="62">
                  <c:v>3.7953999999999999</c:v>
                </c:pt>
                <c:pt idx="63">
                  <c:v>3.7876500000000002</c:v>
                </c:pt>
                <c:pt idx="64">
                  <c:v>3.78186</c:v>
                </c:pt>
                <c:pt idx="65">
                  <c:v>3.77935</c:v>
                </c:pt>
                <c:pt idx="66">
                  <c:v>3.7788200000000001</c:v>
                </c:pt>
                <c:pt idx="67">
                  <c:v>3.7791299999999999</c:v>
                </c:pt>
                <c:pt idx="68">
                  <c:v>3.7810800000000002</c:v>
                </c:pt>
                <c:pt idx="69">
                  <c:v>3.7906299999999997</c:v>
                </c:pt>
                <c:pt idx="70">
                  <c:v>3.8059599999999998</c:v>
                </c:pt>
                <c:pt idx="71">
                  <c:v>3.8173300000000001</c:v>
                </c:pt>
                <c:pt idx="72">
                  <c:v>3.81481</c:v>
                </c:pt>
                <c:pt idx="73">
                  <c:v>3.8187900000000004</c:v>
                </c:pt>
                <c:pt idx="74">
                  <c:v>3.8213599999999999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26.349899999999998</c:v>
                </c:pt>
                <c:pt idx="1">
                  <c:v>26.991199999999999</c:v>
                </c:pt>
                <c:pt idx="2">
                  <c:v>27.569700000000001</c:v>
                </c:pt>
                <c:pt idx="3">
                  <c:v>28.069199999999999</c:v>
                </c:pt>
                <c:pt idx="4">
                  <c:v>28.482299999999999</c:v>
                </c:pt>
                <c:pt idx="5">
                  <c:v>28.796699999999998</c:v>
                </c:pt>
                <c:pt idx="6">
                  <c:v>28.943100000000001</c:v>
                </c:pt>
                <c:pt idx="7">
                  <c:v>29.023199999999999</c:v>
                </c:pt>
                <c:pt idx="8">
                  <c:v>29.099799999999998</c:v>
                </c:pt>
                <c:pt idx="9">
                  <c:v>29.1798</c:v>
                </c:pt>
                <c:pt idx="10">
                  <c:v>29.2471</c:v>
                </c:pt>
                <c:pt idx="11">
                  <c:v>29.293400000000002</c:v>
                </c:pt>
                <c:pt idx="12">
                  <c:v>29.3201</c:v>
                </c:pt>
                <c:pt idx="13">
                  <c:v>29.317</c:v>
                </c:pt>
                <c:pt idx="14">
                  <c:v>29.360500000000002</c:v>
                </c:pt>
                <c:pt idx="15">
                  <c:v>29.490699999999997</c:v>
                </c:pt>
                <c:pt idx="16">
                  <c:v>29.679299999999998</c:v>
                </c:pt>
                <c:pt idx="17">
                  <c:v>29.839600000000001</c:v>
                </c:pt>
                <c:pt idx="18">
                  <c:v>29.982300000000002</c:v>
                </c:pt>
                <c:pt idx="19">
                  <c:v>30.115599999999997</c:v>
                </c:pt>
                <c:pt idx="20">
                  <c:v>30.2209</c:v>
                </c:pt>
                <c:pt idx="21">
                  <c:v>30.341200000000001</c:v>
                </c:pt>
                <c:pt idx="22">
                  <c:v>30.4741</c:v>
                </c:pt>
                <c:pt idx="23">
                  <c:v>30.554199999999998</c:v>
                </c:pt>
                <c:pt idx="24">
                  <c:v>30.5519</c:v>
                </c:pt>
                <c:pt idx="25">
                  <c:v>30.492100000000001</c:v>
                </c:pt>
                <c:pt idx="26">
                  <c:v>30.365500000000001</c:v>
                </c:pt>
                <c:pt idx="27">
                  <c:v>30.1387</c:v>
                </c:pt>
                <c:pt idx="28">
                  <c:v>29.856400000000001</c:v>
                </c:pt>
                <c:pt idx="29">
                  <c:v>29.546400000000002</c:v>
                </c:pt>
                <c:pt idx="30">
                  <c:v>29.271699999999999</c:v>
                </c:pt>
                <c:pt idx="31">
                  <c:v>29.101700000000001</c:v>
                </c:pt>
                <c:pt idx="32">
                  <c:v>29.000799999999998</c:v>
                </c:pt>
                <c:pt idx="33">
                  <c:v>28.932099999999998</c:v>
                </c:pt>
                <c:pt idx="34">
                  <c:v>28.966399999999997</c:v>
                </c:pt>
                <c:pt idx="35">
                  <c:v>29.083199999999998</c:v>
                </c:pt>
                <c:pt idx="36">
                  <c:v>29.394399999999997</c:v>
                </c:pt>
                <c:pt idx="37">
                  <c:v>29.8871</c:v>
                </c:pt>
                <c:pt idx="38">
                  <c:v>30.521799999999999</c:v>
                </c:pt>
                <c:pt idx="39">
                  <c:v>31.225199999999997</c:v>
                </c:pt>
                <c:pt idx="40">
                  <c:v>31.961200000000002</c:v>
                </c:pt>
                <c:pt idx="41">
                  <c:v>32.629100000000001</c:v>
                </c:pt>
                <c:pt idx="42">
                  <c:v>33.392200000000003</c:v>
                </c:pt>
                <c:pt idx="43">
                  <c:v>34.3003</c:v>
                </c:pt>
                <c:pt idx="44">
                  <c:v>35.086800000000004</c:v>
                </c:pt>
                <c:pt idx="45">
                  <c:v>35.774299999999997</c:v>
                </c:pt>
                <c:pt idx="46">
                  <c:v>36.3172</c:v>
                </c:pt>
                <c:pt idx="47">
                  <c:v>36.7455</c:v>
                </c:pt>
                <c:pt idx="48">
                  <c:v>37.108000000000004</c:v>
                </c:pt>
                <c:pt idx="49">
                  <c:v>37.454900000000002</c:v>
                </c:pt>
                <c:pt idx="50">
                  <c:v>37.878499999999995</c:v>
                </c:pt>
                <c:pt idx="51">
                  <c:v>38.070799999999998</c:v>
                </c:pt>
                <c:pt idx="52">
                  <c:v>38.270299999999999</c:v>
                </c:pt>
                <c:pt idx="53">
                  <c:v>38.498399999999997</c:v>
                </c:pt>
                <c:pt idx="54">
                  <c:v>38.809399999999997</c:v>
                </c:pt>
                <c:pt idx="55">
                  <c:v>39.155900000000003</c:v>
                </c:pt>
                <c:pt idx="56">
                  <c:v>39.459800000000001</c:v>
                </c:pt>
                <c:pt idx="57">
                  <c:v>39.664100000000005</c:v>
                </c:pt>
                <c:pt idx="58">
                  <c:v>39.842700000000001</c:v>
                </c:pt>
                <c:pt idx="59">
                  <c:v>39.982199999999999</c:v>
                </c:pt>
                <c:pt idx="60">
                  <c:v>40.105000000000004</c:v>
                </c:pt>
                <c:pt idx="61">
                  <c:v>40.119899999999994</c:v>
                </c:pt>
                <c:pt idx="62">
                  <c:v>40.063500000000005</c:v>
                </c:pt>
                <c:pt idx="63">
                  <c:v>40.037399999999998</c:v>
                </c:pt>
                <c:pt idx="64">
                  <c:v>40.0398</c:v>
                </c:pt>
                <c:pt idx="65">
                  <c:v>39.990700000000004</c:v>
                </c:pt>
                <c:pt idx="66">
                  <c:v>39.9651</c:v>
                </c:pt>
                <c:pt idx="67">
                  <c:v>39.889699999999998</c:v>
                </c:pt>
                <c:pt idx="68">
                  <c:v>39.6952</c:v>
                </c:pt>
                <c:pt idx="69">
                  <c:v>39.487499999999997</c:v>
                </c:pt>
                <c:pt idx="70">
                  <c:v>39.418700000000001</c:v>
                </c:pt>
                <c:pt idx="71">
                  <c:v>39.703099999999999</c:v>
                </c:pt>
                <c:pt idx="72">
                  <c:v>40.366900000000001</c:v>
                </c:pt>
                <c:pt idx="73">
                  <c:v>41.008899999999997</c:v>
                </c:pt>
                <c:pt idx="74">
                  <c:v>41.540500000000002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2.6151799999999996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4.3147520270270254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31.281029729729738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4.3776621621621619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33.669728378378366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4.3776621621621619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33.669728378378366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4"/>
      <c r="D1" s="155"/>
      <c r="E1" s="155"/>
      <c r="F1" s="155"/>
      <c r="G1" s="155"/>
      <c r="H1" s="155"/>
      <c r="I1" s="155"/>
      <c r="J1" s="26"/>
      <c r="K1" s="8"/>
      <c r="L1" s="2"/>
      <c r="M1" s="2"/>
      <c r="N1" s="2"/>
      <c r="O1" s="2"/>
      <c r="P1" s="2"/>
    </row>
    <row r="2" spans="2:21" ht="27.75" customHeight="1" thickBot="1">
      <c r="B2" s="196" t="s">
        <v>290</v>
      </c>
      <c r="C2" s="197"/>
      <c r="D2" s="197"/>
      <c r="E2" s="197"/>
      <c r="F2" s="197"/>
      <c r="G2" s="197"/>
      <c r="H2" s="197"/>
      <c r="I2" s="197"/>
      <c r="J2" s="197"/>
      <c r="K2" s="197"/>
      <c r="L2" s="90"/>
      <c r="M2" s="90"/>
      <c r="N2" s="90"/>
      <c r="O2" s="90"/>
      <c r="P2" s="90"/>
    </row>
    <row r="3" spans="2:21" ht="13.5">
      <c r="B3" s="177" t="str">
        <f>lang!B2</f>
        <v>心理生理状态分析结果</v>
      </c>
      <c r="C3" s="178"/>
      <c r="D3" s="178"/>
      <c r="E3" s="178"/>
      <c r="F3" s="178"/>
      <c r="G3" s="178"/>
      <c r="H3" s="178"/>
      <c r="I3" s="178"/>
      <c r="J3" s="178"/>
      <c r="K3" s="179"/>
    </row>
    <row r="4" spans="2:21" ht="34.5" customHeight="1" thickBot="1">
      <c r="B4" s="180"/>
      <c r="C4" s="181"/>
      <c r="D4" s="181"/>
      <c r="E4" s="181"/>
      <c r="F4" s="181"/>
      <c r="G4" s="181"/>
      <c r="H4" s="181"/>
      <c r="I4" s="181"/>
      <c r="J4" s="181"/>
      <c r="K4" s="182"/>
    </row>
    <row r="5" spans="2:21" ht="16.5" customHeight="1">
      <c r="B5" s="45" t="str">
        <f>lang!B24</f>
        <v>姓名</v>
      </c>
      <c r="C5" s="191" t="s">
        <v>572</v>
      </c>
      <c r="D5" s="192"/>
      <c r="E5" s="192"/>
      <c r="F5" s="193"/>
      <c r="G5" s="48" t="str">
        <f>lang!B27</f>
        <v>编号</v>
      </c>
      <c r="H5" s="194">
        <v>3</v>
      </c>
      <c r="I5" s="192"/>
      <c r="J5" s="192"/>
      <c r="K5" s="195"/>
    </row>
    <row r="6" spans="2:21" ht="17.25" customHeight="1">
      <c r="B6" s="46" t="str">
        <f>lang!B25</f>
        <v>性别</v>
      </c>
      <c r="C6" s="145" t="s">
        <v>571</v>
      </c>
      <c r="D6" s="146"/>
      <c r="E6" s="146"/>
      <c r="F6" s="147"/>
      <c r="G6" s="49" t="str">
        <f>lang!B28</f>
        <v xml:space="preserve"> 日期</v>
      </c>
      <c r="H6" s="130">
        <f>FH_info!A2</f>
        <v>43606.408391203702</v>
      </c>
      <c r="I6" s="131"/>
      <c r="J6" s="131"/>
      <c r="K6" s="132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8">
        <v>30</v>
      </c>
      <c r="D7" s="149"/>
      <c r="E7" s="149"/>
      <c r="F7" s="150"/>
      <c r="G7" s="50" t="str">
        <f>lang!B29</f>
        <v>误差率（%）</v>
      </c>
      <c r="H7" s="133">
        <f>M!B17*1</f>
        <v>23.150099999999998</v>
      </c>
      <c r="I7" s="134"/>
      <c r="J7" s="134"/>
      <c r="K7" s="135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6" t="str">
        <f>lang!B30</f>
        <v>10项参数结果</v>
      </c>
      <c r="C8" s="127"/>
      <c r="D8" s="128"/>
      <c r="E8" s="128"/>
      <c r="F8" s="128"/>
      <c r="G8" s="128"/>
      <c r="H8" s="128"/>
      <c r="I8" s="128"/>
      <c r="J8" s="128"/>
      <c r="K8" s="129"/>
      <c r="M8" s="27" t="str">
        <f>lang!B14</f>
        <v>攻击性</v>
      </c>
      <c r="N8" s="59">
        <f>M!B5*1</f>
        <v>56.157499999999999</v>
      </c>
      <c r="O8" s="59">
        <f>M!C5*1</f>
        <v>13.818</v>
      </c>
      <c r="P8" s="59">
        <f>M!D5*1</f>
        <v>24.605799999999999</v>
      </c>
      <c r="Q8" s="59">
        <f>M!E5*1</f>
        <v>20</v>
      </c>
      <c r="R8" s="59">
        <f>M!F5*1</f>
        <v>11.779299999999999</v>
      </c>
      <c r="S8" s="59">
        <f>M!G5*1</f>
        <v>50</v>
      </c>
      <c r="T8" s="59">
        <f>M!H5*1</f>
        <v>66.542000000000002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18.383900000000001</v>
      </c>
      <c r="O9" s="59">
        <f>M!C6*1</f>
        <v>2.9719600000000002</v>
      </c>
      <c r="P9" s="59">
        <f>M!D6*1</f>
        <v>16.1661</v>
      </c>
      <c r="Q9" s="59">
        <f>M!E6*1</f>
        <v>20</v>
      </c>
      <c r="R9" s="59">
        <f>M!F6*1</f>
        <v>12.677199999999999</v>
      </c>
      <c r="S9" s="59">
        <f>M!G6*1</f>
        <v>40</v>
      </c>
      <c r="T9" s="59">
        <f>M!H6*1</f>
        <v>24.887599999999999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11.779299999999999</v>
      </c>
      <c r="D10" s="99">
        <f>N8</f>
        <v>56.157499999999999</v>
      </c>
      <c r="E10" s="100">
        <f>T8</f>
        <v>66.542000000000002</v>
      </c>
      <c r="F10" s="91">
        <f>P8</f>
        <v>24.605799999999999</v>
      </c>
      <c r="G10" s="81" t="str">
        <f>CONCATENATE(M9,"
(20 ~ 40)")</f>
        <v>压力
(20 ~ 40)</v>
      </c>
      <c r="H10" s="98">
        <f>R9</f>
        <v>12.677199999999999</v>
      </c>
      <c r="I10" s="108">
        <f>N9</f>
        <v>18.383900000000001</v>
      </c>
      <c r="J10" s="98">
        <f>T9</f>
        <v>24.887599999999999</v>
      </c>
      <c r="K10" s="92">
        <f>P9</f>
        <v>16.1661</v>
      </c>
      <c r="L10" s="6"/>
      <c r="M10" s="27" t="str">
        <f>lang!B16</f>
        <v>焦虑</v>
      </c>
      <c r="N10" s="59">
        <f>M!B7*1</f>
        <v>24.151399999999999</v>
      </c>
      <c r="O10" s="59">
        <f>M!C7*1</f>
        <v>11.7684</v>
      </c>
      <c r="P10" s="59">
        <f>M!D7*1</f>
        <v>48.727499999999999</v>
      </c>
      <c r="Q10" s="59">
        <f>M!E7*1</f>
        <v>15</v>
      </c>
      <c r="R10" s="59">
        <f>M!F7*1</f>
        <v>5.9821799999999996</v>
      </c>
      <c r="S10" s="59">
        <f>M!G7*1</f>
        <v>40</v>
      </c>
      <c r="T10" s="59">
        <f>M!H7*1</f>
        <v>47.7973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5.9821799999999996</v>
      </c>
      <c r="D11" s="102">
        <f>N10</f>
        <v>24.151399999999999</v>
      </c>
      <c r="E11" s="103">
        <f>T10</f>
        <v>47.7973</v>
      </c>
      <c r="F11" s="94">
        <f>P10</f>
        <v>48.727499999999999</v>
      </c>
      <c r="G11" s="52" t="str">
        <f>CONCATENATE(M11,"
(20 ~ 50)")</f>
        <v>可疑
(20 ~ 50)</v>
      </c>
      <c r="H11" s="101">
        <f>R11</f>
        <v>12.473800000000001</v>
      </c>
      <c r="I11" s="104">
        <f>N11</f>
        <v>32.195999999999998</v>
      </c>
      <c r="J11" s="101">
        <f>T11</f>
        <v>41.348399999999998</v>
      </c>
      <c r="K11" s="95">
        <f>P11</f>
        <v>19.260300000000001</v>
      </c>
      <c r="L11" s="4"/>
      <c r="M11" s="27" t="str">
        <f>lang!B17</f>
        <v>可疑</v>
      </c>
      <c r="N11" s="59">
        <f>M!B8*1</f>
        <v>32.195999999999998</v>
      </c>
      <c r="O11" s="59">
        <f>M!C8*1</f>
        <v>6.20106</v>
      </c>
      <c r="P11" s="59">
        <f>M!D8*1</f>
        <v>19.260300000000001</v>
      </c>
      <c r="Q11" s="59">
        <f>M!E8*1</f>
        <v>20</v>
      </c>
      <c r="R11" s="59">
        <f>M!F8*1</f>
        <v>12.473800000000001</v>
      </c>
      <c r="S11" s="59">
        <f>M!G8*1</f>
        <v>50</v>
      </c>
      <c r="T11" s="59">
        <f>M!H8*1</f>
        <v>41.348399999999998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23.585100000000001</v>
      </c>
      <c r="D12" s="104">
        <f>N12</f>
        <v>39.386099999999999</v>
      </c>
      <c r="E12" s="101">
        <f>T12</f>
        <v>90.469800000000006</v>
      </c>
      <c r="F12" s="93">
        <f>P12</f>
        <v>36.8752</v>
      </c>
      <c r="G12" s="52" t="str">
        <f>CONCATENATE(M13,"
(40 ~ 100)")</f>
        <v>自信
(40 ~ 100)</v>
      </c>
      <c r="H12" s="101">
        <f>R13</f>
        <v>80.749899999999997</v>
      </c>
      <c r="I12" s="104">
        <f>N13</f>
        <v>84.709000000000003</v>
      </c>
      <c r="J12" s="101">
        <f>T13</f>
        <v>89.994100000000003</v>
      </c>
      <c r="K12" s="95">
        <f>P13</f>
        <v>2.4360900000000001</v>
      </c>
      <c r="L12" s="4"/>
      <c r="M12" s="27" t="str">
        <f>lang!B18</f>
        <v>平衡</v>
      </c>
      <c r="N12" s="59">
        <f>M!B9*1</f>
        <v>39.386099999999999</v>
      </c>
      <c r="O12" s="59">
        <f>M!C9*1</f>
        <v>14.5237</v>
      </c>
      <c r="P12" s="59">
        <f>M!D9*1</f>
        <v>36.8752</v>
      </c>
      <c r="Q12" s="59">
        <f>M!E9*1</f>
        <v>50</v>
      </c>
      <c r="R12" s="59">
        <f>M!F9*1</f>
        <v>23.585100000000001</v>
      </c>
      <c r="S12" s="59">
        <f>M!G9*1</f>
        <v>100</v>
      </c>
      <c r="T12" s="59">
        <f>M!H9*1</f>
        <v>90.469800000000006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9.8603199999999998</v>
      </c>
      <c r="D13" s="102">
        <f>N14</f>
        <v>30.816400000000002</v>
      </c>
      <c r="E13" s="103">
        <f>T14</f>
        <v>38.004899999999999</v>
      </c>
      <c r="F13" s="94">
        <f>P14</f>
        <v>20.332000000000001</v>
      </c>
      <c r="G13" s="52" t="str">
        <f>CONCATENATE(M15,"
(50 ~ 100)")</f>
        <v>自我调节
(50 ~ 100)</v>
      </c>
      <c r="H13" s="101">
        <f>R15</f>
        <v>52.590899999999998</v>
      </c>
      <c r="I13" s="104">
        <f>N15</f>
        <v>61.5548</v>
      </c>
      <c r="J13" s="101">
        <f>T15</f>
        <v>89.604200000000006</v>
      </c>
      <c r="K13" s="95">
        <f>P15</f>
        <v>12.9094</v>
      </c>
      <c r="L13" s="4"/>
      <c r="M13" s="27" t="str">
        <f>lang!B19</f>
        <v>自信</v>
      </c>
      <c r="N13" s="59">
        <f>M!B10*1</f>
        <v>84.709000000000003</v>
      </c>
      <c r="O13" s="59">
        <f>M!C10*1</f>
        <v>2.06358</v>
      </c>
      <c r="P13" s="59">
        <f>M!D10*1</f>
        <v>2.4360900000000001</v>
      </c>
      <c r="Q13" s="59">
        <f>M!E10*1</f>
        <v>40</v>
      </c>
      <c r="R13" s="59">
        <f>M!F10*1</f>
        <v>80.749899999999997</v>
      </c>
      <c r="S13" s="59">
        <f>M!G10*1</f>
        <v>100</v>
      </c>
      <c r="T13" s="59">
        <f>M!H10*1</f>
        <v>89.994100000000003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10.6264</v>
      </c>
      <c r="D14" s="106">
        <f>N16</f>
        <v>14.3535</v>
      </c>
      <c r="E14" s="107">
        <f>T16</f>
        <v>22.831499999999998</v>
      </c>
      <c r="F14" s="96">
        <f>P16</f>
        <v>16.091699999999999</v>
      </c>
      <c r="G14" s="112" t="str">
        <f>CONCATENATE(M17,"
(10 ~ 50)")</f>
        <v>神经质
(10 ~ 50)</v>
      </c>
      <c r="H14" s="105">
        <f>R17</f>
        <v>1.6168899999999999</v>
      </c>
      <c r="I14" s="106">
        <f>N17</f>
        <v>23.097200000000001</v>
      </c>
      <c r="J14" s="107">
        <f>T17</f>
        <v>25.712499999999999</v>
      </c>
      <c r="K14" s="97">
        <f>P17</f>
        <v>34.096600000000002</v>
      </c>
      <c r="M14" s="27" t="str">
        <f>lang!B20</f>
        <v>活力</v>
      </c>
      <c r="N14" s="59">
        <f>M!B11*1</f>
        <v>30.816400000000002</v>
      </c>
      <c r="O14" s="59">
        <f>M!C11*1</f>
        <v>6.2655900000000004</v>
      </c>
      <c r="P14" s="59">
        <f>M!D11*1</f>
        <v>20.332000000000001</v>
      </c>
      <c r="Q14" s="59">
        <f>M!E11*1</f>
        <v>10</v>
      </c>
      <c r="R14" s="59">
        <f>M!F11*1</f>
        <v>9.8603199999999998</v>
      </c>
      <c r="S14" s="59">
        <f>M!G11*1</f>
        <v>50</v>
      </c>
      <c r="T14" s="59">
        <f>M!H11*1</f>
        <v>38.004899999999999</v>
      </c>
      <c r="U14" s="14"/>
    </row>
    <row r="15" spans="2:21" ht="19.5" customHeight="1" thickBot="1">
      <c r="B15" s="188" t="str">
        <f>lang!B3</f>
        <v>参数表</v>
      </c>
      <c r="C15" s="189"/>
      <c r="D15" s="189"/>
      <c r="E15" s="189"/>
      <c r="F15" s="190"/>
      <c r="G15" s="185" t="str">
        <f>lang!B4</f>
        <v>情感状态分布图</v>
      </c>
      <c r="H15" s="186"/>
      <c r="I15" s="186"/>
      <c r="J15" s="186"/>
      <c r="K15" s="187"/>
      <c r="M15" s="27" t="str">
        <f>lang!B21</f>
        <v>自我调节</v>
      </c>
      <c r="N15" s="59">
        <f>M!B12*1</f>
        <v>61.5548</v>
      </c>
      <c r="O15" s="59">
        <f>M!C12*1</f>
        <v>7.9463400000000002</v>
      </c>
      <c r="P15" s="59">
        <f>M!D12*1</f>
        <v>12.9094</v>
      </c>
      <c r="Q15" s="59">
        <f>M!E12*1</f>
        <v>50</v>
      </c>
      <c r="R15" s="59">
        <f>M!F12*1</f>
        <v>52.590899999999998</v>
      </c>
      <c r="S15" s="59">
        <f>M!G12*1</f>
        <v>100</v>
      </c>
      <c r="T15" s="59">
        <f>M!H12*1</f>
        <v>89.604200000000006</v>
      </c>
      <c r="U15" s="14"/>
    </row>
    <row r="16" spans="2:21" ht="21" customHeight="1">
      <c r="B16" s="38"/>
      <c r="C16" s="28"/>
      <c r="D16" s="28"/>
      <c r="E16" s="28"/>
      <c r="F16" s="28"/>
      <c r="G16" s="166"/>
      <c r="H16" s="167"/>
      <c r="I16" s="167"/>
      <c r="J16" s="167"/>
      <c r="K16" s="168"/>
      <c r="M16" s="27" t="str">
        <f>lang!B22</f>
        <v>抑郁</v>
      </c>
      <c r="N16" s="59">
        <f>M!B13*1</f>
        <v>14.3535</v>
      </c>
      <c r="O16" s="59">
        <f>M!C13*1</f>
        <v>2.30972</v>
      </c>
      <c r="P16" s="59">
        <f>M!D13*1</f>
        <v>16.091699999999999</v>
      </c>
      <c r="Q16" s="59">
        <f>M!E13*1</f>
        <v>10</v>
      </c>
      <c r="R16" s="59">
        <f>M!F13*1</f>
        <v>10.6264</v>
      </c>
      <c r="S16" s="59">
        <f>M!G13*1</f>
        <v>25</v>
      </c>
      <c r="T16" s="59">
        <f>M!H13*1</f>
        <v>22.831499999999998</v>
      </c>
      <c r="U16" s="14"/>
    </row>
    <row r="17" spans="2:24" ht="21" customHeight="1">
      <c r="B17" s="29"/>
      <c r="C17" s="32"/>
      <c r="D17" s="32"/>
      <c r="E17" s="32"/>
      <c r="F17" s="32"/>
      <c r="G17" s="169"/>
      <c r="H17" s="170"/>
      <c r="I17" s="170"/>
      <c r="J17" s="170"/>
      <c r="K17" s="171"/>
      <c r="M17" s="27" t="str">
        <f>lang!B23</f>
        <v>神经质</v>
      </c>
      <c r="N17" s="59">
        <f>M!B14*1</f>
        <v>23.097200000000001</v>
      </c>
      <c r="O17" s="59">
        <f>M!C14*1</f>
        <v>7.8753700000000002</v>
      </c>
      <c r="P17" s="59">
        <f>M!D14*1</f>
        <v>34.096600000000002</v>
      </c>
      <c r="Q17" s="59">
        <f>M!E14*1</f>
        <v>10</v>
      </c>
      <c r="R17" s="59">
        <f>M!F14*1</f>
        <v>1.6168899999999999</v>
      </c>
      <c r="S17" s="59">
        <f>M!G14*1</f>
        <v>50</v>
      </c>
      <c r="T17" s="59">
        <f>M!H14*1</f>
        <v>25.712499999999999</v>
      </c>
      <c r="U17" s="15"/>
    </row>
    <row r="18" spans="2:24" ht="21" customHeight="1">
      <c r="B18" s="29"/>
      <c r="C18" s="32"/>
      <c r="D18" s="32"/>
      <c r="E18" s="32"/>
      <c r="F18" s="32"/>
      <c r="G18" s="169"/>
      <c r="H18" s="170"/>
      <c r="I18" s="170"/>
      <c r="J18" s="170"/>
      <c r="K18" s="171"/>
      <c r="M18" s="21" t="str">
        <f>lang!B7</f>
        <v>Positive</v>
      </c>
      <c r="N18" s="65">
        <f>SUM(N12:N15)/4</f>
        <v>54.116574999999997</v>
      </c>
      <c r="O18" s="22">
        <f>N18/(N18+N19+N20)</f>
        <v>0.5126417236916424</v>
      </c>
      <c r="P18" s="65">
        <f>SUM(P12:P15)/4</f>
        <v>18.1381725</v>
      </c>
      <c r="Q18" s="22">
        <f>P18/(P18+P19+P20)</f>
        <v>0.25756310177405228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9"/>
      <c r="H19" s="170"/>
      <c r="I19" s="170"/>
      <c r="J19" s="170"/>
      <c r="K19" s="171"/>
      <c r="M19" s="21" t="str">
        <f>lang!B8</f>
        <v>Negative</v>
      </c>
      <c r="N19" s="18">
        <f>SUM(N8:N11)/4</f>
        <v>32.722200000000001</v>
      </c>
      <c r="O19" s="22">
        <f>N19/(N18+N19+N20)</f>
        <v>0.30997462442851681</v>
      </c>
      <c r="P19" s="18">
        <f>SUM(P8:P11)/4</f>
        <v>27.189925000000002</v>
      </c>
      <c r="Q19" s="22">
        <f>P19/(P18+P19+P20)</f>
        <v>0.38609851240547249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9"/>
      <c r="H20" s="170"/>
      <c r="I20" s="170"/>
      <c r="J20" s="170"/>
      <c r="K20" s="171"/>
      <c r="M20" s="21" t="str">
        <f>lang!B9</f>
        <v>Physiological</v>
      </c>
      <c r="N20" s="18">
        <f>(N16+N17)/2</f>
        <v>18.725349999999999</v>
      </c>
      <c r="O20" s="22">
        <f>N20/(N18+N19+N20)</f>
        <v>0.17738365187984081</v>
      </c>
      <c r="P20" s="18">
        <f>(P16+P17)/2</f>
        <v>25.094149999999999</v>
      </c>
      <c r="Q20" s="22">
        <f>P20/(P18+P19+P20)</f>
        <v>0.35633838582047528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9"/>
      <c r="H21" s="170"/>
      <c r="I21" s="170"/>
      <c r="J21" s="170"/>
      <c r="K21" s="171"/>
      <c r="M21" s="21" t="str">
        <f>lang!B50</f>
        <v>Sat</v>
      </c>
      <c r="N21" s="88">
        <f ca="1">(info!V3-info!U3)-(info!X3-info!W3)</f>
        <v>1.7595972972972607E-2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9"/>
      <c r="H22" s="170"/>
      <c r="I22" s="170"/>
      <c r="J22" s="170"/>
      <c r="K22" s="171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2"/>
      <c r="H23" s="173"/>
      <c r="I23" s="173"/>
      <c r="J23" s="173"/>
      <c r="K23" s="174"/>
      <c r="M23" s="16"/>
      <c r="O23" s="17"/>
      <c r="Q23"/>
      <c r="T23"/>
      <c r="U23" s="19"/>
    </row>
    <row r="24" spans="2:24" ht="17.25" customHeight="1" thickBot="1">
      <c r="B24" s="151" t="str">
        <f>lang!B5</f>
        <v>频率分布直方图</v>
      </c>
      <c r="C24" s="152"/>
      <c r="D24" s="152"/>
      <c r="E24" s="152"/>
      <c r="F24" s="153"/>
      <c r="G24" s="163" t="str">
        <f>lang!B6</f>
        <v xml:space="preserve">心理变化 - 心理基础代谢 </v>
      </c>
      <c r="H24" s="164"/>
      <c r="I24" s="164"/>
      <c r="J24" s="164"/>
      <c r="K24" s="165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2.1600560148910284</v>
      </c>
      <c r="D25" s="44" t="str">
        <f>lang!B11</f>
        <v>频率方差</v>
      </c>
      <c r="E25" s="183">
        <f ca="1">FH!L3</f>
        <v>0.74179245042240838</v>
      </c>
      <c r="F25" s="184"/>
      <c r="G25" s="175" t="str">
        <f>lang!B12</f>
        <v>生理变化率</v>
      </c>
      <c r="H25" s="176"/>
      <c r="I25" s="62" t="str">
        <f ca="1">CONCATENATE(info!M7,"-",info!M8)</f>
        <v>20.3-51.3</v>
      </c>
      <c r="J25" s="42" t="str">
        <f>lang!B13</f>
        <v>千卡l/分钟</v>
      </c>
      <c r="K25" s="41" t="str">
        <f ca="1">CONCATENATE(info!M5,"-",info!M6)</f>
        <v>2.6-5</v>
      </c>
      <c r="M25" s="16"/>
      <c r="O25" s="17"/>
      <c r="P25" s="17"/>
      <c r="Q25"/>
      <c r="T25"/>
      <c r="U25" s="19"/>
    </row>
    <row r="26" spans="2:24" ht="156.75" customHeight="1" thickBot="1">
      <c r="B26" s="156" ph="1"/>
      <c r="C26" s="157" ph="1"/>
      <c r="D26" s="157" ph="1"/>
      <c r="E26" s="158" ph="1"/>
      <c r="F26" s="39" ph="1"/>
      <c r="G26" s="159"/>
      <c r="H26" s="160"/>
      <c r="I26" s="160"/>
      <c r="J26" s="161"/>
      <c r="K26" s="162"/>
      <c r="M26"/>
      <c r="O26" s="17"/>
      <c r="Q26"/>
      <c r="T26"/>
      <c r="U26" s="19"/>
    </row>
    <row r="27" spans="2:24" ht="15" customHeight="1" thickBot="1">
      <c r="B27" s="120" t="str">
        <f>CONCATENATE( lang!B31," ",ROUND(100-FH_info!L2,0),"%]")</f>
        <v>Result [Quality 100%]</v>
      </c>
      <c r="C27" s="121"/>
      <c r="D27" s="121"/>
      <c r="E27" s="121"/>
      <c r="F27" s="121"/>
      <c r="G27" s="121"/>
      <c r="H27" s="121"/>
      <c r="I27" s="121"/>
      <c r="J27" s="121"/>
      <c r="K27" s="122"/>
      <c r="M27"/>
      <c r="Q27"/>
      <c r="T27"/>
    </row>
    <row r="28" spans="2:24" ht="15.75" thickBot="1">
      <c r="B28" s="136" t="str">
        <f>lang!B32</f>
        <v>外向性</v>
      </c>
      <c r="C28" s="137"/>
      <c r="D28" s="138"/>
      <c r="E28" s="120">
        <f>M!B18*100</f>
        <v>32.889400000000002</v>
      </c>
      <c r="F28" s="122"/>
      <c r="G28" s="136" t="str">
        <f>lang!B33</f>
        <v>稳定性</v>
      </c>
      <c r="H28" s="137"/>
      <c r="I28" s="138"/>
      <c r="J28" s="139">
        <f>M!B19*100</f>
        <v>35.6404</v>
      </c>
      <c r="K28" s="140"/>
    </row>
    <row r="29" spans="2:24" ht="24.75" customHeight="1">
      <c r="B29" s="123" t="str">
        <f>lang!B34</f>
        <v xml:space="preserve">心理生理状态分析结果： </v>
      </c>
      <c r="C29" s="124"/>
      <c r="D29" s="124"/>
      <c r="E29" s="124"/>
      <c r="F29" s="124"/>
      <c r="G29" s="124"/>
      <c r="H29" s="124"/>
      <c r="I29" s="124"/>
      <c r="J29" s="124"/>
      <c r="K29" s="125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1" t="str">
        <f>lang!B37</f>
        <v>意见</v>
      </c>
      <c r="C32" s="142"/>
      <c r="D32" s="143"/>
      <c r="E32" s="143"/>
      <c r="F32" s="143"/>
      <c r="G32" s="143"/>
      <c r="H32" s="143"/>
      <c r="I32" s="143"/>
      <c r="J32" s="143"/>
      <c r="K32" s="144"/>
      <c r="M32"/>
      <c r="Q32"/>
      <c r="T32"/>
      <c r="W32" s="33"/>
      <c r="X32" s="33"/>
    </row>
    <row r="33" spans="2:24" ht="18" customHeight="1">
      <c r="B33" s="114"/>
      <c r="C33" s="115"/>
      <c r="D33" s="115"/>
      <c r="E33" s="115"/>
      <c r="F33" s="115"/>
      <c r="G33" s="115"/>
      <c r="H33" s="115"/>
      <c r="I33" s="115"/>
      <c r="J33" s="115"/>
      <c r="K33" s="116"/>
      <c r="M33"/>
      <c r="Q33"/>
      <c r="T33"/>
      <c r="W33" s="33"/>
      <c r="X33" s="33"/>
    </row>
    <row r="34" spans="2:24" ht="20.25" customHeight="1">
      <c r="B34" s="114"/>
      <c r="C34" s="115"/>
      <c r="D34" s="115"/>
      <c r="E34" s="115"/>
      <c r="F34" s="115"/>
      <c r="G34" s="115"/>
      <c r="H34" s="115"/>
      <c r="I34" s="115"/>
      <c r="J34" s="115"/>
      <c r="K34" s="116"/>
      <c r="M34"/>
      <c r="Q34"/>
      <c r="T34"/>
      <c r="W34" s="33"/>
      <c r="X34" s="33"/>
    </row>
    <row r="35" spans="2:24" ht="35.25" customHeight="1" thickBot="1">
      <c r="B35" s="117"/>
      <c r="C35" s="118"/>
      <c r="D35" s="118"/>
      <c r="E35" s="118"/>
      <c r="F35" s="118"/>
      <c r="G35" s="118"/>
      <c r="H35" s="118"/>
      <c r="I35" s="118"/>
      <c r="J35" s="118"/>
      <c r="K35" s="119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4"/>
      <c r="D1" s="155"/>
      <c r="E1" s="155"/>
      <c r="F1" s="155"/>
      <c r="G1" s="155"/>
      <c r="H1" s="155"/>
      <c r="I1" s="155"/>
      <c r="J1" s="87"/>
      <c r="K1" s="87"/>
      <c r="L1" s="86"/>
      <c r="M1" s="86"/>
      <c r="N1" s="86"/>
      <c r="O1" s="86"/>
      <c r="P1" s="86"/>
    </row>
    <row r="2" spans="2:38" ht="13.5">
      <c r="B2" s="177" t="str">
        <f>lang!B2</f>
        <v>心理生理状态分析结果</v>
      </c>
      <c r="C2" s="178"/>
      <c r="D2" s="178"/>
      <c r="E2" s="178"/>
      <c r="F2" s="178"/>
      <c r="G2" s="178"/>
      <c r="H2" s="178"/>
      <c r="I2" s="178"/>
      <c r="J2" s="178"/>
      <c r="K2" s="179"/>
    </row>
    <row r="3" spans="2:38" ht="31.5" customHeight="1" thickBot="1">
      <c r="B3" s="180"/>
      <c r="C3" s="181"/>
      <c r="D3" s="181"/>
      <c r="E3" s="181"/>
      <c r="F3" s="181"/>
      <c r="G3" s="181"/>
      <c r="H3" s="181"/>
      <c r="I3" s="181"/>
      <c r="J3" s="181"/>
      <c r="K3" s="182"/>
    </row>
    <row r="4" spans="2:38" ht="16.5" customHeight="1">
      <c r="B4" s="45" t="str">
        <f>lang!B24</f>
        <v>姓名</v>
      </c>
      <c r="C4" s="194" t="str">
        <f>FH_info!B2</f>
        <v>.</v>
      </c>
      <c r="D4" s="192"/>
      <c r="E4" s="192"/>
      <c r="F4" s="193"/>
      <c r="G4" s="48" t="str">
        <f>lang!B27</f>
        <v>编号</v>
      </c>
      <c r="H4" s="194"/>
      <c r="I4" s="192"/>
      <c r="J4" s="192"/>
      <c r="K4" s="195"/>
    </row>
    <row r="5" spans="2:38" ht="17.25" customHeight="1">
      <c r="B5" s="46" t="str">
        <f>lang!B25</f>
        <v>性别</v>
      </c>
      <c r="C5" s="198"/>
      <c r="D5" s="146"/>
      <c r="E5" s="146"/>
      <c r="F5" s="147"/>
      <c r="G5" s="49" t="str">
        <f>lang!B28</f>
        <v xml:space="preserve"> 日期</v>
      </c>
      <c r="H5" s="130">
        <f>FH_info!A2</f>
        <v>43606.408391203702</v>
      </c>
      <c r="I5" s="131"/>
      <c r="J5" s="131"/>
      <c r="K5" s="132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8"/>
      <c r="D6" s="149"/>
      <c r="E6" s="149"/>
      <c r="F6" s="150"/>
      <c r="G6" s="50" t="str">
        <f>lang!B29</f>
        <v>误差率（%）</v>
      </c>
      <c r="H6" s="133">
        <f>dM!B17*1</f>
        <v>0</v>
      </c>
      <c r="I6" s="134"/>
      <c r="J6" s="134"/>
      <c r="K6" s="135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6" t="str">
        <f>lang!B30</f>
        <v>10项参数结果</v>
      </c>
      <c r="C7" s="127"/>
      <c r="D7" s="128"/>
      <c r="E7" s="128"/>
      <c r="F7" s="128"/>
      <c r="G7" s="128"/>
      <c r="H7" s="128"/>
      <c r="I7" s="128"/>
      <c r="J7" s="128"/>
      <c r="K7" s="129"/>
      <c r="M7" s="27" t="str">
        <f>lang!B14</f>
        <v>攻击性</v>
      </c>
      <c r="N7" s="59">
        <f>AF7-W7</f>
        <v>4.6888000000000005</v>
      </c>
      <c r="O7" s="59">
        <f t="shared" ref="O7:T7" si="2">AG7-X7</f>
        <v>-12.138259999999999</v>
      </c>
      <c r="P7" s="59">
        <f t="shared" si="2"/>
        <v>-23.506939999999997</v>
      </c>
      <c r="Q7" s="59">
        <f t="shared" si="2"/>
        <v>0</v>
      </c>
      <c r="R7" s="59">
        <f t="shared" si="2"/>
        <v>26.222999999999999</v>
      </c>
      <c r="S7" s="59">
        <f t="shared" si="2"/>
        <v>0</v>
      </c>
      <c r="T7" s="59">
        <f t="shared" si="2"/>
        <v>-1.6667000000000058</v>
      </c>
      <c r="U7" s="14"/>
      <c r="V7" s="27" t="str">
        <f>M7</f>
        <v>攻击性</v>
      </c>
      <c r="W7" s="59">
        <f>'M1'!B5*1</f>
        <v>53.4773</v>
      </c>
      <c r="X7" s="59">
        <f>'M1'!C5*1</f>
        <v>17.5047</v>
      </c>
      <c r="Y7" s="59">
        <f>'M1'!D5*1</f>
        <v>32.732999999999997</v>
      </c>
      <c r="Z7" s="59">
        <f>'M1'!E5*1</f>
        <v>20</v>
      </c>
      <c r="AA7" s="59">
        <f>'M1'!F5*1</f>
        <v>11.779299999999999</v>
      </c>
      <c r="AB7" s="59">
        <f>'M1'!G5*1</f>
        <v>50</v>
      </c>
      <c r="AC7" s="59">
        <f>'M1'!H5*1</f>
        <v>66.542000000000002</v>
      </c>
      <c r="AE7" s="27" t="str">
        <f>V7</f>
        <v>攻击性</v>
      </c>
      <c r="AF7" s="59">
        <f>'M2'!B5*1</f>
        <v>58.1661</v>
      </c>
      <c r="AG7" s="59">
        <f>'M2'!C5*1</f>
        <v>5.3664399999999999</v>
      </c>
      <c r="AH7" s="59">
        <f>'M2'!D5*1</f>
        <v>9.2260600000000004</v>
      </c>
      <c r="AI7" s="59">
        <f>'M2'!E5*1</f>
        <v>20</v>
      </c>
      <c r="AJ7" s="59">
        <f>'M2'!F5*1</f>
        <v>38.002299999999998</v>
      </c>
      <c r="AK7" s="59">
        <f>'M2'!G5*1</f>
        <v>50</v>
      </c>
      <c r="AL7" s="59">
        <f>'M2'!H5*1</f>
        <v>64.875299999999996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3.3384</v>
      </c>
      <c r="O8" s="59">
        <f t="shared" ref="O8:O16" si="5">AG8-X8</f>
        <v>-0.86089999999999978</v>
      </c>
      <c r="P8" s="59">
        <f t="shared" ref="P8:P16" si="6">AH8-Y8</f>
        <v>-7.0878499999999995</v>
      </c>
      <c r="Q8" s="59">
        <f t="shared" ref="Q8:Q16" si="7">AI8-Z8</f>
        <v>0</v>
      </c>
      <c r="R8" s="59">
        <f t="shared" ref="R8:R16" si="8">AJ8-AA8</f>
        <v>4.4578000000000024</v>
      </c>
      <c r="S8" s="59">
        <f t="shared" ref="S8:S16" si="9">AK8-AB8</f>
        <v>0</v>
      </c>
      <c r="T8" s="59">
        <f t="shared" ref="T8:T16" si="10">AL8-AC8</f>
        <v>1.9559999999999995</v>
      </c>
      <c r="U8" s="15"/>
      <c r="V8" s="27" t="str">
        <f t="shared" ref="V8:V16" si="11">M8</f>
        <v>压力</v>
      </c>
      <c r="W8" s="59">
        <f>'M1'!B6*1</f>
        <v>16.5185</v>
      </c>
      <c r="X8" s="59">
        <f>'M1'!C6*1</f>
        <v>2.7042099999999998</v>
      </c>
      <c r="Y8" s="59">
        <f>'M1'!D6*1</f>
        <v>16.370799999999999</v>
      </c>
      <c r="Z8" s="59">
        <f>'M1'!E6*1</f>
        <v>20</v>
      </c>
      <c r="AA8" s="59">
        <f>'M1'!F6*1</f>
        <v>12.677199999999999</v>
      </c>
      <c r="AB8" s="59">
        <f>'M1'!G6*1</f>
        <v>40</v>
      </c>
      <c r="AC8" s="59">
        <f>'M1'!H6*1</f>
        <v>22.753399999999999</v>
      </c>
      <c r="AE8" s="27" t="str">
        <f t="shared" ref="AE8:AE16" si="12">V8</f>
        <v>压力</v>
      </c>
      <c r="AF8" s="59">
        <f>'M2'!B6*1</f>
        <v>19.8569</v>
      </c>
      <c r="AG8" s="59">
        <f>'M2'!C6*1</f>
        <v>1.84331</v>
      </c>
      <c r="AH8" s="59">
        <f>'M2'!D6*1</f>
        <v>9.2829499999999996</v>
      </c>
      <c r="AI8" s="59">
        <f>'M2'!E6*1</f>
        <v>20</v>
      </c>
      <c r="AJ8" s="59">
        <f>'M2'!F6*1</f>
        <v>17.135000000000002</v>
      </c>
      <c r="AK8" s="59">
        <f>'M2'!G6*1</f>
        <v>40</v>
      </c>
      <c r="AL8" s="59">
        <f>'M2'!H6*1</f>
        <v>24.709399999999999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26.222999999999999</v>
      </c>
      <c r="D9" s="78">
        <f>N7</f>
        <v>4.6888000000000005</v>
      </c>
      <c r="E9" s="79">
        <f>T7</f>
        <v>-1.6667000000000058</v>
      </c>
      <c r="F9" s="79">
        <f>P7</f>
        <v>-23.506939999999997</v>
      </c>
      <c r="G9" s="80" t="str">
        <f>CONCATENATE(M8,"
(20 ~ 40)")</f>
        <v>压力
(20 ~ 40)</v>
      </c>
      <c r="H9" s="77">
        <f>R8</f>
        <v>4.4578000000000024</v>
      </c>
      <c r="I9" s="81">
        <f>N8</f>
        <v>3.3384</v>
      </c>
      <c r="J9" s="77">
        <f>T8</f>
        <v>1.9559999999999995</v>
      </c>
      <c r="K9" s="82">
        <f>P8</f>
        <v>-7.0878499999999995</v>
      </c>
      <c r="L9" s="6"/>
      <c r="M9" s="27" t="str">
        <f>lang!B16</f>
        <v>焦虑</v>
      </c>
      <c r="N9" s="59">
        <f t="shared" si="4"/>
        <v>3.6616999999999997</v>
      </c>
      <c r="O9" s="59">
        <f t="shared" si="5"/>
        <v>-0.50290000000000035</v>
      </c>
      <c r="P9" s="59">
        <f t="shared" si="6"/>
        <v>-8.8613</v>
      </c>
      <c r="Q9" s="59">
        <f t="shared" si="7"/>
        <v>0</v>
      </c>
      <c r="R9" s="59">
        <f t="shared" si="8"/>
        <v>0.70797000000000043</v>
      </c>
      <c r="S9" s="59">
        <f t="shared" si="9"/>
        <v>0</v>
      </c>
      <c r="T9" s="59">
        <f t="shared" si="10"/>
        <v>-1.555100000000003</v>
      </c>
      <c r="U9" s="14"/>
      <c r="V9" s="27" t="str">
        <f t="shared" si="11"/>
        <v>焦虑</v>
      </c>
      <c r="W9" s="59">
        <f>'M1'!B7*1</f>
        <v>23.308700000000002</v>
      </c>
      <c r="X9" s="59">
        <f>'M1'!C7*1</f>
        <v>12.011900000000001</v>
      </c>
      <c r="Y9" s="59">
        <f>'M1'!D7*1</f>
        <v>51.533999999999999</v>
      </c>
      <c r="Z9" s="59">
        <f>'M1'!E7*1</f>
        <v>15</v>
      </c>
      <c r="AA9" s="59">
        <f>'M1'!F7*1</f>
        <v>5.9821799999999996</v>
      </c>
      <c r="AB9" s="59">
        <f>'M1'!G7*1</f>
        <v>40</v>
      </c>
      <c r="AC9" s="59">
        <f>'M1'!H7*1</f>
        <v>47.7973</v>
      </c>
      <c r="AE9" s="27" t="str">
        <f t="shared" si="12"/>
        <v>焦虑</v>
      </c>
      <c r="AF9" s="59">
        <f>'M2'!B7*1</f>
        <v>26.970400000000001</v>
      </c>
      <c r="AG9" s="59">
        <f>'M2'!C7*1</f>
        <v>11.509</v>
      </c>
      <c r="AH9" s="59">
        <f>'M2'!D7*1</f>
        <v>42.672699999999999</v>
      </c>
      <c r="AI9" s="59">
        <f>'M2'!E7*1</f>
        <v>15</v>
      </c>
      <c r="AJ9" s="59">
        <f>'M2'!F7*1</f>
        <v>6.69015</v>
      </c>
      <c r="AK9" s="59">
        <f>'M2'!G7*1</f>
        <v>40</v>
      </c>
      <c r="AL9" s="59">
        <f>'M2'!H7*1</f>
        <v>46.242199999999997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0.70797000000000043</v>
      </c>
      <c r="D10" s="51">
        <f>N9</f>
        <v>3.6616999999999997</v>
      </c>
      <c r="E10" s="53">
        <f>T9</f>
        <v>-1.555100000000003</v>
      </c>
      <c r="F10" s="53">
        <f>P9</f>
        <v>-8.8613</v>
      </c>
      <c r="G10" s="73" t="str">
        <f>CONCATENATE(M10,"
(20 ~ 50)")</f>
        <v>可疑
(20 ~ 50)</v>
      </c>
      <c r="H10" s="24">
        <f>R10</f>
        <v>16.297899999999998</v>
      </c>
      <c r="I10" s="52">
        <f>N10</f>
        <v>5.345799999999997</v>
      </c>
      <c r="J10" s="24">
        <f>T10</f>
        <v>8.7699999999998113E-2</v>
      </c>
      <c r="K10" s="25">
        <f>P10</f>
        <v>-16.06269</v>
      </c>
      <c r="L10" s="4"/>
      <c r="M10" s="27" t="str">
        <f>lang!B17</f>
        <v>可疑</v>
      </c>
      <c r="N10" s="59">
        <f t="shared" si="4"/>
        <v>5.345799999999997</v>
      </c>
      <c r="O10" s="59">
        <f t="shared" si="5"/>
        <v>-4.0501399999999999</v>
      </c>
      <c r="P10" s="59">
        <f t="shared" si="6"/>
        <v>-16.06269</v>
      </c>
      <c r="Q10" s="59">
        <f t="shared" si="7"/>
        <v>0</v>
      </c>
      <c r="R10" s="59">
        <f t="shared" si="8"/>
        <v>16.297899999999998</v>
      </c>
      <c r="S10" s="59">
        <f t="shared" si="9"/>
        <v>0</v>
      </c>
      <c r="T10" s="59">
        <f t="shared" si="10"/>
        <v>8.7699999999998113E-2</v>
      </c>
      <c r="U10" s="14"/>
      <c r="V10" s="27" t="str">
        <f t="shared" si="11"/>
        <v>可疑</v>
      </c>
      <c r="W10" s="59">
        <f>'M1'!B8*1</f>
        <v>28.357900000000001</v>
      </c>
      <c r="X10" s="59">
        <f>'M1'!C8*1</f>
        <v>7.23346</v>
      </c>
      <c r="Y10" s="59">
        <f>'M1'!D8*1</f>
        <v>25.5077</v>
      </c>
      <c r="Z10" s="59">
        <f>'M1'!E8*1</f>
        <v>20</v>
      </c>
      <c r="AA10" s="59">
        <f>'M1'!F8*1</f>
        <v>12.473800000000001</v>
      </c>
      <c r="AB10" s="59">
        <f>'M1'!G8*1</f>
        <v>50</v>
      </c>
      <c r="AC10" s="59">
        <f>'M1'!H8*1</f>
        <v>41.2607</v>
      </c>
      <c r="AE10" s="27" t="str">
        <f t="shared" si="12"/>
        <v>可疑</v>
      </c>
      <c r="AF10" s="59">
        <f>'M2'!B8*1</f>
        <v>33.703699999999998</v>
      </c>
      <c r="AG10" s="59">
        <f>'M2'!C8*1</f>
        <v>3.1833200000000001</v>
      </c>
      <c r="AH10" s="59">
        <f>'M2'!D8*1</f>
        <v>9.4450099999999999</v>
      </c>
      <c r="AI10" s="59">
        <f>'M2'!E8*1</f>
        <v>20</v>
      </c>
      <c r="AJ10" s="59">
        <f>'M2'!F8*1</f>
        <v>28.771699999999999</v>
      </c>
      <c r="AK10" s="59">
        <f>'M2'!G8*1</f>
        <v>50</v>
      </c>
      <c r="AL10" s="59">
        <f>'M2'!H8*1</f>
        <v>41.348399999999998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1.1567000000000007</v>
      </c>
      <c r="D11" s="52">
        <f>N11</f>
        <v>3.9175999999999931</v>
      </c>
      <c r="E11" s="24">
        <f>T11</f>
        <v>-37.695000000000007</v>
      </c>
      <c r="F11" s="24">
        <f>P11</f>
        <v>-38.5565</v>
      </c>
      <c r="G11" s="73" t="str">
        <f>CONCATENATE(M12,"
(40 ~ 100)")</f>
        <v>自信
(40 ~ 100)</v>
      </c>
      <c r="H11" s="24">
        <f>R12</f>
        <v>-0.70680000000000121</v>
      </c>
      <c r="I11" s="52">
        <f>N12</f>
        <v>-2.3440000000000083</v>
      </c>
      <c r="J11" s="24">
        <f>T12</f>
        <v>-4.4527999999999963</v>
      </c>
      <c r="K11" s="25">
        <f>P12</f>
        <v>-1.3224399999999998</v>
      </c>
      <c r="L11" s="4"/>
      <c r="M11" s="27" t="str">
        <f>lang!B18</f>
        <v>平衡</v>
      </c>
      <c r="N11" s="59">
        <f t="shared" si="4"/>
        <v>3.9175999999999931</v>
      </c>
      <c r="O11" s="59">
        <f t="shared" si="5"/>
        <v>-13.486930000000001</v>
      </c>
      <c r="P11" s="59">
        <f t="shared" si="6"/>
        <v>-38.5565</v>
      </c>
      <c r="Q11" s="59">
        <f t="shared" si="7"/>
        <v>0</v>
      </c>
      <c r="R11" s="59">
        <f t="shared" si="8"/>
        <v>1.1567000000000007</v>
      </c>
      <c r="S11" s="59">
        <f t="shared" si="9"/>
        <v>0</v>
      </c>
      <c r="T11" s="59">
        <f t="shared" si="10"/>
        <v>-37.695000000000007</v>
      </c>
      <c r="U11" s="14"/>
      <c r="V11" s="27" t="str">
        <f t="shared" si="11"/>
        <v>平衡</v>
      </c>
      <c r="W11" s="59">
        <f>'M1'!B9*1</f>
        <v>36.466500000000003</v>
      </c>
      <c r="X11" s="59">
        <f>'M1'!C9*1</f>
        <v>19.3963</v>
      </c>
      <c r="Y11" s="59">
        <f>'M1'!D9*1</f>
        <v>53.189399999999999</v>
      </c>
      <c r="Z11" s="59">
        <f>'M1'!E9*1</f>
        <v>50</v>
      </c>
      <c r="AA11" s="59">
        <f>'M1'!F9*1</f>
        <v>23.585100000000001</v>
      </c>
      <c r="AB11" s="59">
        <f>'M1'!G9*1</f>
        <v>100</v>
      </c>
      <c r="AC11" s="59">
        <f>'M1'!H9*1</f>
        <v>90.469800000000006</v>
      </c>
      <c r="AE11" s="27" t="str">
        <f t="shared" si="12"/>
        <v>平衡</v>
      </c>
      <c r="AF11" s="59">
        <f>'M2'!B9*1</f>
        <v>40.384099999999997</v>
      </c>
      <c r="AG11" s="59">
        <f>'M2'!C9*1</f>
        <v>5.90937</v>
      </c>
      <c r="AH11" s="59">
        <f>'M2'!D9*1</f>
        <v>14.632899999999999</v>
      </c>
      <c r="AI11" s="59">
        <f>'M2'!E9*1</f>
        <v>50</v>
      </c>
      <c r="AJ11" s="59">
        <f>'M2'!F9*1</f>
        <v>24.741800000000001</v>
      </c>
      <c r="AK11" s="59">
        <f>'M2'!G9*1</f>
        <v>100</v>
      </c>
      <c r="AL11" s="59">
        <f>'M2'!H9*1</f>
        <v>52.774799999999999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15.15978</v>
      </c>
      <c r="D12" s="51">
        <f>N13</f>
        <v>-0.29949999999999832</v>
      </c>
      <c r="E12" s="53">
        <f>T13</f>
        <v>4.2276999999999987</v>
      </c>
      <c r="F12" s="53">
        <f>P13</f>
        <v>-11.529199999999999</v>
      </c>
      <c r="G12" s="73" t="str">
        <f>CONCATENATE(M14,"
(50 ~ 100)")</f>
        <v>自我调节
(50 ~ 100)</v>
      </c>
      <c r="H12" s="24">
        <f>R14</f>
        <v>0.75430000000000064</v>
      </c>
      <c r="I12" s="52">
        <f>N14</f>
        <v>1.4836999999999989</v>
      </c>
      <c r="J12" s="24">
        <f>T14</f>
        <v>-20.692800000000005</v>
      </c>
      <c r="K12" s="25">
        <f>P14</f>
        <v>-12.04147</v>
      </c>
      <c r="L12" s="4"/>
      <c r="M12" s="27" t="str">
        <f>lang!B19</f>
        <v>自信</v>
      </c>
      <c r="N12" s="59">
        <f t="shared" si="4"/>
        <v>-2.3440000000000083</v>
      </c>
      <c r="O12" s="59">
        <f t="shared" si="5"/>
        <v>-1.170493</v>
      </c>
      <c r="P12" s="59">
        <f t="shared" si="6"/>
        <v>-1.3224399999999998</v>
      </c>
      <c r="Q12" s="59">
        <f t="shared" si="7"/>
        <v>0</v>
      </c>
      <c r="R12" s="59">
        <f t="shared" si="8"/>
        <v>-0.70680000000000121</v>
      </c>
      <c r="S12" s="59">
        <f t="shared" si="9"/>
        <v>0</v>
      </c>
      <c r="T12" s="59">
        <f t="shared" si="10"/>
        <v>-4.4527999999999963</v>
      </c>
      <c r="U12" s="15"/>
      <c r="V12" s="27" t="str">
        <f t="shared" si="11"/>
        <v>自信</v>
      </c>
      <c r="W12" s="59">
        <f>'M1'!B10*1</f>
        <v>86.402500000000003</v>
      </c>
      <c r="X12" s="59">
        <f>'M1'!C10*1</f>
        <v>2.17028</v>
      </c>
      <c r="Y12" s="59">
        <f>'M1'!D10*1</f>
        <v>2.5118299999999998</v>
      </c>
      <c r="Z12" s="59">
        <f>'M1'!E10*1</f>
        <v>40</v>
      </c>
      <c r="AA12" s="59">
        <f>'M1'!F10*1</f>
        <v>81.456699999999998</v>
      </c>
      <c r="AB12" s="59">
        <f>'M1'!G10*1</f>
        <v>100</v>
      </c>
      <c r="AC12" s="59">
        <f>'M1'!H10*1</f>
        <v>89.994100000000003</v>
      </c>
      <c r="AE12" s="27" t="str">
        <f t="shared" si="12"/>
        <v>自信</v>
      </c>
      <c r="AF12" s="59">
        <f>'M2'!B10*1</f>
        <v>84.058499999999995</v>
      </c>
      <c r="AG12" s="59">
        <f>'M2'!C10*1</f>
        <v>0.99978699999999998</v>
      </c>
      <c r="AH12" s="59">
        <f>'M2'!D10*1</f>
        <v>1.1893899999999999</v>
      </c>
      <c r="AI12" s="59">
        <f>'M2'!E10*1</f>
        <v>40</v>
      </c>
      <c r="AJ12" s="59">
        <f>'M2'!F10*1</f>
        <v>80.749899999999997</v>
      </c>
      <c r="AK12" s="59">
        <f>'M2'!G10*1</f>
        <v>100</v>
      </c>
      <c r="AL12" s="59">
        <f>'M2'!H10*1</f>
        <v>85.541300000000007</v>
      </c>
    </row>
    <row r="13" spans="2:38" ht="25.5" customHeight="1" thickBot="1">
      <c r="B13" s="72" t="str">
        <f>CONCATENATE(M15,"
(10 ~ 25)")</f>
        <v>抑郁
(10 ~ 25)</v>
      </c>
      <c r="C13" s="54">
        <f>R15</f>
        <v>-0.73939999999999984</v>
      </c>
      <c r="D13" s="55">
        <f>N15</f>
        <v>-0.23369999999999891</v>
      </c>
      <c r="E13" s="56">
        <f>T15</f>
        <v>0.78979999999999961</v>
      </c>
      <c r="F13" s="56">
        <f>P15</f>
        <v>0.93210000000000015</v>
      </c>
      <c r="G13" s="74" t="str">
        <f>CONCATENATE(M16,"
(10 ~ 50)")</f>
        <v>神经质
(10 ~ 50)</v>
      </c>
      <c r="H13" s="54">
        <f>R16</f>
        <v>-0.93815000000000004</v>
      </c>
      <c r="I13" s="55">
        <f>N16</f>
        <v>0.96580000000000155</v>
      </c>
      <c r="J13" s="56">
        <f>T16</f>
        <v>3.1087999999999987</v>
      </c>
      <c r="K13" s="57">
        <f>P16</f>
        <v>11.127799999999997</v>
      </c>
      <c r="M13" s="27" t="str">
        <f>lang!B20</f>
        <v>活力</v>
      </c>
      <c r="N13" s="59">
        <f t="shared" si="4"/>
        <v>-0.29949999999999832</v>
      </c>
      <c r="O13" s="59">
        <f t="shared" si="5"/>
        <v>-3.6037899999999996</v>
      </c>
      <c r="P13" s="59">
        <f t="shared" si="6"/>
        <v>-11.529199999999999</v>
      </c>
      <c r="Q13" s="59">
        <f t="shared" si="7"/>
        <v>0</v>
      </c>
      <c r="R13" s="59">
        <f t="shared" si="8"/>
        <v>15.15978</v>
      </c>
      <c r="S13" s="59">
        <f t="shared" si="9"/>
        <v>0</v>
      </c>
      <c r="T13" s="59">
        <f t="shared" si="10"/>
        <v>4.2276999999999987</v>
      </c>
      <c r="U13" s="14"/>
      <c r="V13" s="27" t="str">
        <f t="shared" si="11"/>
        <v>活力</v>
      </c>
      <c r="W13" s="59">
        <f>'M1'!B11*1</f>
        <v>30.9331</v>
      </c>
      <c r="X13" s="59">
        <f>'M1'!C11*1</f>
        <v>7.4344599999999996</v>
      </c>
      <c r="Y13" s="59">
        <f>'M1'!D11*1</f>
        <v>24.033999999999999</v>
      </c>
      <c r="Z13" s="59">
        <f>'M1'!E11*1</f>
        <v>10</v>
      </c>
      <c r="AA13" s="59">
        <f>'M1'!F11*1</f>
        <v>9.8603199999999998</v>
      </c>
      <c r="AB13" s="59">
        <f>'M1'!G11*1</f>
        <v>50</v>
      </c>
      <c r="AC13" s="59">
        <f>'M1'!H11*1</f>
        <v>33.777200000000001</v>
      </c>
      <c r="AE13" s="27" t="str">
        <f t="shared" si="12"/>
        <v>活力</v>
      </c>
      <c r="AF13" s="59">
        <f>'M2'!B11*1</f>
        <v>30.633600000000001</v>
      </c>
      <c r="AG13" s="59">
        <f>'M2'!C11*1</f>
        <v>3.83067</v>
      </c>
      <c r="AH13" s="59">
        <f>'M2'!D11*1</f>
        <v>12.504799999999999</v>
      </c>
      <c r="AI13" s="59">
        <f>'M2'!E11*1</f>
        <v>10</v>
      </c>
      <c r="AJ13" s="59">
        <f>'M2'!F11*1</f>
        <v>25.020099999999999</v>
      </c>
      <c r="AK13" s="59">
        <f>'M2'!G11*1</f>
        <v>50</v>
      </c>
      <c r="AL13" s="59">
        <f>'M2'!H11*1</f>
        <v>38.004899999999999</v>
      </c>
    </row>
    <row r="14" spans="2:38" ht="19.5" customHeight="1" thickBot="1">
      <c r="B14" s="188" t="str">
        <f>lang!B3</f>
        <v>参数表</v>
      </c>
      <c r="C14" s="189"/>
      <c r="D14" s="189"/>
      <c r="E14" s="189"/>
      <c r="F14" s="190"/>
      <c r="G14" s="185" t="str">
        <f>lang!B4</f>
        <v>情感状态分布图</v>
      </c>
      <c r="H14" s="186"/>
      <c r="I14" s="186"/>
      <c r="J14" s="186"/>
      <c r="K14" s="187"/>
      <c r="M14" s="27" t="str">
        <f>lang!B21</f>
        <v>自我调节</v>
      </c>
      <c r="N14" s="59">
        <f t="shared" si="4"/>
        <v>1.4836999999999989</v>
      </c>
      <c r="O14" s="59">
        <f t="shared" si="5"/>
        <v>-7.2292700000000005</v>
      </c>
      <c r="P14" s="59">
        <f t="shared" si="6"/>
        <v>-12.04147</v>
      </c>
      <c r="Q14" s="59">
        <f t="shared" si="7"/>
        <v>0</v>
      </c>
      <c r="R14" s="59">
        <f t="shared" si="8"/>
        <v>0.75430000000000064</v>
      </c>
      <c r="S14" s="59">
        <f t="shared" si="9"/>
        <v>0</v>
      </c>
      <c r="T14" s="59">
        <f t="shared" si="10"/>
        <v>-20.692800000000005</v>
      </c>
      <c r="U14" s="14"/>
      <c r="V14" s="27" t="str">
        <f t="shared" si="11"/>
        <v>自我调节</v>
      </c>
      <c r="W14" s="59">
        <f>'M1'!B12*1</f>
        <v>60.678899999999999</v>
      </c>
      <c r="X14" s="59">
        <f>'M1'!C12*1</f>
        <v>10.471500000000001</v>
      </c>
      <c r="Y14" s="59">
        <f>'M1'!D12*1</f>
        <v>17.257200000000001</v>
      </c>
      <c r="Z14" s="59">
        <f>'M1'!E12*1</f>
        <v>50</v>
      </c>
      <c r="AA14" s="59">
        <f>'M1'!F12*1</f>
        <v>52.590899999999998</v>
      </c>
      <c r="AB14" s="59">
        <f>'M1'!G12*1</f>
        <v>100</v>
      </c>
      <c r="AC14" s="59">
        <f>'M1'!H12*1</f>
        <v>89.604200000000006</v>
      </c>
      <c r="AE14" s="27" t="str">
        <f t="shared" si="12"/>
        <v>自我调节</v>
      </c>
      <c r="AF14" s="59">
        <f>'M2'!B12*1</f>
        <v>62.162599999999998</v>
      </c>
      <c r="AG14" s="59">
        <f>'M2'!C12*1</f>
        <v>3.2422300000000002</v>
      </c>
      <c r="AH14" s="59">
        <f>'M2'!D12*1</f>
        <v>5.2157299999999998</v>
      </c>
      <c r="AI14" s="59">
        <f>'M2'!E12*1</f>
        <v>50</v>
      </c>
      <c r="AJ14" s="59">
        <f>'M2'!F12*1</f>
        <v>53.345199999999998</v>
      </c>
      <c r="AK14" s="59">
        <f>'M2'!G12*1</f>
        <v>100</v>
      </c>
      <c r="AL14" s="59">
        <f>'M2'!H12*1</f>
        <v>68.9114</v>
      </c>
    </row>
    <row r="15" spans="2:38" ht="21" customHeight="1">
      <c r="B15" s="38"/>
      <c r="C15" s="28"/>
      <c r="D15" s="28"/>
      <c r="E15" s="28"/>
      <c r="F15" s="28"/>
      <c r="G15" s="166"/>
      <c r="H15" s="167"/>
      <c r="I15" s="167"/>
      <c r="J15" s="167"/>
      <c r="K15" s="168"/>
      <c r="M15" s="27" t="str">
        <f>lang!B22</f>
        <v>抑郁</v>
      </c>
      <c r="N15" s="59">
        <f t="shared" si="4"/>
        <v>-0.23369999999999891</v>
      </c>
      <c r="O15" s="59">
        <f t="shared" si="5"/>
        <v>9.6579999999999888E-2</v>
      </c>
      <c r="P15" s="59">
        <f t="shared" si="6"/>
        <v>0.93210000000000015</v>
      </c>
      <c r="Q15" s="59">
        <f t="shared" si="7"/>
        <v>0</v>
      </c>
      <c r="R15" s="59">
        <f t="shared" si="8"/>
        <v>-0.73939999999999984</v>
      </c>
      <c r="S15" s="59">
        <f t="shared" si="9"/>
        <v>0</v>
      </c>
      <c r="T15" s="59">
        <f t="shared" si="10"/>
        <v>0.78979999999999961</v>
      </c>
      <c r="U15" s="14"/>
      <c r="V15" s="27" t="str">
        <f t="shared" si="11"/>
        <v>抑郁</v>
      </c>
      <c r="W15" s="59">
        <f>'M1'!B13*1</f>
        <v>14.502599999999999</v>
      </c>
      <c r="X15" s="59">
        <f>'M1'!C13*1</f>
        <v>2.26037</v>
      </c>
      <c r="Y15" s="59">
        <f>'M1'!D13*1</f>
        <v>15.586</v>
      </c>
      <c r="Z15" s="59">
        <f>'M1'!E13*1</f>
        <v>10</v>
      </c>
      <c r="AA15" s="59">
        <f>'M1'!F13*1</f>
        <v>11.3658</v>
      </c>
      <c r="AB15" s="59">
        <f>'M1'!G13*1</f>
        <v>25</v>
      </c>
      <c r="AC15" s="59">
        <f>'M1'!H13*1</f>
        <v>22.041699999999999</v>
      </c>
      <c r="AE15" s="27" t="str">
        <f t="shared" si="12"/>
        <v>抑郁</v>
      </c>
      <c r="AF15" s="59">
        <f>'M2'!B13*1</f>
        <v>14.2689</v>
      </c>
      <c r="AG15" s="59">
        <f>'M2'!C13*1</f>
        <v>2.3569499999999999</v>
      </c>
      <c r="AH15" s="59">
        <f>'M2'!D13*1</f>
        <v>16.5181</v>
      </c>
      <c r="AI15" s="59">
        <f>'M2'!E13*1</f>
        <v>10</v>
      </c>
      <c r="AJ15" s="59">
        <f>'M2'!F13*1</f>
        <v>10.6264</v>
      </c>
      <c r="AK15" s="59">
        <f>'M2'!G13*1</f>
        <v>25</v>
      </c>
      <c r="AL15" s="59">
        <f>'M2'!H13*1</f>
        <v>22.831499999999998</v>
      </c>
    </row>
    <row r="16" spans="2:38" ht="21" customHeight="1">
      <c r="B16" s="29"/>
      <c r="C16" s="32"/>
      <c r="D16" s="32"/>
      <c r="E16" s="32"/>
      <c r="F16" s="32"/>
      <c r="G16" s="169"/>
      <c r="H16" s="170"/>
      <c r="I16" s="170"/>
      <c r="J16" s="170"/>
      <c r="K16" s="171"/>
      <c r="M16" s="27" t="str">
        <f>lang!B23</f>
        <v>神经质</v>
      </c>
      <c r="N16" s="59">
        <f t="shared" si="4"/>
        <v>0.96580000000000155</v>
      </c>
      <c r="O16" s="59">
        <f t="shared" si="5"/>
        <v>2.8906200000000011</v>
      </c>
      <c r="P16" s="59">
        <f t="shared" si="6"/>
        <v>11.127799999999997</v>
      </c>
      <c r="Q16" s="59">
        <f t="shared" si="7"/>
        <v>0</v>
      </c>
      <c r="R16" s="59">
        <f t="shared" si="8"/>
        <v>-0.93815000000000004</v>
      </c>
      <c r="S16" s="59">
        <f t="shared" si="9"/>
        <v>0</v>
      </c>
      <c r="T16" s="59">
        <f t="shared" si="10"/>
        <v>3.1087999999999987</v>
      </c>
      <c r="U16" s="15"/>
      <c r="V16" s="27" t="str">
        <f t="shared" si="11"/>
        <v>神经质</v>
      </c>
      <c r="W16" s="59">
        <f>'M1'!B14*1</f>
        <v>22.6037</v>
      </c>
      <c r="X16" s="59">
        <f>'M1'!C14*1</f>
        <v>6.2693199999999996</v>
      </c>
      <c r="Y16" s="59">
        <f>'M1'!D14*1</f>
        <v>27.735800000000001</v>
      </c>
      <c r="Z16" s="59">
        <f>'M1'!E14*1</f>
        <v>10</v>
      </c>
      <c r="AA16" s="59">
        <f>'M1'!F14*1</f>
        <v>2.55504</v>
      </c>
      <c r="AB16" s="59">
        <f>'M1'!G14*1</f>
        <v>50</v>
      </c>
      <c r="AC16" s="59">
        <f>'M1'!H14*1</f>
        <v>22.6037</v>
      </c>
      <c r="AE16" s="27" t="str">
        <f t="shared" si="12"/>
        <v>神经质</v>
      </c>
      <c r="AF16" s="59">
        <f>'M2'!B14*1</f>
        <v>23.569500000000001</v>
      </c>
      <c r="AG16" s="59">
        <f>'M2'!C14*1</f>
        <v>9.1599400000000006</v>
      </c>
      <c r="AH16" s="59">
        <f>'M2'!D14*1</f>
        <v>38.863599999999998</v>
      </c>
      <c r="AI16" s="59">
        <f>'M2'!E14*1</f>
        <v>10</v>
      </c>
      <c r="AJ16" s="59">
        <f>'M2'!F14*1</f>
        <v>1.6168899999999999</v>
      </c>
      <c r="AK16" s="59">
        <f>'M2'!G14*1</f>
        <v>50</v>
      </c>
      <c r="AL16" s="59">
        <f>'M2'!H14*1</f>
        <v>25.712499999999999</v>
      </c>
    </row>
    <row r="17" spans="2:38" ht="21" customHeight="1">
      <c r="B17" s="29"/>
      <c r="C17" s="32"/>
      <c r="D17" s="32"/>
      <c r="E17" s="32"/>
      <c r="F17" s="32"/>
      <c r="G17" s="169"/>
      <c r="H17" s="170"/>
      <c r="I17" s="170"/>
      <c r="J17" s="170"/>
      <c r="K17" s="171"/>
      <c r="M17" s="21" t="str">
        <f>lang!B7</f>
        <v>Positive</v>
      </c>
      <c r="N17" s="65">
        <f>SUM(N11:N14)/4</f>
        <v>0.68944999999999634</v>
      </c>
      <c r="O17" s="22">
        <f>N17/(N17+N18+N19)</f>
        <v>0.12973791792705297</v>
      </c>
      <c r="P17" s="65">
        <f>SUM(P11:P14)/4</f>
        <v>-15.862402500000002</v>
      </c>
      <c r="Q17" s="22">
        <f>P17/(P17+P18+P19)</f>
        <v>0.66895680789772416</v>
      </c>
      <c r="R17" s="14"/>
      <c r="S17" s="14"/>
      <c r="T17" s="14"/>
      <c r="U17" s="14"/>
      <c r="V17" s="21" t="str">
        <f>M17</f>
        <v>Positive</v>
      </c>
      <c r="W17" s="65">
        <f>SUM(W11:W14)/4</f>
        <v>53.620249999999999</v>
      </c>
      <c r="X17" s="22">
        <f>W17/(W17+W18+W19)</f>
        <v>0.52267055922174888</v>
      </c>
      <c r="Y17" s="65">
        <f>SUM(Y11:Y14)/4</f>
        <v>24.2481075</v>
      </c>
      <c r="Z17" s="22">
        <f>Y17/(Y17+Y18+Y19)</f>
        <v>0.31309946077159606</v>
      </c>
      <c r="AA17" s="14"/>
      <c r="AB17" s="14"/>
      <c r="AC17" s="14"/>
      <c r="AE17" s="21" t="str">
        <f>V17</f>
        <v>Positive</v>
      </c>
      <c r="AF17" s="65">
        <f>SUM(AF11:AF14)/4</f>
        <v>54.309699999999999</v>
      </c>
      <c r="AG17" s="22">
        <f>AF17/(AF17+AF18+AF19)</f>
        <v>0.50331883190647542</v>
      </c>
      <c r="AH17" s="65">
        <f>SUM(AH11:AH14)/4</f>
        <v>8.3857049999999997</v>
      </c>
      <c r="AI17" s="22">
        <f>AH17/(AH17+AH18+AH19)</f>
        <v>0.15606179304112253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9"/>
      <c r="H18" s="170"/>
      <c r="I18" s="170"/>
      <c r="J18" s="170"/>
      <c r="K18" s="171"/>
      <c r="M18" s="21" t="str">
        <f>lang!B8</f>
        <v>Negative</v>
      </c>
      <c r="N18" s="18">
        <f>SUM(N7:N10)/4</f>
        <v>4.2586749999999993</v>
      </c>
      <c r="O18" s="22">
        <f>N18/(N17+N18+N19)</f>
        <v>0.80138027069112361</v>
      </c>
      <c r="P18" s="18">
        <f>SUM(P7:P10)/4</f>
        <v>-13.879694999999998</v>
      </c>
      <c r="Q18" s="22">
        <f>P18/(P17+P18+P19)</f>
        <v>0.58534112104354941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30.415600000000001</v>
      </c>
      <c r="X18" s="22">
        <f>W18/(W17+W18+W19)</f>
        <v>0.29648012944857638</v>
      </c>
      <c r="Y18" s="18">
        <f>SUM(Y7:Y10)/4</f>
        <v>31.536375</v>
      </c>
      <c r="Z18" s="22">
        <f>Y18/(Y17+Y18+Y19)</f>
        <v>0.40720794425671542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34.674274999999994</v>
      </c>
      <c r="AG18" s="22">
        <f>AF18/(AF17+AF18+AF19)</f>
        <v>0.32134619764432321</v>
      </c>
      <c r="AH18" s="18">
        <f>SUM(AH7:AH10)/4</f>
        <v>17.656679999999998</v>
      </c>
      <c r="AI18" s="22">
        <f>AH18/(AH17+AH18+AH19)</f>
        <v>0.32859886437137092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9"/>
      <c r="H19" s="170"/>
      <c r="I19" s="170"/>
      <c r="J19" s="170"/>
      <c r="K19" s="171"/>
      <c r="M19" s="21" t="str">
        <f>lang!B9</f>
        <v>Physiological</v>
      </c>
      <c r="N19" s="18">
        <f>(N15+N16)/2</f>
        <v>0.36605000000000132</v>
      </c>
      <c r="O19" s="22">
        <f>N19/(N17+N18+N19)</f>
        <v>6.8881811381823435E-2</v>
      </c>
      <c r="P19" s="18">
        <f>(P15+P16)/2</f>
        <v>6.0299499999999986</v>
      </c>
      <c r="Q19" s="22">
        <f>P19/(P17+P18+P19)</f>
        <v>-0.25429792894127362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18.553149999999999</v>
      </c>
      <c r="X19" s="22">
        <f>W19/(W17+W18+W19)</f>
        <v>0.18084931132967472</v>
      </c>
      <c r="Y19" s="18">
        <f>(Y15+Y16)/2</f>
        <v>21.660900000000002</v>
      </c>
      <c r="Z19" s="22">
        <f>Y19/(Y17+Y18+Y19)</f>
        <v>0.27969259497168864</v>
      </c>
      <c r="AA19" s="14"/>
      <c r="AB19" s="14"/>
      <c r="AC19" s="14"/>
      <c r="AE19" s="21" t="str">
        <f t="shared" si="14"/>
        <v>Physiological</v>
      </c>
      <c r="AF19" s="18">
        <f>(AF15+AF16)/2</f>
        <v>18.9192</v>
      </c>
      <c r="AG19" s="22">
        <f>AF19/(AF17+AF18+AF19)</f>
        <v>0.17533497044920135</v>
      </c>
      <c r="AH19" s="18">
        <f>(AH15+AH16)/2</f>
        <v>27.690849999999998</v>
      </c>
      <c r="AI19" s="22">
        <f>AH19/(AH17+AH18+AH19)</f>
        <v>0.51533934258750658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9"/>
      <c r="H20" s="170"/>
      <c r="I20" s="170"/>
      <c r="J20" s="170"/>
      <c r="K20" s="171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9"/>
      <c r="H21" s="170"/>
      <c r="I21" s="170"/>
      <c r="J21" s="170"/>
      <c r="K21" s="171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2"/>
      <c r="H22" s="173"/>
      <c r="I22" s="173"/>
      <c r="J22" s="173"/>
      <c r="K22" s="174"/>
      <c r="M22" s="16"/>
      <c r="O22" s="17"/>
      <c r="Q22"/>
      <c r="T22"/>
      <c r="U22" s="19"/>
    </row>
    <row r="23" spans="2:38" ht="17.25" customHeight="1" thickBot="1">
      <c r="B23" s="151" t="str">
        <f>lang!B5</f>
        <v>频率分布直方图</v>
      </c>
      <c r="C23" s="152"/>
      <c r="D23" s="152"/>
      <c r="E23" s="152"/>
      <c r="F23" s="153"/>
      <c r="G23" s="163" t="str">
        <f>lang!B6</f>
        <v xml:space="preserve">心理变化 - 心理基础代谢 </v>
      </c>
      <c r="H23" s="164"/>
      <c r="I23" s="164"/>
      <c r="J23" s="164"/>
      <c r="K23" s="165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2.06/2.25</v>
      </c>
      <c r="D24" s="44" t="str">
        <f>lang!B11</f>
        <v>频率方差</v>
      </c>
      <c r="E24" s="183" t="str">
        <f ca="1">CONCATENATE(ROUND('FH1'!L3,2),"/",ROUND('FH2'!L3,2))</f>
        <v>0.77/0.71</v>
      </c>
      <c r="F24" s="184"/>
      <c r="G24" s="175" t="str">
        <f>lang!B12</f>
        <v>生理变化率</v>
      </c>
      <c r="H24" s="176"/>
      <c r="I24" s="62" t="str">
        <f ca="1">CONCATENATE(info!M7,"-",info!M8)</f>
        <v>20.3-51.3</v>
      </c>
      <c r="J24" s="42" t="str">
        <f>lang!B13</f>
        <v>千卡l/分钟</v>
      </c>
      <c r="K24" s="41" t="str">
        <f ca="1">CONCATENATE(info!M5,"-",info!M6)</f>
        <v>2.6-5</v>
      </c>
      <c r="M24" s="16"/>
      <c r="O24" s="17"/>
      <c r="P24" s="17"/>
      <c r="Q24"/>
      <c r="T24"/>
      <c r="U24" s="19"/>
    </row>
    <row r="25" spans="2:38" ht="156.75" customHeight="1" thickBot="1">
      <c r="B25" s="156"/>
      <c r="C25" s="157"/>
      <c r="D25" s="157"/>
      <c r="E25" s="158"/>
      <c r="F25" s="39"/>
      <c r="G25" s="159"/>
      <c r="H25" s="160"/>
      <c r="I25" s="160"/>
      <c r="J25" s="161"/>
      <c r="K25" s="162"/>
      <c r="M25"/>
      <c r="O25" s="17"/>
      <c r="Q25"/>
      <c r="T25"/>
      <c r="U25" s="19"/>
    </row>
    <row r="26" spans="2:38" ht="15" customHeight="1" thickBot="1">
      <c r="B26" s="120" t="str">
        <f>CONCATENATE( lang!B31," ",ROUND(100-FH_info!L2,0),"%]")</f>
        <v>Result [Quality 100%]</v>
      </c>
      <c r="C26" s="121"/>
      <c r="D26" s="121"/>
      <c r="E26" s="121"/>
      <c r="F26" s="121"/>
      <c r="G26" s="121"/>
      <c r="H26" s="121"/>
      <c r="I26" s="121"/>
      <c r="J26" s="121"/>
      <c r="K26" s="122"/>
      <c r="M26"/>
      <c r="Q26"/>
      <c r="T26"/>
    </row>
    <row r="27" spans="2:38" ht="15.75" thickBot="1">
      <c r="B27" s="136" t="str">
        <f>lang!B32</f>
        <v>外向性</v>
      </c>
      <c r="C27" s="137"/>
      <c r="D27" s="138"/>
      <c r="E27" s="120">
        <f>dM!B18*100</f>
        <v>-9.075800000000001</v>
      </c>
      <c r="F27" s="122"/>
      <c r="G27" s="136" t="str">
        <f>lang!B33</f>
        <v>稳定性</v>
      </c>
      <c r="H27" s="137"/>
      <c r="I27" s="138"/>
      <c r="J27" s="139">
        <f>dM!B19*100</f>
        <v>-9.6021000000000019</v>
      </c>
      <c r="K27" s="140"/>
    </row>
    <row r="28" spans="2:38" ht="24.75" customHeight="1">
      <c r="B28" s="123" t="str">
        <f>lang!B34</f>
        <v xml:space="preserve">心理生理状态分析结果： </v>
      </c>
      <c r="C28" s="124"/>
      <c r="D28" s="124"/>
      <c r="E28" s="124"/>
      <c r="F28" s="124"/>
      <c r="G28" s="124"/>
      <c r="H28" s="124"/>
      <c r="I28" s="124"/>
      <c r="J28" s="124"/>
      <c r="K28" s="125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1" t="str">
        <f>lang!B37</f>
        <v>意见</v>
      </c>
      <c r="C31" s="142"/>
      <c r="D31" s="143"/>
      <c r="E31" s="143"/>
      <c r="F31" s="143"/>
      <c r="G31" s="143"/>
      <c r="H31" s="143"/>
      <c r="I31" s="143"/>
      <c r="J31" s="143"/>
      <c r="K31" s="144"/>
      <c r="M31"/>
      <c r="Q31"/>
      <c r="T31"/>
      <c r="W31" s="33"/>
      <c r="X31" s="33"/>
    </row>
    <row r="32" spans="2:38" ht="18" customHeight="1">
      <c r="B32" s="114"/>
      <c r="C32" s="115"/>
      <c r="D32" s="115"/>
      <c r="E32" s="115"/>
      <c r="F32" s="115"/>
      <c r="G32" s="115"/>
      <c r="H32" s="115"/>
      <c r="I32" s="115"/>
      <c r="J32" s="115"/>
      <c r="K32" s="116"/>
      <c r="M32"/>
      <c r="Q32"/>
      <c r="T32"/>
      <c r="W32" s="33"/>
      <c r="X32" s="33"/>
    </row>
    <row r="33" spans="2:24" ht="20.25" customHeight="1">
      <c r="B33" s="114"/>
      <c r="C33" s="115"/>
      <c r="D33" s="115"/>
      <c r="E33" s="115"/>
      <c r="F33" s="115"/>
      <c r="G33" s="115"/>
      <c r="H33" s="115"/>
      <c r="I33" s="115"/>
      <c r="J33" s="115"/>
      <c r="K33" s="116"/>
      <c r="M33"/>
      <c r="Q33"/>
      <c r="T33"/>
      <c r="W33" s="33"/>
      <c r="X33" s="33"/>
    </row>
    <row r="34" spans="2:24" ht="35.25" customHeight="1" thickBot="1">
      <c r="B34" s="117"/>
      <c r="C34" s="118"/>
      <c r="D34" s="118"/>
      <c r="E34" s="118"/>
      <c r="F34" s="118"/>
      <c r="G34" s="118"/>
      <c r="H34" s="118"/>
      <c r="I34" s="118"/>
      <c r="J34" s="118"/>
      <c r="K34" s="119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-0.84361033204277003</v>
      </c>
      <c r="C2">
        <f t="array" aca="1" ref="C2" ca="1">CORREL(FT_E02,FT_PH02)</f>
        <v>-0.94039232151588692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2.6151799999999996</v>
      </c>
      <c r="G2" s="61">
        <f>IF(FT!B2&lt;&gt;"",FT!B2*100,"")</f>
        <v>51.271000000000001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2.72567</v>
      </c>
      <c r="G3" s="61">
        <f>IF(FT!B3&lt;&gt;"",FT!B3*100,"")</f>
        <v>49.767499999999998</v>
      </c>
      <c r="H3" s="61">
        <f t="shared" ref="H3:H66" si="1">(IF(F3&lt;&gt;"",1,""))</f>
        <v>1</v>
      </c>
      <c r="I3" t="str">
        <f>IF(FT!B3&lt;&gt;"",FT!E3,"")</f>
        <v>1 [0.403883]</v>
      </c>
      <c r="J3">
        <f>IF(FT!B3&lt;&gt;"",FT!C3,"")</f>
        <v>0.40388299999999999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0.31281029729729737</v>
      </c>
      <c r="V3">
        <f ca="1">AVERAGE(OFFSET(FT!B2,info!$L$3/2,0,info!$L$3/2,1))</f>
        <v>0.33669728378378366</v>
      </c>
      <c r="W3">
        <f ca="1">AVERAGE(OFFSET(FT!A2,0,0,info!$L$3/2,1))</f>
        <v>0.43147520270270251</v>
      </c>
      <c r="X3">
        <f ca="1">AVERAGE(OFFSET(FT!A2,info!$L$3/2,0,info!$L$3/2,1))</f>
        <v>0.4377662162162162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2.8355899999999998</v>
      </c>
      <c r="G4" s="61">
        <f>IF(FT!B4&lt;&gt;"",FT!B4*100,"")</f>
        <v>48.345700000000001</v>
      </c>
      <c r="H4" s="61">
        <f t="shared" si="1"/>
        <v>1</v>
      </c>
      <c r="I4" t="str">
        <f>IF(FT!B4&lt;&gt;"",FT!E4,"")</f>
        <v>1 [0.811816]</v>
      </c>
      <c r="J4">
        <f>IF(FT!B4&lt;&gt;"",FT!C4,"")</f>
        <v>0.81181599999999998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14.941325000000001</v>
      </c>
      <c r="V4">
        <f>U4*3</f>
        <v>44.823975000000004</v>
      </c>
      <c r="W4">
        <f>U4</f>
        <v>14.941325000000001</v>
      </c>
      <c r="X4">
        <f>V4</f>
        <v>44.823975000000004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2.9469799999999999</v>
      </c>
      <c r="G5" s="61">
        <f>IF(FT!B5&lt;&gt;"",FT!B5*100,"")</f>
        <v>46.932000000000002</v>
      </c>
      <c r="H5" s="61">
        <f t="shared" si="1"/>
        <v>1</v>
      </c>
      <c r="I5" t="str">
        <f>IF(FT!B5&lt;&gt;"",FT!E5,"")</f>
        <v>1 [1.216935]</v>
      </c>
      <c r="J5">
        <f>IF(FT!B5&lt;&gt;"",FT!C5,"")</f>
        <v>1.2169399999999999</v>
      </c>
      <c r="K5" t="s">
        <v>53</v>
      </c>
      <c r="L5" s="63">
        <f ca="1">MIN(FT_E)</f>
        <v>2.6151799999999996</v>
      </c>
      <c r="M5" s="63">
        <f ca="1">ROUND(L5,1)</f>
        <v>2.6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31.281029729729738</v>
      </c>
      <c r="V5">
        <f ca="1">V3*100</f>
        <v>33.669728378378366</v>
      </c>
      <c r="W5">
        <f ca="1">W3*10</f>
        <v>4.3147520270270254</v>
      </c>
      <c r="X5">
        <f ca="1">X3*10</f>
        <v>4.3776621621621619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3.0560399999999999</v>
      </c>
      <c r="G6" s="61">
        <f>IF(FT!B6&lt;&gt;"",FT!B6*100,"")</f>
        <v>45.661799999999999</v>
      </c>
      <c r="H6" s="61">
        <f t="shared" si="1"/>
        <v>1</v>
      </c>
      <c r="I6" t="str">
        <f>IF(FT!B6&lt;&gt;"",FT!E6,"")</f>
        <v>1 [1.625629]</v>
      </c>
      <c r="J6">
        <f>IF(FT!B6&lt;&gt;"",FT!C6,"")</f>
        <v>1.6256299999999999</v>
      </c>
      <c r="K6" t="s">
        <v>54</v>
      </c>
      <c r="L6" s="63">
        <f ca="1">MAX(FT_E)</f>
        <v>4.9603199999999994</v>
      </c>
      <c r="M6" s="63">
        <f ca="1">ROUND(L6,1)</f>
        <v>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3.1608399999999999</v>
      </c>
      <c r="G7" s="61">
        <f>IF(FT!B7&lt;&gt;"",FT!B7*100,"")</f>
        <v>44.583300000000001</v>
      </c>
      <c r="H7" s="61">
        <f t="shared" si="1"/>
        <v>1</v>
      </c>
      <c r="I7" t="str">
        <f>IF(FT!B7&lt;&gt;"",FT!E7,"")</f>
        <v>1 [2.029561]</v>
      </c>
      <c r="J7">
        <f>IF(FT!B7&lt;&gt;"",FT!C7,"")</f>
        <v>2.02956</v>
      </c>
      <c r="K7" t="s">
        <v>55</v>
      </c>
      <c r="L7" s="63">
        <f ca="1">MIN(FT_PH)</f>
        <v>20.3338</v>
      </c>
      <c r="M7" s="63">
        <f ca="1">ROUND(L7,1)</f>
        <v>20.3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511</v>
      </c>
      <c r="D8" s="61">
        <f>FH!B8*1</f>
        <v>511</v>
      </c>
      <c r="E8">
        <f t="shared" si="3"/>
        <v>6</v>
      </c>
      <c r="F8" s="61">
        <f>IF(FT!A8&lt;&gt;"",FT!A8*10,"")</f>
        <v>3.2603200000000001</v>
      </c>
      <c r="G8" s="61">
        <f>IF(FT!B8&lt;&gt;"",FT!B8*100,"")</f>
        <v>43.784500000000001</v>
      </c>
      <c r="H8" s="61">
        <f t="shared" si="1"/>
        <v>1</v>
      </c>
      <c r="I8" t="str">
        <f>IF(FT!B8&lt;&gt;"",FT!E8,"")</f>
        <v>1 [2.433545]</v>
      </c>
      <c r="J8">
        <f>IF(FT!B8&lt;&gt;"",FT!C8,"")</f>
        <v>2.4335499999999999</v>
      </c>
      <c r="K8" t="s">
        <v>56</v>
      </c>
      <c r="L8" s="63">
        <f ca="1">MAX(FT_PH)</f>
        <v>51.271000000000001</v>
      </c>
      <c r="M8" s="63">
        <f ca="1">ROUND(L8,1)</f>
        <v>51.3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3.3570199999999999</v>
      </c>
      <c r="G9" s="61">
        <f>IF(FT!B9&lt;&gt;"",FT!B9*100,"")</f>
        <v>43.058500000000002</v>
      </c>
      <c r="H9" s="61">
        <f t="shared" si="1"/>
        <v>1</v>
      </c>
      <c r="I9" t="str">
        <f>IF(FT!B9&lt;&gt;"",FT!E9,"")</f>
        <v>1 [2.841445]</v>
      </c>
      <c r="J9">
        <f>IF(FT!B9&lt;&gt;"",FT!C9,"")</f>
        <v>2.84144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501</v>
      </c>
      <c r="D10" s="61">
        <f>FH!B10*1</f>
        <v>501</v>
      </c>
      <c r="E10">
        <f t="shared" si="3"/>
        <v>8</v>
      </c>
      <c r="F10" s="61">
        <f>IF(FT!A10&lt;&gt;"",FT!A10*10,"")</f>
        <v>3.45024</v>
      </c>
      <c r="G10" s="61">
        <f>IF(FT!B10&lt;&gt;"",FT!B10*100,"")</f>
        <v>42.345599999999997</v>
      </c>
      <c r="H10" s="61">
        <f t="shared" si="1"/>
        <v>1</v>
      </c>
      <c r="I10" t="str">
        <f>IF(FT!B10&lt;&gt;"",FT!E10,"")</f>
        <v>1 [3.243555]</v>
      </c>
      <c r="J10">
        <f>IF(FT!B10&lt;&gt;"",FT!C10,"")</f>
        <v>3.2435499999999999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3.5385</v>
      </c>
      <c r="G11" s="61">
        <f>IF(FT!B11&lt;&gt;"",FT!B11*100,"")</f>
        <v>41.8157</v>
      </c>
      <c r="H11" s="61">
        <f t="shared" si="1"/>
        <v>1</v>
      </c>
      <c r="I11" t="str">
        <f>IF(FT!B11&lt;&gt;"",FT!E11,"")</f>
        <v>1 [3.651280]</v>
      </c>
      <c r="J11">
        <f>IF(FT!B11&lt;&gt;"",FT!C11,"")</f>
        <v>3.6512799999999999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3.6222599999999998</v>
      </c>
      <c r="G12" s="61">
        <f>IF(FT!B12&lt;&gt;"",FT!B12*100,"")</f>
        <v>41.450700000000005</v>
      </c>
      <c r="H12" s="61">
        <f t="shared" si="1"/>
        <v>1</v>
      </c>
      <c r="I12" t="str">
        <f>IF(FT!B12&lt;&gt;"",FT!E12,"")</f>
        <v>1 [4.060347]</v>
      </c>
      <c r="J12">
        <f>IF(FT!B12&lt;&gt;"",FT!C12,"")</f>
        <v>4.0603499999999997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697</v>
      </c>
      <c r="D13" s="61">
        <f>FH!B13*1</f>
        <v>697</v>
      </c>
      <c r="E13">
        <f t="shared" si="3"/>
        <v>11</v>
      </c>
      <c r="F13" s="61">
        <f>IF(FT!A13&lt;&gt;"",FT!A13*10,"")</f>
        <v>3.7027900000000002</v>
      </c>
      <c r="G13" s="61">
        <f>IF(FT!B13&lt;&gt;"",FT!B13*100,"")</f>
        <v>41.153399999999998</v>
      </c>
      <c r="H13" s="61">
        <f t="shared" si="1"/>
        <v>1</v>
      </c>
      <c r="I13" t="str">
        <f>IF(FT!B13&lt;&gt;"",FT!E13,"")</f>
        <v>1 [4.467107]</v>
      </c>
      <c r="J13">
        <f>IF(FT!B13&lt;&gt;"",FT!C13,"")</f>
        <v>4.4671099999999999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3.77902</v>
      </c>
      <c r="G14" s="61">
        <f>IF(FT!B14&lt;&gt;"",FT!B14*100,"")</f>
        <v>40.9709</v>
      </c>
      <c r="H14" s="61">
        <f t="shared" si="1"/>
        <v>1</v>
      </c>
      <c r="I14" t="str">
        <f>IF(FT!B14&lt;&gt;"",FT!E14,"")</f>
        <v>1 [4.871951]</v>
      </c>
      <c r="J14">
        <f>IF(FT!B14&lt;&gt;"",FT!C14,"")</f>
        <v>4.87195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1350</v>
      </c>
      <c r="D15" s="61">
        <f>FH!B15*1</f>
        <v>1350</v>
      </c>
      <c r="E15">
        <f t="shared" si="3"/>
        <v>13</v>
      </c>
      <c r="F15" s="61">
        <f>IF(FT!A15&lt;&gt;"",FT!A15*10,"")</f>
        <v>3.8496599999999996</v>
      </c>
      <c r="G15" s="61">
        <f>IF(FT!B15&lt;&gt;"",FT!B15*100,"")</f>
        <v>40.983799999999995</v>
      </c>
      <c r="H15" s="61">
        <f t="shared" si="1"/>
        <v>1</v>
      </c>
      <c r="I15" t="str">
        <f>IF(FT!B15&lt;&gt;"",FT!E15,"")</f>
        <v>1 [5.275799]</v>
      </c>
      <c r="J15">
        <f>IF(FT!B15&lt;&gt;"",FT!C15,"")</f>
        <v>5.2758000000000003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3.9179199999999996</v>
      </c>
      <c r="G16" s="61">
        <f>IF(FT!B16&lt;&gt;"",FT!B16*100,"")</f>
        <v>41.014200000000002</v>
      </c>
      <c r="H16" s="61">
        <f t="shared" si="1"/>
        <v>1</v>
      </c>
      <c r="I16" t="str">
        <f>IF(FT!B16&lt;&gt;"",FT!E16,"")</f>
        <v>1 [5.681062]</v>
      </c>
      <c r="J16">
        <f>IF(FT!B16&lt;&gt;"",FT!C16,"")</f>
        <v>5.6810600000000004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3.9849299999999999</v>
      </c>
      <c r="G17" s="61">
        <f>IF(FT!B17&lt;&gt;"",FT!B17*100,"")</f>
        <v>41.009499999999996</v>
      </c>
      <c r="H17" s="61">
        <f t="shared" si="1"/>
        <v>1</v>
      </c>
      <c r="I17" t="str">
        <f>IF(FT!B17&lt;&gt;"",FT!E17,"")</f>
        <v>1 [6.092928]</v>
      </c>
      <c r="J17">
        <f>IF(FT!B17&lt;&gt;"",FT!C17,"")</f>
        <v>6.09293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3834</v>
      </c>
      <c r="D18" s="61">
        <f>FH!B18*1</f>
        <v>3834</v>
      </c>
      <c r="E18">
        <f t="shared" si="3"/>
        <v>16</v>
      </c>
      <c r="F18" s="61">
        <f>IF(FT!A18&lt;&gt;"",FT!A18*10,"")</f>
        <v>4.04915</v>
      </c>
      <c r="G18" s="61">
        <f>IF(FT!B18&lt;&gt;"",FT!B18*100,"")</f>
        <v>41.025300000000001</v>
      </c>
      <c r="H18" s="61">
        <f t="shared" si="1"/>
        <v>1</v>
      </c>
      <c r="I18" t="str">
        <f>IF(FT!B18&lt;&gt;"",FT!E18,"")</f>
        <v>1 [6.498545]</v>
      </c>
      <c r="J18">
        <f>IF(FT!B18&lt;&gt;"",FT!C18,"")</f>
        <v>6.4985499999999998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4.1101299999999998</v>
      </c>
      <c r="G19" s="61">
        <f>IF(FT!B19&lt;&gt;"",FT!B19*100,"")</f>
        <v>40.976500000000001</v>
      </c>
      <c r="H19" s="61">
        <f t="shared" si="1"/>
        <v>1</v>
      </c>
      <c r="I19" t="str">
        <f>IF(FT!B19&lt;&gt;"",FT!E19,"")</f>
        <v>1 [6.904443]</v>
      </c>
      <c r="J19">
        <f>IF(FT!B19&lt;&gt;"",FT!C19,"")</f>
        <v>6.9044400000000001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4.1690199999999997</v>
      </c>
      <c r="G20" s="61">
        <f>IF(FT!B20&lt;&gt;"",FT!B20*100,"")</f>
        <v>40.7502</v>
      </c>
      <c r="H20" s="61">
        <f t="shared" si="1"/>
        <v>1</v>
      </c>
      <c r="I20" t="str">
        <f>IF(FT!B20&lt;&gt;"",FT!E20,"")</f>
        <v>1 [7.307417]</v>
      </c>
      <c r="J20">
        <f>IF(FT!B20&lt;&gt;"",FT!C20,"")</f>
        <v>7.3074199999999996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5732</v>
      </c>
      <c r="D21" s="61">
        <f>FH!B21*1</f>
        <v>5732</v>
      </c>
      <c r="E21">
        <f t="shared" si="3"/>
        <v>19</v>
      </c>
      <c r="F21" s="61">
        <f>IF(FT!A21&lt;&gt;"",FT!A21*10,"")</f>
        <v>4.2246499999999996</v>
      </c>
      <c r="G21" s="61">
        <f>IF(FT!B21&lt;&gt;"",FT!B21*100,"")</f>
        <v>40.522799999999997</v>
      </c>
      <c r="H21" s="61">
        <f t="shared" si="1"/>
        <v>1</v>
      </c>
      <c r="I21" t="str">
        <f>IF(FT!B21&lt;&gt;"",FT!E21,"")</f>
        <v>1 [7.714426]</v>
      </c>
      <c r="J21">
        <f>IF(FT!B21&lt;&gt;"",FT!C21,"")</f>
        <v>7.7144300000000001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4.2736700000000001</v>
      </c>
      <c r="G22" s="61">
        <f>IF(FT!B22&lt;&gt;"",FT!B22*100,"")</f>
        <v>40.311700000000002</v>
      </c>
      <c r="H22" s="61">
        <f t="shared" si="1"/>
        <v>1</v>
      </c>
      <c r="I22" t="str">
        <f>IF(FT!B22&lt;&gt;"",FT!E22,"")</f>
        <v>1 [8.123213]</v>
      </c>
      <c r="J22">
        <f>IF(FT!B22&lt;&gt;"",FT!C22,"")</f>
        <v>8.1232100000000003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7295</v>
      </c>
      <c r="D23" s="61">
        <f>FH!B23*1</f>
        <v>7295</v>
      </c>
      <c r="E23">
        <f t="shared" si="3"/>
        <v>21</v>
      </c>
      <c r="F23" s="61">
        <f>IF(FT!A23&lt;&gt;"",FT!A23*10,"")</f>
        <v>4.3176699999999997</v>
      </c>
      <c r="G23" s="61">
        <f>IF(FT!B23&lt;&gt;"",FT!B23*100,"")</f>
        <v>40.057200000000002</v>
      </c>
      <c r="H23" s="61">
        <f t="shared" si="1"/>
        <v>1</v>
      </c>
      <c r="I23" t="str">
        <f>IF(FT!B23&lt;&gt;"",FT!E23,"")</f>
        <v>1 [8.526343]</v>
      </c>
      <c r="J23">
        <f>IF(FT!B23&lt;&gt;"",FT!C23,"")</f>
        <v>8.5263399999999994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4.3567299999999998</v>
      </c>
      <c r="G24" s="61">
        <f>IF(FT!B24&lt;&gt;"",FT!B24*100,"")</f>
        <v>39.747399999999999</v>
      </c>
      <c r="H24" s="61">
        <f t="shared" si="1"/>
        <v>1</v>
      </c>
      <c r="I24" t="str">
        <f>IF(FT!B24&lt;&gt;"",FT!E24,"")</f>
        <v>1 [8.935048]</v>
      </c>
      <c r="J24">
        <f>IF(FT!B24&lt;&gt;"",FT!C24,"")</f>
        <v>8.9350500000000004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4.3924200000000004</v>
      </c>
      <c r="G25" s="61">
        <f>IF(FT!B25&lt;&gt;"",FT!B25*100,"")</f>
        <v>39.387599999999999</v>
      </c>
      <c r="H25" s="61">
        <f t="shared" si="1"/>
        <v>1</v>
      </c>
      <c r="I25" t="str">
        <f>IF(FT!B25&lt;&gt;"",FT!E25,"")</f>
        <v>1 [9.341089]</v>
      </c>
      <c r="J25">
        <f>IF(FT!B25&lt;&gt;"",FT!C25,"")</f>
        <v>9.3410899999999994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14031</v>
      </c>
      <c r="D26" s="61">
        <f>FH!B26*1</f>
        <v>14031</v>
      </c>
      <c r="E26">
        <f t="shared" si="3"/>
        <v>24</v>
      </c>
      <c r="F26" s="61">
        <f>IF(FT!A26&lt;&gt;"",FT!A26*10,"")</f>
        <v>4.4271899999999995</v>
      </c>
      <c r="G26" s="61">
        <f>IF(FT!B26&lt;&gt;"",FT!B26*100,"")</f>
        <v>38.909500000000001</v>
      </c>
      <c r="H26" s="61">
        <f t="shared" si="1"/>
        <v>1</v>
      </c>
      <c r="I26" t="str">
        <f>IF(FT!B26&lt;&gt;"",FT!E26,"")</f>
        <v>1 [9.745980]</v>
      </c>
      <c r="J26">
        <f>IF(FT!B26&lt;&gt;"",FT!C26,"")</f>
        <v>9.7459799999999994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4.4602599999999999</v>
      </c>
      <c r="G27" s="61">
        <f>IF(FT!B27&lt;&gt;"",FT!B27*100,"")</f>
        <v>38.252499999999998</v>
      </c>
      <c r="H27" s="61">
        <f t="shared" si="1"/>
        <v>1</v>
      </c>
      <c r="I27" t="str">
        <f>IF(FT!B27&lt;&gt;"",FT!E27,"")</f>
        <v>1 [10.155816]</v>
      </c>
      <c r="J27">
        <f>IF(FT!B27&lt;&gt;"",FT!C27,"")</f>
        <v>10.155799999999999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20963</v>
      </c>
      <c r="D28" s="61">
        <f>FH!B28*1</f>
        <v>20963</v>
      </c>
      <c r="E28">
        <f t="shared" si="3"/>
        <v>26</v>
      </c>
      <c r="F28" s="61">
        <f>IF(FT!A28&lt;&gt;"",FT!A28*10,"")</f>
        <v>4.4897799999999997</v>
      </c>
      <c r="G28" s="61">
        <f>IF(FT!B28&lt;&gt;"",FT!B28*100,"")</f>
        <v>37.521300000000004</v>
      </c>
      <c r="H28" s="61">
        <f t="shared" si="1"/>
        <v>1</v>
      </c>
      <c r="I28" t="str">
        <f>IF(FT!B28&lt;&gt;"",FT!E28,"")</f>
        <v>1 [10.562762]</v>
      </c>
      <c r="J28">
        <f>IF(FT!B28&lt;&gt;"",FT!C28,"")</f>
        <v>10.562799999999999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4.5152299999999999</v>
      </c>
      <c r="G29" s="61">
        <f>IF(FT!B29&lt;&gt;"",FT!B29*100,"")</f>
        <v>36.733399999999996</v>
      </c>
      <c r="H29" s="61">
        <f t="shared" si="1"/>
        <v>1</v>
      </c>
      <c r="I29" t="str">
        <f>IF(FT!B29&lt;&gt;"",FT!E29,"")</f>
        <v>1 [10.967719]</v>
      </c>
      <c r="J29">
        <f>IF(FT!B29&lt;&gt;"",FT!C29,"")</f>
        <v>10.967700000000001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4.5365500000000001</v>
      </c>
      <c r="G30" s="61">
        <f>IF(FT!B30&lt;&gt;"",FT!B30*100,"")</f>
        <v>35.804600000000001</v>
      </c>
      <c r="H30" s="61">
        <f t="shared" si="1"/>
        <v>1</v>
      </c>
      <c r="I30" t="str">
        <f>IF(FT!B30&lt;&gt;"",FT!E30,"")</f>
        <v>1 [11.369592]</v>
      </c>
      <c r="J30">
        <f>IF(FT!B30&lt;&gt;"",FT!C30,"")</f>
        <v>11.3696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29536</v>
      </c>
      <c r="D31" s="61">
        <f>FH!B31*1</f>
        <v>29536</v>
      </c>
      <c r="E31">
        <f t="shared" si="3"/>
        <v>29</v>
      </c>
      <c r="F31" s="61">
        <f>IF(FT!A31&lt;&gt;"",FT!A31*10,"")</f>
        <v>4.5549900000000001</v>
      </c>
      <c r="G31" s="61">
        <f>IF(FT!B31&lt;&gt;"",FT!B31*100,"")</f>
        <v>34.889199999999995</v>
      </c>
      <c r="H31" s="61">
        <f t="shared" si="1"/>
        <v>1</v>
      </c>
      <c r="I31" t="str">
        <f>IF(FT!B31&lt;&gt;"",FT!E31,"")</f>
        <v>1 [11.782468]</v>
      </c>
      <c r="J31">
        <f>IF(FT!B31&lt;&gt;"",FT!C31,"")</f>
        <v>11.782500000000001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4.5719900000000004</v>
      </c>
      <c r="G32" s="61">
        <f>IF(FT!B32&lt;&gt;"",FT!B32*100,"")</f>
        <v>33.982800000000005</v>
      </c>
      <c r="H32" s="61">
        <f t="shared" si="1"/>
        <v>1</v>
      </c>
      <c r="I32" t="str">
        <f>IF(FT!B32&lt;&gt;"",FT!E32,"")</f>
        <v>1 [12.182430]</v>
      </c>
      <c r="J32">
        <f>IF(FT!B32&lt;&gt;"",FT!C32,"")</f>
        <v>12.182399999999999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38334</v>
      </c>
      <c r="D33" s="61">
        <f>FH!B33*1</f>
        <v>38334</v>
      </c>
      <c r="E33">
        <f t="shared" si="3"/>
        <v>31</v>
      </c>
      <c r="F33" s="61">
        <f>IF(FT!A33&lt;&gt;"",FT!A33*10,"")</f>
        <v>4.5876000000000001</v>
      </c>
      <c r="G33" s="61">
        <f>IF(FT!B33&lt;&gt;"",FT!B33*100,"")</f>
        <v>33.066200000000002</v>
      </c>
      <c r="H33" s="61">
        <f t="shared" si="1"/>
        <v>1</v>
      </c>
      <c r="I33" t="str">
        <f>IF(FT!B33&lt;&gt;"",FT!E33,"")</f>
        <v>1 [12.593524]</v>
      </c>
      <c r="J33">
        <f>IF(FT!B33&lt;&gt;"",FT!C33,"")</f>
        <v>12.593500000000001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4.6001799999999999</v>
      </c>
      <c r="G34" s="61">
        <f>IF(FT!B34&lt;&gt;"",FT!B34*100,"")</f>
        <v>32.224499999999999</v>
      </c>
      <c r="H34" s="61">
        <f t="shared" si="1"/>
        <v>1</v>
      </c>
      <c r="I34" t="str">
        <f>IF(FT!B34&lt;&gt;"",FT!E34,"")</f>
        <v>1 [12.996208]</v>
      </c>
      <c r="J34">
        <f>IF(FT!B34&lt;&gt;"",FT!C34,"")</f>
        <v>12.9962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4.6104699999999994</v>
      </c>
      <c r="G35" s="61">
        <f>IF(FT!B35&lt;&gt;"",FT!B35*100,"")</f>
        <v>31.479700000000001</v>
      </c>
      <c r="H35" s="61">
        <f t="shared" si="1"/>
        <v>1</v>
      </c>
      <c r="I35" t="str">
        <f>IF(FT!B35&lt;&gt;"",FT!E35,"")</f>
        <v>1 [13.403102]</v>
      </c>
      <c r="J35">
        <f>IF(FT!B35&lt;&gt;"",FT!C35,"")</f>
        <v>13.4031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47498</v>
      </c>
      <c r="D36" s="61">
        <f>FH!B36*1</f>
        <v>47498</v>
      </c>
      <c r="E36">
        <f t="shared" si="3"/>
        <v>34</v>
      </c>
      <c r="F36" s="61">
        <f>IF(FT!A36&lt;&gt;"",FT!A36*10,"")</f>
        <v>4.6204099999999997</v>
      </c>
      <c r="G36" s="61">
        <f>IF(FT!B36&lt;&gt;"",FT!B36*100,"")</f>
        <v>30.737599999999997</v>
      </c>
      <c r="H36" s="61">
        <f t="shared" si="1"/>
        <v>1</v>
      </c>
      <c r="I36" t="str">
        <f>IF(FT!B36&lt;&gt;"",FT!E36,"")</f>
        <v>1 [13.813003]</v>
      </c>
      <c r="J36">
        <f>IF(FT!B36&lt;&gt;"",FT!C36,"")</f>
        <v>13.813000000000001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4.6293199999999999</v>
      </c>
      <c r="G37" s="61">
        <f>IF(FT!B37&lt;&gt;"",FT!B37*100,"")</f>
        <v>29.984100000000002</v>
      </c>
      <c r="H37" s="61">
        <f t="shared" si="1"/>
        <v>1</v>
      </c>
      <c r="I37" t="str">
        <f>IF(FT!B37&lt;&gt;"",FT!E37,"")</f>
        <v>1 [14.213330]</v>
      </c>
      <c r="J37">
        <f>IF(FT!B37&lt;&gt;"",FT!C37,"")</f>
        <v>14.2133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4.6369699999999998</v>
      </c>
      <c r="G38" s="61">
        <f>IF(FT!B38&lt;&gt;"",FT!B38*100,"")</f>
        <v>29.239500000000003</v>
      </c>
      <c r="H38" s="61">
        <f t="shared" si="1"/>
        <v>1</v>
      </c>
      <c r="I38" t="str">
        <f>IF(FT!B38&lt;&gt;"",FT!E38,"")</f>
        <v>1 [14.622873]</v>
      </c>
      <c r="J38">
        <f>IF(FT!B38&lt;&gt;"",FT!C38,"")</f>
        <v>14.6229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62678</v>
      </c>
      <c r="D39" s="61">
        <f>FH!B39*1</f>
        <v>62678</v>
      </c>
      <c r="E39">
        <f t="shared" si="3"/>
        <v>37</v>
      </c>
      <c r="F39" s="61">
        <f>IF(FT!A39&lt;&gt;"",FT!A39*10,"")</f>
        <v>4.64506</v>
      </c>
      <c r="G39" s="61">
        <f>IF(FT!B39&lt;&gt;"",FT!B39*100,"")</f>
        <v>28.439999999999998</v>
      </c>
      <c r="H39" s="61">
        <f t="shared" si="1"/>
        <v>1</v>
      </c>
      <c r="I39" t="str">
        <f>IF(FT!B39&lt;&gt;"",FT!E39,"")</f>
        <v>1 [15.031771]</v>
      </c>
      <c r="J39">
        <f>IF(FT!B39&lt;&gt;"",FT!C39,"")</f>
        <v>15.0318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4.6544699999999999</v>
      </c>
      <c r="G40" s="61">
        <f>IF(FT!B40&lt;&gt;"",FT!B40*100,"")</f>
        <v>27.596900000000002</v>
      </c>
      <c r="H40" s="61">
        <f t="shared" si="1"/>
        <v>1</v>
      </c>
      <c r="I40" t="str">
        <f>IF(FT!B40&lt;&gt;"",FT!E40,"")</f>
        <v>1 [15.432711]</v>
      </c>
      <c r="J40">
        <f>IF(FT!B40&lt;&gt;"",FT!C40,"")</f>
        <v>15.432700000000001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79430</v>
      </c>
      <c r="D41" s="61">
        <f>FH!B41*1</f>
        <v>79430</v>
      </c>
      <c r="E41">
        <f t="shared" si="3"/>
        <v>39</v>
      </c>
      <c r="F41" s="61">
        <f>IF(FT!A41&lt;&gt;"",FT!A41*10,"")</f>
        <v>4.66432</v>
      </c>
      <c r="G41" s="61">
        <f>IF(FT!B41&lt;&gt;"",FT!B41*100,"")</f>
        <v>26.799899999999997</v>
      </c>
      <c r="H41" s="61">
        <f t="shared" si="1"/>
        <v>1</v>
      </c>
      <c r="I41" t="str">
        <f>IF(FT!B41&lt;&gt;"",FT!E41,"")</f>
        <v>1 [15.841767]</v>
      </c>
      <c r="J41">
        <f>IF(FT!B41&lt;&gt;"",FT!C41,"")</f>
        <v>15.841799999999999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4.6715099999999996</v>
      </c>
      <c r="G42" s="61">
        <f>IF(FT!B42&lt;&gt;"",FT!B42*100,"")</f>
        <v>26.076100000000004</v>
      </c>
      <c r="H42" s="61">
        <f t="shared" si="1"/>
        <v>1</v>
      </c>
      <c r="I42" t="str">
        <f>IF(FT!B42&lt;&gt;"",FT!E42,"")</f>
        <v>1 [16.250512]</v>
      </c>
      <c r="J42">
        <f>IF(FT!B42&lt;&gt;"",FT!C42,"")</f>
        <v>16.250499999999999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4.6750100000000003</v>
      </c>
      <c r="G43" s="61">
        <f>IF(FT!B43&lt;&gt;"",FT!B43*100,"")</f>
        <v>25.399500000000003</v>
      </c>
      <c r="H43" s="61">
        <f t="shared" si="1"/>
        <v>1</v>
      </c>
      <c r="I43" t="str">
        <f>IF(FT!B43&lt;&gt;"",FT!E43,"")</f>
        <v>1 [16.654460]</v>
      </c>
      <c r="J43">
        <f>IF(FT!B43&lt;&gt;"",FT!C43,"")</f>
        <v>16.654499999999999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93428</v>
      </c>
      <c r="D44" s="61">
        <f>FH!B44*1</f>
        <v>93428</v>
      </c>
      <c r="E44">
        <f t="shared" si="3"/>
        <v>42</v>
      </c>
      <c r="F44" s="61">
        <f>IF(FT!A44&lt;&gt;"",FT!A44*10,"")</f>
        <v>4.6768900000000002</v>
      </c>
      <c r="G44" s="61">
        <f>IF(FT!B44&lt;&gt;"",FT!B44*100,"")</f>
        <v>24.726200000000002</v>
      </c>
      <c r="H44" s="61">
        <f t="shared" si="1"/>
        <v>1</v>
      </c>
      <c r="I44" t="str">
        <f>IF(FT!B44&lt;&gt;"",FT!E44,"")</f>
        <v>1 [17.060938]</v>
      </c>
      <c r="J44">
        <f>IF(FT!B44&lt;&gt;"",FT!C44,"")</f>
        <v>17.0609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4.6766000000000005</v>
      </c>
      <c r="G45" s="61">
        <f>IF(FT!B45&lt;&gt;"",FT!B45*100,"")</f>
        <v>24.142900000000001</v>
      </c>
      <c r="H45" s="61">
        <f t="shared" si="1"/>
        <v>1</v>
      </c>
      <c r="I45" t="str">
        <f>IF(FT!B45&lt;&gt;"",FT!E45,"")</f>
        <v>1 [17.466191]</v>
      </c>
      <c r="J45">
        <f>IF(FT!B45&lt;&gt;"",FT!C45,"")</f>
        <v>17.466200000000001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95658</v>
      </c>
      <c r="D46" s="61">
        <f>FH!B46*1</f>
        <v>95658</v>
      </c>
      <c r="E46">
        <f t="shared" si="3"/>
        <v>44</v>
      </c>
      <c r="F46" s="61">
        <f>IF(FT!A46&lt;&gt;"",FT!A46*10,"")</f>
        <v>4.6772200000000002</v>
      </c>
      <c r="G46" s="61">
        <f>IF(FT!B46&lt;&gt;"",FT!B46*100,"")</f>
        <v>23.580000000000002</v>
      </c>
      <c r="H46" s="61">
        <f t="shared" si="1"/>
        <v>1</v>
      </c>
      <c r="I46" t="str">
        <f>IF(FT!B46&lt;&gt;"",FT!E46,"")</f>
        <v>1 [17.873351]</v>
      </c>
      <c r="J46">
        <f>IF(FT!B46&lt;&gt;"",FT!C46,"")</f>
        <v>17.8734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4.6802000000000001</v>
      </c>
      <c r="G47" s="61">
        <f>IF(FT!B47&lt;&gt;"",FT!B47*100,"")</f>
        <v>23.0168</v>
      </c>
      <c r="H47" s="61">
        <f t="shared" si="1"/>
        <v>1</v>
      </c>
      <c r="I47" t="str">
        <f>IF(FT!B47&lt;&gt;"",FT!E47,"")</f>
        <v>1 [18.276259]</v>
      </c>
      <c r="J47">
        <f>IF(FT!B47&lt;&gt;"",FT!C47,"")</f>
        <v>18.276299999999999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4.6834300000000004</v>
      </c>
      <c r="G48" s="61">
        <f>IF(FT!B48&lt;&gt;"",FT!B48*100,"")</f>
        <v>22.477499999999999</v>
      </c>
      <c r="H48" s="61">
        <f t="shared" si="1"/>
        <v>1</v>
      </c>
      <c r="I48" t="str">
        <f>IF(FT!B48&lt;&gt;"",FT!E48,"")</f>
        <v>1 [18.686056]</v>
      </c>
      <c r="J48">
        <f>IF(FT!B48&lt;&gt;"",FT!C48,"")</f>
        <v>18.6861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111806</v>
      </c>
      <c r="D49" s="61">
        <f>FH!B49*1</f>
        <v>111806</v>
      </c>
      <c r="E49">
        <f t="shared" si="3"/>
        <v>47</v>
      </c>
      <c r="F49" s="61">
        <f>IF(FT!A49&lt;&gt;"",FT!A49*10,"")</f>
        <v>4.68818</v>
      </c>
      <c r="G49" s="61">
        <f>IF(FT!B49&lt;&gt;"",FT!B49*100,"")</f>
        <v>21.963799999999999</v>
      </c>
      <c r="H49" s="61">
        <f t="shared" si="1"/>
        <v>1</v>
      </c>
      <c r="I49" t="str">
        <f>IF(FT!B49&lt;&gt;"",FT!E49,"")</f>
        <v>1 [19.090910]</v>
      </c>
      <c r="J49">
        <f>IF(FT!B49&lt;&gt;"",FT!C49,"")</f>
        <v>19.090900000000001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4.6935700000000002</v>
      </c>
      <c r="G50" s="61">
        <f>IF(FT!B50&lt;&gt;"",FT!B50*100,"")</f>
        <v>21.45</v>
      </c>
      <c r="H50" s="61">
        <f t="shared" si="1"/>
        <v>1</v>
      </c>
      <c r="I50" t="str">
        <f>IF(FT!B50&lt;&gt;"",FT!E50,"")</f>
        <v>1 [19.496917]</v>
      </c>
      <c r="J50">
        <f>IF(FT!B50&lt;&gt;"",FT!C50,"")</f>
        <v>19.4969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130767</v>
      </c>
      <c r="D51" s="61">
        <f>FH!B51*1</f>
        <v>130767</v>
      </c>
      <c r="E51">
        <f t="shared" si="3"/>
        <v>49</v>
      </c>
      <c r="F51" s="61">
        <f>IF(FT!A51&lt;&gt;"",FT!A51*10,"")</f>
        <v>4.6973099999999999</v>
      </c>
      <c r="G51" s="61">
        <f>IF(FT!B51&lt;&gt;"",FT!B51*100,"")</f>
        <v>21.015700000000002</v>
      </c>
      <c r="H51" s="61">
        <f t="shared" si="1"/>
        <v>1</v>
      </c>
      <c r="I51" t="str">
        <f>IF(FT!B51&lt;&gt;"",FT!E51,"")</f>
        <v>1 [19.904808]</v>
      </c>
      <c r="J51">
        <f>IF(FT!B51&lt;&gt;"",FT!C51,"")</f>
        <v>19.904800000000002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4.6995900000000006</v>
      </c>
      <c r="G52" s="61">
        <f>IF(FT!B52&lt;&gt;"",FT!B52*100,"")</f>
        <v>20.734500000000001</v>
      </c>
      <c r="H52" s="61">
        <f t="shared" si="1"/>
        <v>1</v>
      </c>
      <c r="I52" t="str">
        <f>IF(FT!B52&lt;&gt;"",FT!E52,"")</f>
        <v>1 [20.309946]</v>
      </c>
      <c r="J52">
        <f>IF(FT!B52&lt;&gt;"",FT!C52,"")</f>
        <v>20.309899999999999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4.7015200000000004</v>
      </c>
      <c r="G53" s="61">
        <f>IF(FT!B53&lt;&gt;"",FT!B53*100,"")</f>
        <v>20.502100000000002</v>
      </c>
      <c r="H53" s="61">
        <f t="shared" si="1"/>
        <v>1</v>
      </c>
      <c r="I53" t="str">
        <f>IF(FT!B53&lt;&gt;"",FT!E53,"")</f>
        <v>1 [20.717553]</v>
      </c>
      <c r="J53">
        <f>IF(FT!B53&lt;&gt;"",FT!C53,"")</f>
        <v>20.717600000000001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160612</v>
      </c>
      <c r="D54" s="61">
        <f>FH!B54*1</f>
        <v>160612</v>
      </c>
      <c r="E54">
        <f t="shared" si="3"/>
        <v>52</v>
      </c>
      <c r="F54" s="61">
        <f>IF(FT!A54&lt;&gt;"",FT!A54*10,"")</f>
        <v>4.7026500000000002</v>
      </c>
      <c r="G54" s="61">
        <f>IF(FT!B54&lt;&gt;"",FT!B54*100,"")</f>
        <v>20.344100000000001</v>
      </c>
      <c r="H54" s="61">
        <f t="shared" si="1"/>
        <v>1</v>
      </c>
      <c r="I54" t="str">
        <f>IF(FT!B54&lt;&gt;"",FT!E54,"")</f>
        <v>1 [21.124472]</v>
      </c>
      <c r="J54">
        <f>IF(FT!B54&lt;&gt;"",FT!C54,"")</f>
        <v>21.124500000000001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4.6992599999999998</v>
      </c>
      <c r="G55" s="61">
        <f>IF(FT!B55&lt;&gt;"",FT!B55*100,"")</f>
        <v>20.3338</v>
      </c>
      <c r="H55" s="61">
        <f t="shared" si="1"/>
        <v>1</v>
      </c>
      <c r="I55" t="str">
        <f>IF(FT!B55&lt;&gt;"",FT!E55,"")</f>
        <v>1 [21.529474]</v>
      </c>
      <c r="J55">
        <f>IF(FT!B55&lt;&gt;"",FT!C55,"")</f>
        <v>21.529499999999999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4.6958000000000002</v>
      </c>
      <c r="G56" s="61">
        <f>IF(FT!B56&lt;&gt;"",FT!B56*100,"")</f>
        <v>20.366199999999999</v>
      </c>
      <c r="H56" s="61">
        <f t="shared" si="1"/>
        <v>1</v>
      </c>
      <c r="I56" t="str">
        <f>IF(FT!B56&lt;&gt;"",FT!E56,"")</f>
        <v>1 [21.933921]</v>
      </c>
      <c r="J56">
        <f>IF(FT!B56&lt;&gt;"",FT!C56,"")</f>
        <v>21.933900000000001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162714</v>
      </c>
      <c r="D57" s="61">
        <f>FH!B57*1</f>
        <v>162714</v>
      </c>
      <c r="E57">
        <f t="shared" si="3"/>
        <v>55</v>
      </c>
      <c r="F57" s="61">
        <f>IF(FT!A57&lt;&gt;"",FT!A57*10,"")</f>
        <v>4.6938500000000003</v>
      </c>
      <c r="G57" s="61">
        <f>IF(FT!B57&lt;&gt;"",FT!B57*100,"")</f>
        <v>20.3871</v>
      </c>
      <c r="H57" s="61">
        <f t="shared" si="1"/>
        <v>1</v>
      </c>
      <c r="I57" t="str">
        <f>IF(FT!B57&lt;&gt;"",FT!E57,"")</f>
        <v>1 [22.344351]</v>
      </c>
      <c r="J57">
        <f>IF(FT!B57&lt;&gt;"",FT!C57,"")</f>
        <v>22.3444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4.6886400000000004</v>
      </c>
      <c r="G58" s="61">
        <f>IF(FT!B58&lt;&gt;"",FT!B58*100,"")</f>
        <v>20.535600000000002</v>
      </c>
      <c r="H58" s="61">
        <f t="shared" si="1"/>
        <v>1</v>
      </c>
      <c r="I58" t="str">
        <f>IF(FT!B58&lt;&gt;"",FT!E58,"")</f>
        <v>1 [22.750122]</v>
      </c>
      <c r="J58">
        <f>IF(FT!B58&lt;&gt;"",FT!C58,"")</f>
        <v>22.7501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176130</v>
      </c>
      <c r="D59" s="61">
        <f>FH!B59*1</f>
        <v>176130</v>
      </c>
      <c r="E59">
        <f t="shared" si="3"/>
        <v>57</v>
      </c>
      <c r="F59" s="61">
        <f>IF(FT!A59&lt;&gt;"",FT!A59*10,"")</f>
        <v>4.6795399999999994</v>
      </c>
      <c r="G59" s="61">
        <f>IF(FT!B59&lt;&gt;"",FT!B59*100,"")</f>
        <v>20.6693</v>
      </c>
      <c r="H59" s="61">
        <f t="shared" si="1"/>
        <v>1</v>
      </c>
      <c r="I59" t="str">
        <f>IF(FT!B59&lt;&gt;"",FT!E59,"")</f>
        <v>1 [23.156098]</v>
      </c>
      <c r="J59">
        <f>IF(FT!B59&lt;&gt;"",FT!C59,"")</f>
        <v>23.156099999999999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4.6742499999999998</v>
      </c>
      <c r="G60" s="61">
        <f>IF(FT!B60&lt;&gt;"",FT!B60*100,"")</f>
        <v>20.705200000000001</v>
      </c>
      <c r="H60" s="61">
        <f t="shared" si="1"/>
        <v>1</v>
      </c>
      <c r="I60" t="str">
        <f>IF(FT!B60&lt;&gt;"",FT!E60,"")</f>
        <v>1 [23.560963]</v>
      </c>
      <c r="J60">
        <f>IF(FT!B60&lt;&gt;"",FT!C60,"")</f>
        <v>23.561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4.6711299999999998</v>
      </c>
      <c r="G61" s="61">
        <f>IF(FT!B61&lt;&gt;"",FT!B61*100,"")</f>
        <v>20.702999999999999</v>
      </c>
      <c r="H61" s="61">
        <f t="shared" si="1"/>
        <v>1</v>
      </c>
      <c r="I61" t="str">
        <f>IF(FT!B61&lt;&gt;"",FT!E61,"")</f>
        <v>1 [23.961996]</v>
      </c>
      <c r="J61">
        <f>IF(FT!B61&lt;&gt;"",FT!C61,"")</f>
        <v>23.962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184667</v>
      </c>
      <c r="D62" s="61">
        <f>FH!B62*1</f>
        <v>184667</v>
      </c>
      <c r="E62">
        <f t="shared" si="3"/>
        <v>60</v>
      </c>
      <c r="F62" s="61">
        <f>IF(FT!A62&lt;&gt;"",FT!A62*10,"")</f>
        <v>4.6656899999999997</v>
      </c>
      <c r="G62" s="61">
        <f>IF(FT!B62&lt;&gt;"",FT!B62*100,"")</f>
        <v>20.799799999999998</v>
      </c>
      <c r="H62" s="61">
        <f t="shared" si="1"/>
        <v>1</v>
      </c>
      <c r="I62" t="str">
        <f>IF(FT!B62&lt;&gt;"",FT!E62,"")</f>
        <v>1 [24.371867]</v>
      </c>
      <c r="J62">
        <f>IF(FT!B62&lt;&gt;"",FT!C62,"")</f>
        <v>24.3719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4.6556699999999998</v>
      </c>
      <c r="G63" s="61">
        <f>IF(FT!B63&lt;&gt;"",FT!B63*100,"")</f>
        <v>21.0716</v>
      </c>
      <c r="H63" s="61">
        <f t="shared" si="1"/>
        <v>1</v>
      </c>
      <c r="I63" t="str">
        <f>IF(FT!B63&lt;&gt;"",FT!E63,"")</f>
        <v>1 [24.778675]</v>
      </c>
      <c r="J63">
        <f>IF(FT!B63&lt;&gt;"",FT!C63,"")</f>
        <v>24.778700000000001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203668</v>
      </c>
      <c r="D64" s="61">
        <f>FH!B64*1</f>
        <v>203668</v>
      </c>
      <c r="E64">
        <f t="shared" si="3"/>
        <v>62</v>
      </c>
      <c r="F64" s="61">
        <f>IF(FT!A64&lt;&gt;"",FT!A64*10,"")</f>
        <v>4.6489000000000003</v>
      </c>
      <c r="G64" s="61">
        <f>IF(FT!B64&lt;&gt;"",FT!B64*100,"")</f>
        <v>21.285799999999998</v>
      </c>
      <c r="H64" s="61">
        <f t="shared" si="1"/>
        <v>1</v>
      </c>
      <c r="I64" t="str">
        <f>IF(FT!B64&lt;&gt;"",FT!E64,"")</f>
        <v>1 [25.184739]</v>
      </c>
      <c r="J64">
        <f>IF(FT!B64&lt;&gt;"",FT!C64,"")</f>
        <v>25.184699999999999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4.6402299999999999</v>
      </c>
      <c r="G65" s="61">
        <f>IF(FT!B65&lt;&gt;"",FT!B65*100,"")</f>
        <v>21.6204</v>
      </c>
      <c r="H65" s="61">
        <f t="shared" si="1"/>
        <v>1</v>
      </c>
      <c r="I65" t="str">
        <f>IF(FT!B65&lt;&gt;"",FT!E65,"")</f>
        <v>1 [25.592576]</v>
      </c>
      <c r="J65">
        <f>IF(FT!B65&lt;&gt;"",FT!C65,"")</f>
        <v>25.592600000000001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4.6262799999999995</v>
      </c>
      <c r="G66" s="61">
        <f>IF(FT!B66&lt;&gt;"",FT!B66*100,"")</f>
        <v>22.0105</v>
      </c>
      <c r="H66" s="61">
        <f t="shared" si="1"/>
        <v>1</v>
      </c>
      <c r="I66" t="str">
        <f>IF(FT!B66&lt;&gt;"",FT!E66,"")</f>
        <v>1 [26.001406]</v>
      </c>
      <c r="J66">
        <f>IF(FT!B66&lt;&gt;"",FT!C66,"")</f>
        <v>26.0014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195507</v>
      </c>
      <c r="D67" s="61">
        <f>FH!B67*1</f>
        <v>195507</v>
      </c>
      <c r="E67">
        <f t="shared" si="3"/>
        <v>65</v>
      </c>
      <c r="F67" s="61">
        <f>IF(FT!A67&lt;&gt;"",FT!A67*10,"")</f>
        <v>4.6169200000000004</v>
      </c>
      <c r="G67" s="61">
        <f>IF(FT!B67&lt;&gt;"",FT!B67*100,"")</f>
        <v>22.263500000000001</v>
      </c>
      <c r="H67" s="61">
        <f t="shared" ref="H67:H130" si="9">(IF(F67&lt;&gt;"",1,""))</f>
        <v>1</v>
      </c>
      <c r="I67" t="str">
        <f>IF(FT!B67&lt;&gt;"",FT!E67,"")</f>
        <v>1 [26.403110]</v>
      </c>
      <c r="J67">
        <f>IF(FT!B67&lt;&gt;"",FT!C67,"")</f>
        <v>26.403099999999998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4.61029</v>
      </c>
      <c r="G68" s="61">
        <f>IF(FT!B68&lt;&gt;"",FT!B68*100,"")</f>
        <v>22.569400000000002</v>
      </c>
      <c r="H68" s="61">
        <f t="shared" si="9"/>
        <v>1</v>
      </c>
      <c r="I68" t="str">
        <f>IF(FT!B68&lt;&gt;"",FT!E68,"")</f>
        <v>1 [26.809016]</v>
      </c>
      <c r="J68">
        <f>IF(FT!B68&lt;&gt;"",FT!C68,"")</f>
        <v>26.809000000000001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209012</v>
      </c>
      <c r="D69" s="61">
        <f>FH!B69*1</f>
        <v>209012</v>
      </c>
      <c r="E69">
        <f t="shared" si="11"/>
        <v>67</v>
      </c>
      <c r="F69" s="61">
        <f>IF(FT!A69&lt;&gt;"",FT!A69*10,"")</f>
        <v>4.6057899999999998</v>
      </c>
      <c r="G69" s="61">
        <f>IF(FT!B69&lt;&gt;"",FT!B69*100,"")</f>
        <v>22.938300000000002</v>
      </c>
      <c r="H69" s="61">
        <f t="shared" si="9"/>
        <v>1</v>
      </c>
      <c r="I69" t="str">
        <f>IF(FT!B69&lt;&gt;"",FT!E69,"")</f>
        <v>1 [27.213029]</v>
      </c>
      <c r="J69">
        <f>IF(FT!B69&lt;&gt;"",FT!C69,"")</f>
        <v>27.213000000000001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4.6031199999999997</v>
      </c>
      <c r="G70" s="61">
        <f>IF(FT!B70&lt;&gt;"",FT!B70*100,"")</f>
        <v>23.3947</v>
      </c>
      <c r="H70" s="61">
        <f t="shared" si="9"/>
        <v>1</v>
      </c>
      <c r="I70" t="str">
        <f>IF(FT!B70&lt;&gt;"",FT!E70,"")</f>
        <v>1 [27.623900]</v>
      </c>
      <c r="J70">
        <f>IF(FT!B70&lt;&gt;"",FT!C70,"")</f>
        <v>27.623899999999999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4.6007899999999999</v>
      </c>
      <c r="G71" s="61">
        <f>IF(FT!B71&lt;&gt;"",FT!B71*100,"")</f>
        <v>23.8627</v>
      </c>
      <c r="H71" s="61">
        <f t="shared" si="9"/>
        <v>1</v>
      </c>
      <c r="I71" t="str">
        <f>IF(FT!B71&lt;&gt;"",FT!E71,"")</f>
        <v>1 [28.029257]</v>
      </c>
      <c r="J71">
        <f>IF(FT!B71&lt;&gt;"",FT!C71,"")</f>
        <v>28.029299999999999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225435</v>
      </c>
      <c r="D72" s="61">
        <f>FH!B72*1</f>
        <v>225435</v>
      </c>
      <c r="E72">
        <f t="shared" si="11"/>
        <v>70</v>
      </c>
      <c r="F72" s="61">
        <f>IF(FT!A72&lt;&gt;"",FT!A72*10,"")</f>
        <v>4.5987099999999996</v>
      </c>
      <c r="G72" s="61">
        <f>IF(FT!B72&lt;&gt;"",FT!B72*100,"")</f>
        <v>24.360200000000003</v>
      </c>
      <c r="H72" s="61">
        <f t="shared" si="9"/>
        <v>1</v>
      </c>
      <c r="I72" t="str">
        <f>IF(FT!B72&lt;&gt;"",FT!E72,"")</f>
        <v>1 [28.434977]</v>
      </c>
      <c r="J72">
        <f>IF(FT!B72&lt;&gt;"",FT!C72,"")</f>
        <v>28.434999999999999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4.5972</v>
      </c>
      <c r="G73" s="61">
        <f>IF(FT!B73&lt;&gt;"",FT!B73*100,"")</f>
        <v>24.9665</v>
      </c>
      <c r="H73" s="61">
        <f t="shared" si="9"/>
        <v>1</v>
      </c>
      <c r="I73" t="str">
        <f>IF(FT!B73&lt;&gt;"",FT!E73,"")</f>
        <v>1 [28.836592]</v>
      </c>
      <c r="J73">
        <f>IF(FT!B73&lt;&gt;"",FT!C73,"")</f>
        <v>28.836600000000001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4.5967599999999997</v>
      </c>
      <c r="G74" s="61">
        <f>IF(FT!B74&lt;&gt;"",FT!B74*100,"")</f>
        <v>25.585000000000001</v>
      </c>
      <c r="H74" s="61">
        <f t="shared" si="9"/>
        <v>1</v>
      </c>
      <c r="I74" t="str">
        <f>IF(FT!B74&lt;&gt;"",FT!E74,"")</f>
        <v>1 [29.247053]</v>
      </c>
      <c r="J74">
        <f>IF(FT!B74&lt;&gt;"",FT!C74,"")</f>
        <v>29.2471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247459</v>
      </c>
      <c r="D75" s="61">
        <f>FH!B75*1</f>
        <v>247459</v>
      </c>
      <c r="E75">
        <f t="shared" si="11"/>
        <v>73</v>
      </c>
      <c r="F75" s="61">
        <f>IF(FT!A75&lt;&gt;"",FT!A75*10,"")</f>
        <v>4.5979599999999996</v>
      </c>
      <c r="G75" s="61">
        <f>IF(FT!B75&lt;&gt;"",FT!B75*100,"")</f>
        <v>26.349899999999998</v>
      </c>
      <c r="H75" s="61">
        <f t="shared" si="9"/>
        <v>1</v>
      </c>
      <c r="I75" t="str">
        <f>IF(FT!B75&lt;&gt;"",FT!E75,"")</f>
        <v>1 [29.657738]</v>
      </c>
      <c r="J75">
        <f>IF(FT!B75&lt;&gt;"",FT!C75,"")</f>
        <v>29.657699999999998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4.5967599999999997</v>
      </c>
      <c r="G76" s="61">
        <f>IF(FT!B76&lt;&gt;"",FT!B76*100,"")</f>
        <v>26.991199999999999</v>
      </c>
      <c r="H76" s="61">
        <f t="shared" si="9"/>
        <v>1</v>
      </c>
      <c r="I76" t="str">
        <f>IF(FT!B76&lt;&gt;"",FT!E76,"")</f>
        <v>2 [30.062594]</v>
      </c>
      <c r="J76">
        <f>IF(FT!B76&lt;&gt;"",FT!C76,"")</f>
        <v>30.0626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259791</v>
      </c>
      <c r="D77" s="61">
        <f>FH!B77*1</f>
        <v>259791</v>
      </c>
      <c r="E77">
        <f t="shared" si="11"/>
        <v>75</v>
      </c>
      <c r="F77" s="61">
        <f>IF(FT!A77&lt;&gt;"",FT!A77*10,"")</f>
        <v>4.5984499999999997</v>
      </c>
      <c r="G77" s="61">
        <f>IF(FT!B77&lt;&gt;"",FT!B77*100,"")</f>
        <v>27.569700000000001</v>
      </c>
      <c r="H77" s="61">
        <f t="shared" si="9"/>
        <v>1</v>
      </c>
      <c r="I77" t="str">
        <f>IF(FT!B77&lt;&gt;"",FT!E77,"")</f>
        <v>2 [30.564246]</v>
      </c>
      <c r="J77">
        <f>IF(FT!B77&lt;&gt;"",FT!C77,"")</f>
        <v>30.5642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4.6052400000000002</v>
      </c>
      <c r="G78" s="61">
        <f>IF(FT!B78&lt;&gt;"",FT!B78*100,"")</f>
        <v>28.069199999999999</v>
      </c>
      <c r="H78" s="61">
        <f t="shared" si="9"/>
        <v>1</v>
      </c>
      <c r="I78" t="str">
        <f>IF(FT!B78&lt;&gt;"",FT!E78,"")</f>
        <v>2 [30.936252]</v>
      </c>
      <c r="J78">
        <f>IF(FT!B78&lt;&gt;"",FT!C78,"")</f>
        <v>30.936299999999999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4.6179300000000003</v>
      </c>
      <c r="G79" s="61">
        <f>IF(FT!B79&lt;&gt;"",FT!B79*100,"")</f>
        <v>28.482299999999999</v>
      </c>
      <c r="H79" s="61">
        <f t="shared" si="9"/>
        <v>1</v>
      </c>
      <c r="I79" t="str">
        <f>IF(FT!B79&lt;&gt;"",FT!E79,"")</f>
        <v>2 [31.330198]</v>
      </c>
      <c r="J79">
        <f>IF(FT!B79&lt;&gt;"",FT!C79,"")</f>
        <v>31.330200000000001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259382</v>
      </c>
      <c r="D80" s="61">
        <f>FH!B80*1</f>
        <v>259382</v>
      </c>
      <c r="E80">
        <f t="shared" si="11"/>
        <v>78</v>
      </c>
      <c r="F80" s="61">
        <f>IF(FT!A80&lt;&gt;"",FT!A80*10,"")</f>
        <v>4.6350199999999999</v>
      </c>
      <c r="G80" s="61">
        <f>IF(FT!B80&lt;&gt;"",FT!B80*100,"")</f>
        <v>28.796699999999998</v>
      </c>
      <c r="H80" s="61">
        <f t="shared" si="9"/>
        <v>1</v>
      </c>
      <c r="I80" t="str">
        <f>IF(FT!B80&lt;&gt;"",FT!E80,"")</f>
        <v>2 [31.733072]</v>
      </c>
      <c r="J80">
        <f>IF(FT!B80&lt;&gt;"",FT!C80,"")</f>
        <v>31.7331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4.6568900000000006</v>
      </c>
      <c r="G81" s="61">
        <f>IF(FT!B81&lt;&gt;"",FT!B81*100,"")</f>
        <v>28.943100000000001</v>
      </c>
      <c r="H81" s="61">
        <f t="shared" si="9"/>
        <v>1</v>
      </c>
      <c r="I81" t="str">
        <f>IF(FT!B81&lt;&gt;"",FT!E81,"")</f>
        <v>2 [32.139087]</v>
      </c>
      <c r="J81">
        <f>IF(FT!B81&lt;&gt;"",FT!C81,"")</f>
        <v>32.139099999999999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257338</v>
      </c>
      <c r="D82" s="61">
        <f>FH!B82*1</f>
        <v>257338</v>
      </c>
      <c r="E82">
        <f t="shared" si="11"/>
        <v>80</v>
      </c>
      <c r="F82" s="61">
        <f>IF(FT!A82&lt;&gt;"",FT!A82*10,"")</f>
        <v>4.6786399999999997</v>
      </c>
      <c r="G82" s="61">
        <f>IF(FT!B82&lt;&gt;"",FT!B82*100,"")</f>
        <v>29.023199999999999</v>
      </c>
      <c r="H82" s="61">
        <f t="shared" si="9"/>
        <v>1</v>
      </c>
      <c r="I82" t="str">
        <f>IF(FT!B82&lt;&gt;"",FT!E82,"")</f>
        <v>2 [32.550949]</v>
      </c>
      <c r="J82">
        <f>IF(FT!B82&lt;&gt;"",FT!C82,"")</f>
        <v>32.550899999999999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4.7027799999999997</v>
      </c>
      <c r="G83" s="61">
        <f>IF(FT!B83&lt;&gt;"",FT!B83*100,"")</f>
        <v>29.099799999999998</v>
      </c>
      <c r="H83" s="61">
        <f t="shared" si="9"/>
        <v>1</v>
      </c>
      <c r="I83" t="str">
        <f>IF(FT!B83&lt;&gt;"",FT!E83,"")</f>
        <v>2 [32.948863]</v>
      </c>
      <c r="J83">
        <f>IF(FT!B83&lt;&gt;"",FT!C83,"")</f>
        <v>32.948900000000002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4.7282200000000003</v>
      </c>
      <c r="G84" s="61">
        <f>IF(FT!B84&lt;&gt;"",FT!B84*100,"")</f>
        <v>29.1798</v>
      </c>
      <c r="H84" s="61">
        <f t="shared" si="9"/>
        <v>1</v>
      </c>
      <c r="I84" t="str">
        <f>IF(FT!B84&lt;&gt;"",FT!E84,"")</f>
        <v>2 [33.357905]</v>
      </c>
      <c r="J84">
        <f>IF(FT!B84&lt;&gt;"",FT!C84,"")</f>
        <v>33.357900000000001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274425</v>
      </c>
      <c r="D85" s="61">
        <f>FH!B85*1</f>
        <v>274425</v>
      </c>
      <c r="E85">
        <f t="shared" si="11"/>
        <v>83</v>
      </c>
      <c r="F85" s="61">
        <f>IF(FT!A85&lt;&gt;"",FT!A85*10,"")</f>
        <v>4.7533700000000003</v>
      </c>
      <c r="G85" s="61">
        <f>IF(FT!B85&lt;&gt;"",FT!B85*100,"")</f>
        <v>29.2471</v>
      </c>
      <c r="H85" s="61">
        <f t="shared" si="9"/>
        <v>1</v>
      </c>
      <c r="I85" t="str">
        <f>IF(FT!B85&lt;&gt;"",FT!E85,"")</f>
        <v>2 [33.761802]</v>
      </c>
      <c r="J85">
        <f>IF(FT!B85&lt;&gt;"",FT!C85,"")</f>
        <v>33.761800000000001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4.7792300000000001</v>
      </c>
      <c r="G86" s="61">
        <f>IF(FT!B86&lt;&gt;"",FT!B86*100,"")</f>
        <v>29.293400000000002</v>
      </c>
      <c r="H86" s="61">
        <f t="shared" si="9"/>
        <v>1</v>
      </c>
      <c r="I86" t="str">
        <f>IF(FT!B86&lt;&gt;"",FT!E86,"")</f>
        <v>2 [34.169547]</v>
      </c>
      <c r="J86">
        <f>IF(FT!B86&lt;&gt;"",FT!C86,"")</f>
        <v>34.169499999999999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4.8067299999999999</v>
      </c>
      <c r="G87" s="61">
        <f>IF(FT!B87&lt;&gt;"",FT!B87*100,"")</f>
        <v>29.3201</v>
      </c>
      <c r="H87" s="61">
        <f t="shared" si="9"/>
        <v>1</v>
      </c>
      <c r="I87" t="str">
        <f>IF(FT!B87&lt;&gt;"",FT!E87,"")</f>
        <v>2 [34.573752]</v>
      </c>
      <c r="J87">
        <f>IF(FT!B87&lt;&gt;"",FT!C87,"")</f>
        <v>34.573799999999999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274714</v>
      </c>
      <c r="D88" s="61">
        <f>FH!B88*1</f>
        <v>274714</v>
      </c>
      <c r="E88">
        <f t="shared" si="11"/>
        <v>86</v>
      </c>
      <c r="F88" s="61">
        <f>IF(FT!A88&lt;&gt;"",FT!A88*10,"")</f>
        <v>4.8358299999999996</v>
      </c>
      <c r="G88" s="61">
        <f>IF(FT!B88&lt;&gt;"",FT!B88*100,"")</f>
        <v>29.317</v>
      </c>
      <c r="H88" s="61">
        <f t="shared" si="9"/>
        <v>1</v>
      </c>
      <c r="I88" t="str">
        <f>IF(FT!B88&lt;&gt;"",FT!E88,"")</f>
        <v>2 [34.979466]</v>
      </c>
      <c r="J88">
        <f>IF(FT!B88&lt;&gt;"",FT!C88,"")</f>
        <v>34.979500000000002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4.8623799999999999</v>
      </c>
      <c r="G89" s="61">
        <f>IF(FT!B89&lt;&gt;"",FT!B89*100,"")</f>
        <v>29.360500000000002</v>
      </c>
      <c r="H89" s="61">
        <f t="shared" si="9"/>
        <v>1</v>
      </c>
      <c r="I89" t="str">
        <f>IF(FT!B89&lt;&gt;"",FT!E89,"")</f>
        <v>2 [35.387623]</v>
      </c>
      <c r="J89">
        <f>IF(FT!B89&lt;&gt;"",FT!C89,"")</f>
        <v>35.387599999999999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273234</v>
      </c>
      <c r="D90" s="61">
        <f>FH!B90*1</f>
        <v>273234</v>
      </c>
      <c r="E90">
        <f t="shared" si="11"/>
        <v>88</v>
      </c>
      <c r="F90" s="61">
        <f>IF(FT!A90&lt;&gt;"",FT!A90*10,"")</f>
        <v>4.8849999999999998</v>
      </c>
      <c r="G90" s="61">
        <f>IF(FT!B90&lt;&gt;"",FT!B90*100,"")</f>
        <v>29.490699999999997</v>
      </c>
      <c r="H90" s="61">
        <f t="shared" si="9"/>
        <v>1</v>
      </c>
      <c r="I90" t="str">
        <f>IF(FT!B90&lt;&gt;"",FT!E90,"")</f>
        <v>2 [35.796233]</v>
      </c>
      <c r="J90">
        <f>IF(FT!B90&lt;&gt;"",FT!C90,"")</f>
        <v>35.796199999999999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4.9049100000000001</v>
      </c>
      <c r="G91" s="61">
        <f>IF(FT!B91&lt;&gt;"",FT!B91*100,"")</f>
        <v>29.679299999999998</v>
      </c>
      <c r="H91" s="61">
        <f t="shared" si="9"/>
        <v>1</v>
      </c>
      <c r="I91" t="str">
        <f>IF(FT!B91&lt;&gt;"",FT!E91,"")</f>
        <v>2 [36.197544]</v>
      </c>
      <c r="J91">
        <f>IF(FT!B91&lt;&gt;"",FT!C91,"")</f>
        <v>36.197499999999998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4.9226399999999995</v>
      </c>
      <c r="G92" s="61">
        <f>IF(FT!B92&lt;&gt;"",FT!B92*100,"")</f>
        <v>29.839600000000001</v>
      </c>
      <c r="H92" s="61">
        <f t="shared" si="9"/>
        <v>1</v>
      </c>
      <c r="I92" t="str">
        <f>IF(FT!B92&lt;&gt;"",FT!E92,"")</f>
        <v>2 [36.603400]</v>
      </c>
      <c r="J92">
        <f>IF(FT!B92&lt;&gt;"",FT!C92,"")</f>
        <v>36.603400000000001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301598</v>
      </c>
      <c r="D93" s="61">
        <f>FH!B93*1</f>
        <v>301598</v>
      </c>
      <c r="E93">
        <f t="shared" si="11"/>
        <v>91</v>
      </c>
      <c r="F93" s="61">
        <f>IF(FT!A93&lt;&gt;"",FT!A93*10,"")</f>
        <v>4.9375099999999996</v>
      </c>
      <c r="G93" s="61">
        <f>IF(FT!B93&lt;&gt;"",FT!B93*100,"")</f>
        <v>29.982300000000002</v>
      </c>
      <c r="H93" s="61">
        <f t="shared" si="9"/>
        <v>1</v>
      </c>
      <c r="I93" t="str">
        <f>IF(FT!B93&lt;&gt;"",FT!E93,"")</f>
        <v>2 [37.014110]</v>
      </c>
      <c r="J93">
        <f>IF(FT!B93&lt;&gt;"",FT!C93,"")</f>
        <v>37.014099999999999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4.94834</v>
      </c>
      <c r="G94" s="61">
        <f>IF(FT!B94&lt;&gt;"",FT!B94*100,"")</f>
        <v>30.115599999999997</v>
      </c>
      <c r="H94" s="61">
        <f t="shared" si="9"/>
        <v>1</v>
      </c>
      <c r="I94" t="str">
        <f>IF(FT!B94&lt;&gt;"",FT!E94,"")</f>
        <v>2 [37.417930]</v>
      </c>
      <c r="J94">
        <f>IF(FT!B94&lt;&gt;"",FT!C94,"")</f>
        <v>37.417900000000003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290934</v>
      </c>
      <c r="D95" s="61">
        <f>FH!B95*1</f>
        <v>290934</v>
      </c>
      <c r="E95">
        <f t="shared" si="11"/>
        <v>93</v>
      </c>
      <c r="F95" s="61">
        <f>IF(FT!A95&lt;&gt;"",FT!A95*10,"")</f>
        <v>4.9553199999999995</v>
      </c>
      <c r="G95" s="61">
        <f>IF(FT!B95&lt;&gt;"",FT!B95*100,"")</f>
        <v>30.2209</v>
      </c>
      <c r="H95" s="61">
        <f t="shared" si="9"/>
        <v>1</v>
      </c>
      <c r="I95" t="str">
        <f>IF(FT!B95&lt;&gt;"",FT!E95,"")</f>
        <v>2 [37.826135]</v>
      </c>
      <c r="J95">
        <f>IF(FT!B95&lt;&gt;"",FT!C95,"")</f>
        <v>37.826099999999997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4.9585400000000002</v>
      </c>
      <c r="G96" s="61">
        <f>IF(FT!B96&lt;&gt;"",FT!B96*100,"")</f>
        <v>30.341200000000001</v>
      </c>
      <c r="H96" s="61">
        <f t="shared" si="9"/>
        <v>1</v>
      </c>
      <c r="I96" t="str">
        <f>IF(FT!B96&lt;&gt;"",FT!E96,"")</f>
        <v>2 [38.231768]</v>
      </c>
      <c r="J96">
        <f>IF(FT!B96&lt;&gt;"",FT!C96,"")</f>
        <v>38.2318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4.9603199999999994</v>
      </c>
      <c r="G97" s="61">
        <f>IF(FT!B97&lt;&gt;"",FT!B97*100,"")</f>
        <v>30.4741</v>
      </c>
      <c r="H97" s="61">
        <f t="shared" si="9"/>
        <v>1</v>
      </c>
      <c r="I97" t="str">
        <f>IF(FT!B97&lt;&gt;"",FT!E97,"")</f>
        <v>2 [38.636643]</v>
      </c>
      <c r="J97">
        <f>IF(FT!B97&lt;&gt;"",FT!C97,"")</f>
        <v>38.636600000000001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293529</v>
      </c>
      <c r="D98" s="61">
        <f>FH!B98*1</f>
        <v>293529</v>
      </c>
      <c r="E98">
        <f t="shared" si="11"/>
        <v>96</v>
      </c>
      <c r="F98" s="61">
        <f>IF(FT!A98&lt;&gt;"",FT!A98*10,"")</f>
        <v>4.9594100000000001</v>
      </c>
      <c r="G98" s="61">
        <f>IF(FT!B98&lt;&gt;"",FT!B98*100,"")</f>
        <v>30.554199999999998</v>
      </c>
      <c r="H98" s="61">
        <f t="shared" si="9"/>
        <v>1</v>
      </c>
      <c r="I98" t="str">
        <f>IF(FT!B98&lt;&gt;"",FT!E98,"")</f>
        <v>2 [39.046637]</v>
      </c>
      <c r="J98">
        <f>IF(FT!B98&lt;&gt;"",FT!C98,"")</f>
        <v>39.046599999999998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4.9547499999999998</v>
      </c>
      <c r="G99" s="61">
        <f>IF(FT!B99&lt;&gt;"",FT!B99*100,"")</f>
        <v>30.5519</v>
      </c>
      <c r="H99" s="61">
        <f t="shared" si="9"/>
        <v>1</v>
      </c>
      <c r="I99" t="str">
        <f>IF(FT!B99&lt;&gt;"",FT!E99,"")</f>
        <v>2 [39.453509]</v>
      </c>
      <c r="J99">
        <f>IF(FT!B99&lt;&gt;"",FT!C99,"")</f>
        <v>39.453499999999998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294893</v>
      </c>
      <c r="D100" s="61">
        <f>FH!B100*1</f>
        <v>294893</v>
      </c>
      <c r="E100">
        <f t="shared" si="11"/>
        <v>98</v>
      </c>
      <c r="F100" s="61">
        <f>IF(FT!A100&lt;&gt;"",FT!A100*10,"")</f>
        <v>4.9484699999999995</v>
      </c>
      <c r="G100" s="61">
        <f>IF(FT!B100&lt;&gt;"",FT!B100*100,"")</f>
        <v>30.492100000000001</v>
      </c>
      <c r="H100" s="61">
        <f t="shared" si="9"/>
        <v>1</v>
      </c>
      <c r="I100" t="str">
        <f>IF(FT!B100&lt;&gt;"",FT!E100,"")</f>
        <v>2 [39.858412]</v>
      </c>
      <c r="J100">
        <f>IF(FT!B100&lt;&gt;"",FT!C100,"")</f>
        <v>39.858400000000003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4.94055</v>
      </c>
      <c r="G101" s="61">
        <f>IF(FT!B101&lt;&gt;"",FT!B101*100,"")</f>
        <v>30.365500000000001</v>
      </c>
      <c r="H101" s="61">
        <f t="shared" si="9"/>
        <v>1</v>
      </c>
      <c r="I101" t="str">
        <f>IF(FT!B101&lt;&gt;"",FT!E101,"")</f>
        <v>2 [40.263340]</v>
      </c>
      <c r="J101">
        <f>IF(FT!B101&lt;&gt;"",FT!C101,"")</f>
        <v>40.263300000000001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4.9279099999999998</v>
      </c>
      <c r="G102" s="61">
        <f>IF(FT!B102&lt;&gt;"",FT!B102*100,"")</f>
        <v>30.1387</v>
      </c>
      <c r="H102" s="61">
        <f t="shared" si="9"/>
        <v>1</v>
      </c>
      <c r="I102" t="str">
        <f>IF(FT!B102&lt;&gt;"",FT!E102,"")</f>
        <v>2 [40.672511]</v>
      </c>
      <c r="J102">
        <f>IF(FT!B102&lt;&gt;"",FT!C102,"")</f>
        <v>40.672499999999999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265473</v>
      </c>
      <c r="D103" s="61">
        <f>FH!B103*1</f>
        <v>265473</v>
      </c>
      <c r="E103">
        <f t="shared" si="11"/>
        <v>101</v>
      </c>
      <c r="F103" s="61">
        <f>IF(FT!A103&lt;&gt;"",FT!A103*10,"")</f>
        <v>4.9101999999999997</v>
      </c>
      <c r="G103" s="61">
        <f>IF(FT!B103&lt;&gt;"",FT!B103*100,"")</f>
        <v>29.856400000000001</v>
      </c>
      <c r="H103" s="61">
        <f t="shared" si="9"/>
        <v>1</v>
      </c>
      <c r="I103" t="str">
        <f>IF(FT!B103&lt;&gt;"",FT!E103,"")</f>
        <v>2 [41.078108]</v>
      </c>
      <c r="J103">
        <f>IF(FT!B103&lt;&gt;"",FT!C103,"")</f>
        <v>41.078099999999999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4.8887199999999993</v>
      </c>
      <c r="G104" s="61">
        <f>IF(FT!B104&lt;&gt;"",FT!B104*100,"")</f>
        <v>29.546400000000002</v>
      </c>
      <c r="H104" s="61">
        <f t="shared" si="9"/>
        <v>1</v>
      </c>
      <c r="I104" t="str">
        <f>IF(FT!B104&lt;&gt;"",FT!E104,"")</f>
        <v>2 [41.485261]</v>
      </c>
      <c r="J104">
        <f>IF(FT!B104&lt;&gt;"",FT!C104,"")</f>
        <v>41.485300000000002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4.8630499999999994</v>
      </c>
      <c r="G105" s="61">
        <f>IF(FT!B105&lt;&gt;"",FT!B105*100,"")</f>
        <v>29.271699999999999</v>
      </c>
      <c r="H105" s="61">
        <f t="shared" si="9"/>
        <v>1</v>
      </c>
      <c r="I105" t="str">
        <f>IF(FT!B105&lt;&gt;"",FT!E105,"")</f>
        <v>2 [41.889983]</v>
      </c>
      <c r="J105">
        <f>IF(FT!B105&lt;&gt;"",FT!C105,"")</f>
        <v>41.89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247032</v>
      </c>
      <c r="D106" s="61">
        <f>FH!B106*1</f>
        <v>247032</v>
      </c>
      <c r="E106">
        <f t="shared" si="11"/>
        <v>104</v>
      </c>
      <c r="F106" s="61">
        <f>IF(FT!A106&lt;&gt;"",FT!A106*10,"")</f>
        <v>4.8323900000000002</v>
      </c>
      <c r="G106" s="61">
        <f>IF(FT!B106&lt;&gt;"",FT!B106*100,"")</f>
        <v>29.101700000000001</v>
      </c>
      <c r="H106" s="61">
        <f t="shared" si="9"/>
        <v>1</v>
      </c>
      <c r="I106" t="str">
        <f>IF(FT!B106&lt;&gt;"",FT!E106,"")</f>
        <v>2 [42.296956]</v>
      </c>
      <c r="J106">
        <f>IF(FT!B106&lt;&gt;"",FT!C106,"")</f>
        <v>42.296999999999997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4.79948</v>
      </c>
      <c r="G107" s="61">
        <f>IF(FT!B107&lt;&gt;"",FT!B107*100,"")</f>
        <v>29.000799999999998</v>
      </c>
      <c r="H107" s="61">
        <f t="shared" si="9"/>
        <v>1</v>
      </c>
      <c r="I107" t="str">
        <f>IF(FT!B107&lt;&gt;"",FT!E107,"")</f>
        <v>2 [42.698761]</v>
      </c>
      <c r="J107">
        <f>IF(FT!B107&lt;&gt;"",FT!C107,"")</f>
        <v>42.698799999999999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235769</v>
      </c>
      <c r="D108" s="61">
        <f>FH!B108*1</f>
        <v>235769</v>
      </c>
      <c r="E108">
        <f t="shared" si="11"/>
        <v>106</v>
      </c>
      <c r="F108" s="61">
        <f>IF(FT!A108&lt;&gt;"",FT!A108*10,"")</f>
        <v>4.7623999999999995</v>
      </c>
      <c r="G108" s="61">
        <f>IF(FT!B108&lt;&gt;"",FT!B108*100,"")</f>
        <v>28.932099999999998</v>
      </c>
      <c r="H108" s="61">
        <f t="shared" si="9"/>
        <v>1</v>
      </c>
      <c r="I108" t="str">
        <f>IF(FT!B108&lt;&gt;"",FT!E108,"")</f>
        <v>2 [43.107716]</v>
      </c>
      <c r="J108">
        <f>IF(FT!B108&lt;&gt;"",FT!C108,"")</f>
        <v>43.107700000000001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4.7208699999999997</v>
      </c>
      <c r="G109" s="61">
        <f>IF(FT!B109&lt;&gt;"",FT!B109*100,"")</f>
        <v>28.966399999999997</v>
      </c>
      <c r="H109" s="61">
        <f t="shared" si="9"/>
        <v>1</v>
      </c>
      <c r="I109" t="str">
        <f>IF(FT!B109&lt;&gt;"",FT!E109,"")</f>
        <v>2 [43.514586]</v>
      </c>
      <c r="J109">
        <f>IF(FT!B109&lt;&gt;"",FT!C109,"")</f>
        <v>43.514600000000002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4.67598</v>
      </c>
      <c r="G110" s="61">
        <f>IF(FT!B110&lt;&gt;"",FT!B110*100,"")</f>
        <v>29.083199999999998</v>
      </c>
      <c r="H110" s="61">
        <f t="shared" si="9"/>
        <v>1</v>
      </c>
      <c r="I110" t="str">
        <f>IF(FT!B110&lt;&gt;"",FT!E110,"")</f>
        <v>2 [43.916529]</v>
      </c>
      <c r="J110">
        <f>IF(FT!B110&lt;&gt;"",FT!C110,"")</f>
        <v>43.916499999999999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246467</v>
      </c>
      <c r="D111" s="61">
        <f>FH!B111*1</f>
        <v>246467</v>
      </c>
      <c r="E111">
        <f t="shared" si="11"/>
        <v>109</v>
      </c>
      <c r="F111" s="61">
        <f>IF(FT!A111&lt;&gt;"",FT!A111*10,"")</f>
        <v>4.62554</v>
      </c>
      <c r="G111" s="61">
        <f>IF(FT!B111&lt;&gt;"",FT!B111*100,"")</f>
        <v>29.394399999999997</v>
      </c>
      <c r="H111" s="61">
        <f t="shared" si="9"/>
        <v>1</v>
      </c>
      <c r="I111" t="str">
        <f>IF(FT!B111&lt;&gt;"",FT!E111,"")</f>
        <v>2 [44.326794]</v>
      </c>
      <c r="J111">
        <f>IF(FT!B111&lt;&gt;"",FT!C111,"")</f>
        <v>44.326799999999999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4.57118</v>
      </c>
      <c r="G112" s="61">
        <f>IF(FT!B112&lt;&gt;"",FT!B112*100,"")</f>
        <v>29.8871</v>
      </c>
      <c r="H112" s="61">
        <f t="shared" si="9"/>
        <v>1</v>
      </c>
      <c r="I112" t="str">
        <f>IF(FT!B112&lt;&gt;"",FT!E112,"")</f>
        <v>2 [44.731334]</v>
      </c>
      <c r="J112">
        <f>IF(FT!B112&lt;&gt;"",FT!C112,"")</f>
        <v>44.731299999999997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229766</v>
      </c>
      <c r="D113" s="61">
        <f>FH!B113*1</f>
        <v>229766</v>
      </c>
      <c r="E113">
        <f t="shared" si="11"/>
        <v>111</v>
      </c>
      <c r="F113" s="61">
        <f>IF(FT!A113&lt;&gt;"",FT!A113*10,"")</f>
        <v>4.5130400000000002</v>
      </c>
      <c r="G113" s="61">
        <f>IF(FT!B113&lt;&gt;"",FT!B113*100,"")</f>
        <v>30.521799999999999</v>
      </c>
      <c r="H113" s="61">
        <f t="shared" si="9"/>
        <v>1</v>
      </c>
      <c r="I113" t="str">
        <f>IF(FT!B113&lt;&gt;"",FT!E113,"")</f>
        <v>2 [45.134340]</v>
      </c>
      <c r="J113">
        <f>IF(FT!B113&lt;&gt;"",FT!C113,"")</f>
        <v>45.134300000000003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4.45261</v>
      </c>
      <c r="G114" s="61">
        <f>IF(FT!B114&lt;&gt;"",FT!B114*100,"")</f>
        <v>31.225199999999997</v>
      </c>
      <c r="H114" s="61">
        <f t="shared" si="9"/>
        <v>1</v>
      </c>
      <c r="I114" t="str">
        <f>IF(FT!B114&lt;&gt;"",FT!E114,"")</f>
        <v>2 [45.545365]</v>
      </c>
      <c r="J114">
        <f>IF(FT!B114&lt;&gt;"",FT!C114,"")</f>
        <v>45.545400000000001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4.3938199999999998</v>
      </c>
      <c r="G115" s="61">
        <f>IF(FT!B115&lt;&gt;"",FT!B115*100,"")</f>
        <v>31.961200000000002</v>
      </c>
      <c r="H115" s="61">
        <f t="shared" si="9"/>
        <v>1</v>
      </c>
      <c r="I115" t="str">
        <f>IF(FT!B115&lt;&gt;"",FT!E115,"")</f>
        <v>2 [45.951144]</v>
      </c>
      <c r="J115">
        <f>IF(FT!B115&lt;&gt;"",FT!C115,"")</f>
        <v>45.951099999999997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222142</v>
      </c>
      <c r="D116" s="61">
        <f>FH!B116*1</f>
        <v>222142</v>
      </c>
      <c r="E116">
        <f t="shared" si="11"/>
        <v>114</v>
      </c>
      <c r="F116" s="61">
        <f>IF(FT!A116&lt;&gt;"",FT!A116*10,"")</f>
        <v>4.3375900000000005</v>
      </c>
      <c r="G116" s="61">
        <f>IF(FT!B116&lt;&gt;"",FT!B116*100,"")</f>
        <v>32.629100000000001</v>
      </c>
      <c r="H116" s="61">
        <f t="shared" si="9"/>
        <v>1</v>
      </c>
      <c r="I116" t="str">
        <f>IF(FT!B116&lt;&gt;"",FT!E116,"")</f>
        <v>2 [46.357131]</v>
      </c>
      <c r="J116">
        <f>IF(FT!B116&lt;&gt;"",FT!C116,"")</f>
        <v>46.357100000000003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4.2806600000000001</v>
      </c>
      <c r="G117" s="61">
        <f>IF(FT!B117&lt;&gt;"",FT!B117*100,"")</f>
        <v>33.392200000000003</v>
      </c>
      <c r="H117" s="61">
        <f t="shared" si="9"/>
        <v>1</v>
      </c>
      <c r="I117" t="str">
        <f>IF(FT!B117&lt;&gt;"",FT!E117,"")</f>
        <v>2 [46.760004]</v>
      </c>
      <c r="J117">
        <f>IF(FT!B117&lt;&gt;"",FT!C117,"")</f>
        <v>46.76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234528</v>
      </c>
      <c r="D118" s="61">
        <f>FH!B118*1</f>
        <v>234528</v>
      </c>
      <c r="E118">
        <f t="shared" si="11"/>
        <v>116</v>
      </c>
      <c r="F118" s="61">
        <f>IF(FT!A118&lt;&gt;"",FT!A118*10,"")</f>
        <v>4.22377</v>
      </c>
      <c r="G118" s="61">
        <f>IF(FT!B118&lt;&gt;"",FT!B118*100,"")</f>
        <v>34.3003</v>
      </c>
      <c r="H118" s="61">
        <f t="shared" si="9"/>
        <v>1</v>
      </c>
      <c r="I118" t="str">
        <f>IF(FT!B118&lt;&gt;"",FT!E118,"")</f>
        <v>2 [47.167977]</v>
      </c>
      <c r="J118">
        <f>IF(FT!B118&lt;&gt;"",FT!C118,"")</f>
        <v>47.167999999999999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4.1701600000000001</v>
      </c>
      <c r="G119" s="61">
        <f>IF(FT!B119&lt;&gt;"",FT!B119*100,"")</f>
        <v>35.086800000000004</v>
      </c>
      <c r="H119" s="61">
        <f t="shared" si="9"/>
        <v>1</v>
      </c>
      <c r="I119" t="str">
        <f>IF(FT!B119&lt;&gt;"",FT!E119,"")</f>
        <v>2 [47.574751]</v>
      </c>
      <c r="J119">
        <f>IF(FT!B119&lt;&gt;"",FT!C119,"")</f>
        <v>47.574800000000003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4.1196299999999999</v>
      </c>
      <c r="G120" s="61">
        <f>IF(FT!B120&lt;&gt;"",FT!B120*100,"")</f>
        <v>35.774299999999997</v>
      </c>
      <c r="H120" s="61">
        <f t="shared" si="9"/>
        <v>1</v>
      </c>
      <c r="I120" t="str">
        <f>IF(FT!B120&lt;&gt;"",FT!E120,"")</f>
        <v>2 [47.980660]</v>
      </c>
      <c r="J120">
        <f>IF(FT!B120&lt;&gt;"",FT!C120,"")</f>
        <v>47.980699999999999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235313</v>
      </c>
      <c r="D121" s="61">
        <f>FH!B121*1</f>
        <v>235313</v>
      </c>
      <c r="E121">
        <f t="shared" si="11"/>
        <v>119</v>
      </c>
      <c r="F121" s="61">
        <f>IF(FT!A121&lt;&gt;"",FT!A121*10,"")</f>
        <v>4.0742399999999996</v>
      </c>
      <c r="G121" s="61">
        <f>IF(FT!B121&lt;&gt;"",FT!B121*100,"")</f>
        <v>36.3172</v>
      </c>
      <c r="H121" s="61">
        <f t="shared" si="9"/>
        <v>1</v>
      </c>
      <c r="I121" t="str">
        <f>IF(FT!B121&lt;&gt;"",FT!E121,"")</f>
        <v>2 [48.387579]</v>
      </c>
      <c r="J121">
        <f>IF(FT!B121&lt;&gt;"",FT!C121,"")</f>
        <v>48.387599999999999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4.0335799999999997</v>
      </c>
      <c r="G122" s="61">
        <f>IF(FT!B122&lt;&gt;"",FT!B122*100,"")</f>
        <v>36.7455</v>
      </c>
      <c r="H122" s="61">
        <f t="shared" si="9"/>
        <v>1</v>
      </c>
      <c r="I122" t="str">
        <f>IF(FT!B122&lt;&gt;"",FT!E122,"")</f>
        <v>2 [48.795473]</v>
      </c>
      <c r="J122">
        <f>IF(FT!B122&lt;&gt;"",FT!C122,"")</f>
        <v>48.795499999999997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3.9961400000000005</v>
      </c>
      <c r="G123" s="61">
        <f>IF(FT!B123&lt;&gt;"",FT!B123*100,"")</f>
        <v>37.108000000000004</v>
      </c>
      <c r="H123" s="61">
        <f t="shared" si="9"/>
        <v>1</v>
      </c>
      <c r="I123" t="str">
        <f>IF(FT!B123&lt;&gt;"",FT!E123,"")</f>
        <v>2 [49.197557]</v>
      </c>
      <c r="J123">
        <f>IF(FT!B123&lt;&gt;"",FT!C123,"")</f>
        <v>49.197600000000001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246522</v>
      </c>
      <c r="D124" s="61">
        <f>FH!B124*1</f>
        <v>246522</v>
      </c>
      <c r="E124">
        <f t="shared" si="11"/>
        <v>122</v>
      </c>
      <c r="F124" s="61">
        <f>IF(FT!A124&lt;&gt;"",FT!A124*10,"")</f>
        <v>3.9649400000000004</v>
      </c>
      <c r="G124" s="61">
        <f>IF(FT!B124&lt;&gt;"",FT!B124*100,"")</f>
        <v>37.454900000000002</v>
      </c>
      <c r="H124" s="61">
        <f t="shared" si="9"/>
        <v>1</v>
      </c>
      <c r="I124" t="str">
        <f>IF(FT!B124&lt;&gt;"",FT!E124,"")</f>
        <v>2 [49.607501]</v>
      </c>
      <c r="J124">
        <f>IF(FT!B124&lt;&gt;"",FT!C124,"")</f>
        <v>49.607500000000002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3.9369700000000001</v>
      </c>
      <c r="G125" s="61">
        <f>IF(FT!B125&lt;&gt;"",FT!B125*100,"")</f>
        <v>37.878499999999995</v>
      </c>
      <c r="H125" s="61">
        <f t="shared" si="9"/>
        <v>1</v>
      </c>
      <c r="I125" t="str">
        <f>IF(FT!B125&lt;&gt;"",FT!E125,"")</f>
        <v>2 [50.012225]</v>
      </c>
      <c r="J125">
        <f>IF(FT!B125&lt;&gt;"",FT!C125,"")</f>
        <v>50.0122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247970</v>
      </c>
      <c r="D126" s="61">
        <f>FH!B126*1</f>
        <v>247970</v>
      </c>
      <c r="E126">
        <f t="shared" si="11"/>
        <v>124</v>
      </c>
      <c r="F126" s="61">
        <f>IF(FT!A126&lt;&gt;"",FT!A126*10,"")</f>
        <v>3.9175399999999998</v>
      </c>
      <c r="G126" s="61">
        <f>IF(FT!B126&lt;&gt;"",FT!B126*100,"")</f>
        <v>38.070799999999998</v>
      </c>
      <c r="H126" s="61">
        <f t="shared" si="9"/>
        <v>1</v>
      </c>
      <c r="I126" t="str">
        <f>IF(FT!B126&lt;&gt;"",FT!E126,"")</f>
        <v>2 [50.421164]</v>
      </c>
      <c r="J126">
        <f>IF(FT!B126&lt;&gt;"",FT!C126,"")</f>
        <v>50.421199999999999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3.9026499999999995</v>
      </c>
      <c r="G127" s="61">
        <f>IF(FT!B127&lt;&gt;"",FT!B127*100,"")</f>
        <v>38.270299999999999</v>
      </c>
      <c r="H127" s="61">
        <f t="shared" si="9"/>
        <v>1</v>
      </c>
      <c r="I127" t="str">
        <f>IF(FT!B127&lt;&gt;"",FT!E127,"")</f>
        <v>2 [50.826260]</v>
      </c>
      <c r="J127">
        <f>IF(FT!B127&lt;&gt;"",FT!C127,"")</f>
        <v>50.826300000000003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3.8896999999999999</v>
      </c>
      <c r="G128" s="61">
        <f>IF(FT!B128&lt;&gt;"",FT!B128*100,"")</f>
        <v>38.498399999999997</v>
      </c>
      <c r="H128" s="61">
        <f t="shared" si="9"/>
        <v>1</v>
      </c>
      <c r="I128" t="str">
        <f>IF(FT!B128&lt;&gt;"",FT!E128,"")</f>
        <v>2 [51.232926]</v>
      </c>
      <c r="J128">
        <f>IF(FT!B128&lt;&gt;"",FT!C128,"")</f>
        <v>51.232900000000001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247221</v>
      </c>
      <c r="D129" s="61">
        <f>FH!B129*1</f>
        <v>247221</v>
      </c>
      <c r="E129">
        <f t="shared" si="11"/>
        <v>127</v>
      </c>
      <c r="F129" s="61">
        <f>IF(FT!A129&lt;&gt;"",FT!A129*10,"")</f>
        <v>3.8757799999999998</v>
      </c>
      <c r="G129" s="61">
        <f>IF(FT!B129&lt;&gt;"",FT!B129*100,"")</f>
        <v>38.809399999999997</v>
      </c>
      <c r="H129" s="61">
        <f t="shared" si="9"/>
        <v>1</v>
      </c>
      <c r="I129" t="str">
        <f>IF(FT!B129&lt;&gt;"",FT!E129,"")</f>
        <v>2 [51.638853]</v>
      </c>
      <c r="J129">
        <f>IF(FT!B129&lt;&gt;"",FT!C129,"")</f>
        <v>51.6389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3.8616000000000001</v>
      </c>
      <c r="G130" s="61">
        <f>IF(FT!B130&lt;&gt;"",FT!B130*100,"")</f>
        <v>39.155900000000003</v>
      </c>
      <c r="H130" s="61">
        <f t="shared" si="9"/>
        <v>1</v>
      </c>
      <c r="I130" t="str">
        <f>IF(FT!B130&lt;&gt;"",FT!E130,"")</f>
        <v>2 [52.042967]</v>
      </c>
      <c r="J130">
        <f>IF(FT!B130&lt;&gt;"",FT!C130,"")</f>
        <v>52.042999999999999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242994</v>
      </c>
      <c r="D131" s="61">
        <f>FH!B131*1</f>
        <v>242994</v>
      </c>
      <c r="E131">
        <f t="shared" si="11"/>
        <v>129</v>
      </c>
      <c r="F131" s="61">
        <f>IF(FT!A131&lt;&gt;"",FT!A131*10,"")</f>
        <v>3.8477699999999997</v>
      </c>
      <c r="G131" s="61">
        <f>IF(FT!B131&lt;&gt;"",FT!B131*100,"")</f>
        <v>39.459800000000001</v>
      </c>
      <c r="H131" s="61">
        <f t="shared" ref="H131:H194" si="13">(IF(F131&lt;&gt;"",1,""))</f>
        <v>1</v>
      </c>
      <c r="I131" t="str">
        <f>IF(FT!B131&lt;&gt;"",FT!E131,"")</f>
        <v>2 [52.448176]</v>
      </c>
      <c r="J131">
        <f>IF(FT!B131&lt;&gt;"",FT!C131,"")</f>
        <v>52.4482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3.8357900000000003</v>
      </c>
      <c r="G132" s="61">
        <f>IF(FT!B132&lt;&gt;"",FT!B132*100,"")</f>
        <v>39.664100000000005</v>
      </c>
      <c r="H132" s="61">
        <f t="shared" si="13"/>
        <v>1</v>
      </c>
      <c r="I132" t="str">
        <f>IF(FT!B132&lt;&gt;"",FT!E132,"")</f>
        <v>2 [52.859940]</v>
      </c>
      <c r="J132">
        <f>IF(FT!B132&lt;&gt;"",FT!C132,"")</f>
        <v>52.859900000000003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3.8256899999999998</v>
      </c>
      <c r="G133" s="61">
        <f>IF(FT!B133&lt;&gt;"",FT!B133*100,"")</f>
        <v>39.842700000000001</v>
      </c>
      <c r="H133" s="61">
        <f t="shared" si="13"/>
        <v>1</v>
      </c>
      <c r="I133" t="str">
        <f>IF(FT!B133&lt;&gt;"",FT!E133,"")</f>
        <v>2 [53.263595]</v>
      </c>
      <c r="J133">
        <f>IF(FT!B133&lt;&gt;"",FT!C133,"")</f>
        <v>53.263599999999997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233010</v>
      </c>
      <c r="D134" s="61">
        <f>FH!B134*1</f>
        <v>233010</v>
      </c>
      <c r="E134">
        <f t="shared" si="15"/>
        <v>132</v>
      </c>
      <c r="F134" s="61">
        <f>IF(FT!A134&lt;&gt;"",FT!A134*10,"")</f>
        <v>3.81717</v>
      </c>
      <c r="G134" s="61">
        <f>IF(FT!B134&lt;&gt;"",FT!B134*100,"")</f>
        <v>39.982199999999999</v>
      </c>
      <c r="H134" s="61">
        <f t="shared" si="13"/>
        <v>1</v>
      </c>
      <c r="I134" t="str">
        <f>IF(FT!B134&lt;&gt;"",FT!E134,"")</f>
        <v>2 [53.667454]</v>
      </c>
      <c r="J134">
        <f>IF(FT!B134&lt;&gt;"",FT!C134,"")</f>
        <v>53.667499999999997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3.8096899999999998</v>
      </c>
      <c r="G135" s="61">
        <f>IF(FT!B135&lt;&gt;"",FT!B135*100,"")</f>
        <v>40.105000000000004</v>
      </c>
      <c r="H135" s="61">
        <f t="shared" si="13"/>
        <v>1</v>
      </c>
      <c r="I135" t="str">
        <f>IF(FT!B135&lt;&gt;"",FT!E135,"")</f>
        <v>2 [54.073374]</v>
      </c>
      <c r="J135">
        <f>IF(FT!B135&lt;&gt;"",FT!C135,"")</f>
        <v>54.073399999999999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235920</v>
      </c>
      <c r="D136" s="61">
        <f>FH!B136*1</f>
        <v>235920</v>
      </c>
      <c r="E136">
        <f t="shared" si="15"/>
        <v>134</v>
      </c>
      <c r="F136" s="61">
        <f>IF(FT!A136&lt;&gt;"",FT!A136*10,"")</f>
        <v>3.80335</v>
      </c>
      <c r="G136" s="61">
        <f>IF(FT!B136&lt;&gt;"",FT!B136*100,"")</f>
        <v>40.119899999999994</v>
      </c>
      <c r="H136" s="61">
        <f t="shared" si="13"/>
        <v>1</v>
      </c>
      <c r="I136" t="str">
        <f>IF(FT!B136&lt;&gt;"",FT!E136,"")</f>
        <v>2 [54.483314]</v>
      </c>
      <c r="J136">
        <f>IF(FT!B136&lt;&gt;"",FT!C136,"")</f>
        <v>54.4833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3.7953999999999999</v>
      </c>
      <c r="G137" s="61">
        <f>IF(FT!B137&lt;&gt;"",FT!B137*100,"")</f>
        <v>40.063500000000005</v>
      </c>
      <c r="H137" s="61">
        <f t="shared" si="13"/>
        <v>1</v>
      </c>
      <c r="I137" t="str">
        <f>IF(FT!B137&lt;&gt;"",FT!E137,"")</f>
        <v>2 [54.891179]</v>
      </c>
      <c r="J137">
        <f>IF(FT!B137&lt;&gt;"",FT!C137,"")</f>
        <v>54.891199999999998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3.7876500000000002</v>
      </c>
      <c r="G138" s="61">
        <f>IF(FT!B138&lt;&gt;"",FT!B138*100,"")</f>
        <v>40.037399999999998</v>
      </c>
      <c r="H138" s="61">
        <f t="shared" si="13"/>
        <v>1</v>
      </c>
      <c r="I138" t="str">
        <f>IF(FT!B138&lt;&gt;"",FT!E138,"")</f>
        <v>2 [55.296106]</v>
      </c>
      <c r="J138">
        <f>IF(FT!B138&lt;&gt;"",FT!C138,"")</f>
        <v>55.296100000000003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228453</v>
      </c>
      <c r="D139" s="61">
        <f>FH!B139*1</f>
        <v>228453</v>
      </c>
      <c r="E139">
        <f t="shared" si="15"/>
        <v>137</v>
      </c>
      <c r="F139" s="61">
        <f>IF(FT!A139&lt;&gt;"",FT!A139*10,"")</f>
        <v>3.78186</v>
      </c>
      <c r="G139" s="61">
        <f>IF(FT!B139&lt;&gt;"",FT!B139*100,"")</f>
        <v>40.0398</v>
      </c>
      <c r="H139" s="61">
        <f t="shared" si="13"/>
        <v>1</v>
      </c>
      <c r="I139" t="str">
        <f>IF(FT!B139&lt;&gt;"",FT!E139,"")</f>
        <v>2 [55.702977]</v>
      </c>
      <c r="J139">
        <f>IF(FT!B139&lt;&gt;"",FT!C139,"")</f>
        <v>55.703000000000003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3.77935</v>
      </c>
      <c r="G140" s="61">
        <f>IF(FT!B140&lt;&gt;"",FT!B140*100,"")</f>
        <v>39.990700000000004</v>
      </c>
      <c r="H140" s="61">
        <f t="shared" si="13"/>
        <v>1</v>
      </c>
      <c r="I140" t="str">
        <f>IF(FT!B140&lt;&gt;"",FT!E140,"")</f>
        <v>2 [56.104002]</v>
      </c>
      <c r="J140">
        <f>IF(FT!B140&lt;&gt;"",FT!C140,"")</f>
        <v>56.103999999999999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3.7788200000000001</v>
      </c>
      <c r="G141" s="61">
        <f>IF(FT!B141&lt;&gt;"",FT!B141*100,"")</f>
        <v>39.9651</v>
      </c>
      <c r="H141" s="61">
        <f t="shared" si="13"/>
        <v>1</v>
      </c>
      <c r="I141" t="str">
        <f>IF(FT!B141&lt;&gt;"",FT!E141,"")</f>
        <v>2 [56.512949]</v>
      </c>
      <c r="J141">
        <f>IF(FT!B141&lt;&gt;"",FT!C141,"")</f>
        <v>56.512900000000002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229703</v>
      </c>
      <c r="D142" s="61">
        <f>FH!B142*1</f>
        <v>229703</v>
      </c>
      <c r="E142">
        <f t="shared" si="15"/>
        <v>140</v>
      </c>
      <c r="F142" s="61">
        <f>IF(FT!A142&lt;&gt;"",FT!A142*10,"")</f>
        <v>3.7791299999999999</v>
      </c>
      <c r="G142" s="61">
        <f>IF(FT!B142&lt;&gt;"",FT!B142*100,"")</f>
        <v>39.889699999999998</v>
      </c>
      <c r="H142" s="61">
        <f t="shared" si="13"/>
        <v>1</v>
      </c>
      <c r="I142" t="str">
        <f>IF(FT!B142&lt;&gt;"",FT!E142,"")</f>
        <v>2 [56.920782]</v>
      </c>
      <c r="J142">
        <f>IF(FT!B142&lt;&gt;"",FT!C142,"")</f>
        <v>56.9208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3.7810800000000002</v>
      </c>
      <c r="G143" s="61">
        <f>IF(FT!B143&lt;&gt;"",FT!B143*100,"")</f>
        <v>39.6952</v>
      </c>
      <c r="H143" s="61">
        <f t="shared" si="13"/>
        <v>1</v>
      </c>
      <c r="I143" t="str">
        <f>IF(FT!B143&lt;&gt;"",FT!E143,"")</f>
        <v>2 [57.327702]</v>
      </c>
      <c r="J143">
        <f>IF(FT!B143&lt;&gt;"",FT!C143,"")</f>
        <v>57.3277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250580</v>
      </c>
      <c r="D144" s="61">
        <f>FH!B144*1</f>
        <v>250580</v>
      </c>
      <c r="E144">
        <f t="shared" si="15"/>
        <v>142</v>
      </c>
      <c r="F144" s="61">
        <f>IF(FT!A144&lt;&gt;"",FT!A144*10,"")</f>
        <v>3.7906299999999997</v>
      </c>
      <c r="G144" s="61">
        <f>IF(FT!B144&lt;&gt;"",FT!B144*100,"")</f>
        <v>39.487499999999997</v>
      </c>
      <c r="H144" s="61">
        <f t="shared" si="13"/>
        <v>1</v>
      </c>
      <c r="I144" t="str">
        <f>IF(FT!B144&lt;&gt;"",FT!E144,"")</f>
        <v>2 [57.732560]</v>
      </c>
      <c r="J144">
        <f>IF(FT!B144&lt;&gt;"",FT!C144,"")</f>
        <v>57.732599999999998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3.8059599999999998</v>
      </c>
      <c r="G145" s="61">
        <f>IF(FT!B145&lt;&gt;"",FT!B145*100,"")</f>
        <v>39.418700000000001</v>
      </c>
      <c r="H145" s="61">
        <f t="shared" si="13"/>
        <v>1</v>
      </c>
      <c r="I145" t="str">
        <f>IF(FT!B145&lt;&gt;"",FT!E145,"")</f>
        <v>2 [58.135504]</v>
      </c>
      <c r="J145">
        <f>IF(FT!B145&lt;&gt;"",FT!C145,"")</f>
        <v>58.1355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3.8173300000000001</v>
      </c>
      <c r="G146" s="61">
        <f>IF(FT!B146&lt;&gt;"",FT!B146*100,"")</f>
        <v>39.703099999999999</v>
      </c>
      <c r="H146" s="61">
        <f t="shared" si="13"/>
        <v>1</v>
      </c>
      <c r="I146" t="str">
        <f>IF(FT!B146&lt;&gt;"",FT!E146,"")</f>
        <v>2 [58.547661]</v>
      </c>
      <c r="J146">
        <f>IF(FT!B146&lt;&gt;"",FT!C146,"")</f>
        <v>58.547699999999999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282715</v>
      </c>
      <c r="D147" s="61">
        <f>FH!B147*1</f>
        <v>282715</v>
      </c>
      <c r="E147">
        <f t="shared" si="15"/>
        <v>145</v>
      </c>
      <c r="F147" s="61">
        <f>IF(FT!A147&lt;&gt;"",FT!A147*10,"")</f>
        <v>3.81481</v>
      </c>
      <c r="G147" s="61">
        <f>IF(FT!B147&lt;&gt;"",FT!B147*100,"")</f>
        <v>40.366900000000001</v>
      </c>
      <c r="H147" s="61">
        <f t="shared" si="13"/>
        <v>1</v>
      </c>
      <c r="I147" t="str">
        <f>IF(FT!B147&lt;&gt;"",FT!E147,"")</f>
        <v>2 [58.952337]</v>
      </c>
      <c r="J147">
        <f>IF(FT!B147&lt;&gt;"",FT!C147,"")</f>
        <v>58.952300000000001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3.8187900000000004</v>
      </c>
      <c r="G148" s="61">
        <f>IF(FT!B148&lt;&gt;"",FT!B148*100,"")</f>
        <v>41.008899999999997</v>
      </c>
      <c r="H148" s="61">
        <f t="shared" si="13"/>
        <v>1</v>
      </c>
      <c r="I148" t="str">
        <f>IF(FT!B148&lt;&gt;"",FT!E148,"")</f>
        <v>2 [59.361693]</v>
      </c>
      <c r="J148">
        <f>IF(FT!B148&lt;&gt;"",FT!C148,"")</f>
        <v>59.361699999999999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317470</v>
      </c>
      <c r="D149" s="61">
        <f>FH!B149*1</f>
        <v>317470</v>
      </c>
      <c r="E149">
        <f t="shared" si="15"/>
        <v>147</v>
      </c>
      <c r="F149" s="61">
        <f>IF(FT!A149&lt;&gt;"",FT!A149*10,"")</f>
        <v>3.8213599999999999</v>
      </c>
      <c r="G149" s="61">
        <f>IF(FT!B149&lt;&gt;"",FT!B149*100,"")</f>
        <v>41.540500000000002</v>
      </c>
      <c r="H149" s="61">
        <f t="shared" si="13"/>
        <v>1</v>
      </c>
      <c r="I149" t="str">
        <f>IF(FT!B149&lt;&gt;"",FT!E149,"")</f>
        <v>2 [59.765274]</v>
      </c>
      <c r="J149">
        <f>IF(FT!B149&lt;&gt;"",FT!C149,"")</f>
        <v>59.765300000000003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326338</v>
      </c>
      <c r="D152" s="61">
        <f>FH!B152*1</f>
        <v>326338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334685</v>
      </c>
      <c r="D154" s="61">
        <f>FH!B154*1</f>
        <v>334685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320088</v>
      </c>
      <c r="D157" s="61">
        <f>FH!B157*1</f>
        <v>320088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322351</v>
      </c>
      <c r="D160" s="61">
        <f>FH!B160*1</f>
        <v>322351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316264</v>
      </c>
      <c r="D162" s="61">
        <f>FH!B162*1</f>
        <v>316264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338803</v>
      </c>
      <c r="D165" s="61">
        <f>FH!B165*1</f>
        <v>338803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311407</v>
      </c>
      <c r="D167" s="61">
        <f>FH!B167*1</f>
        <v>311407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251521</v>
      </c>
      <c r="D170" s="61">
        <f>FH!B170*1</f>
        <v>251521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182988</v>
      </c>
      <c r="D173" s="61">
        <f>FH!B173*1</f>
        <v>182988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129141</v>
      </c>
      <c r="D175" s="61">
        <f>FH!B175*1</f>
        <v>129141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80280</v>
      </c>
      <c r="D178" s="61">
        <f>FH!B178*1</f>
        <v>80280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45995</v>
      </c>
      <c r="D180" s="61">
        <f>FH!B180*1</f>
        <v>45995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21446</v>
      </c>
      <c r="D183" s="61">
        <f>FH!B183*1</f>
        <v>21446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15986</v>
      </c>
      <c r="D185" s="61">
        <f>FH!B185*1</f>
        <v>15986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7074</v>
      </c>
      <c r="D188" s="61">
        <f>FH!B188*1</f>
        <v>7074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3045</v>
      </c>
      <c r="D191" s="61">
        <f>FH!B191*1</f>
        <v>3045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817</v>
      </c>
      <c r="D193" s="61">
        <f>FH!B193*1</f>
        <v>817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436</v>
      </c>
      <c r="D196" s="61">
        <f>FH!B196*1</f>
        <v>436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tabSelected="1" workbookViewId="0">
      <selection activeCell="B5" sqref="B5:D14"/>
    </sheetView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56.157499999999999</v>
      </c>
      <c r="C5" s="66">
        <v>13.818</v>
      </c>
      <c r="D5" s="66">
        <v>24.605799999999999</v>
      </c>
      <c r="E5" s="66">
        <v>20</v>
      </c>
      <c r="F5" s="66">
        <v>11.779299999999999</v>
      </c>
      <c r="G5" s="66">
        <v>50</v>
      </c>
      <c r="H5" s="66">
        <v>66.542000000000002</v>
      </c>
    </row>
    <row r="6" spans="1:8">
      <c r="A6" s="58" t="s">
        <v>303</v>
      </c>
      <c r="B6" s="66">
        <v>18.383900000000001</v>
      </c>
      <c r="C6" s="66">
        <v>2.9719600000000002</v>
      </c>
      <c r="D6" s="66">
        <v>16.1661</v>
      </c>
      <c r="E6" s="66">
        <v>20</v>
      </c>
      <c r="F6" s="66">
        <v>12.677199999999999</v>
      </c>
      <c r="G6" s="66">
        <v>40</v>
      </c>
      <c r="H6" s="66">
        <v>24.887599999999999</v>
      </c>
    </row>
    <row r="7" spans="1:8">
      <c r="A7" s="58" t="s">
        <v>304</v>
      </c>
      <c r="B7" s="66">
        <v>24.151399999999999</v>
      </c>
      <c r="C7" s="66">
        <v>11.7684</v>
      </c>
      <c r="D7" s="66">
        <v>48.727499999999999</v>
      </c>
      <c r="E7" s="66">
        <v>15</v>
      </c>
      <c r="F7" s="66">
        <v>5.9821799999999996</v>
      </c>
      <c r="G7" s="66">
        <v>40</v>
      </c>
      <c r="H7" s="66">
        <v>47.7973</v>
      </c>
    </row>
    <row r="8" spans="1:8">
      <c r="A8" s="58" t="s">
        <v>305</v>
      </c>
      <c r="B8" s="66">
        <v>32.195999999999998</v>
      </c>
      <c r="C8" s="66">
        <v>6.20106</v>
      </c>
      <c r="D8" s="66">
        <v>19.260300000000001</v>
      </c>
      <c r="E8" s="66">
        <v>20</v>
      </c>
      <c r="F8" s="66">
        <v>12.473800000000001</v>
      </c>
      <c r="G8" s="66">
        <v>50</v>
      </c>
      <c r="H8" s="66">
        <v>41.348399999999998</v>
      </c>
    </row>
    <row r="9" spans="1:8">
      <c r="A9" s="58" t="s">
        <v>306</v>
      </c>
      <c r="B9" s="66">
        <v>39.386099999999999</v>
      </c>
      <c r="C9" s="66">
        <v>14.5237</v>
      </c>
      <c r="D9" s="66">
        <v>36.8752</v>
      </c>
      <c r="E9" s="66">
        <v>50</v>
      </c>
      <c r="F9" s="66">
        <v>23.585100000000001</v>
      </c>
      <c r="G9" s="66">
        <v>100</v>
      </c>
      <c r="H9" s="66">
        <v>90.469800000000006</v>
      </c>
    </row>
    <row r="10" spans="1:8">
      <c r="A10" s="58" t="s">
        <v>307</v>
      </c>
      <c r="B10" s="66">
        <v>84.709000000000003</v>
      </c>
      <c r="C10" s="66">
        <v>2.06358</v>
      </c>
      <c r="D10" s="66">
        <v>2.4360900000000001</v>
      </c>
      <c r="E10" s="66">
        <v>40</v>
      </c>
      <c r="F10" s="66">
        <v>80.749899999999997</v>
      </c>
      <c r="G10" s="66">
        <v>100</v>
      </c>
      <c r="H10" s="66">
        <v>89.994100000000003</v>
      </c>
    </row>
    <row r="11" spans="1:8">
      <c r="A11" s="58" t="s">
        <v>308</v>
      </c>
      <c r="B11" s="66">
        <v>30.816400000000002</v>
      </c>
      <c r="C11" s="66">
        <v>6.2655900000000004</v>
      </c>
      <c r="D11" s="66">
        <v>20.332000000000001</v>
      </c>
      <c r="E11" s="66">
        <v>10</v>
      </c>
      <c r="F11" s="66">
        <v>9.8603199999999998</v>
      </c>
      <c r="G11" s="66">
        <v>50</v>
      </c>
      <c r="H11" s="66">
        <v>38.004899999999999</v>
      </c>
    </row>
    <row r="12" spans="1:8">
      <c r="A12" s="58" t="s">
        <v>309</v>
      </c>
      <c r="B12" s="66">
        <v>61.5548</v>
      </c>
      <c r="C12" s="66">
        <v>7.9463400000000002</v>
      </c>
      <c r="D12" s="66">
        <v>12.9094</v>
      </c>
      <c r="E12" s="66">
        <v>50</v>
      </c>
      <c r="F12" s="66">
        <v>52.590899999999998</v>
      </c>
      <c r="G12" s="66">
        <v>100</v>
      </c>
      <c r="H12" s="66">
        <v>89.604200000000006</v>
      </c>
    </row>
    <row r="13" spans="1:8">
      <c r="A13" s="58" t="s">
        <v>310</v>
      </c>
      <c r="B13" s="66">
        <v>14.3535</v>
      </c>
      <c r="C13" s="66">
        <v>2.30972</v>
      </c>
      <c r="D13" s="66">
        <v>16.091699999999999</v>
      </c>
      <c r="E13" s="66">
        <v>10</v>
      </c>
      <c r="F13" s="66">
        <v>10.6264</v>
      </c>
      <c r="G13" s="66">
        <v>25</v>
      </c>
      <c r="H13" s="66">
        <v>22.831499999999998</v>
      </c>
    </row>
    <row r="14" spans="1:8">
      <c r="A14" s="58" t="s">
        <v>311</v>
      </c>
      <c r="B14" s="66">
        <v>23.097200000000001</v>
      </c>
      <c r="C14" s="66">
        <v>7.8753700000000002</v>
      </c>
      <c r="D14" s="66">
        <v>34.096600000000002</v>
      </c>
      <c r="E14" s="66">
        <v>10</v>
      </c>
      <c r="F14" s="66">
        <v>1.6168899999999999</v>
      </c>
      <c r="G14" s="66">
        <v>50</v>
      </c>
      <c r="H14" s="66">
        <v>25.712499999999999</v>
      </c>
    </row>
    <row r="15" spans="1:8">
      <c r="A15" s="58" t="s">
        <v>312</v>
      </c>
      <c r="B15" s="66">
        <v>6.6571000000000005E-2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0.20593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23.150099999999998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0.32889400000000002</v>
      </c>
      <c r="C18" s="66">
        <v>5.0182200000000003E-2</v>
      </c>
      <c r="D18" s="66">
        <v>0.15257799999999999</v>
      </c>
      <c r="E18" s="66">
        <v>0</v>
      </c>
      <c r="F18" s="66">
        <v>0.27871200000000002</v>
      </c>
      <c r="G18" s="66">
        <v>0</v>
      </c>
      <c r="H18" s="66">
        <v>0.37907600000000002</v>
      </c>
    </row>
    <row r="19" spans="1:8">
      <c r="A19" s="58" t="s">
        <v>316</v>
      </c>
      <c r="B19" s="66">
        <v>0.356404</v>
      </c>
      <c r="C19" s="66">
        <v>0.101502</v>
      </c>
      <c r="D19" s="66">
        <v>0.28479500000000002</v>
      </c>
      <c r="E19" s="66">
        <v>0</v>
      </c>
      <c r="F19" s="66">
        <v>0.25490200000000002</v>
      </c>
      <c r="G19" s="66">
        <v>0</v>
      </c>
      <c r="H19" s="66">
        <v>0.45790599999999998</v>
      </c>
    </row>
    <row r="20" spans="1:8">
      <c r="A20" s="58" t="s">
        <v>317</v>
      </c>
      <c r="B20" s="66">
        <v>1.4485400000000001E-2</v>
      </c>
      <c r="C20" s="66">
        <v>0.47170600000000001</v>
      </c>
      <c r="D20" s="66">
        <v>32.564300000000003</v>
      </c>
      <c r="E20" s="66">
        <v>0</v>
      </c>
      <c r="F20" s="66">
        <v>2.1130699999999999E-4</v>
      </c>
      <c r="G20" s="66">
        <v>0</v>
      </c>
      <c r="H20" s="66">
        <v>4.5668800000000003</v>
      </c>
    </row>
    <row r="21" spans="1:8">
      <c r="A21" s="58" t="s">
        <v>318</v>
      </c>
      <c r="B21" s="66">
        <v>0.45956200000000003</v>
      </c>
      <c r="C21" s="66">
        <v>1.7548600000000001</v>
      </c>
      <c r="D21" s="66">
        <v>3.8185500000000001</v>
      </c>
      <c r="E21" s="66">
        <v>0</v>
      </c>
      <c r="F21" s="66">
        <v>2.61271E-2</v>
      </c>
      <c r="G21" s="66">
        <v>0</v>
      </c>
      <c r="H21" s="66">
        <v>9.6932299999999998</v>
      </c>
    </row>
    <row r="22" spans="1:8">
      <c r="A22" s="58" t="s">
        <v>319</v>
      </c>
      <c r="B22" s="66">
        <v>43.1312</v>
      </c>
      <c r="C22" s="66">
        <v>45.953200000000002</v>
      </c>
      <c r="D22" s="66">
        <v>1.0654300000000001</v>
      </c>
      <c r="E22" s="66">
        <v>0</v>
      </c>
      <c r="F22" s="66">
        <v>19.089400000000001</v>
      </c>
      <c r="G22" s="66">
        <v>0</v>
      </c>
      <c r="H22" s="66">
        <v>190.62</v>
      </c>
    </row>
    <row r="23" spans="1:8">
      <c r="A23" s="58" t="s">
        <v>320</v>
      </c>
      <c r="B23" s="66">
        <v>50.47</v>
      </c>
      <c r="C23" s="66">
        <v>14.816599999999999</v>
      </c>
      <c r="D23" s="66">
        <v>0.293572</v>
      </c>
      <c r="E23" s="66">
        <v>0</v>
      </c>
      <c r="F23" s="66">
        <v>12.1121</v>
      </c>
      <c r="G23" s="66">
        <v>0</v>
      </c>
      <c r="H23" s="66">
        <v>63.4649</v>
      </c>
    </row>
    <row r="24" spans="1:8">
      <c r="A24" s="58" t="s">
        <v>321</v>
      </c>
      <c r="B24" s="66">
        <v>1.8309300000000001E-2</v>
      </c>
      <c r="C24" s="66">
        <v>0.43063699999999999</v>
      </c>
      <c r="D24" s="66">
        <v>23.520199999999999</v>
      </c>
      <c r="E24" s="66">
        <v>0</v>
      </c>
      <c r="F24" s="66">
        <v>1.4464600000000001E-3</v>
      </c>
      <c r="G24" s="66">
        <v>0</v>
      </c>
      <c r="H24" s="66">
        <v>3.6657299999999999</v>
      </c>
    </row>
    <row r="25" spans="1:8">
      <c r="A25" s="58" t="s">
        <v>322</v>
      </c>
      <c r="B25" s="66">
        <v>0.57623500000000005</v>
      </c>
      <c r="C25" s="66">
        <v>1.4347000000000001</v>
      </c>
      <c r="D25" s="66">
        <v>2.4897800000000001</v>
      </c>
      <c r="E25" s="66">
        <v>0</v>
      </c>
      <c r="F25" s="66">
        <v>0.108363</v>
      </c>
      <c r="G25" s="66">
        <v>0</v>
      </c>
      <c r="H25" s="66">
        <v>5.0801999999999996</v>
      </c>
    </row>
    <row r="26" spans="1:8">
      <c r="A26" s="58" t="s">
        <v>323</v>
      </c>
      <c r="B26" s="66">
        <v>3.8668600000000002E-3</v>
      </c>
      <c r="C26" s="66">
        <v>4.0130699999999998E-2</v>
      </c>
      <c r="D26" s="66">
        <v>10.3781</v>
      </c>
      <c r="E26" s="66">
        <v>0</v>
      </c>
      <c r="F26" s="113">
        <v>6.5651300000000006E-5</v>
      </c>
      <c r="G26" s="66">
        <v>0</v>
      </c>
      <c r="H26" s="66">
        <v>0.25160199999999999</v>
      </c>
    </row>
    <row r="27" spans="1:8">
      <c r="A27" s="58" t="s">
        <v>324</v>
      </c>
      <c r="B27" s="113">
        <v>-4.2673299999999997E-5</v>
      </c>
      <c r="C27" s="66">
        <v>9.5102799999999994E-3</v>
      </c>
      <c r="D27" s="66">
        <v>-222.863</v>
      </c>
      <c r="E27" s="66">
        <v>0</v>
      </c>
      <c r="F27" s="66">
        <v>-0.13145399999999999</v>
      </c>
      <c r="G27" s="66">
        <v>0</v>
      </c>
      <c r="H27" s="66">
        <v>0.10904700000000001</v>
      </c>
    </row>
    <row r="28" spans="1:8">
      <c r="A28" s="58" t="s">
        <v>325</v>
      </c>
      <c r="B28" s="66">
        <v>7.1031899999999995E-2</v>
      </c>
      <c r="C28" s="66">
        <v>7.89575E-2</v>
      </c>
      <c r="D28" s="66">
        <v>1.11158</v>
      </c>
      <c r="E28" s="66">
        <v>0</v>
      </c>
      <c r="F28" s="66">
        <v>4.2513000000000004E-3</v>
      </c>
      <c r="G28" s="66">
        <v>0</v>
      </c>
      <c r="H28" s="66">
        <v>0.34290700000000002</v>
      </c>
    </row>
    <row r="29" spans="1:8">
      <c r="A29" s="58" t="s">
        <v>326</v>
      </c>
      <c r="B29" s="66">
        <v>86.902600000000007</v>
      </c>
      <c r="C29" s="66">
        <v>23.381799999999998</v>
      </c>
      <c r="D29" s="66">
        <v>0.26905800000000002</v>
      </c>
      <c r="E29" s="66">
        <v>0</v>
      </c>
      <c r="F29" s="66">
        <v>54.131100000000004</v>
      </c>
      <c r="G29" s="66">
        <v>0</v>
      </c>
      <c r="H29" s="66">
        <v>151.49600000000001</v>
      </c>
    </row>
    <row r="30" spans="1:8">
      <c r="A30" s="58" t="s">
        <v>327</v>
      </c>
      <c r="B30" s="66">
        <v>59.9846</v>
      </c>
      <c r="C30" s="66">
        <v>14.9818</v>
      </c>
      <c r="D30" s="66">
        <v>0.24976100000000001</v>
      </c>
      <c r="E30" s="66">
        <v>0</v>
      </c>
      <c r="F30" s="66">
        <v>15.7606</v>
      </c>
      <c r="G30" s="66">
        <v>0</v>
      </c>
      <c r="H30" s="66">
        <v>72.052400000000006</v>
      </c>
    </row>
    <row r="31" spans="1:8">
      <c r="A31" s="58" t="s">
        <v>328</v>
      </c>
      <c r="B31" s="66">
        <v>203.03200000000001</v>
      </c>
      <c r="C31" s="66">
        <v>55.8626</v>
      </c>
      <c r="D31" s="66">
        <v>0.275142</v>
      </c>
      <c r="E31" s="66">
        <v>0</v>
      </c>
      <c r="F31" s="66">
        <v>71.334800000000001</v>
      </c>
      <c r="G31" s="66">
        <v>0</v>
      </c>
      <c r="H31" s="66">
        <v>271.84100000000001</v>
      </c>
    </row>
    <row r="32" spans="1:8">
      <c r="A32" s="58" t="s">
        <v>329</v>
      </c>
      <c r="B32" s="66">
        <v>0.24151400000000001</v>
      </c>
      <c r="C32" s="66">
        <v>0.117684</v>
      </c>
      <c r="D32" s="66">
        <v>0.48727500000000001</v>
      </c>
      <c r="E32" s="66">
        <v>0.15</v>
      </c>
      <c r="F32" s="66">
        <v>5.9821800000000001E-2</v>
      </c>
      <c r="G32" s="66">
        <v>0.4</v>
      </c>
      <c r="H32" s="66">
        <v>0.47797299999999998</v>
      </c>
    </row>
    <row r="33" spans="1:8">
      <c r="A33" s="58" t="s">
        <v>330</v>
      </c>
      <c r="B33" s="66">
        <v>0.233458</v>
      </c>
      <c r="C33" s="66">
        <v>2.74544E-2</v>
      </c>
      <c r="D33" s="66">
        <v>0.117599</v>
      </c>
      <c r="E33" s="66">
        <v>0</v>
      </c>
      <c r="F33" s="66">
        <v>0.170989</v>
      </c>
      <c r="G33" s="66">
        <v>0</v>
      </c>
      <c r="H33" s="66">
        <v>0.31046299999999999</v>
      </c>
    </row>
    <row r="34" spans="1:8">
      <c r="A34" s="58" t="s">
        <v>331</v>
      </c>
      <c r="B34" s="66">
        <v>0.143535</v>
      </c>
      <c r="C34" s="66">
        <v>2.3097199999999998E-2</v>
      </c>
      <c r="D34" s="66">
        <v>0.160917</v>
      </c>
      <c r="E34" s="66">
        <v>0.1</v>
      </c>
      <c r="F34" s="66">
        <v>0.106264</v>
      </c>
      <c r="G34" s="66">
        <v>0.25</v>
      </c>
      <c r="H34" s="66">
        <v>0.22831499999999999</v>
      </c>
    </row>
    <row r="35" spans="1:8">
      <c r="A35" s="58" t="s">
        <v>332</v>
      </c>
      <c r="B35" s="66">
        <v>6.0652699999999997E-2</v>
      </c>
      <c r="C35" s="66">
        <v>2.3129400000000001E-2</v>
      </c>
      <c r="D35" s="66">
        <v>0.38134200000000001</v>
      </c>
      <c r="E35" s="66">
        <v>0</v>
      </c>
      <c r="F35" s="66">
        <v>2.10037E-2</v>
      </c>
      <c r="G35" s="66">
        <v>0</v>
      </c>
      <c r="H35" s="66">
        <v>0.12853300000000001</v>
      </c>
    </row>
    <row r="36" spans="1:8">
      <c r="A36" s="58" t="s">
        <v>333</v>
      </c>
      <c r="B36" s="66">
        <v>0.13333400000000001</v>
      </c>
      <c r="C36" s="66">
        <v>7.1213399999999996E-2</v>
      </c>
      <c r="D36" s="66">
        <v>0.53409700000000004</v>
      </c>
      <c r="E36" s="66">
        <v>0</v>
      </c>
      <c r="F36" s="66">
        <v>3.8153600000000003E-2</v>
      </c>
      <c r="G36" s="66">
        <v>0</v>
      </c>
      <c r="H36" s="66">
        <v>0.51032999999999995</v>
      </c>
    </row>
    <row r="37" spans="1:8">
      <c r="A37" s="58" t="s">
        <v>334</v>
      </c>
      <c r="B37" s="66">
        <v>0.23097200000000001</v>
      </c>
      <c r="C37" s="66">
        <v>7.8753699999999996E-2</v>
      </c>
      <c r="D37" s="66">
        <v>0.34096599999999999</v>
      </c>
      <c r="E37" s="66">
        <v>0.1</v>
      </c>
      <c r="F37" s="66">
        <v>1.61689E-2</v>
      </c>
      <c r="G37" s="66">
        <v>0.5</v>
      </c>
      <c r="H37" s="66">
        <v>0.25712499999999999</v>
      </c>
    </row>
    <row r="38" spans="1:8">
      <c r="A38" s="58" t="s">
        <v>335</v>
      </c>
      <c r="B38" s="66">
        <v>-22.58</v>
      </c>
      <c r="C38" s="66">
        <v>50.907400000000003</v>
      </c>
      <c r="D38" s="66">
        <v>-2.2545299999999999</v>
      </c>
      <c r="E38" s="66">
        <v>0</v>
      </c>
      <c r="F38" s="66">
        <v>-164.126</v>
      </c>
      <c r="G38" s="66">
        <v>0</v>
      </c>
      <c r="H38" s="66">
        <v>194.60499999999999</v>
      </c>
    </row>
    <row r="39" spans="1:8">
      <c r="A39" s="58" t="s">
        <v>336</v>
      </c>
      <c r="B39" s="66">
        <v>-8.6148399999999992</v>
      </c>
      <c r="C39" s="66">
        <v>9.6605299999999996</v>
      </c>
      <c r="D39" s="66">
        <v>-1.12138</v>
      </c>
      <c r="E39" s="66">
        <v>0</v>
      </c>
      <c r="F39" s="66">
        <v>-32.002800000000001</v>
      </c>
      <c r="G39" s="66">
        <v>0</v>
      </c>
      <c r="H39" s="66">
        <v>28.3751</v>
      </c>
    </row>
    <row r="40" spans="1:8">
      <c r="A40" s="58" t="s">
        <v>337</v>
      </c>
      <c r="B40" s="66">
        <v>-4.4713399999999996</v>
      </c>
      <c r="C40" s="66">
        <v>2.2156199999999999</v>
      </c>
      <c r="D40" s="66">
        <v>-0.49551699999999999</v>
      </c>
      <c r="E40" s="66">
        <v>0</v>
      </c>
      <c r="F40" s="66">
        <v>-9.2311999999999994</v>
      </c>
      <c r="G40" s="66">
        <v>0</v>
      </c>
      <c r="H40" s="66">
        <v>0.56622899999999998</v>
      </c>
    </row>
    <row r="41" spans="1:8">
      <c r="A41" s="58" t="s">
        <v>338</v>
      </c>
      <c r="B41" s="66">
        <v>-0.125281</v>
      </c>
      <c r="C41" s="66">
        <v>0.27108300000000002</v>
      </c>
      <c r="D41" s="66">
        <v>-2.1638000000000002</v>
      </c>
      <c r="E41" s="66">
        <v>0</v>
      </c>
      <c r="F41" s="66">
        <v>-0.79946499999999998</v>
      </c>
      <c r="G41" s="66">
        <v>0</v>
      </c>
      <c r="H41" s="66">
        <v>0.75905800000000001</v>
      </c>
    </row>
    <row r="42" spans="1:8">
      <c r="A42" s="58" t="s">
        <v>339</v>
      </c>
      <c r="B42" s="66">
        <v>-0.16006400000000001</v>
      </c>
      <c r="C42" s="66">
        <v>0.119452</v>
      </c>
      <c r="D42" s="66">
        <v>-0.74627600000000005</v>
      </c>
      <c r="E42" s="66">
        <v>0</v>
      </c>
      <c r="F42" s="66">
        <v>-0.469134</v>
      </c>
      <c r="G42" s="66">
        <v>0</v>
      </c>
      <c r="H42" s="66">
        <v>0.19655900000000001</v>
      </c>
    </row>
    <row r="43" spans="1:8">
      <c r="A43" s="58" t="s">
        <v>340</v>
      </c>
      <c r="B43" s="66">
        <v>-5.4015800000000003E-2</v>
      </c>
      <c r="C43" s="66">
        <v>3.5388200000000002E-2</v>
      </c>
      <c r="D43" s="66">
        <v>-0.65514499999999998</v>
      </c>
      <c r="E43" s="66">
        <v>0</v>
      </c>
      <c r="F43" s="66">
        <v>-0.124474</v>
      </c>
      <c r="G43" s="66">
        <v>0</v>
      </c>
      <c r="H43" s="66">
        <v>3.3681200000000001E-2</v>
      </c>
    </row>
    <row r="44" spans="1:8">
      <c r="A44" s="58" t="s">
        <v>341</v>
      </c>
      <c r="B44" s="66">
        <v>11.430099999999999</v>
      </c>
      <c r="C44" s="66">
        <v>22.7209</v>
      </c>
      <c r="D44" s="66">
        <v>1.9878199999999999</v>
      </c>
      <c r="E44" s="66">
        <v>0</v>
      </c>
      <c r="F44" s="66">
        <v>-43.851199999999999</v>
      </c>
      <c r="G44" s="66">
        <v>0</v>
      </c>
      <c r="H44" s="66">
        <v>52.3401</v>
      </c>
    </row>
    <row r="45" spans="1:8">
      <c r="A45" s="58" t="s">
        <v>342</v>
      </c>
      <c r="B45" s="66">
        <v>53.893300000000004</v>
      </c>
      <c r="C45" s="66">
        <v>6.6698000000000004</v>
      </c>
      <c r="D45" s="66">
        <v>0.12375899999999999</v>
      </c>
      <c r="E45" s="66">
        <v>0</v>
      </c>
      <c r="F45" s="66">
        <v>32.728700000000003</v>
      </c>
      <c r="G45" s="66">
        <v>0</v>
      </c>
      <c r="H45" s="66">
        <v>68.8553</v>
      </c>
    </row>
    <row r="46" spans="1:8">
      <c r="A46" s="58" t="s">
        <v>343</v>
      </c>
      <c r="B46" s="66">
        <v>35.595999999999997</v>
      </c>
      <c r="C46" s="66">
        <v>8.9959399999999992</v>
      </c>
      <c r="D46" s="66">
        <v>0.25272299999999998</v>
      </c>
      <c r="E46" s="66">
        <v>0</v>
      </c>
      <c r="F46" s="66">
        <v>8.6363099999999999</v>
      </c>
      <c r="G46" s="66">
        <v>0</v>
      </c>
      <c r="H46" s="66">
        <v>43.304099999999998</v>
      </c>
    </row>
    <row r="47" spans="1:8">
      <c r="A47" s="58" t="s">
        <v>344</v>
      </c>
      <c r="B47" s="66">
        <v>1.4354100000000001</v>
      </c>
      <c r="C47" s="66">
        <v>1.4893099999999999</v>
      </c>
      <c r="D47" s="66">
        <v>1.03755</v>
      </c>
      <c r="E47" s="66">
        <v>0</v>
      </c>
      <c r="F47" s="66">
        <v>0.50409099999999996</v>
      </c>
      <c r="G47" s="66">
        <v>0</v>
      </c>
      <c r="H47" s="66">
        <v>7.4010600000000002</v>
      </c>
    </row>
    <row r="48" spans="1:8">
      <c r="A48" s="58" t="s">
        <v>345</v>
      </c>
      <c r="B48" s="66">
        <v>1.30663</v>
      </c>
      <c r="C48" s="66">
        <v>0.21309400000000001</v>
      </c>
      <c r="D48" s="66">
        <v>0.16308700000000001</v>
      </c>
      <c r="E48" s="66">
        <v>0</v>
      </c>
      <c r="F48" s="66">
        <v>0.95599000000000001</v>
      </c>
      <c r="G48" s="66">
        <v>0</v>
      </c>
      <c r="H48" s="66">
        <v>1.80328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4.6888000000000005</v>
      </c>
      <c r="C5" s="66">
        <f>'M2'!C5-'M1'!C5</f>
        <v>-12.138259999999999</v>
      </c>
      <c r="D5" s="66">
        <f>'M2'!D5-'M1'!D5</f>
        <v>-23.506939999999997</v>
      </c>
      <c r="E5" s="66">
        <f>'M2'!E5-'M1'!E5</f>
        <v>0</v>
      </c>
      <c r="F5" s="66">
        <f>'M2'!F5-'M1'!F5</f>
        <v>26.222999999999999</v>
      </c>
      <c r="G5" s="66">
        <f>'M2'!G5-'M1'!G5</f>
        <v>0</v>
      </c>
      <c r="H5" s="66">
        <f>'M2'!H5-'M1'!H5</f>
        <v>-1.6667000000000058</v>
      </c>
    </row>
    <row r="6" spans="1:8">
      <c r="A6" s="66" t="s">
        <v>244</v>
      </c>
      <c r="B6" s="66">
        <f>'M2'!B6-'M1'!B6</f>
        <v>3.3384</v>
      </c>
      <c r="C6" s="66">
        <f>'M2'!C6-'M1'!C6</f>
        <v>-0.86089999999999978</v>
      </c>
      <c r="D6" s="66">
        <f>'M2'!D6-'M1'!D6</f>
        <v>-7.0878499999999995</v>
      </c>
      <c r="E6" s="66">
        <f>'M2'!E6-'M1'!E6</f>
        <v>0</v>
      </c>
      <c r="F6" s="66">
        <f>'M2'!F6-'M1'!F6</f>
        <v>4.4578000000000024</v>
      </c>
      <c r="G6" s="66">
        <f>'M2'!G6-'M1'!G6</f>
        <v>0</v>
      </c>
      <c r="H6" s="66">
        <f>'M2'!H6-'M1'!H6</f>
        <v>1.9559999999999995</v>
      </c>
    </row>
    <row r="7" spans="1:8">
      <c r="A7" s="66" t="s">
        <v>245</v>
      </c>
      <c r="B7" s="66">
        <f>'M2'!B7-'M1'!B7</f>
        <v>3.6616999999999997</v>
      </c>
      <c r="C7" s="66">
        <f>'M2'!C7-'M1'!C7</f>
        <v>-0.50290000000000035</v>
      </c>
      <c r="D7" s="66">
        <f>'M2'!D7-'M1'!D7</f>
        <v>-8.8613</v>
      </c>
      <c r="E7" s="66">
        <f>'M2'!E7-'M1'!E7</f>
        <v>0</v>
      </c>
      <c r="F7" s="66">
        <f>'M2'!F7-'M1'!F7</f>
        <v>0.70797000000000043</v>
      </c>
      <c r="G7" s="66">
        <f>'M2'!G7-'M1'!G7</f>
        <v>0</v>
      </c>
      <c r="H7" s="66">
        <f>'M2'!H7-'M1'!H7</f>
        <v>-1.555100000000003</v>
      </c>
    </row>
    <row r="8" spans="1:8">
      <c r="A8" s="66" t="s">
        <v>246</v>
      </c>
      <c r="B8" s="66">
        <f>'M2'!B8-'M1'!B8</f>
        <v>5.345799999999997</v>
      </c>
      <c r="C8" s="66">
        <f>'M2'!C8-'M1'!C8</f>
        <v>-4.0501399999999999</v>
      </c>
      <c r="D8" s="66">
        <f>'M2'!D8-'M1'!D8</f>
        <v>-16.06269</v>
      </c>
      <c r="E8" s="66">
        <f>'M2'!E8-'M1'!E8</f>
        <v>0</v>
      </c>
      <c r="F8" s="66">
        <f>'M2'!F8-'M1'!F8</f>
        <v>16.297899999999998</v>
      </c>
      <c r="G8" s="66">
        <f>'M2'!G8-'M1'!G8</f>
        <v>0</v>
      </c>
      <c r="H8" s="66">
        <f>'M2'!H8-'M1'!H8</f>
        <v>8.7699999999998113E-2</v>
      </c>
    </row>
    <row r="9" spans="1:8">
      <c r="A9" s="66" t="s">
        <v>247</v>
      </c>
      <c r="B9" s="66">
        <f>'M2'!B9-'M1'!B9</f>
        <v>3.9175999999999931</v>
      </c>
      <c r="C9" s="66">
        <f>'M2'!C9-'M1'!C9</f>
        <v>-13.486930000000001</v>
      </c>
      <c r="D9" s="66">
        <f>'M2'!D9-'M1'!D9</f>
        <v>-38.5565</v>
      </c>
      <c r="E9" s="66">
        <f>'M2'!E9-'M1'!E9</f>
        <v>0</v>
      </c>
      <c r="F9" s="66">
        <f>'M2'!F9-'M1'!F9</f>
        <v>1.1567000000000007</v>
      </c>
      <c r="G9" s="66">
        <f>'M2'!G9-'M1'!G9</f>
        <v>0</v>
      </c>
      <c r="H9" s="66">
        <f>'M2'!H9-'M1'!H9</f>
        <v>-37.695000000000007</v>
      </c>
    </row>
    <row r="10" spans="1:8">
      <c r="A10" s="66" t="s">
        <v>248</v>
      </c>
      <c r="B10" s="66">
        <f>'M2'!B10-'M1'!B10</f>
        <v>-2.3440000000000083</v>
      </c>
      <c r="C10" s="66">
        <f>'M2'!C10-'M1'!C10</f>
        <v>-1.170493</v>
      </c>
      <c r="D10" s="66">
        <f>'M2'!D10-'M1'!D10</f>
        <v>-1.3224399999999998</v>
      </c>
      <c r="E10" s="66">
        <f>'M2'!E10-'M1'!E10</f>
        <v>0</v>
      </c>
      <c r="F10" s="66">
        <f>'M2'!F10-'M1'!F10</f>
        <v>-0.70680000000000121</v>
      </c>
      <c r="G10" s="66">
        <f>'M2'!G10-'M1'!G10</f>
        <v>0</v>
      </c>
      <c r="H10" s="66">
        <f>'M2'!H10-'M1'!H10</f>
        <v>-4.4527999999999963</v>
      </c>
    </row>
    <row r="11" spans="1:8">
      <c r="A11" s="66" t="s">
        <v>249</v>
      </c>
      <c r="B11" s="66">
        <f>'M2'!B11-'M1'!B11</f>
        <v>-0.29949999999999832</v>
      </c>
      <c r="C11" s="66">
        <f>'M2'!C11-'M1'!C11</f>
        <v>-3.6037899999999996</v>
      </c>
      <c r="D11" s="66">
        <f>'M2'!D11-'M1'!D11</f>
        <v>-11.529199999999999</v>
      </c>
      <c r="E11" s="66">
        <f>'M2'!E11-'M1'!E11</f>
        <v>0</v>
      </c>
      <c r="F11" s="66">
        <f>'M2'!F11-'M1'!F11</f>
        <v>15.15978</v>
      </c>
      <c r="G11" s="66">
        <f>'M2'!G11-'M1'!G11</f>
        <v>0</v>
      </c>
      <c r="H11" s="66">
        <f>'M2'!H11-'M1'!H11</f>
        <v>4.2276999999999987</v>
      </c>
    </row>
    <row r="12" spans="1:8">
      <c r="A12" s="66" t="s">
        <v>250</v>
      </c>
      <c r="B12" s="66">
        <f>'M2'!B12-'M1'!B12</f>
        <v>1.4836999999999989</v>
      </c>
      <c r="C12" s="66">
        <f>'M2'!C12-'M1'!C12</f>
        <v>-7.2292700000000005</v>
      </c>
      <c r="D12" s="66">
        <f>'M2'!D12-'M1'!D12</f>
        <v>-12.04147</v>
      </c>
      <c r="E12" s="66">
        <f>'M2'!E12-'M1'!E12</f>
        <v>0</v>
      </c>
      <c r="F12" s="66">
        <f>'M2'!F12-'M1'!F12</f>
        <v>0.75430000000000064</v>
      </c>
      <c r="G12" s="66">
        <f>'M2'!G12-'M1'!G12</f>
        <v>0</v>
      </c>
      <c r="H12" s="66">
        <f>'M2'!H12-'M1'!H12</f>
        <v>-20.692800000000005</v>
      </c>
    </row>
    <row r="13" spans="1:8">
      <c r="A13" s="66" t="s">
        <v>251</v>
      </c>
      <c r="B13" s="66">
        <f>'M2'!B13-'M1'!B13</f>
        <v>-0.23369999999999891</v>
      </c>
      <c r="C13" s="66">
        <f>'M2'!C13-'M1'!C13</f>
        <v>9.6579999999999888E-2</v>
      </c>
      <c r="D13" s="66">
        <f>'M2'!D13-'M1'!D13</f>
        <v>0.93210000000000015</v>
      </c>
      <c r="E13" s="66">
        <f>'M2'!E13-'M1'!E13</f>
        <v>0</v>
      </c>
      <c r="F13" s="66">
        <f>'M2'!F13-'M1'!F13</f>
        <v>-0.73939999999999984</v>
      </c>
      <c r="G13" s="66">
        <f>'M2'!G13-'M1'!G13</f>
        <v>0</v>
      </c>
      <c r="H13" s="66">
        <f>'M2'!H13-'M1'!H13</f>
        <v>0.78979999999999961</v>
      </c>
    </row>
    <row r="14" spans="1:8">
      <c r="A14" s="66" t="s">
        <v>252</v>
      </c>
      <c r="B14" s="66">
        <f>'M2'!B14-'M1'!B14</f>
        <v>0.96580000000000155</v>
      </c>
      <c r="C14" s="66">
        <f>'M2'!C14-'M1'!C14</f>
        <v>2.8906200000000011</v>
      </c>
      <c r="D14" s="66">
        <f>'M2'!D14-'M1'!D14</f>
        <v>11.127799999999997</v>
      </c>
      <c r="E14" s="66">
        <f>'M2'!E14-'M1'!E14</f>
        <v>0</v>
      </c>
      <c r="F14" s="66">
        <f>'M2'!F14-'M1'!F14</f>
        <v>-0.93815000000000004</v>
      </c>
      <c r="G14" s="66">
        <f>'M2'!G14-'M1'!G14</f>
        <v>0</v>
      </c>
      <c r="H14" s="66">
        <f>'M2'!H14-'M1'!H14</f>
        <v>3.1087999999999987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-9.0758000000000005E-2</v>
      </c>
      <c r="C18" s="66">
        <f>'M2'!C18-'M1'!C18</f>
        <v>5.0182200000000003E-2</v>
      </c>
      <c r="D18" s="66">
        <f>'M2'!D18-'M1'!D18</f>
        <v>0.15257799999999999</v>
      </c>
      <c r="E18" s="66">
        <f>'M2'!E18-'M1'!E18</f>
        <v>0</v>
      </c>
      <c r="F18" s="66">
        <f>'M2'!F18-'M1'!F18</f>
        <v>0.27871200000000002</v>
      </c>
      <c r="G18" s="66">
        <f>'M2'!G18-'M1'!G18</f>
        <v>0</v>
      </c>
      <c r="H18" s="66">
        <f>'M2'!H18-'M1'!H18</f>
        <v>0.37907600000000002</v>
      </c>
    </row>
    <row r="19" spans="1:8">
      <c r="A19" s="66" t="s">
        <v>256</v>
      </c>
      <c r="B19" s="66">
        <f>'M2'!B19-'M1'!B19</f>
        <v>-9.6021000000000023E-2</v>
      </c>
      <c r="C19" s="66">
        <f>'M2'!C19-'M1'!C19</f>
        <v>0.101502</v>
      </c>
      <c r="D19" s="66">
        <f>'M2'!D19-'M1'!D19</f>
        <v>0.28479500000000002</v>
      </c>
      <c r="E19" s="66">
        <f>'M2'!E19-'M1'!E19</f>
        <v>0</v>
      </c>
      <c r="F19" s="66">
        <f>'M2'!F19-'M1'!F19</f>
        <v>0.25490200000000002</v>
      </c>
      <c r="G19" s="66">
        <f>'M2'!G19-'M1'!G19</f>
        <v>0</v>
      </c>
      <c r="H19" s="66">
        <f>'M2'!H19-'M1'!H19</f>
        <v>0.45790599999999998</v>
      </c>
    </row>
    <row r="20" spans="1:8">
      <c r="A20" s="66" t="s">
        <v>63</v>
      </c>
      <c r="B20" s="66">
        <f>'M2'!B20-'M1'!B20</f>
        <v>-1.1788000000000002E-2</v>
      </c>
      <c r="C20" s="66">
        <f>'M2'!C20-'M1'!C20</f>
        <v>-0.49707400000000002</v>
      </c>
      <c r="D20" s="66">
        <f>'M2'!D20-'M1'!D20</f>
        <v>-15.590299999999999</v>
      </c>
      <c r="E20" s="66">
        <f>'M2'!E20-'M1'!E20</f>
        <v>0</v>
      </c>
      <c r="F20" s="66">
        <f>'M2'!F20-'M1'!F20</f>
        <v>-1.0161799999999999E-4</v>
      </c>
      <c r="G20" s="66">
        <f>'M2'!G20-'M1'!G20</f>
        <v>0</v>
      </c>
      <c r="H20" s="66">
        <f>'M2'!H20-'M1'!H20</f>
        <v>-3.55844</v>
      </c>
    </row>
    <row r="21" spans="1:8">
      <c r="A21" s="66" t="s">
        <v>64</v>
      </c>
      <c r="B21" s="66">
        <f>'M2'!B21-'M1'!B21</f>
        <v>-0.10583300000000001</v>
      </c>
      <c r="C21" s="66">
        <f>'M2'!C21-'M1'!C21</f>
        <v>-1.201195</v>
      </c>
      <c r="D21" s="66">
        <f>'M2'!D21-'M1'!D21</f>
        <v>-1.8475099999999998</v>
      </c>
      <c r="E21" s="66">
        <f>'M2'!E21-'M1'!E21</f>
        <v>0</v>
      </c>
      <c r="F21" s="66">
        <f>'M2'!F21-'M1'!F21</f>
        <v>-6.1724100000000004E-2</v>
      </c>
      <c r="G21" s="66">
        <f>'M2'!G21-'M1'!G21</f>
        <v>0</v>
      </c>
      <c r="H21" s="66">
        <f>'M2'!H21-'M1'!H21</f>
        <v>-4.47898</v>
      </c>
    </row>
    <row r="22" spans="1:8">
      <c r="A22" s="66" t="s">
        <v>65</v>
      </c>
      <c r="B22" s="66">
        <f>'M2'!B22-'M1'!B22</f>
        <v>-4.7462000000000018</v>
      </c>
      <c r="C22" s="66">
        <f>'M2'!C22-'M1'!C22</f>
        <v>-20.861799999999995</v>
      </c>
      <c r="D22" s="66">
        <f>'M2'!D22-'M1'!D22</f>
        <v>-0.37200299999999997</v>
      </c>
      <c r="E22" s="66">
        <f>'M2'!E22-'M1'!E22</f>
        <v>0</v>
      </c>
      <c r="F22" s="66">
        <f>'M2'!F22-'M1'!F22</f>
        <v>-6.0703999999999994</v>
      </c>
      <c r="G22" s="66">
        <f>'M2'!G22-'M1'!G22</f>
        <v>0</v>
      </c>
      <c r="H22" s="66">
        <f>'M2'!H22-'M1'!H22</f>
        <v>-9.429000000000002</v>
      </c>
    </row>
    <row r="23" spans="1:8">
      <c r="A23" s="66" t="s">
        <v>66</v>
      </c>
      <c r="B23" s="66">
        <f>'M2'!B23-'M1'!B23</f>
        <v>-3.2817000000000007</v>
      </c>
      <c r="C23" s="66">
        <f>'M2'!C23-'M1'!C23</f>
        <v>-3.344599999999998</v>
      </c>
      <c r="D23" s="66">
        <f>'M2'!D23-'M1'!D23</f>
        <v>-4.6737000000000029E-2</v>
      </c>
      <c r="E23" s="66">
        <f>'M2'!E23-'M1'!E23</f>
        <v>0</v>
      </c>
      <c r="F23" s="66">
        <f>'M2'!F23-'M1'!F23</f>
        <v>12.525599999999999</v>
      </c>
      <c r="G23" s="66">
        <f>'M2'!G23-'M1'!G23</f>
        <v>0</v>
      </c>
      <c r="H23" s="66">
        <f>'M2'!H23-'M1'!H23</f>
        <v>4.6944000000000017</v>
      </c>
    </row>
    <row r="24" spans="1:8">
      <c r="A24" s="66" t="s">
        <v>67</v>
      </c>
      <c r="B24" s="66">
        <f>'M2'!B24-'M1'!B24</f>
        <v>-1.14515E-2</v>
      </c>
      <c r="C24" s="66">
        <f>'M2'!C24-'M1'!C24</f>
        <v>-0.44715300000000002</v>
      </c>
      <c r="D24" s="66">
        <f>'M2'!D24-'M1'!D24</f>
        <v>-13.265569999999999</v>
      </c>
      <c r="E24" s="66">
        <f>'M2'!E24-'M1'!E24</f>
        <v>0</v>
      </c>
      <c r="F24" s="66">
        <f>'M2'!F24-'M1'!F24</f>
        <v>-2.5796999999999994E-4</v>
      </c>
      <c r="G24" s="66">
        <f>'M2'!G24-'M1'!G24</f>
        <v>0</v>
      </c>
      <c r="H24" s="66">
        <f>'M2'!H24-'M1'!H24</f>
        <v>-2.7649239999999997</v>
      </c>
    </row>
    <row r="25" spans="1:8">
      <c r="A25" s="66" t="s">
        <v>68</v>
      </c>
      <c r="B25" s="66">
        <f>'M2'!B25-'M1'!B25</f>
        <v>-6.6247999999999974E-2</v>
      </c>
      <c r="C25" s="66">
        <f>'M2'!C25-'M1'!C25</f>
        <v>-0.65959999999999996</v>
      </c>
      <c r="D25" s="66">
        <f>'M2'!D25-'M1'!D25</f>
        <v>-0.85572999999999988</v>
      </c>
      <c r="E25" s="66">
        <f>'M2'!E25-'M1'!E25</f>
        <v>0</v>
      </c>
      <c r="F25" s="66">
        <f>'M2'!F25-'M1'!F25</f>
        <v>-9.247699999999999E-2</v>
      </c>
      <c r="G25" s="66">
        <f>'M2'!G25-'M1'!G25</f>
        <v>0</v>
      </c>
      <c r="H25" s="66">
        <f>'M2'!H25-'M1'!H25</f>
        <v>-0.12600999999999996</v>
      </c>
    </row>
    <row r="26" spans="1:8">
      <c r="A26" s="66" t="s">
        <v>69</v>
      </c>
      <c r="B26" s="66">
        <f>'M2'!B26-'M1'!B26</f>
        <v>-2.5735300000000001E-3</v>
      </c>
      <c r="C26" s="66">
        <f>'M2'!C26-'M1'!C26</f>
        <v>-3.3475499999999998E-2</v>
      </c>
      <c r="D26" s="66">
        <f>'M2'!D26-'M1'!D26</f>
        <v>-3.3162599999999989</v>
      </c>
      <c r="E26" s="66">
        <f>'M2'!E26-'M1'!E26</f>
        <v>0</v>
      </c>
      <c r="F26" s="66">
        <f>'M2'!F26-'M1'!F26</f>
        <v>-5.5803699999999989E-5</v>
      </c>
      <c r="G26" s="66">
        <f>'M2'!G26-'M1'!G26</f>
        <v>0</v>
      </c>
      <c r="H26" s="66">
        <f>'M2'!H26-'M1'!H26</f>
        <v>-0.142286</v>
      </c>
    </row>
    <row r="27" spans="1:8">
      <c r="A27" s="66" t="s">
        <v>70</v>
      </c>
      <c r="B27" s="66">
        <f>'M2'!B27-'M1'!B27</f>
        <v>7.7140189999999996E-5</v>
      </c>
      <c r="C27" s="66">
        <f>'M2'!C27-'M1'!C27</f>
        <v>-7.9123500000000003E-3</v>
      </c>
      <c r="D27" s="66">
        <f>'M2'!D27-'M1'!D27</f>
        <v>-423.90499999999997</v>
      </c>
      <c r="E27" s="66">
        <f>'M2'!E27-'M1'!E27</f>
        <v>0</v>
      </c>
      <c r="F27" s="66">
        <f>'M2'!F27-'M1'!F27</f>
        <v>0.11032409999999998</v>
      </c>
      <c r="G27" s="66">
        <f>'M2'!G27-'M1'!G27</f>
        <v>0</v>
      </c>
      <c r="H27" s="66">
        <f>'M2'!H27-'M1'!H27</f>
        <v>-8.2819300000000012E-2</v>
      </c>
    </row>
    <row r="28" spans="1:8">
      <c r="A28" s="66" t="s">
        <v>71</v>
      </c>
      <c r="B28" s="66">
        <f>'M2'!B28-'M1'!B28</f>
        <v>-1.5654300000000003E-2</v>
      </c>
      <c r="C28" s="66">
        <f>'M2'!C28-'M1'!C28</f>
        <v>-3.4275300000000002E-2</v>
      </c>
      <c r="D28" s="66">
        <f>'M2'!D28-'M1'!D28</f>
        <v>-0.2570309999999999</v>
      </c>
      <c r="E28" s="66">
        <f>'M2'!E28-'M1'!E28</f>
        <v>0</v>
      </c>
      <c r="F28" s="66">
        <f>'M2'!F28-'M1'!F28</f>
        <v>-6.1003000000000003E-3</v>
      </c>
      <c r="G28" s="66">
        <f>'M2'!G28-'M1'!G28</f>
        <v>0</v>
      </c>
      <c r="H28" s="66">
        <f>'M2'!H28-'M1'!H28</f>
        <v>-7.5632000000000033E-2</v>
      </c>
    </row>
    <row r="29" spans="1:8">
      <c r="A29" s="66" t="s">
        <v>72</v>
      </c>
      <c r="B29" s="66">
        <f>'M2'!B29-'M1'!B29</f>
        <v>-0.29009999999999536</v>
      </c>
      <c r="C29" s="66">
        <f>'M2'!C29-'M1'!C29</f>
        <v>-7.3307000000000002</v>
      </c>
      <c r="D29" s="66">
        <f>'M2'!D29-'M1'!D29</f>
        <v>-8.3592999999999973E-2</v>
      </c>
      <c r="E29" s="66">
        <f>'M2'!E29-'M1'!E29</f>
        <v>0</v>
      </c>
      <c r="F29" s="66">
        <f>'M2'!F29-'M1'!F29</f>
        <v>-9.8461999999999961</v>
      </c>
      <c r="G29" s="66">
        <f>'M2'!G29-'M1'!G29</f>
        <v>0</v>
      </c>
      <c r="H29" s="66">
        <f>'M2'!H29-'M1'!H29</f>
        <v>-7.4570000000000221</v>
      </c>
    </row>
    <row r="30" spans="1:8">
      <c r="A30" s="66" t="s">
        <v>73</v>
      </c>
      <c r="B30" s="66">
        <f>'M2'!B30-'M1'!B30</f>
        <v>-2.2981000000000051</v>
      </c>
      <c r="C30" s="66">
        <f>'M2'!C30-'M1'!C30</f>
        <v>-7.4476999999999993</v>
      </c>
      <c r="D30" s="66">
        <f>'M2'!D30-'M1'!D30</f>
        <v>-0.114258</v>
      </c>
      <c r="E30" s="66">
        <f>'M2'!E30-'M1'!E30</f>
        <v>0</v>
      </c>
      <c r="F30" s="66">
        <f>'M2'!F30-'M1'!F30</f>
        <v>23.5596</v>
      </c>
      <c r="G30" s="66">
        <f>'M2'!G30-'M1'!G30</f>
        <v>0</v>
      </c>
      <c r="H30" s="66">
        <f>'M2'!H30-'M1'!H30</f>
        <v>2.2990000000000066</v>
      </c>
    </row>
    <row r="31" spans="1:8">
      <c r="A31" s="66" t="s">
        <v>74</v>
      </c>
      <c r="B31" s="66">
        <f>'M2'!B31-'M1'!B31</f>
        <v>64.516999999999996</v>
      </c>
      <c r="C31" s="66">
        <f>'M2'!C31-'M1'!C31</f>
        <v>-22.972099999999998</v>
      </c>
      <c r="D31" s="66">
        <f>'M2'!D31-'M1'!D31</f>
        <v>-0.20169300000000001</v>
      </c>
      <c r="E31" s="66">
        <f>'M2'!E31-'M1'!E31</f>
        <v>0</v>
      </c>
      <c r="F31" s="66">
        <f>'M2'!F31-'M1'!F31</f>
        <v>61.595200000000006</v>
      </c>
      <c r="G31" s="66">
        <f>'M2'!G31-'M1'!G31</f>
        <v>0</v>
      </c>
      <c r="H31" s="66">
        <f>'M2'!H31-'M1'!H31</f>
        <v>-4.7330000000000041</v>
      </c>
    </row>
    <row r="32" spans="1:8">
      <c r="A32" s="66" t="s">
        <v>75</v>
      </c>
      <c r="B32" s="66">
        <f>'M2'!B32-'M1'!B32</f>
        <v>3.6617000000000011E-2</v>
      </c>
      <c r="C32" s="66">
        <f>'M2'!C32-'M1'!C32</f>
        <v>-5.0290000000000057E-3</v>
      </c>
      <c r="D32" s="66">
        <f>'M2'!D32-'M1'!D32</f>
        <v>-8.8612999999999997E-2</v>
      </c>
      <c r="E32" s="66">
        <f>'M2'!E32-'M1'!E32</f>
        <v>0</v>
      </c>
      <c r="F32" s="66">
        <f>'M2'!F32-'M1'!F32</f>
        <v>7.0797000000000013E-3</v>
      </c>
      <c r="G32" s="66">
        <f>'M2'!G32-'M1'!G32</f>
        <v>0</v>
      </c>
      <c r="H32" s="66">
        <f>'M2'!H32-'M1'!H32</f>
        <v>-1.5550999999999982E-2</v>
      </c>
    </row>
    <row r="33" spans="1:8">
      <c r="A33" s="66" t="s">
        <v>76</v>
      </c>
      <c r="B33" s="66">
        <f>'M2'!B33-'M1'!B33</f>
        <v>3.8060999999999984E-2</v>
      </c>
      <c r="C33" s="66">
        <f>'M2'!C33-'M1'!C33</f>
        <v>-3.4089999999999988E-3</v>
      </c>
      <c r="D33" s="66">
        <f>'M2'!D33-'M1'!D33</f>
        <v>-2.8676499999999994E-2</v>
      </c>
      <c r="E33" s="66">
        <f>'M2'!E33-'M1'!E33</f>
        <v>0</v>
      </c>
      <c r="F33" s="66">
        <f>'M2'!F33-'M1'!F33</f>
        <v>4.6307999999999988E-2</v>
      </c>
      <c r="G33" s="66">
        <f>'M2'!G33-'M1'!G33</f>
        <v>0</v>
      </c>
      <c r="H33" s="66">
        <f>'M2'!H33-'M1'!H33</f>
        <v>-9.5310000000000117E-3</v>
      </c>
    </row>
    <row r="34" spans="1:8">
      <c r="A34" s="66" t="s">
        <v>77</v>
      </c>
      <c r="B34" s="66">
        <f>'M2'!B34-'M1'!B34</f>
        <v>-2.336999999999978E-3</v>
      </c>
      <c r="C34" s="66">
        <f>'M2'!C34-'M1'!C34</f>
        <v>9.657999999999993E-4</v>
      </c>
      <c r="D34" s="66">
        <f>'M2'!D34-'M1'!D34</f>
        <v>9.320999999999996E-3</v>
      </c>
      <c r="E34" s="66">
        <f>'M2'!E34-'M1'!E34</f>
        <v>0</v>
      </c>
      <c r="F34" s="66">
        <f>'M2'!F34-'M1'!F34</f>
        <v>-7.3939999999999978E-3</v>
      </c>
      <c r="G34" s="66">
        <f>'M2'!G34-'M1'!G34</f>
        <v>0</v>
      </c>
      <c r="H34" s="66">
        <f>'M2'!H34-'M1'!H34</f>
        <v>7.8979999999999884E-3</v>
      </c>
    </row>
    <row r="35" spans="1:8">
      <c r="A35" s="66" t="s">
        <v>78</v>
      </c>
      <c r="B35" s="66">
        <f>'M2'!B35-'M1'!B35</f>
        <v>-2.2956000000000018E-3</v>
      </c>
      <c r="C35" s="66">
        <f>'M2'!C35-'M1'!C35</f>
        <v>-5.8304999999999989E-3</v>
      </c>
      <c r="D35" s="66">
        <f>'M2'!D35-'M1'!D35</f>
        <v>-8.1747000000000014E-2</v>
      </c>
      <c r="E35" s="66">
        <f>'M2'!E35-'M1'!E35</f>
        <v>0</v>
      </c>
      <c r="F35" s="66">
        <f>'M2'!F35-'M1'!F35</f>
        <v>-2.8807999999999993E-3</v>
      </c>
      <c r="G35" s="66">
        <f>'M2'!G35-'M1'!G35</f>
        <v>0</v>
      </c>
      <c r="H35" s="66">
        <f>'M2'!H35-'M1'!H35</f>
        <v>-3.8320000000000021E-3</v>
      </c>
    </row>
    <row r="36" spans="1:8">
      <c r="A36" s="66" t="s">
        <v>79</v>
      </c>
      <c r="B36" s="66">
        <f>'M2'!B36-'M1'!B36</f>
        <v>6.3199999999999923E-3</v>
      </c>
      <c r="C36" s="66">
        <f>'M2'!C36-'M1'!C36</f>
        <v>-8.8378000000000068E-3</v>
      </c>
      <c r="D36" s="66">
        <f>'M2'!D36-'M1'!D36</f>
        <v>-9.177200000000002E-2</v>
      </c>
      <c r="E36" s="66">
        <f>'M2'!E36-'M1'!E36</f>
        <v>0</v>
      </c>
      <c r="F36" s="66">
        <f>'M2'!F36-'M1'!F36</f>
        <v>3.3511999999999986E-3</v>
      </c>
      <c r="G36" s="66">
        <f>'M2'!G36-'M1'!G36</f>
        <v>0</v>
      </c>
      <c r="H36" s="66">
        <f>'M2'!H36-'M1'!H36</f>
        <v>-7.2289999999999965E-2</v>
      </c>
    </row>
    <row r="37" spans="1:8">
      <c r="A37" s="66" t="s">
        <v>80</v>
      </c>
      <c r="B37" s="66">
        <f>'M2'!B37-'M1'!B37</f>
        <v>9.6579999999999999E-3</v>
      </c>
      <c r="C37" s="66">
        <f>'M2'!C37-'M1'!C37</f>
        <v>2.8906199999999993E-2</v>
      </c>
      <c r="D37" s="66">
        <f>'M2'!D37-'M1'!D37</f>
        <v>0.11127799999999999</v>
      </c>
      <c r="E37" s="66">
        <f>'M2'!E37-'M1'!E37</f>
        <v>0</v>
      </c>
      <c r="F37" s="66">
        <f>'M2'!F37-'M1'!F37</f>
        <v>-9.3815000000000009E-3</v>
      </c>
      <c r="G37" s="66">
        <f>'M2'!G37-'M1'!G37</f>
        <v>0</v>
      </c>
      <c r="H37" s="66">
        <f>'M2'!H37-'M1'!H37</f>
        <v>3.1088000000000005E-2</v>
      </c>
    </row>
    <row r="38" spans="1:8">
      <c r="A38" s="66" t="s">
        <v>81</v>
      </c>
      <c r="B38" s="66">
        <f>'M2'!B38-'M1'!B38</f>
        <v>7.6999999999998181E-3</v>
      </c>
      <c r="C38" s="66">
        <f>'M2'!C38-'M1'!C38</f>
        <v>-6.6366999999999976</v>
      </c>
      <c r="D38" s="66">
        <f>'M2'!D38-'M1'!D38</f>
        <v>0.29320000000000013</v>
      </c>
      <c r="E38" s="66">
        <f>'M2'!E38-'M1'!E38</f>
        <v>0</v>
      </c>
      <c r="F38" s="66">
        <f>'M2'!F38-'M1'!F38</f>
        <v>40.796000000000006</v>
      </c>
      <c r="G38" s="66">
        <f>'M2'!G38-'M1'!G38</f>
        <v>0</v>
      </c>
      <c r="H38" s="66">
        <f>'M2'!H38-'M1'!H38</f>
        <v>-70.577999999999989</v>
      </c>
    </row>
    <row r="39" spans="1:8">
      <c r="A39" s="66" t="s">
        <v>82</v>
      </c>
      <c r="B39" s="66">
        <f>'M2'!B39-'M1'!B39</f>
        <v>-2.3365799999999997</v>
      </c>
      <c r="C39" s="66">
        <f>'M2'!C39-'M1'!C39</f>
        <v>-3.6778999999999993</v>
      </c>
      <c r="D39" s="66">
        <f>'M2'!D39-'M1'!D39</f>
        <v>0.70750700000000011</v>
      </c>
      <c r="E39" s="66">
        <f>'M2'!E39-'M1'!E39</f>
        <v>0</v>
      </c>
      <c r="F39" s="66">
        <f>'M2'!F39-'M1'!F39</f>
        <v>-6.0937000000000019</v>
      </c>
      <c r="G39" s="66">
        <f>'M2'!G39-'M1'!G39</f>
        <v>0</v>
      </c>
      <c r="H39" s="66">
        <f>'M2'!H39-'M1'!H39</f>
        <v>-18.507669999999997</v>
      </c>
    </row>
    <row r="40" spans="1:8">
      <c r="A40" s="66" t="s">
        <v>83</v>
      </c>
      <c r="B40" s="66">
        <f>'M2'!B40-'M1'!B40</f>
        <v>-2.5347299999999997</v>
      </c>
      <c r="C40" s="66">
        <f>'M2'!C40-'M1'!C40</f>
        <v>0.20183000000000018</v>
      </c>
      <c r="D40" s="66">
        <f>'M2'!D40-'M1'!D40</f>
        <v>0.17843799999999993</v>
      </c>
      <c r="E40" s="66">
        <f>'M2'!E40-'M1'!E40</f>
        <v>0</v>
      </c>
      <c r="F40" s="66">
        <f>'M2'!F40-'M1'!F40</f>
        <v>-2.7300899999999997</v>
      </c>
      <c r="G40" s="66">
        <f>'M2'!G40-'M1'!G40</f>
        <v>0</v>
      </c>
      <c r="H40" s="66">
        <f>'M2'!H40-'M1'!H40</f>
        <v>-2.6421189999999997</v>
      </c>
    </row>
    <row r="41" spans="1:8">
      <c r="A41" s="66" t="s">
        <v>84</v>
      </c>
      <c r="B41" s="66">
        <f>'M2'!B41-'M1'!B41</f>
        <v>-2.9943999999999998E-2</v>
      </c>
      <c r="C41" s="66">
        <f>'M2'!C41-'M1'!C41</f>
        <v>3.8975000000000037E-2</v>
      </c>
      <c r="D41" s="66">
        <f>'M2'!D41-'M1'!D41</f>
        <v>0.22987000000000002</v>
      </c>
      <c r="E41" s="66">
        <f>'M2'!E41-'M1'!E41</f>
        <v>0</v>
      </c>
      <c r="F41" s="66">
        <f>'M2'!F41-'M1'!F41</f>
        <v>3.2672000000000034E-2</v>
      </c>
      <c r="G41" s="66">
        <f>'M2'!G41-'M1'!G41</f>
        <v>0</v>
      </c>
      <c r="H41" s="66">
        <f>'M2'!H41-'M1'!H41</f>
        <v>0.19642000000000004</v>
      </c>
    </row>
    <row r="42" spans="1:8">
      <c r="A42" s="66" t="s">
        <v>85</v>
      </c>
      <c r="B42" s="66">
        <f>'M2'!B42-'M1'!B42</f>
        <v>-6.2667E-2</v>
      </c>
      <c r="C42" s="66">
        <f>'M2'!C42-'M1'!C42</f>
        <v>-2.4262999999999993E-2</v>
      </c>
      <c r="D42" s="66">
        <f>'M2'!D42-'M1'!D42</f>
        <v>0.51652900000000002</v>
      </c>
      <c r="E42" s="66">
        <f>'M2'!E42-'M1'!E42</f>
        <v>0</v>
      </c>
      <c r="F42" s="66">
        <f>'M2'!F42-'M1'!F42</f>
        <v>1.863999999999999E-2</v>
      </c>
      <c r="G42" s="66">
        <f>'M2'!G42-'M1'!G42</f>
        <v>0</v>
      </c>
      <c r="H42" s="66">
        <f>'M2'!H42-'M1'!H42</f>
        <v>-0.13834370000000001</v>
      </c>
    </row>
    <row r="43" spans="1:8">
      <c r="A43" s="66" t="s">
        <v>86</v>
      </c>
      <c r="B43" s="66">
        <f>'M2'!B43-'M1'!B43</f>
        <v>-3.5910000000000108E-4</v>
      </c>
      <c r="C43" s="66">
        <f>'M2'!C43-'M1'!C43</f>
        <v>1.3291100000000004E-2</v>
      </c>
      <c r="D43" s="66">
        <f>'M2'!D43-'M1'!D43</f>
        <v>-0.242641</v>
      </c>
      <c r="E43" s="66">
        <f>'M2'!E43-'M1'!E43</f>
        <v>0</v>
      </c>
      <c r="F43" s="66">
        <f>'M2'!F43-'M1'!F43</f>
        <v>-2.4285000000000001E-2</v>
      </c>
      <c r="G43" s="66">
        <f>'M2'!G43-'M1'!G43</f>
        <v>0</v>
      </c>
      <c r="H43" s="66">
        <f>'M2'!H43-'M1'!H43</f>
        <v>-3.0241320000000002E-2</v>
      </c>
    </row>
    <row r="44" spans="1:8">
      <c r="A44" s="66" t="s">
        <v>87</v>
      </c>
      <c r="B44" s="66">
        <f>'M2'!B44-'M1'!B44</f>
        <v>3.8971099999999996</v>
      </c>
      <c r="C44" s="66">
        <f>'M2'!C44-'M1'!C44</f>
        <v>17.272500000000001</v>
      </c>
      <c r="D44" s="66">
        <f>'M2'!D44-'M1'!D44</f>
        <v>0.91049000000000002</v>
      </c>
      <c r="E44" s="66">
        <f>'M2'!E44-'M1'!E44</f>
        <v>0</v>
      </c>
      <c r="F44" s="66">
        <f>'M2'!F44-'M1'!F44</f>
        <v>-28.451999999999998</v>
      </c>
      <c r="G44" s="66">
        <f>'M2'!G44-'M1'!G44</f>
        <v>0</v>
      </c>
      <c r="H44" s="66">
        <f>'M2'!H44-'M1'!H44</f>
        <v>17.676899999999996</v>
      </c>
    </row>
    <row r="45" spans="1:8">
      <c r="A45" s="66" t="s">
        <v>88</v>
      </c>
      <c r="B45" s="66">
        <f>'M2'!B45-'M1'!B45</f>
        <v>0.11529999999999774</v>
      </c>
      <c r="C45" s="66">
        <f>'M2'!C45-'M1'!C45</f>
        <v>-1.6749100000000006</v>
      </c>
      <c r="D45" s="66">
        <f>'M2'!D45-'M1'!D45</f>
        <v>-3.1331999999999985E-2</v>
      </c>
      <c r="E45" s="66">
        <f>'M2'!E45-'M1'!E45</f>
        <v>0</v>
      </c>
      <c r="F45" s="66">
        <f>'M2'!F45-'M1'!F45</f>
        <v>8.7533999999999992</v>
      </c>
      <c r="G45" s="66">
        <f>'M2'!G45-'M1'!G45</f>
        <v>0</v>
      </c>
      <c r="H45" s="66">
        <f>'M2'!H45-'M1'!H45</f>
        <v>-3.4145000000000039</v>
      </c>
    </row>
    <row r="46" spans="1:8">
      <c r="A46" s="66" t="s">
        <v>89</v>
      </c>
      <c r="B46" s="66">
        <f>'M2'!B46-'M1'!B46</f>
        <v>3.5955000000000013</v>
      </c>
      <c r="C46" s="66">
        <f>'M2'!C46-'M1'!C46</f>
        <v>-8.0762900000000002</v>
      </c>
      <c r="D46" s="66">
        <f>'M2'!D46-'M1'!D46</f>
        <v>-0.25434839999999997</v>
      </c>
      <c r="E46" s="66">
        <f>'M2'!E46-'M1'!E46</f>
        <v>0</v>
      </c>
      <c r="F46" s="66">
        <f>'M2'!F46-'M1'!F46</f>
        <v>21.42089</v>
      </c>
      <c r="G46" s="66">
        <f>'M2'!G46-'M1'!G46</f>
        <v>0</v>
      </c>
      <c r="H46" s="66">
        <f>'M2'!H46-'M1'!H46</f>
        <v>-2.7444999999999951</v>
      </c>
    </row>
    <row r="47" spans="1:8">
      <c r="A47" s="66" t="s">
        <v>90</v>
      </c>
      <c r="B47" s="66">
        <f>'M2'!B47-'M1'!B47</f>
        <v>9.2699999999998894E-3</v>
      </c>
      <c r="C47" s="66">
        <f>'M2'!C47-'M1'!C47</f>
        <v>-0.34004999999999996</v>
      </c>
      <c r="D47" s="66">
        <f>'M2'!D47-'M1'!D47</f>
        <v>-0.24452099999999988</v>
      </c>
      <c r="E47" s="66">
        <f>'M2'!E47-'M1'!E47</f>
        <v>0</v>
      </c>
      <c r="F47" s="66">
        <f>'M2'!F47-'M1'!F47</f>
        <v>-0.31370000000000009</v>
      </c>
      <c r="G47" s="66">
        <f>'M2'!G47-'M1'!G47</f>
        <v>0</v>
      </c>
      <c r="H47" s="66">
        <f>'M2'!H47-'M1'!H47</f>
        <v>-3.2530000000000392E-2</v>
      </c>
    </row>
    <row r="48" spans="1:8">
      <c r="A48" s="66" t="s">
        <v>91</v>
      </c>
      <c r="B48" s="66">
        <f>'M2'!B48-'M1'!B48</f>
        <v>-0.17666999999999988</v>
      </c>
      <c r="C48" s="66">
        <f>'M2'!C48-'M1'!C48</f>
        <v>-2.7674000000000004E-2</v>
      </c>
      <c r="D48" s="66">
        <f>'M2'!D48-'M1'!D48</f>
        <v>-2.3700000000001498E-4</v>
      </c>
      <c r="E48" s="66">
        <f>'M2'!E48-'M1'!E48</f>
        <v>0</v>
      </c>
      <c r="F48" s="66">
        <f>'M2'!F48-'M1'!F48</f>
        <v>-6.6520000000000024E-2</v>
      </c>
      <c r="G48" s="66">
        <f>'M2'!G48-'M1'!G48</f>
        <v>0</v>
      </c>
      <c r="H48" s="66">
        <f>'M2'!H48-'M1'!H48</f>
        <v>-0.13946999999999998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53.4773</v>
      </c>
      <c r="C5" s="66">
        <v>17.5047</v>
      </c>
      <c r="D5" s="66">
        <v>32.732999999999997</v>
      </c>
      <c r="E5" s="66">
        <v>20</v>
      </c>
      <c r="F5" s="66">
        <v>11.779299999999999</v>
      </c>
      <c r="G5" s="66">
        <v>50</v>
      </c>
      <c r="H5" s="66">
        <v>66.542000000000002</v>
      </c>
    </row>
    <row r="6" spans="1:8">
      <c r="A6" s="66" t="s">
        <v>358</v>
      </c>
      <c r="B6" s="66">
        <v>16.5185</v>
      </c>
      <c r="C6" s="66">
        <v>2.7042099999999998</v>
      </c>
      <c r="D6" s="66">
        <v>16.370799999999999</v>
      </c>
      <c r="E6" s="66">
        <v>20</v>
      </c>
      <c r="F6" s="66">
        <v>12.677199999999999</v>
      </c>
      <c r="G6" s="66">
        <v>40</v>
      </c>
      <c r="H6" s="66">
        <v>22.753399999999999</v>
      </c>
    </row>
    <row r="7" spans="1:8">
      <c r="A7" s="66" t="s">
        <v>359</v>
      </c>
      <c r="B7" s="66">
        <v>23.308700000000002</v>
      </c>
      <c r="C7" s="66">
        <v>12.011900000000001</v>
      </c>
      <c r="D7" s="66">
        <v>51.533999999999999</v>
      </c>
      <c r="E7" s="66">
        <v>15</v>
      </c>
      <c r="F7" s="66">
        <v>5.9821799999999996</v>
      </c>
      <c r="G7" s="66">
        <v>40</v>
      </c>
      <c r="H7" s="66">
        <v>47.7973</v>
      </c>
    </row>
    <row r="8" spans="1:8">
      <c r="A8" s="66" t="s">
        <v>360</v>
      </c>
      <c r="B8" s="66">
        <v>28.357900000000001</v>
      </c>
      <c r="C8" s="66">
        <v>7.23346</v>
      </c>
      <c r="D8" s="66">
        <v>25.5077</v>
      </c>
      <c r="E8" s="66">
        <v>20</v>
      </c>
      <c r="F8" s="66">
        <v>12.473800000000001</v>
      </c>
      <c r="G8" s="66">
        <v>50</v>
      </c>
      <c r="H8" s="66">
        <v>41.2607</v>
      </c>
    </row>
    <row r="9" spans="1:8">
      <c r="A9" s="66" t="s">
        <v>361</v>
      </c>
      <c r="B9" s="66">
        <v>36.466500000000003</v>
      </c>
      <c r="C9" s="66">
        <v>19.3963</v>
      </c>
      <c r="D9" s="66">
        <v>53.189399999999999</v>
      </c>
      <c r="E9" s="66">
        <v>50</v>
      </c>
      <c r="F9" s="66">
        <v>23.585100000000001</v>
      </c>
      <c r="G9" s="66">
        <v>100</v>
      </c>
      <c r="H9" s="66">
        <v>90.469800000000006</v>
      </c>
    </row>
    <row r="10" spans="1:8">
      <c r="A10" s="66" t="s">
        <v>362</v>
      </c>
      <c r="B10" s="66">
        <v>86.402500000000003</v>
      </c>
      <c r="C10" s="66">
        <v>2.17028</v>
      </c>
      <c r="D10" s="66">
        <v>2.5118299999999998</v>
      </c>
      <c r="E10" s="66">
        <v>40</v>
      </c>
      <c r="F10" s="66">
        <v>81.456699999999998</v>
      </c>
      <c r="G10" s="66">
        <v>100</v>
      </c>
      <c r="H10" s="66">
        <v>89.994100000000003</v>
      </c>
    </row>
    <row r="11" spans="1:8">
      <c r="A11" s="66" t="s">
        <v>363</v>
      </c>
      <c r="B11" s="66">
        <v>30.9331</v>
      </c>
      <c r="C11" s="66">
        <v>7.4344599999999996</v>
      </c>
      <c r="D11" s="66">
        <v>24.033999999999999</v>
      </c>
      <c r="E11" s="66">
        <v>10</v>
      </c>
      <c r="F11" s="66">
        <v>9.8603199999999998</v>
      </c>
      <c r="G11" s="66">
        <v>50</v>
      </c>
      <c r="H11" s="66">
        <v>33.777200000000001</v>
      </c>
    </row>
    <row r="12" spans="1:8">
      <c r="A12" s="66" t="s">
        <v>364</v>
      </c>
      <c r="B12" s="66">
        <v>60.678899999999999</v>
      </c>
      <c r="C12" s="66">
        <v>10.471500000000001</v>
      </c>
      <c r="D12" s="66">
        <v>17.257200000000001</v>
      </c>
      <c r="E12" s="66">
        <v>50</v>
      </c>
      <c r="F12" s="66">
        <v>52.590899999999998</v>
      </c>
      <c r="G12" s="66">
        <v>100</v>
      </c>
      <c r="H12" s="66">
        <v>89.604200000000006</v>
      </c>
    </row>
    <row r="13" spans="1:8">
      <c r="A13" s="66" t="s">
        <v>365</v>
      </c>
      <c r="B13" s="66">
        <v>14.502599999999999</v>
      </c>
      <c r="C13" s="66">
        <v>2.26037</v>
      </c>
      <c r="D13" s="66">
        <v>15.586</v>
      </c>
      <c r="E13" s="66">
        <v>10</v>
      </c>
      <c r="F13" s="66">
        <v>11.3658</v>
      </c>
      <c r="G13" s="66">
        <v>25</v>
      </c>
      <c r="H13" s="66">
        <v>22.041699999999999</v>
      </c>
    </row>
    <row r="14" spans="1:8">
      <c r="A14" s="66" t="s">
        <v>366</v>
      </c>
      <c r="B14" s="66">
        <v>22.6037</v>
      </c>
      <c r="C14" s="66">
        <v>6.2693199999999996</v>
      </c>
      <c r="D14" s="66">
        <v>27.735800000000001</v>
      </c>
      <c r="E14" s="66">
        <v>10</v>
      </c>
      <c r="F14" s="66">
        <v>2.55504</v>
      </c>
      <c r="G14" s="66">
        <v>50</v>
      </c>
      <c r="H14" s="66">
        <v>22.6037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0.41965200000000003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0.45242500000000002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2.3286000000000001E-2</v>
      </c>
      <c r="C20" s="66">
        <v>0.62781399999999998</v>
      </c>
      <c r="D20" s="66">
        <v>26.960999999999999</v>
      </c>
      <c r="E20" s="66">
        <v>0</v>
      </c>
      <c r="F20" s="66">
        <v>3.1292499999999998E-4</v>
      </c>
      <c r="G20" s="66">
        <v>0</v>
      </c>
      <c r="H20" s="66">
        <v>4.5668800000000003</v>
      </c>
    </row>
    <row r="21" spans="1:8">
      <c r="A21" s="66" t="s">
        <v>373</v>
      </c>
      <c r="B21" s="66">
        <v>0.51374600000000004</v>
      </c>
      <c r="C21" s="66">
        <v>2.17266</v>
      </c>
      <c r="D21" s="66">
        <v>4.2290599999999996</v>
      </c>
      <c r="E21" s="66">
        <v>0</v>
      </c>
      <c r="F21" s="66">
        <v>8.7851200000000004E-2</v>
      </c>
      <c r="G21" s="66">
        <v>0</v>
      </c>
      <c r="H21" s="66">
        <v>9.6932299999999998</v>
      </c>
    </row>
    <row r="22" spans="1:8">
      <c r="A22" s="66" t="s">
        <v>374</v>
      </c>
      <c r="B22" s="66">
        <v>45.920999999999999</v>
      </c>
      <c r="C22" s="66">
        <v>53.644199999999998</v>
      </c>
      <c r="D22" s="66">
        <v>1.16818</v>
      </c>
      <c r="E22" s="66">
        <v>0</v>
      </c>
      <c r="F22" s="66">
        <v>25.159800000000001</v>
      </c>
      <c r="G22" s="66">
        <v>0</v>
      </c>
      <c r="H22" s="66">
        <v>190.62</v>
      </c>
    </row>
    <row r="23" spans="1:8">
      <c r="A23" s="66" t="s">
        <v>375</v>
      </c>
      <c r="B23" s="66">
        <v>53.306699999999999</v>
      </c>
      <c r="C23" s="66">
        <v>16.351099999999999</v>
      </c>
      <c r="D23" s="66">
        <v>0.30673600000000001</v>
      </c>
      <c r="E23" s="66">
        <v>0</v>
      </c>
      <c r="F23" s="66">
        <v>12.1121</v>
      </c>
      <c r="G23" s="66">
        <v>0</v>
      </c>
      <c r="H23" s="66">
        <v>58.770499999999998</v>
      </c>
    </row>
    <row r="24" spans="1:8">
      <c r="A24" s="66" t="s">
        <v>376</v>
      </c>
      <c r="B24" s="66">
        <v>2.6973799999999999E-2</v>
      </c>
      <c r="C24" s="66">
        <v>0.56823800000000002</v>
      </c>
      <c r="D24" s="66">
        <v>21.066299999999998</v>
      </c>
      <c r="E24" s="66">
        <v>0</v>
      </c>
      <c r="F24" s="66">
        <v>1.7044300000000001E-3</v>
      </c>
      <c r="G24" s="66">
        <v>0</v>
      </c>
      <c r="H24" s="66">
        <v>3.6657299999999999</v>
      </c>
    </row>
    <row r="25" spans="1:8">
      <c r="A25" s="66" t="s">
        <v>377</v>
      </c>
      <c r="B25" s="66">
        <v>0.63141099999999994</v>
      </c>
      <c r="C25" s="66">
        <v>1.6772499999999999</v>
      </c>
      <c r="D25" s="66">
        <v>2.6563599999999998</v>
      </c>
      <c r="E25" s="66">
        <v>0</v>
      </c>
      <c r="F25" s="66">
        <v>0.20083999999999999</v>
      </c>
      <c r="G25" s="66">
        <v>0</v>
      </c>
      <c r="H25" s="66">
        <v>5.0801999999999996</v>
      </c>
    </row>
    <row r="26" spans="1:8">
      <c r="A26" s="66" t="s">
        <v>378</v>
      </c>
      <c r="B26" s="66">
        <v>5.52784E-3</v>
      </c>
      <c r="C26" s="66">
        <v>5.0859799999999997E-2</v>
      </c>
      <c r="D26" s="66">
        <v>9.2006599999999992</v>
      </c>
      <c r="E26" s="66">
        <v>0</v>
      </c>
      <c r="F26" s="66">
        <v>1.21455E-4</v>
      </c>
      <c r="G26" s="66">
        <v>0</v>
      </c>
      <c r="H26" s="66">
        <v>0.25160199999999999</v>
      </c>
    </row>
    <row r="27" spans="1:8">
      <c r="A27" s="66" t="s">
        <v>379</v>
      </c>
      <c r="B27" s="113">
        <v>-8.5346599999999994E-5</v>
      </c>
      <c r="C27" s="66">
        <v>1.26029E-2</v>
      </c>
      <c r="D27" s="66">
        <v>-147.667</v>
      </c>
      <c r="E27" s="66">
        <v>0</v>
      </c>
      <c r="F27" s="66">
        <v>-0.13145399999999999</v>
      </c>
      <c r="G27" s="66">
        <v>0</v>
      </c>
      <c r="H27" s="66">
        <v>0.10904700000000001</v>
      </c>
    </row>
    <row r="28" spans="1:8">
      <c r="A28" s="66" t="s">
        <v>380</v>
      </c>
      <c r="B28" s="66">
        <v>7.6962900000000001E-2</v>
      </c>
      <c r="C28" s="66">
        <v>9.1037800000000002E-2</v>
      </c>
      <c r="D28" s="66">
        <v>1.1828799999999999</v>
      </c>
      <c r="E28" s="66">
        <v>0</v>
      </c>
      <c r="F28" s="66">
        <v>1.0351600000000001E-2</v>
      </c>
      <c r="G28" s="66">
        <v>0</v>
      </c>
      <c r="H28" s="66">
        <v>0.34290700000000002</v>
      </c>
    </row>
    <row r="29" spans="1:8">
      <c r="A29" s="66" t="s">
        <v>381</v>
      </c>
      <c r="B29" s="66">
        <v>86.950599999999994</v>
      </c>
      <c r="C29" s="66">
        <v>25.929500000000001</v>
      </c>
      <c r="D29" s="66">
        <v>0.29820999999999998</v>
      </c>
      <c r="E29" s="66">
        <v>0</v>
      </c>
      <c r="F29" s="66">
        <v>63.9773</v>
      </c>
      <c r="G29" s="66">
        <v>0</v>
      </c>
      <c r="H29" s="66">
        <v>151.49600000000001</v>
      </c>
    </row>
    <row r="30" spans="1:8">
      <c r="A30" s="66" t="s">
        <v>382</v>
      </c>
      <c r="B30" s="66">
        <v>61.579900000000002</v>
      </c>
      <c r="C30" s="66">
        <v>18.069199999999999</v>
      </c>
      <c r="D30" s="66">
        <v>0.29342699999999999</v>
      </c>
      <c r="E30" s="66">
        <v>0</v>
      </c>
      <c r="F30" s="66">
        <v>15.7606</v>
      </c>
      <c r="G30" s="66">
        <v>0</v>
      </c>
      <c r="H30" s="66">
        <v>69.753399999999999</v>
      </c>
    </row>
    <row r="31" spans="1:8">
      <c r="A31" s="66" t="s">
        <v>383</v>
      </c>
      <c r="B31" s="66">
        <v>165.32400000000001</v>
      </c>
      <c r="C31" s="66">
        <v>59.923499999999997</v>
      </c>
      <c r="D31" s="66">
        <v>0.36246200000000001</v>
      </c>
      <c r="E31" s="66">
        <v>0</v>
      </c>
      <c r="F31" s="66">
        <v>71.334800000000001</v>
      </c>
      <c r="G31" s="66">
        <v>0</v>
      </c>
      <c r="H31" s="66">
        <v>271.84100000000001</v>
      </c>
    </row>
    <row r="32" spans="1:8">
      <c r="A32" s="66" t="s">
        <v>384</v>
      </c>
      <c r="B32" s="66">
        <v>0.23308699999999999</v>
      </c>
      <c r="C32" s="66">
        <v>0.120119</v>
      </c>
      <c r="D32" s="66">
        <v>0.51534000000000002</v>
      </c>
      <c r="E32" s="66">
        <v>0.15</v>
      </c>
      <c r="F32" s="66">
        <v>5.9821800000000001E-2</v>
      </c>
      <c r="G32" s="66">
        <v>0.4</v>
      </c>
      <c r="H32" s="66">
        <v>0.47797299999999998</v>
      </c>
    </row>
    <row r="33" spans="1:8">
      <c r="A33" s="66" t="s">
        <v>385</v>
      </c>
      <c r="B33" s="66">
        <v>0.21096500000000001</v>
      </c>
      <c r="C33" s="66">
        <v>2.0687199999999999E-2</v>
      </c>
      <c r="D33" s="66">
        <v>9.8059599999999997E-2</v>
      </c>
      <c r="E33" s="66">
        <v>0</v>
      </c>
      <c r="F33" s="66">
        <v>0.170989</v>
      </c>
      <c r="G33" s="66">
        <v>0</v>
      </c>
      <c r="H33" s="66">
        <v>0.31046299999999999</v>
      </c>
    </row>
    <row r="34" spans="1:8">
      <c r="A34" s="66" t="s">
        <v>386</v>
      </c>
      <c r="B34" s="66">
        <v>0.14502599999999999</v>
      </c>
      <c r="C34" s="66">
        <v>2.2603700000000001E-2</v>
      </c>
      <c r="D34" s="66">
        <v>0.15586</v>
      </c>
      <c r="E34" s="66">
        <v>0.1</v>
      </c>
      <c r="F34" s="66">
        <v>0.113658</v>
      </c>
      <c r="G34" s="66">
        <v>0.25</v>
      </c>
      <c r="H34" s="66">
        <v>0.220417</v>
      </c>
    </row>
    <row r="35" spans="1:8">
      <c r="A35" s="66" t="s">
        <v>387</v>
      </c>
      <c r="B35" s="66">
        <v>6.1935799999999999E-2</v>
      </c>
      <c r="C35" s="66">
        <v>2.5768099999999999E-2</v>
      </c>
      <c r="D35" s="66">
        <v>0.41604600000000003</v>
      </c>
      <c r="E35" s="66">
        <v>0</v>
      </c>
      <c r="F35" s="66">
        <v>2.3884499999999999E-2</v>
      </c>
      <c r="G35" s="66">
        <v>0</v>
      </c>
      <c r="H35" s="66">
        <v>0.12853300000000001</v>
      </c>
    </row>
    <row r="36" spans="1:8">
      <c r="A36" s="66" t="s">
        <v>388</v>
      </c>
      <c r="B36" s="66">
        <v>0.129992</v>
      </c>
      <c r="C36" s="66">
        <v>7.5522300000000001E-2</v>
      </c>
      <c r="D36" s="66">
        <v>0.58097600000000005</v>
      </c>
      <c r="E36" s="66">
        <v>0</v>
      </c>
      <c r="F36" s="66">
        <v>3.8153600000000003E-2</v>
      </c>
      <c r="G36" s="66">
        <v>0</v>
      </c>
      <c r="H36" s="66">
        <v>0.51032999999999995</v>
      </c>
    </row>
    <row r="37" spans="1:8">
      <c r="A37" s="66" t="s">
        <v>389</v>
      </c>
      <c r="B37" s="66">
        <v>0.22603699999999999</v>
      </c>
      <c r="C37" s="66">
        <v>6.2693200000000004E-2</v>
      </c>
      <c r="D37" s="66">
        <v>0.27735799999999999</v>
      </c>
      <c r="E37" s="66">
        <v>0.1</v>
      </c>
      <c r="F37" s="66">
        <v>2.5550400000000001E-2</v>
      </c>
      <c r="G37" s="66">
        <v>0.5</v>
      </c>
      <c r="H37" s="66">
        <v>0.22603699999999999</v>
      </c>
    </row>
    <row r="38" spans="1:8">
      <c r="A38" s="66" t="s">
        <v>390</v>
      </c>
      <c r="B38" s="66">
        <v>-22.58</v>
      </c>
      <c r="C38" s="66">
        <v>54.120199999999997</v>
      </c>
      <c r="D38" s="66">
        <v>-2.39682</v>
      </c>
      <c r="E38" s="66">
        <v>0</v>
      </c>
      <c r="F38" s="66">
        <v>-164.126</v>
      </c>
      <c r="G38" s="66">
        <v>0</v>
      </c>
      <c r="H38" s="66">
        <v>194.60499999999999</v>
      </c>
    </row>
    <row r="39" spans="1:8">
      <c r="A39" s="66" t="s">
        <v>391</v>
      </c>
      <c r="B39" s="66">
        <v>-7.5747099999999996</v>
      </c>
      <c r="C39" s="66">
        <v>10.809699999999999</v>
      </c>
      <c r="D39" s="66">
        <v>-1.4270700000000001</v>
      </c>
      <c r="E39" s="66">
        <v>0</v>
      </c>
      <c r="F39" s="66">
        <v>-25.909099999999999</v>
      </c>
      <c r="G39" s="66">
        <v>0</v>
      </c>
      <c r="H39" s="66">
        <v>28.3751</v>
      </c>
    </row>
    <row r="40" spans="1:8">
      <c r="A40" s="66" t="s">
        <v>392</v>
      </c>
      <c r="B40" s="66">
        <v>-3.5026999999999999</v>
      </c>
      <c r="C40" s="66">
        <v>1.7676099999999999</v>
      </c>
      <c r="D40" s="66">
        <v>-0.50464299999999995</v>
      </c>
      <c r="E40" s="66">
        <v>0</v>
      </c>
      <c r="F40" s="66">
        <v>-6.5011099999999997</v>
      </c>
      <c r="G40" s="66">
        <v>0</v>
      </c>
      <c r="H40" s="66">
        <v>0.56622899999999998</v>
      </c>
    </row>
    <row r="41" spans="1:8">
      <c r="A41" s="66" t="s">
        <v>393</v>
      </c>
      <c r="B41" s="66">
        <v>-0.10679</v>
      </c>
      <c r="C41" s="66">
        <v>0.25109399999999998</v>
      </c>
      <c r="D41" s="66">
        <v>-2.35128</v>
      </c>
      <c r="E41" s="66">
        <v>0</v>
      </c>
      <c r="F41" s="66">
        <v>-0.79946499999999998</v>
      </c>
      <c r="G41" s="66">
        <v>0</v>
      </c>
      <c r="H41" s="66">
        <v>0.56263799999999997</v>
      </c>
    </row>
    <row r="42" spans="1:8">
      <c r="A42" s="66" t="s">
        <v>394</v>
      </c>
      <c r="B42" s="66">
        <v>-0.117064</v>
      </c>
      <c r="C42" s="66">
        <v>0.12809899999999999</v>
      </c>
      <c r="D42" s="66">
        <v>-1.09426</v>
      </c>
      <c r="E42" s="66">
        <v>0</v>
      </c>
      <c r="F42" s="66">
        <v>-0.469134</v>
      </c>
      <c r="G42" s="66">
        <v>0</v>
      </c>
      <c r="H42" s="66">
        <v>0.19655900000000001</v>
      </c>
    </row>
    <row r="43" spans="1:8">
      <c r="A43" s="66" t="s">
        <v>395</v>
      </c>
      <c r="B43" s="66">
        <v>-5.3656700000000002E-2</v>
      </c>
      <c r="C43" s="66">
        <v>2.7590699999999999E-2</v>
      </c>
      <c r="D43" s="66">
        <v>-0.514208</v>
      </c>
      <c r="E43" s="66">
        <v>0</v>
      </c>
      <c r="F43" s="66">
        <v>-0.100189</v>
      </c>
      <c r="G43" s="66">
        <v>0</v>
      </c>
      <c r="H43" s="66">
        <v>3.3681200000000001E-2</v>
      </c>
    </row>
    <row r="44" spans="1:8">
      <c r="A44" s="66" t="s">
        <v>396</v>
      </c>
      <c r="B44" s="66">
        <v>9.6050900000000006</v>
      </c>
      <c r="C44" s="66">
        <v>12.2712</v>
      </c>
      <c r="D44" s="66">
        <v>1.2775700000000001</v>
      </c>
      <c r="E44" s="66">
        <v>0</v>
      </c>
      <c r="F44" s="66">
        <v>-15.3992</v>
      </c>
      <c r="G44" s="66">
        <v>0</v>
      </c>
      <c r="H44" s="66">
        <v>34.663200000000003</v>
      </c>
    </row>
    <row r="45" spans="1:8">
      <c r="A45" s="66" t="s">
        <v>397</v>
      </c>
      <c r="B45" s="66">
        <v>53.85</v>
      </c>
      <c r="C45" s="66">
        <v>7.4555600000000002</v>
      </c>
      <c r="D45" s="66">
        <v>0.13844999999999999</v>
      </c>
      <c r="E45" s="66">
        <v>0</v>
      </c>
      <c r="F45" s="66">
        <v>32.728700000000003</v>
      </c>
      <c r="G45" s="66">
        <v>0</v>
      </c>
      <c r="H45" s="66">
        <v>68.8553</v>
      </c>
    </row>
    <row r="46" spans="1:8">
      <c r="A46" s="66" t="s">
        <v>398</v>
      </c>
      <c r="B46" s="66">
        <v>33.0274</v>
      </c>
      <c r="C46" s="66">
        <v>11.3779</v>
      </c>
      <c r="D46" s="66">
        <v>0.34449999999999997</v>
      </c>
      <c r="E46" s="66">
        <v>0</v>
      </c>
      <c r="F46" s="66">
        <v>8.6363099999999999</v>
      </c>
      <c r="G46" s="66">
        <v>0</v>
      </c>
      <c r="H46" s="66">
        <v>43.304099999999998</v>
      </c>
    </row>
    <row r="47" spans="1:8">
      <c r="A47" s="66" t="s">
        <v>399</v>
      </c>
      <c r="B47" s="66">
        <v>1.42452</v>
      </c>
      <c r="C47" s="66">
        <v>1.61849</v>
      </c>
      <c r="D47" s="66">
        <v>1.1361699999999999</v>
      </c>
      <c r="E47" s="66">
        <v>0</v>
      </c>
      <c r="F47" s="66">
        <v>0.81779100000000005</v>
      </c>
      <c r="G47" s="66">
        <v>0</v>
      </c>
      <c r="H47" s="66">
        <v>7.4010600000000002</v>
      </c>
    </row>
    <row r="48" spans="1:8">
      <c r="A48" s="66" t="s">
        <v>400</v>
      </c>
      <c r="B48" s="66">
        <v>1.41814</v>
      </c>
      <c r="C48" s="66">
        <v>0.219778</v>
      </c>
      <c r="D48" s="66">
        <v>0.154976</v>
      </c>
      <c r="E48" s="66">
        <v>0</v>
      </c>
      <c r="F48" s="66">
        <v>1.02251</v>
      </c>
      <c r="G48" s="66">
        <v>0</v>
      </c>
      <c r="H48" s="66">
        <v>1.80328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58.1661</v>
      </c>
      <c r="C5" s="66">
        <v>5.3664399999999999</v>
      </c>
      <c r="D5" s="66">
        <v>9.2260600000000004</v>
      </c>
      <c r="E5" s="66">
        <v>20</v>
      </c>
      <c r="F5" s="66">
        <v>38.002299999999998</v>
      </c>
      <c r="G5" s="66">
        <v>50</v>
      </c>
      <c r="H5" s="66">
        <v>64.875299999999996</v>
      </c>
    </row>
    <row r="6" spans="1:8">
      <c r="A6" s="66" t="s">
        <v>358</v>
      </c>
      <c r="B6" s="66">
        <v>19.8569</v>
      </c>
      <c r="C6" s="66">
        <v>1.84331</v>
      </c>
      <c r="D6" s="66">
        <v>9.2829499999999996</v>
      </c>
      <c r="E6" s="66">
        <v>20</v>
      </c>
      <c r="F6" s="66">
        <v>17.135000000000002</v>
      </c>
      <c r="G6" s="66">
        <v>40</v>
      </c>
      <c r="H6" s="66">
        <v>24.709399999999999</v>
      </c>
    </row>
    <row r="7" spans="1:8">
      <c r="A7" s="66" t="s">
        <v>359</v>
      </c>
      <c r="B7" s="66">
        <v>26.970400000000001</v>
      </c>
      <c r="C7" s="66">
        <v>11.509</v>
      </c>
      <c r="D7" s="66">
        <v>42.672699999999999</v>
      </c>
      <c r="E7" s="66">
        <v>15</v>
      </c>
      <c r="F7" s="66">
        <v>6.69015</v>
      </c>
      <c r="G7" s="66">
        <v>40</v>
      </c>
      <c r="H7" s="66">
        <v>46.242199999999997</v>
      </c>
    </row>
    <row r="8" spans="1:8">
      <c r="A8" s="66" t="s">
        <v>360</v>
      </c>
      <c r="B8" s="66">
        <v>33.703699999999998</v>
      </c>
      <c r="C8" s="66">
        <v>3.1833200000000001</v>
      </c>
      <c r="D8" s="66">
        <v>9.4450099999999999</v>
      </c>
      <c r="E8" s="66">
        <v>20</v>
      </c>
      <c r="F8" s="66">
        <v>28.771699999999999</v>
      </c>
      <c r="G8" s="66">
        <v>50</v>
      </c>
      <c r="H8" s="66">
        <v>41.348399999999998</v>
      </c>
    </row>
    <row r="9" spans="1:8">
      <c r="A9" s="66" t="s">
        <v>361</v>
      </c>
      <c r="B9" s="66">
        <v>40.384099999999997</v>
      </c>
      <c r="C9" s="66">
        <v>5.90937</v>
      </c>
      <c r="D9" s="66">
        <v>14.632899999999999</v>
      </c>
      <c r="E9" s="66">
        <v>50</v>
      </c>
      <c r="F9" s="66">
        <v>24.741800000000001</v>
      </c>
      <c r="G9" s="66">
        <v>100</v>
      </c>
      <c r="H9" s="66">
        <v>52.774799999999999</v>
      </c>
    </row>
    <row r="10" spans="1:8">
      <c r="A10" s="66" t="s">
        <v>362</v>
      </c>
      <c r="B10" s="66">
        <v>84.058499999999995</v>
      </c>
      <c r="C10" s="66">
        <v>0.99978699999999998</v>
      </c>
      <c r="D10" s="66">
        <v>1.1893899999999999</v>
      </c>
      <c r="E10" s="66">
        <v>40</v>
      </c>
      <c r="F10" s="66">
        <v>80.749899999999997</v>
      </c>
      <c r="G10" s="66">
        <v>100</v>
      </c>
      <c r="H10" s="66">
        <v>85.541300000000007</v>
      </c>
    </row>
    <row r="11" spans="1:8">
      <c r="A11" s="66" t="s">
        <v>363</v>
      </c>
      <c r="B11" s="66">
        <v>30.633600000000001</v>
      </c>
      <c r="C11" s="66">
        <v>3.83067</v>
      </c>
      <c r="D11" s="66">
        <v>12.504799999999999</v>
      </c>
      <c r="E11" s="66">
        <v>10</v>
      </c>
      <c r="F11" s="66">
        <v>25.020099999999999</v>
      </c>
      <c r="G11" s="66">
        <v>50</v>
      </c>
      <c r="H11" s="66">
        <v>38.004899999999999</v>
      </c>
    </row>
    <row r="12" spans="1:8">
      <c r="A12" s="66" t="s">
        <v>364</v>
      </c>
      <c r="B12" s="66">
        <v>62.162599999999998</v>
      </c>
      <c r="C12" s="66">
        <v>3.2422300000000002</v>
      </c>
      <c r="D12" s="66">
        <v>5.2157299999999998</v>
      </c>
      <c r="E12" s="66">
        <v>50</v>
      </c>
      <c r="F12" s="66">
        <v>53.345199999999998</v>
      </c>
      <c r="G12" s="66">
        <v>100</v>
      </c>
      <c r="H12" s="66">
        <v>68.9114</v>
      </c>
    </row>
    <row r="13" spans="1:8">
      <c r="A13" s="66" t="s">
        <v>365</v>
      </c>
      <c r="B13" s="66">
        <v>14.2689</v>
      </c>
      <c r="C13" s="66">
        <v>2.3569499999999999</v>
      </c>
      <c r="D13" s="66">
        <v>16.5181</v>
      </c>
      <c r="E13" s="66">
        <v>10</v>
      </c>
      <c r="F13" s="66">
        <v>10.6264</v>
      </c>
      <c r="G13" s="66">
        <v>25</v>
      </c>
      <c r="H13" s="66">
        <v>22.831499999999998</v>
      </c>
    </row>
    <row r="14" spans="1:8">
      <c r="A14" s="66" t="s">
        <v>366</v>
      </c>
      <c r="B14" s="66">
        <v>23.569500000000001</v>
      </c>
      <c r="C14" s="66">
        <v>9.1599400000000006</v>
      </c>
      <c r="D14" s="66">
        <v>38.863599999999998</v>
      </c>
      <c r="E14" s="66">
        <v>10</v>
      </c>
      <c r="F14" s="66">
        <v>1.6168899999999999</v>
      </c>
      <c r="G14" s="66">
        <v>50</v>
      </c>
      <c r="H14" s="66">
        <v>25.712499999999999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0.32889400000000002</v>
      </c>
      <c r="C18" s="66">
        <v>5.0182200000000003E-2</v>
      </c>
      <c r="D18" s="66">
        <v>0.15257799999999999</v>
      </c>
      <c r="E18" s="66">
        <v>0</v>
      </c>
      <c r="F18" s="66">
        <v>0.27871200000000002</v>
      </c>
      <c r="G18" s="66">
        <v>0</v>
      </c>
      <c r="H18" s="66">
        <v>0.37907600000000002</v>
      </c>
    </row>
    <row r="19" spans="1:8">
      <c r="A19" s="66" t="s">
        <v>371</v>
      </c>
      <c r="B19" s="66">
        <v>0.356404</v>
      </c>
      <c r="C19" s="66">
        <v>0.101502</v>
      </c>
      <c r="D19" s="66">
        <v>0.28479500000000002</v>
      </c>
      <c r="E19" s="66">
        <v>0</v>
      </c>
      <c r="F19" s="66">
        <v>0.25490200000000002</v>
      </c>
      <c r="G19" s="66">
        <v>0</v>
      </c>
      <c r="H19" s="66">
        <v>0.45790599999999998</v>
      </c>
    </row>
    <row r="20" spans="1:8">
      <c r="A20" s="66" t="s">
        <v>372</v>
      </c>
      <c r="B20" s="66">
        <v>1.1498E-2</v>
      </c>
      <c r="C20" s="66">
        <v>0.13074</v>
      </c>
      <c r="D20" s="66">
        <v>11.370699999999999</v>
      </c>
      <c r="E20" s="66">
        <v>0</v>
      </c>
      <c r="F20" s="66">
        <v>2.1130699999999999E-4</v>
      </c>
      <c r="G20" s="66">
        <v>0</v>
      </c>
      <c r="H20" s="66">
        <v>1.00844</v>
      </c>
    </row>
    <row r="21" spans="1:8">
      <c r="A21" s="66" t="s">
        <v>373</v>
      </c>
      <c r="B21" s="66">
        <v>0.40791300000000003</v>
      </c>
      <c r="C21" s="66">
        <v>0.97146500000000002</v>
      </c>
      <c r="D21" s="66">
        <v>2.3815499999999998</v>
      </c>
      <c r="E21" s="66">
        <v>0</v>
      </c>
      <c r="F21" s="66">
        <v>2.61271E-2</v>
      </c>
      <c r="G21" s="66">
        <v>0</v>
      </c>
      <c r="H21" s="66">
        <v>5.2142499999999998</v>
      </c>
    </row>
    <row r="22" spans="1:8">
      <c r="A22" s="66" t="s">
        <v>374</v>
      </c>
      <c r="B22" s="66">
        <v>41.174799999999998</v>
      </c>
      <c r="C22" s="66">
        <v>32.782400000000003</v>
      </c>
      <c r="D22" s="66">
        <v>0.79617700000000002</v>
      </c>
      <c r="E22" s="66">
        <v>0</v>
      </c>
      <c r="F22" s="66">
        <v>19.089400000000001</v>
      </c>
      <c r="G22" s="66">
        <v>0</v>
      </c>
      <c r="H22" s="66">
        <v>181.191</v>
      </c>
    </row>
    <row r="23" spans="1:8">
      <c r="A23" s="66" t="s">
        <v>375</v>
      </c>
      <c r="B23" s="66">
        <v>50.024999999999999</v>
      </c>
      <c r="C23" s="66">
        <v>13.006500000000001</v>
      </c>
      <c r="D23" s="66">
        <v>0.25999899999999998</v>
      </c>
      <c r="E23" s="66">
        <v>0</v>
      </c>
      <c r="F23" s="66">
        <v>24.637699999999999</v>
      </c>
      <c r="G23" s="66">
        <v>0</v>
      </c>
      <c r="H23" s="66">
        <v>63.4649</v>
      </c>
    </row>
    <row r="24" spans="1:8">
      <c r="A24" s="66" t="s">
        <v>376</v>
      </c>
      <c r="B24" s="66">
        <v>1.5522299999999999E-2</v>
      </c>
      <c r="C24" s="66">
        <v>0.121085</v>
      </c>
      <c r="D24" s="66">
        <v>7.8007299999999997</v>
      </c>
      <c r="E24" s="66">
        <v>0</v>
      </c>
      <c r="F24" s="66">
        <v>1.4464600000000001E-3</v>
      </c>
      <c r="G24" s="66">
        <v>0</v>
      </c>
      <c r="H24" s="66">
        <v>0.900806</v>
      </c>
    </row>
    <row r="25" spans="1:8">
      <c r="A25" s="66" t="s">
        <v>377</v>
      </c>
      <c r="B25" s="66">
        <v>0.56516299999999997</v>
      </c>
      <c r="C25" s="66">
        <v>1.0176499999999999</v>
      </c>
      <c r="D25" s="66">
        <v>1.80063</v>
      </c>
      <c r="E25" s="66">
        <v>0</v>
      </c>
      <c r="F25" s="66">
        <v>0.108363</v>
      </c>
      <c r="G25" s="66">
        <v>0</v>
      </c>
      <c r="H25" s="66">
        <v>4.9541899999999996</v>
      </c>
    </row>
    <row r="26" spans="1:8">
      <c r="A26" s="66" t="s">
        <v>378</v>
      </c>
      <c r="B26" s="66">
        <v>2.9543099999999999E-3</v>
      </c>
      <c r="C26" s="66">
        <v>1.7384299999999998E-2</v>
      </c>
      <c r="D26" s="66">
        <v>5.8844000000000003</v>
      </c>
      <c r="E26" s="66">
        <v>0</v>
      </c>
      <c r="F26" s="113">
        <v>6.5651300000000006E-5</v>
      </c>
      <c r="G26" s="66">
        <v>0</v>
      </c>
      <c r="H26" s="66">
        <v>0.109316</v>
      </c>
    </row>
    <row r="27" spans="1:8">
      <c r="A27" s="66" t="s">
        <v>379</v>
      </c>
      <c r="B27" s="113">
        <v>-8.2064100000000006E-6</v>
      </c>
      <c r="C27" s="66">
        <v>4.6905499999999999E-3</v>
      </c>
      <c r="D27" s="66">
        <v>-571.572</v>
      </c>
      <c r="E27" s="66">
        <v>0</v>
      </c>
      <c r="F27" s="66">
        <v>-2.11299E-2</v>
      </c>
      <c r="G27" s="66">
        <v>0</v>
      </c>
      <c r="H27" s="66">
        <v>2.62277E-2</v>
      </c>
    </row>
    <row r="28" spans="1:8">
      <c r="A28" s="66" t="s">
        <v>380</v>
      </c>
      <c r="B28" s="66">
        <v>6.1308599999999998E-2</v>
      </c>
      <c r="C28" s="66">
        <v>5.67625E-2</v>
      </c>
      <c r="D28" s="66">
        <v>0.92584900000000003</v>
      </c>
      <c r="E28" s="66">
        <v>0</v>
      </c>
      <c r="F28" s="66">
        <v>4.2513000000000004E-3</v>
      </c>
      <c r="G28" s="66">
        <v>0</v>
      </c>
      <c r="H28" s="66">
        <v>0.26727499999999998</v>
      </c>
    </row>
    <row r="29" spans="1:8">
      <c r="A29" s="66" t="s">
        <v>381</v>
      </c>
      <c r="B29" s="66">
        <v>86.660499999999999</v>
      </c>
      <c r="C29" s="66">
        <v>18.598800000000001</v>
      </c>
      <c r="D29" s="66">
        <v>0.214617</v>
      </c>
      <c r="E29" s="66">
        <v>0</v>
      </c>
      <c r="F29" s="66">
        <v>54.131100000000004</v>
      </c>
      <c r="G29" s="66">
        <v>0</v>
      </c>
      <c r="H29" s="66">
        <v>144.03899999999999</v>
      </c>
    </row>
    <row r="30" spans="1:8">
      <c r="A30" s="66" t="s">
        <v>382</v>
      </c>
      <c r="B30" s="66">
        <v>59.281799999999997</v>
      </c>
      <c r="C30" s="66">
        <v>10.621499999999999</v>
      </c>
      <c r="D30" s="66">
        <v>0.17916899999999999</v>
      </c>
      <c r="E30" s="66">
        <v>0</v>
      </c>
      <c r="F30" s="66">
        <v>39.3202</v>
      </c>
      <c r="G30" s="66">
        <v>0</v>
      </c>
      <c r="H30" s="66">
        <v>72.052400000000006</v>
      </c>
    </row>
    <row r="31" spans="1:8">
      <c r="A31" s="66" t="s">
        <v>383</v>
      </c>
      <c r="B31" s="66">
        <v>229.84100000000001</v>
      </c>
      <c r="C31" s="66">
        <v>36.9514</v>
      </c>
      <c r="D31" s="66">
        <v>0.160769</v>
      </c>
      <c r="E31" s="66">
        <v>0</v>
      </c>
      <c r="F31" s="66">
        <v>132.93</v>
      </c>
      <c r="G31" s="66">
        <v>0</v>
      </c>
      <c r="H31" s="66">
        <v>267.108</v>
      </c>
    </row>
    <row r="32" spans="1:8">
      <c r="A32" s="66" t="s">
        <v>384</v>
      </c>
      <c r="B32" s="66">
        <v>0.269704</v>
      </c>
      <c r="C32" s="66">
        <v>0.11509</v>
      </c>
      <c r="D32" s="66">
        <v>0.42672700000000002</v>
      </c>
      <c r="E32" s="66">
        <v>0.15</v>
      </c>
      <c r="F32" s="66">
        <v>6.6901500000000003E-2</v>
      </c>
      <c r="G32" s="66">
        <v>0.4</v>
      </c>
      <c r="H32" s="66">
        <v>0.462422</v>
      </c>
    </row>
    <row r="33" spans="1:8">
      <c r="A33" s="66" t="s">
        <v>385</v>
      </c>
      <c r="B33" s="66">
        <v>0.249026</v>
      </c>
      <c r="C33" s="66">
        <v>1.7278200000000001E-2</v>
      </c>
      <c r="D33" s="66">
        <v>6.9383100000000003E-2</v>
      </c>
      <c r="E33" s="66">
        <v>0</v>
      </c>
      <c r="F33" s="66">
        <v>0.21729699999999999</v>
      </c>
      <c r="G33" s="66">
        <v>0</v>
      </c>
      <c r="H33" s="66">
        <v>0.30093199999999998</v>
      </c>
    </row>
    <row r="34" spans="1:8">
      <c r="A34" s="66" t="s">
        <v>386</v>
      </c>
      <c r="B34" s="66">
        <v>0.14268900000000001</v>
      </c>
      <c r="C34" s="66">
        <v>2.35695E-2</v>
      </c>
      <c r="D34" s="66">
        <v>0.16518099999999999</v>
      </c>
      <c r="E34" s="66">
        <v>0.1</v>
      </c>
      <c r="F34" s="66">
        <v>0.106264</v>
      </c>
      <c r="G34" s="66">
        <v>0.25</v>
      </c>
      <c r="H34" s="66">
        <v>0.22831499999999999</v>
      </c>
    </row>
    <row r="35" spans="1:8">
      <c r="A35" s="66" t="s">
        <v>387</v>
      </c>
      <c r="B35" s="66">
        <v>5.9640199999999997E-2</v>
      </c>
      <c r="C35" s="66">
        <v>1.99376E-2</v>
      </c>
      <c r="D35" s="66">
        <v>0.33429900000000001</v>
      </c>
      <c r="E35" s="66">
        <v>0</v>
      </c>
      <c r="F35" s="66">
        <v>2.10037E-2</v>
      </c>
      <c r="G35" s="66">
        <v>0</v>
      </c>
      <c r="H35" s="66">
        <v>0.12470100000000001</v>
      </c>
    </row>
    <row r="36" spans="1:8">
      <c r="A36" s="66" t="s">
        <v>388</v>
      </c>
      <c r="B36" s="66">
        <v>0.13631199999999999</v>
      </c>
      <c r="C36" s="66">
        <v>6.6684499999999994E-2</v>
      </c>
      <c r="D36" s="66">
        <v>0.48920400000000003</v>
      </c>
      <c r="E36" s="66">
        <v>0</v>
      </c>
      <c r="F36" s="66">
        <v>4.1504800000000001E-2</v>
      </c>
      <c r="G36" s="66">
        <v>0</v>
      </c>
      <c r="H36" s="66">
        <v>0.43803999999999998</v>
      </c>
    </row>
    <row r="37" spans="1:8">
      <c r="A37" s="66" t="s">
        <v>389</v>
      </c>
      <c r="B37" s="66">
        <v>0.23569499999999999</v>
      </c>
      <c r="C37" s="66">
        <v>9.1599399999999997E-2</v>
      </c>
      <c r="D37" s="66">
        <v>0.38863599999999998</v>
      </c>
      <c r="E37" s="66">
        <v>0.1</v>
      </c>
      <c r="F37" s="66">
        <v>1.61689E-2</v>
      </c>
      <c r="G37" s="66">
        <v>0.5</v>
      </c>
      <c r="H37" s="66">
        <v>0.25712499999999999</v>
      </c>
    </row>
    <row r="38" spans="1:8">
      <c r="A38" s="66" t="s">
        <v>390</v>
      </c>
      <c r="B38" s="66">
        <v>-22.572299999999998</v>
      </c>
      <c r="C38" s="66">
        <v>47.483499999999999</v>
      </c>
      <c r="D38" s="66">
        <v>-2.1036199999999998</v>
      </c>
      <c r="E38" s="66">
        <v>0</v>
      </c>
      <c r="F38" s="66">
        <v>-123.33</v>
      </c>
      <c r="G38" s="66">
        <v>0</v>
      </c>
      <c r="H38" s="66">
        <v>124.027</v>
      </c>
    </row>
    <row r="39" spans="1:8">
      <c r="A39" s="66" t="s">
        <v>391</v>
      </c>
      <c r="B39" s="66">
        <v>-9.9112899999999993</v>
      </c>
      <c r="C39" s="66">
        <v>7.1318000000000001</v>
      </c>
      <c r="D39" s="66">
        <v>-0.71956299999999995</v>
      </c>
      <c r="E39" s="66">
        <v>0</v>
      </c>
      <c r="F39" s="66">
        <v>-32.002800000000001</v>
      </c>
      <c r="G39" s="66">
        <v>0</v>
      </c>
      <c r="H39" s="66">
        <v>9.8674300000000006</v>
      </c>
    </row>
    <row r="40" spans="1:8">
      <c r="A40" s="66" t="s">
        <v>392</v>
      </c>
      <c r="B40" s="66">
        <v>-6.0374299999999996</v>
      </c>
      <c r="C40" s="66">
        <v>1.9694400000000001</v>
      </c>
      <c r="D40" s="66">
        <v>-0.32620500000000002</v>
      </c>
      <c r="E40" s="66">
        <v>0</v>
      </c>
      <c r="F40" s="66">
        <v>-9.2311999999999994</v>
      </c>
      <c r="G40" s="66">
        <v>0</v>
      </c>
      <c r="H40" s="66">
        <v>-2.0758899999999998</v>
      </c>
    </row>
    <row r="41" spans="1:8">
      <c r="A41" s="66" t="s">
        <v>393</v>
      </c>
      <c r="B41" s="66">
        <v>-0.13673399999999999</v>
      </c>
      <c r="C41" s="66">
        <v>0.29006900000000002</v>
      </c>
      <c r="D41" s="66">
        <v>-2.12141</v>
      </c>
      <c r="E41" s="66">
        <v>0</v>
      </c>
      <c r="F41" s="66">
        <v>-0.76679299999999995</v>
      </c>
      <c r="G41" s="66">
        <v>0</v>
      </c>
      <c r="H41" s="66">
        <v>0.75905800000000001</v>
      </c>
    </row>
    <row r="42" spans="1:8">
      <c r="A42" s="66" t="s">
        <v>394</v>
      </c>
      <c r="B42" s="66">
        <v>-0.179731</v>
      </c>
      <c r="C42" s="66">
        <v>0.103836</v>
      </c>
      <c r="D42" s="66">
        <v>-0.57773099999999999</v>
      </c>
      <c r="E42" s="66">
        <v>0</v>
      </c>
      <c r="F42" s="66">
        <v>-0.45049400000000001</v>
      </c>
      <c r="G42" s="66">
        <v>0</v>
      </c>
      <c r="H42" s="66">
        <v>5.8215299999999998E-2</v>
      </c>
    </row>
    <row r="43" spans="1:8">
      <c r="A43" s="66" t="s">
        <v>395</v>
      </c>
      <c r="B43" s="66">
        <v>-5.4015800000000003E-2</v>
      </c>
      <c r="C43" s="66">
        <v>4.0881800000000003E-2</v>
      </c>
      <c r="D43" s="66">
        <v>-0.75684899999999999</v>
      </c>
      <c r="E43" s="66">
        <v>0</v>
      </c>
      <c r="F43" s="66">
        <v>-0.124474</v>
      </c>
      <c r="G43" s="66">
        <v>0</v>
      </c>
      <c r="H43" s="66">
        <v>3.4398800000000002E-3</v>
      </c>
    </row>
    <row r="44" spans="1:8">
      <c r="A44" s="66" t="s">
        <v>396</v>
      </c>
      <c r="B44" s="66">
        <v>13.5022</v>
      </c>
      <c r="C44" s="66">
        <v>29.543700000000001</v>
      </c>
      <c r="D44" s="66">
        <v>2.1880600000000001</v>
      </c>
      <c r="E44" s="66">
        <v>0</v>
      </c>
      <c r="F44" s="66">
        <v>-43.851199999999999</v>
      </c>
      <c r="G44" s="66">
        <v>0</v>
      </c>
      <c r="H44" s="66">
        <v>52.3401</v>
      </c>
    </row>
    <row r="45" spans="1:8">
      <c r="A45" s="66" t="s">
        <v>397</v>
      </c>
      <c r="B45" s="66">
        <v>53.965299999999999</v>
      </c>
      <c r="C45" s="66">
        <v>5.7806499999999996</v>
      </c>
      <c r="D45" s="66">
        <v>0.107118</v>
      </c>
      <c r="E45" s="66">
        <v>0</v>
      </c>
      <c r="F45" s="66">
        <v>41.482100000000003</v>
      </c>
      <c r="G45" s="66">
        <v>0</v>
      </c>
      <c r="H45" s="66">
        <v>65.440799999999996</v>
      </c>
    </row>
    <row r="46" spans="1:8">
      <c r="A46" s="66" t="s">
        <v>398</v>
      </c>
      <c r="B46" s="66">
        <v>36.622900000000001</v>
      </c>
      <c r="C46" s="66">
        <v>3.3016100000000002</v>
      </c>
      <c r="D46" s="66">
        <v>9.0151599999999998E-2</v>
      </c>
      <c r="E46" s="66">
        <v>0</v>
      </c>
      <c r="F46" s="66">
        <v>30.057200000000002</v>
      </c>
      <c r="G46" s="66">
        <v>0</v>
      </c>
      <c r="H46" s="66">
        <v>40.559600000000003</v>
      </c>
    </row>
    <row r="47" spans="1:8">
      <c r="A47" s="66" t="s">
        <v>399</v>
      </c>
      <c r="B47" s="66">
        <v>1.4337899999999999</v>
      </c>
      <c r="C47" s="66">
        <v>1.27844</v>
      </c>
      <c r="D47" s="66">
        <v>0.89164900000000002</v>
      </c>
      <c r="E47" s="66">
        <v>0</v>
      </c>
      <c r="F47" s="66">
        <v>0.50409099999999996</v>
      </c>
      <c r="G47" s="66">
        <v>0</v>
      </c>
      <c r="H47" s="66">
        <v>7.3685299999999998</v>
      </c>
    </row>
    <row r="48" spans="1:8">
      <c r="A48" s="66" t="s">
        <v>400</v>
      </c>
      <c r="B48" s="66">
        <v>1.2414700000000001</v>
      </c>
      <c r="C48" s="66">
        <v>0.192104</v>
      </c>
      <c r="D48" s="66">
        <v>0.15473899999999999</v>
      </c>
      <c r="E48" s="66">
        <v>0</v>
      </c>
      <c r="F48" s="66">
        <v>0.95599000000000001</v>
      </c>
      <c r="G48" s="66">
        <v>0</v>
      </c>
      <c r="H48" s="66">
        <v>1.66381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111.87658224629115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2.1600560148910284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0.74179245042240838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511</v>
      </c>
      <c r="B8" s="66">
        <v>511</v>
      </c>
      <c r="D8">
        <f t="shared" si="0"/>
        <v>1.5082511075757889E-3</v>
      </c>
      <c r="E8">
        <f t="shared" si="0"/>
        <v>1.5082511075757889E-3</v>
      </c>
      <c r="G8">
        <f t="shared" ca="1" si="1"/>
        <v>6</v>
      </c>
      <c r="H8">
        <f t="shared" ca="1" si="2"/>
        <v>9.0495066454547336E-3</v>
      </c>
      <c r="I8">
        <f t="shared" ca="1" si="3"/>
        <v>16.907269686004962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501</v>
      </c>
      <c r="B10" s="66">
        <v>501</v>
      </c>
      <c r="D10">
        <f t="shared" si="0"/>
        <v>1.4787354303238164E-3</v>
      </c>
      <c r="E10">
        <f t="shared" si="0"/>
        <v>1.4787354303238164E-3</v>
      </c>
      <c r="G10">
        <f t="shared" ca="1" si="1"/>
        <v>8</v>
      </c>
      <c r="H10">
        <f t="shared" ca="1" si="2"/>
        <v>1.1829883442590531E-2</v>
      </c>
      <c r="I10">
        <f t="shared" ca="1" si="3"/>
        <v>15.956064479725431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697</v>
      </c>
      <c r="B13" s="66">
        <v>697</v>
      </c>
      <c r="D13">
        <f t="shared" si="0"/>
        <v>2.0572427044624753E-3</v>
      </c>
      <c r="E13">
        <f t="shared" si="0"/>
        <v>2.0572427044624753E-3</v>
      </c>
      <c r="G13">
        <f t="shared" ca="1" si="1"/>
        <v>11</v>
      </c>
      <c r="H13">
        <f t="shared" ca="1" si="2"/>
        <v>2.2629669749087228E-2</v>
      </c>
      <c r="I13">
        <f t="shared" ca="1" si="3"/>
        <v>20.93467630879255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1350</v>
      </c>
      <c r="B15" s="66">
        <v>1350</v>
      </c>
      <c r="D15">
        <f t="shared" si="0"/>
        <v>3.984616429016272E-3</v>
      </c>
      <c r="E15">
        <f t="shared" si="0"/>
        <v>3.984616429016272E-3</v>
      </c>
      <c r="G15">
        <f t="shared" ca="1" si="1"/>
        <v>13</v>
      </c>
      <c r="H15">
        <f t="shared" ca="1" si="2"/>
        <v>5.1800013577211534E-2</v>
      </c>
      <c r="I15">
        <f t="shared" ca="1" si="3"/>
        <v>38.955915377240551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3834</v>
      </c>
      <c r="B18" s="66">
        <v>3834</v>
      </c>
      <c r="D18">
        <f t="shared" si="0"/>
        <v>1.1316310658406213E-2</v>
      </c>
      <c r="E18">
        <f t="shared" si="0"/>
        <v>1.1316310658406213E-2</v>
      </c>
      <c r="G18">
        <f t="shared" ca="1" si="1"/>
        <v>16</v>
      </c>
      <c r="H18">
        <f t="shared" ca="1" si="2"/>
        <v>0.1810609705344994</v>
      </c>
      <c r="I18">
        <f t="shared" ca="1" si="3"/>
        <v>104.02313773804593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5732</v>
      </c>
      <c r="B21" s="66">
        <v>5732</v>
      </c>
      <c r="D21">
        <f t="shared" si="0"/>
        <v>1.6918386200830571E-2</v>
      </c>
      <c r="E21">
        <f t="shared" si="0"/>
        <v>1.6918386200830571E-2</v>
      </c>
      <c r="G21">
        <f t="shared" ca="1" si="1"/>
        <v>19</v>
      </c>
      <c r="H21">
        <f t="shared" ca="1" si="2"/>
        <v>0.32144933781578083</v>
      </c>
      <c r="I21">
        <f t="shared" ca="1" si="3"/>
        <v>145.93900651570073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7295</v>
      </c>
      <c r="B23" s="66">
        <v>7295</v>
      </c>
      <c r="D23">
        <f t="shared" si="0"/>
        <v>2.1531686555313855E-2</v>
      </c>
      <c r="E23">
        <f t="shared" si="0"/>
        <v>2.1531686555313855E-2</v>
      </c>
      <c r="G23">
        <f t="shared" ca="1" si="1"/>
        <v>21</v>
      </c>
      <c r="H23">
        <f t="shared" ca="1" si="2"/>
        <v>0.45216541766159096</v>
      </c>
      <c r="I23">
        <f t="shared" ca="1" si="3"/>
        <v>177.82057891929728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14031</v>
      </c>
      <c r="B26" s="66">
        <v>14031</v>
      </c>
      <c r="D26">
        <f t="shared" si="0"/>
        <v>4.1413446752242455E-2</v>
      </c>
      <c r="E26">
        <f t="shared" si="0"/>
        <v>4.1413446752242455E-2</v>
      </c>
      <c r="G26">
        <f t="shared" ca="1" si="1"/>
        <v>24</v>
      </c>
      <c r="H26">
        <f t="shared" ca="1" si="2"/>
        <v>0.99392272205381893</v>
      </c>
      <c r="I26">
        <f t="shared" ca="1" si="3"/>
        <v>319.80679925199712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20963</v>
      </c>
      <c r="B28" s="66">
        <v>20963</v>
      </c>
      <c r="D28">
        <f t="shared" si="0"/>
        <v>6.1873714223309714E-2</v>
      </c>
      <c r="E28">
        <f t="shared" si="0"/>
        <v>6.1873714223309714E-2</v>
      </c>
      <c r="G28">
        <f t="shared" ca="1" si="1"/>
        <v>26</v>
      </c>
      <c r="H28">
        <f t="shared" ca="1" si="2"/>
        <v>1.6087165698060526</v>
      </c>
      <c r="I28">
        <f t="shared" ca="1" si="3"/>
        <v>456.30548670285367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29536</v>
      </c>
      <c r="B31" s="66">
        <v>29536</v>
      </c>
      <c r="D31">
        <f t="shared" si="0"/>
        <v>8.717750433142564E-2</v>
      </c>
      <c r="E31">
        <f t="shared" si="0"/>
        <v>8.717750433142564E-2</v>
      </c>
      <c r="G31">
        <f t="shared" ca="1" si="1"/>
        <v>29</v>
      </c>
      <c r="H31">
        <f t="shared" ca="1" si="2"/>
        <v>2.5281476256113438</v>
      </c>
      <c r="I31">
        <f t="shared" ca="1" si="3"/>
        <v>598.78111942995918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38334</v>
      </c>
      <c r="B33" s="66">
        <v>38334</v>
      </c>
      <c r="D33">
        <f t="shared" si="0"/>
        <v>0.11314539717771094</v>
      </c>
      <c r="E33">
        <f t="shared" si="0"/>
        <v>0.11314539717771094</v>
      </c>
      <c r="G33">
        <f t="shared" ca="1" si="1"/>
        <v>31</v>
      </c>
      <c r="H33">
        <f t="shared" ca="1" si="2"/>
        <v>3.507507312509039</v>
      </c>
      <c r="I33">
        <f t="shared" ca="1" si="3"/>
        <v>740.08648188360962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47498</v>
      </c>
      <c r="B36" s="66">
        <v>47498</v>
      </c>
      <c r="D36">
        <f t="shared" si="0"/>
        <v>0.14019356381141843</v>
      </c>
      <c r="E36">
        <f t="shared" si="0"/>
        <v>0.14019356381141843</v>
      </c>
      <c r="G36">
        <f t="shared" ca="1" si="1"/>
        <v>34</v>
      </c>
      <c r="H36">
        <f t="shared" ca="1" si="2"/>
        <v>4.7665811695882265</v>
      </c>
      <c r="I36">
        <f t="shared" ca="1" si="3"/>
        <v>850.24060719100601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62678</v>
      </c>
      <c r="B39" s="66">
        <v>62678</v>
      </c>
      <c r="D39">
        <f t="shared" si="0"/>
        <v>0.1849983618799125</v>
      </c>
      <c r="E39">
        <f t="shared" si="0"/>
        <v>0.1849983618799125</v>
      </c>
      <c r="G39">
        <f t="shared" ca="1" si="1"/>
        <v>37</v>
      </c>
      <c r="H39">
        <f t="shared" ca="1" si="2"/>
        <v>6.844939389556763</v>
      </c>
      <c r="I39">
        <f t="shared" ca="1" si="3"/>
        <v>1037.1937911193579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79430</v>
      </c>
      <c r="B41" s="66">
        <v>79430</v>
      </c>
      <c r="D41">
        <f t="shared" si="0"/>
        <v>0.23444302441241666</v>
      </c>
      <c r="E41">
        <f t="shared" si="0"/>
        <v>0.23444302441241666</v>
      </c>
      <c r="G41">
        <f t="shared" ca="1" si="1"/>
        <v>39</v>
      </c>
      <c r="H41">
        <f t="shared" ca="1" si="2"/>
        <v>9.1432779520842491</v>
      </c>
      <c r="I41">
        <f t="shared" ca="1" si="3"/>
        <v>1245.1260211252315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93428</v>
      </c>
      <c r="B44" s="66">
        <v>93428</v>
      </c>
      <c r="D44">
        <f t="shared" si="0"/>
        <v>0.27575906942972761</v>
      </c>
      <c r="E44">
        <f t="shared" si="0"/>
        <v>0.27575906942972761</v>
      </c>
      <c r="G44">
        <f t="shared" ca="1" si="1"/>
        <v>42</v>
      </c>
      <c r="H44">
        <f t="shared" ca="1" si="2"/>
        <v>11.58188091604856</v>
      </c>
      <c r="I44">
        <f t="shared" ca="1" si="3"/>
        <v>1346.4589414638574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95658</v>
      </c>
      <c r="B46" s="66">
        <v>95658</v>
      </c>
      <c r="D46">
        <f t="shared" si="0"/>
        <v>0.28234106545691745</v>
      </c>
      <c r="E46">
        <f t="shared" si="0"/>
        <v>0.28234106545691745</v>
      </c>
      <c r="G46">
        <f t="shared" ca="1" si="1"/>
        <v>44</v>
      </c>
      <c r="H46">
        <f t="shared" ca="1" si="2"/>
        <v>12.423006880104367</v>
      </c>
      <c r="I46">
        <f t="shared" ca="1" si="3"/>
        <v>1300.8103448648299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111806</v>
      </c>
      <c r="B49" s="66">
        <v>111806</v>
      </c>
      <c r="D49">
        <f t="shared" si="0"/>
        <v>0.33000298108340242</v>
      </c>
      <c r="E49">
        <f t="shared" si="0"/>
        <v>0.33000298108340242</v>
      </c>
      <c r="G49">
        <f t="shared" ca="1" si="1"/>
        <v>47</v>
      </c>
      <c r="H49">
        <f t="shared" ca="1" si="2"/>
        <v>15.510140110919913</v>
      </c>
      <c r="I49">
        <f t="shared" ca="1" si="3"/>
        <v>1388.97295220009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130767</v>
      </c>
      <c r="B51" s="66">
        <v>130767</v>
      </c>
      <c r="D51">
        <f t="shared" si="0"/>
        <v>0.3859676567208673</v>
      </c>
      <c r="E51">
        <f t="shared" si="0"/>
        <v>0.3859676567208673</v>
      </c>
      <c r="G51">
        <f t="shared" ca="1" si="1"/>
        <v>49</v>
      </c>
      <c r="H51">
        <f t="shared" ca="1" si="2"/>
        <v>18.912415179322497</v>
      </c>
      <c r="I51">
        <f t="shared" ca="1" si="3"/>
        <v>1525.909465651265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160612</v>
      </c>
      <c r="B54" s="66">
        <v>160612</v>
      </c>
      <c r="D54">
        <f t="shared" si="0"/>
        <v>0.47405719547937886</v>
      </c>
      <c r="E54">
        <f t="shared" si="0"/>
        <v>0.47405719547937886</v>
      </c>
      <c r="G54">
        <f t="shared" ca="1" si="1"/>
        <v>52</v>
      </c>
      <c r="H54">
        <f t="shared" ca="1" si="2"/>
        <v>24.6509741649277</v>
      </c>
      <c r="I54">
        <f t="shared" ca="1" si="3"/>
        <v>1699.5922756339671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162714</v>
      </c>
      <c r="B57" s="66">
        <v>162714</v>
      </c>
      <c r="D57">
        <f t="shared" si="0"/>
        <v>0.48026139083774344</v>
      </c>
      <c r="E57">
        <f t="shared" si="0"/>
        <v>0.48026139083774344</v>
      </c>
      <c r="G57">
        <f t="shared" ca="1" si="1"/>
        <v>55</v>
      </c>
      <c r="H57">
        <f t="shared" ca="1" si="2"/>
        <v>26.414376496075889</v>
      </c>
      <c r="I57">
        <f t="shared" ca="1" si="3"/>
        <v>1553.6194769917129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176130</v>
      </c>
      <c r="B59" s="66">
        <v>176130</v>
      </c>
      <c r="D59">
        <f t="shared" si="0"/>
        <v>0.51985962343898962</v>
      </c>
      <c r="E59">
        <f t="shared" si="0"/>
        <v>0.51985962343898962</v>
      </c>
      <c r="G59">
        <f t="shared" ca="1" si="1"/>
        <v>57</v>
      </c>
      <c r="H59">
        <f t="shared" ca="1" si="2"/>
        <v>29.631998536022408</v>
      </c>
      <c r="I59">
        <f t="shared" ca="1" si="3"/>
        <v>1565.5256896079752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184667</v>
      </c>
      <c r="B62" s="66">
        <v>184667</v>
      </c>
      <c r="D62">
        <f t="shared" si="0"/>
        <v>0.54505715710899849</v>
      </c>
      <c r="E62">
        <f t="shared" si="0"/>
        <v>0.54505715710899849</v>
      </c>
      <c r="G62">
        <f t="shared" ca="1" si="1"/>
        <v>60</v>
      </c>
      <c r="H62">
        <f t="shared" ca="1" si="2"/>
        <v>32.703429426539913</v>
      </c>
      <c r="I62">
        <f t="shared" ca="1" si="3"/>
        <v>1466.846803184472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203668</v>
      </c>
      <c r="B64" s="66">
        <v>203668</v>
      </c>
      <c r="D64">
        <f t="shared" si="0"/>
        <v>0.6011398954554712</v>
      </c>
      <c r="E64">
        <f t="shared" si="0"/>
        <v>0.6011398954554712</v>
      </c>
      <c r="G64">
        <f t="shared" ca="1" si="1"/>
        <v>62</v>
      </c>
      <c r="H64">
        <f t="shared" ca="1" si="2"/>
        <v>37.270673518239214</v>
      </c>
      <c r="I64">
        <f t="shared" ca="1" si="3"/>
        <v>1495.4397616104688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195507</v>
      </c>
      <c r="B67" s="66">
        <v>195507</v>
      </c>
      <c r="D67">
        <f t="shared" ref="D67:E130" si="4">IFERROR( A67/MAX(A$2:A$257), 0 )</f>
        <v>0.57705215125013654</v>
      </c>
      <c r="E67">
        <f t="shared" si="4"/>
        <v>0.57705215125013654</v>
      </c>
      <c r="G67">
        <f t="shared" ref="G67:G130" ca="1" si="5">CELL("row",D67)-2</f>
        <v>65</v>
      </c>
      <c r="H67">
        <f t="shared" ref="H67:H130" ca="1" si="6">D67*G67</f>
        <v>37.508389831258874</v>
      </c>
      <c r="I67">
        <f t="shared" ref="I67:I130" ca="1" si="7">D67*((G67-$L$1)^2)</f>
        <v>1268.0224545900762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209012</v>
      </c>
      <c r="B69" s="66">
        <v>209012</v>
      </c>
      <c r="D69">
        <f t="shared" si="4"/>
        <v>0.6169130733789252</v>
      </c>
      <c r="E69">
        <f t="shared" si="4"/>
        <v>0.6169130733789252</v>
      </c>
      <c r="G69">
        <f t="shared" ca="1" si="5"/>
        <v>67</v>
      </c>
      <c r="H69">
        <f t="shared" ca="1" si="6"/>
        <v>41.333175916387987</v>
      </c>
      <c r="I69">
        <f t="shared" ca="1" si="7"/>
        <v>1242.405948058929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225435</v>
      </c>
      <c r="B72" s="66">
        <v>225435</v>
      </c>
      <c r="D72">
        <f t="shared" si="4"/>
        <v>0.66538667012983943</v>
      </c>
      <c r="E72">
        <f t="shared" si="4"/>
        <v>0.66538667012983943</v>
      </c>
      <c r="G72">
        <f t="shared" ca="1" si="5"/>
        <v>70</v>
      </c>
      <c r="H72">
        <f t="shared" ca="1" si="6"/>
        <v>46.577066909088757</v>
      </c>
      <c r="I72">
        <f t="shared" ca="1" si="7"/>
        <v>1166.8540968734376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247459</v>
      </c>
      <c r="B75" s="66">
        <v>247459</v>
      </c>
      <c r="D75">
        <f t="shared" si="4"/>
        <v>0.73039199770958341</v>
      </c>
      <c r="E75">
        <f t="shared" si="4"/>
        <v>0.73039199770958341</v>
      </c>
      <c r="G75">
        <f t="shared" ca="1" si="5"/>
        <v>73</v>
      </c>
      <c r="H75">
        <f t="shared" ca="1" si="6"/>
        <v>53.318615832799587</v>
      </c>
      <c r="I75">
        <f t="shared" ca="1" si="7"/>
        <v>1103.9061733094015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259791</v>
      </c>
      <c r="B77" s="66">
        <v>259791</v>
      </c>
      <c r="D77">
        <f t="shared" si="4"/>
        <v>0.76679073089671579</v>
      </c>
      <c r="E77">
        <f t="shared" si="4"/>
        <v>0.76679073089671579</v>
      </c>
      <c r="G77">
        <f t="shared" ca="1" si="5"/>
        <v>75</v>
      </c>
      <c r="H77">
        <f t="shared" ca="1" si="6"/>
        <v>57.509304817253685</v>
      </c>
      <c r="I77">
        <f t="shared" ca="1" si="7"/>
        <v>1042.745156681159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259382</v>
      </c>
      <c r="B80" s="66">
        <v>259382</v>
      </c>
      <c r="D80">
        <f t="shared" si="4"/>
        <v>0.76558353969711013</v>
      </c>
      <c r="E80">
        <f t="shared" si="4"/>
        <v>0.76558353969711013</v>
      </c>
      <c r="G80">
        <f t="shared" ca="1" si="5"/>
        <v>78</v>
      </c>
      <c r="H80">
        <f t="shared" ca="1" si="6"/>
        <v>59.715516096374593</v>
      </c>
      <c r="I80">
        <f t="shared" ca="1" si="7"/>
        <v>878.6011443631586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257338</v>
      </c>
      <c r="B82" s="66">
        <v>257338</v>
      </c>
      <c r="D82">
        <f t="shared" si="4"/>
        <v>0.75955053526680694</v>
      </c>
      <c r="E82">
        <f t="shared" si="4"/>
        <v>0.75955053526680694</v>
      </c>
      <c r="G82">
        <f t="shared" ca="1" si="5"/>
        <v>80</v>
      </c>
      <c r="H82">
        <f t="shared" ca="1" si="6"/>
        <v>60.764042821344553</v>
      </c>
      <c r="I82">
        <f t="shared" ca="1" si="7"/>
        <v>771.79182820583389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274425</v>
      </c>
      <c r="B85" s="66">
        <v>274425</v>
      </c>
      <c r="D85">
        <f t="shared" si="4"/>
        <v>0.80998397298725222</v>
      </c>
      <c r="E85">
        <f t="shared" si="4"/>
        <v>0.80998397298725222</v>
      </c>
      <c r="G85">
        <f t="shared" ca="1" si="5"/>
        <v>83</v>
      </c>
      <c r="H85">
        <f t="shared" ca="1" si="6"/>
        <v>67.22866975794193</v>
      </c>
      <c r="I85">
        <f t="shared" ca="1" si="7"/>
        <v>675.41080756691747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274714</v>
      </c>
      <c r="B88" s="66">
        <v>274714</v>
      </c>
      <c r="D88">
        <f t="shared" si="4"/>
        <v>0.81083697605983418</v>
      </c>
      <c r="E88">
        <f t="shared" si="4"/>
        <v>0.81083697605983418</v>
      </c>
      <c r="G88">
        <f t="shared" ca="1" si="5"/>
        <v>86</v>
      </c>
      <c r="H88">
        <f t="shared" ca="1" si="6"/>
        <v>69.731979941145738</v>
      </c>
      <c r="I88">
        <f t="shared" ca="1" si="7"/>
        <v>542.93441917129462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273234</v>
      </c>
      <c r="B90" s="66">
        <v>273234</v>
      </c>
      <c r="D90">
        <f t="shared" si="4"/>
        <v>0.80646865582654226</v>
      </c>
      <c r="E90">
        <f t="shared" si="4"/>
        <v>0.80646865582654226</v>
      </c>
      <c r="G90">
        <f t="shared" ca="1" si="5"/>
        <v>88</v>
      </c>
      <c r="H90">
        <f t="shared" ca="1" si="6"/>
        <v>70.969241712735723</v>
      </c>
      <c r="I90">
        <f t="shared" ca="1" si="7"/>
        <v>459.76066744276477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301598</v>
      </c>
      <c r="B93" s="66">
        <v>301598</v>
      </c>
      <c r="D93">
        <f t="shared" si="4"/>
        <v>0.89018692278403677</v>
      </c>
      <c r="E93">
        <f t="shared" si="4"/>
        <v>0.89018692278403677</v>
      </c>
      <c r="G93">
        <f t="shared" ca="1" si="5"/>
        <v>91</v>
      </c>
      <c r="H93">
        <f t="shared" ca="1" si="6"/>
        <v>81.007009973347351</v>
      </c>
      <c r="I93">
        <f t="shared" ca="1" si="7"/>
        <v>387.97166766685342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290934</v>
      </c>
      <c r="B95" s="66">
        <v>290934</v>
      </c>
      <c r="D95">
        <f t="shared" si="4"/>
        <v>0.85871140456253336</v>
      </c>
      <c r="E95">
        <f t="shared" si="4"/>
        <v>0.85871140456253336</v>
      </c>
      <c r="G95">
        <f t="shared" ca="1" si="5"/>
        <v>93</v>
      </c>
      <c r="H95">
        <f t="shared" ca="1" si="6"/>
        <v>79.860160624315597</v>
      </c>
      <c r="I95">
        <f t="shared" ca="1" si="7"/>
        <v>305.98064804918334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293529</v>
      </c>
      <c r="B98" s="66">
        <v>293529</v>
      </c>
      <c r="D98">
        <f t="shared" si="4"/>
        <v>0.86637072280942018</v>
      </c>
      <c r="E98">
        <f t="shared" si="4"/>
        <v>0.86637072280942018</v>
      </c>
      <c r="G98">
        <f t="shared" ca="1" si="5"/>
        <v>96</v>
      </c>
      <c r="H98">
        <f t="shared" ca="1" si="6"/>
        <v>83.171589389704337</v>
      </c>
      <c r="I98">
        <f t="shared" ca="1" si="7"/>
        <v>218.38248463612769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294893</v>
      </c>
      <c r="B100" s="66">
        <v>294893</v>
      </c>
      <c r="D100">
        <f t="shared" si="4"/>
        <v>0.8703966611865892</v>
      </c>
      <c r="E100">
        <f t="shared" si="4"/>
        <v>0.8703966611865892</v>
      </c>
      <c r="G100">
        <f t="shared" ca="1" si="5"/>
        <v>98</v>
      </c>
      <c r="H100">
        <f t="shared" ca="1" si="6"/>
        <v>85.298872796285735</v>
      </c>
      <c r="I100">
        <f t="shared" ca="1" si="7"/>
        <v>167.60317620270993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265473</v>
      </c>
      <c r="B103" s="66">
        <v>265473</v>
      </c>
      <c r="D103">
        <f t="shared" si="4"/>
        <v>0.78356153871128653</v>
      </c>
      <c r="E103">
        <f t="shared" si="4"/>
        <v>0.78356153871128653</v>
      </c>
      <c r="G103">
        <f t="shared" ca="1" si="5"/>
        <v>101</v>
      </c>
      <c r="H103">
        <f t="shared" ca="1" si="6"/>
        <v>79.139715409839937</v>
      </c>
      <c r="I103">
        <f t="shared" ca="1" si="7"/>
        <v>92.695362437913587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247032</v>
      </c>
      <c r="B106" s="66">
        <v>247032</v>
      </c>
      <c r="D106">
        <f t="shared" si="4"/>
        <v>0.72913167829092418</v>
      </c>
      <c r="E106">
        <f t="shared" si="4"/>
        <v>0.72913167829092418</v>
      </c>
      <c r="G106">
        <f t="shared" ca="1" si="5"/>
        <v>104</v>
      </c>
      <c r="H106">
        <f t="shared" ca="1" si="6"/>
        <v>75.829694542256121</v>
      </c>
      <c r="I106">
        <f t="shared" ca="1" si="7"/>
        <v>45.235728799720512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235769</v>
      </c>
      <c r="B108" s="66">
        <v>235769</v>
      </c>
      <c r="D108">
        <f t="shared" si="4"/>
        <v>0.69588817100202771</v>
      </c>
      <c r="E108">
        <f t="shared" si="4"/>
        <v>0.69588817100202771</v>
      </c>
      <c r="G108">
        <f t="shared" ca="1" si="5"/>
        <v>106</v>
      </c>
      <c r="H108">
        <f t="shared" ca="1" si="6"/>
        <v>73.764146126214939</v>
      </c>
      <c r="I108">
        <f t="shared" ca="1" si="7"/>
        <v>24.031954425512286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246467</v>
      </c>
      <c r="B111" s="66">
        <v>246467</v>
      </c>
      <c r="D111">
        <f t="shared" si="4"/>
        <v>0.72746404252618779</v>
      </c>
      <c r="E111">
        <f t="shared" si="4"/>
        <v>0.72746404252618779</v>
      </c>
      <c r="G111">
        <f t="shared" ca="1" si="5"/>
        <v>109</v>
      </c>
      <c r="H111">
        <f t="shared" ca="1" si="6"/>
        <v>79.293580635354473</v>
      </c>
      <c r="I111">
        <f t="shared" ca="1" si="7"/>
        <v>6.0195652045927561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229766</v>
      </c>
      <c r="B113" s="66">
        <v>229766</v>
      </c>
      <c r="D113">
        <f t="shared" si="4"/>
        <v>0.67816990994766868</v>
      </c>
      <c r="E113">
        <f t="shared" si="4"/>
        <v>0.67816990994766868</v>
      </c>
      <c r="G113">
        <f t="shared" ca="1" si="5"/>
        <v>111</v>
      </c>
      <c r="H113">
        <f t="shared" ca="1" si="6"/>
        <v>75.276860004191221</v>
      </c>
      <c r="I113">
        <f t="shared" ca="1" si="7"/>
        <v>0.52110334079768139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222142</v>
      </c>
      <c r="B116" s="66">
        <v>222142</v>
      </c>
      <c r="D116">
        <f t="shared" si="4"/>
        <v>0.65566715761076499</v>
      </c>
      <c r="E116">
        <f t="shared" si="4"/>
        <v>0.65566715761076499</v>
      </c>
      <c r="G116">
        <f t="shared" ca="1" si="5"/>
        <v>114</v>
      </c>
      <c r="H116">
        <f t="shared" ca="1" si="6"/>
        <v>74.746055967627214</v>
      </c>
      <c r="I116">
        <f t="shared" ca="1" si="7"/>
        <v>2.9563395856054964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234528</v>
      </c>
      <c r="B118" s="66">
        <v>234528</v>
      </c>
      <c r="D118">
        <f t="shared" si="4"/>
        <v>0.69222527545505796</v>
      </c>
      <c r="E118">
        <f t="shared" si="4"/>
        <v>0.69222527545505796</v>
      </c>
      <c r="G118">
        <f t="shared" ca="1" si="5"/>
        <v>116</v>
      </c>
      <c r="H118">
        <f t="shared" ca="1" si="6"/>
        <v>80.298131952786719</v>
      </c>
      <c r="I118">
        <f t="shared" ca="1" si="7"/>
        <v>11.769611450936734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235313</v>
      </c>
      <c r="B121" s="66">
        <v>235313</v>
      </c>
      <c r="D121">
        <f t="shared" si="4"/>
        <v>0.69454225611933773</v>
      </c>
      <c r="E121">
        <f t="shared" si="4"/>
        <v>0.69454225611933773</v>
      </c>
      <c r="G121">
        <f t="shared" ca="1" si="5"/>
        <v>119</v>
      </c>
      <c r="H121">
        <f t="shared" ca="1" si="6"/>
        <v>82.650528478201196</v>
      </c>
      <c r="I121">
        <f t="shared" ca="1" si="7"/>
        <v>35.243213608646819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246522</v>
      </c>
      <c r="B124" s="66">
        <v>246522</v>
      </c>
      <c r="D124">
        <f t="shared" si="4"/>
        <v>0.72762637875107361</v>
      </c>
      <c r="E124">
        <f t="shared" si="4"/>
        <v>0.72762637875107361</v>
      </c>
      <c r="G124">
        <f t="shared" ca="1" si="5"/>
        <v>122</v>
      </c>
      <c r="H124">
        <f t="shared" ca="1" si="6"/>
        <v>88.770418207630982</v>
      </c>
      <c r="I124">
        <f t="shared" ca="1" si="7"/>
        <v>74.569761301950876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247970</v>
      </c>
      <c r="B126" s="66">
        <v>247970</v>
      </c>
      <c r="D126">
        <f t="shared" si="4"/>
        <v>0.7319002488171592</v>
      </c>
      <c r="E126">
        <f t="shared" si="4"/>
        <v>0.7319002488171592</v>
      </c>
      <c r="G126">
        <f t="shared" ca="1" si="5"/>
        <v>124</v>
      </c>
      <c r="H126">
        <f t="shared" ca="1" si="6"/>
        <v>90.755630853327744</v>
      </c>
      <c r="I126">
        <f t="shared" ca="1" si="7"/>
        <v>107.57269172331095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247221</v>
      </c>
      <c r="B129" s="66">
        <v>247221</v>
      </c>
      <c r="D129">
        <f t="shared" si="4"/>
        <v>0.72968952459098646</v>
      </c>
      <c r="E129">
        <f t="shared" si="4"/>
        <v>0.72968952459098646</v>
      </c>
      <c r="G129">
        <f t="shared" ca="1" si="5"/>
        <v>127</v>
      </c>
      <c r="H129">
        <f t="shared" ca="1" si="6"/>
        <v>92.670569623055286</v>
      </c>
      <c r="I129">
        <f t="shared" ca="1" si="7"/>
        <v>166.8929568823348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242994</v>
      </c>
      <c r="B131" s="66">
        <v>242994</v>
      </c>
      <c r="D131">
        <f t="shared" ref="D131:E194" si="8">IFERROR( A131/MAX(A$2:A$257), 0 )</f>
        <v>0.7172132478165778</v>
      </c>
      <c r="E131">
        <f t="shared" si="8"/>
        <v>0.7172132478165778</v>
      </c>
      <c r="G131">
        <f t="shared" ref="G131:G194" ca="1" si="9">CELL("row",D131)-2</f>
        <v>129</v>
      </c>
      <c r="H131">
        <f t="shared" ref="H131:H194" ca="1" si="10">D131*G131</f>
        <v>92.520508968338532</v>
      </c>
      <c r="I131">
        <f t="shared" ref="I131:I194" ca="1" si="11">D131*((G131-$L$1)^2)</f>
        <v>210.29512600070908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233010</v>
      </c>
      <c r="B134" s="66">
        <v>233010</v>
      </c>
      <c r="D134">
        <f t="shared" si="8"/>
        <v>0.68774479564820856</v>
      </c>
      <c r="E134">
        <f t="shared" si="8"/>
        <v>0.68774479564820856</v>
      </c>
      <c r="G134">
        <f t="shared" ca="1" si="9"/>
        <v>132</v>
      </c>
      <c r="H134">
        <f t="shared" ca="1" si="10"/>
        <v>90.782313025563525</v>
      </c>
      <c r="I134">
        <f t="shared" ca="1" si="11"/>
        <v>278.50359066022793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235920</v>
      </c>
      <c r="B136" s="66">
        <v>235920</v>
      </c>
      <c r="D136">
        <f t="shared" si="8"/>
        <v>0.69633385772853251</v>
      </c>
      <c r="E136">
        <f t="shared" si="8"/>
        <v>0.69633385772853251</v>
      </c>
      <c r="G136">
        <f t="shared" ca="1" si="9"/>
        <v>134</v>
      </c>
      <c r="H136">
        <f t="shared" ca="1" si="10"/>
        <v>93.308736935623358</v>
      </c>
      <c r="I136">
        <f t="shared" ca="1" si="11"/>
        <v>340.81755192179497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228453</v>
      </c>
      <c r="B139" s="66">
        <v>228453</v>
      </c>
      <c r="D139">
        <f t="shared" si="8"/>
        <v>0.67429450152448478</v>
      </c>
      <c r="E139">
        <f t="shared" si="8"/>
        <v>0.67429450152448478</v>
      </c>
      <c r="G139">
        <f t="shared" ca="1" si="9"/>
        <v>137</v>
      </c>
      <c r="H139">
        <f t="shared" ca="1" si="10"/>
        <v>92.378346708854409</v>
      </c>
      <c r="I139">
        <f t="shared" ca="1" si="11"/>
        <v>425.6053299033133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229703</v>
      </c>
      <c r="B142" s="66">
        <v>229703</v>
      </c>
      <c r="D142">
        <f t="shared" si="8"/>
        <v>0.67798396118098125</v>
      </c>
      <c r="E142">
        <f t="shared" si="8"/>
        <v>0.67798396118098125</v>
      </c>
      <c r="G142">
        <f t="shared" ca="1" si="9"/>
        <v>140</v>
      </c>
      <c r="H142">
        <f t="shared" ca="1" si="10"/>
        <v>94.917754565337376</v>
      </c>
      <c r="I142">
        <f t="shared" ca="1" si="11"/>
        <v>536.23556700043264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250580</v>
      </c>
      <c r="B144" s="66">
        <v>250580</v>
      </c>
      <c r="D144">
        <f t="shared" si="8"/>
        <v>0.73960384057992401</v>
      </c>
      <c r="E144">
        <f t="shared" si="8"/>
        <v>0.73960384057992401</v>
      </c>
      <c r="G144">
        <f t="shared" ca="1" si="9"/>
        <v>142</v>
      </c>
      <c r="H144">
        <f t="shared" ca="1" si="10"/>
        <v>105.0237453623492</v>
      </c>
      <c r="I144">
        <f t="shared" ca="1" si="11"/>
        <v>671.13153680301173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282715</v>
      </c>
      <c r="B147" s="66">
        <v>282715</v>
      </c>
      <c r="D147">
        <f t="shared" si="8"/>
        <v>0.83445246942913731</v>
      </c>
      <c r="E147">
        <f t="shared" si="8"/>
        <v>0.83445246942913731</v>
      </c>
      <c r="G147">
        <f t="shared" ca="1" si="9"/>
        <v>145</v>
      </c>
      <c r="H147">
        <f t="shared" ca="1" si="10"/>
        <v>120.99560806722491</v>
      </c>
      <c r="I147">
        <f t="shared" ca="1" si="11"/>
        <v>915.52854199723595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317470</v>
      </c>
      <c r="B149" s="66">
        <v>317470</v>
      </c>
      <c r="D149">
        <f t="shared" si="8"/>
        <v>0.93703420571836726</v>
      </c>
      <c r="E149">
        <f t="shared" si="8"/>
        <v>0.93703420571836726</v>
      </c>
      <c r="G149">
        <f t="shared" ca="1" si="9"/>
        <v>147</v>
      </c>
      <c r="H149">
        <f t="shared" ca="1" si="10"/>
        <v>137.74402824059999</v>
      </c>
      <c r="I149">
        <f t="shared" ca="1" si="11"/>
        <v>1155.9764408328765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326338</v>
      </c>
      <c r="B152" s="66">
        <v>326338</v>
      </c>
      <c r="D152">
        <f t="shared" si="8"/>
        <v>0.96320870830541638</v>
      </c>
      <c r="E152">
        <f t="shared" si="8"/>
        <v>0.96320870830541638</v>
      </c>
      <c r="G152">
        <f t="shared" ca="1" si="9"/>
        <v>150</v>
      </c>
      <c r="H152">
        <f t="shared" ca="1" si="10"/>
        <v>144.48130624581245</v>
      </c>
      <c r="I152">
        <f t="shared" ca="1" si="11"/>
        <v>1399.9227025221544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334685</v>
      </c>
      <c r="B154" s="66">
        <v>334685</v>
      </c>
      <c r="D154">
        <f t="shared" si="8"/>
        <v>0.98784544410763775</v>
      </c>
      <c r="E154">
        <f t="shared" si="8"/>
        <v>0.98784544410763775</v>
      </c>
      <c r="G154">
        <f t="shared" ca="1" si="9"/>
        <v>152</v>
      </c>
      <c r="H154">
        <f t="shared" ca="1" si="10"/>
        <v>150.15250750436093</v>
      </c>
      <c r="I154">
        <f t="shared" ca="1" si="11"/>
        <v>1590.3211706345244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320088</v>
      </c>
      <c r="B157" s="66">
        <v>320088</v>
      </c>
      <c r="D157">
        <f t="shared" si="8"/>
        <v>0.94476141002293368</v>
      </c>
      <c r="E157">
        <f t="shared" si="8"/>
        <v>0.94476141002293368</v>
      </c>
      <c r="G157">
        <f t="shared" ca="1" si="9"/>
        <v>155</v>
      </c>
      <c r="H157">
        <f t="shared" ca="1" si="10"/>
        <v>146.43801855355471</v>
      </c>
      <c r="I157">
        <f t="shared" ca="1" si="11"/>
        <v>1756.905866150702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322351</v>
      </c>
      <c r="B160" s="66">
        <v>322351</v>
      </c>
      <c r="D160">
        <f t="shared" si="8"/>
        <v>0.95144080778505502</v>
      </c>
      <c r="E160">
        <f t="shared" si="8"/>
        <v>0.95144080778505502</v>
      </c>
      <c r="G160">
        <f t="shared" ca="1" si="9"/>
        <v>158</v>
      </c>
      <c r="H160">
        <f t="shared" ca="1" si="10"/>
        <v>150.32764763003868</v>
      </c>
      <c r="I160">
        <f t="shared" ca="1" si="11"/>
        <v>2024.0663127944172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316264</v>
      </c>
      <c r="B162" s="66">
        <v>316264</v>
      </c>
      <c r="D162">
        <f t="shared" si="8"/>
        <v>0.93347461504177942</v>
      </c>
      <c r="E162">
        <f t="shared" si="8"/>
        <v>0.93347461504177942</v>
      </c>
      <c r="G162">
        <f t="shared" ca="1" si="9"/>
        <v>160</v>
      </c>
      <c r="H162">
        <f t="shared" ca="1" si="10"/>
        <v>149.35593840668471</v>
      </c>
      <c r="I162">
        <f t="shared" ca="1" si="11"/>
        <v>2161.7996363401276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338803</v>
      </c>
      <c r="B165" s="66">
        <v>338803</v>
      </c>
      <c r="D165">
        <f t="shared" si="8"/>
        <v>1</v>
      </c>
      <c r="E165">
        <f t="shared" si="8"/>
        <v>1</v>
      </c>
      <c r="G165">
        <f t="shared" ca="1" si="9"/>
        <v>163</v>
      </c>
      <c r="H165">
        <f t="shared" ca="1" si="10"/>
        <v>163</v>
      </c>
      <c r="I165">
        <f t="shared" ca="1" si="11"/>
        <v>2613.6038428202332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311407</v>
      </c>
      <c r="B167" s="66">
        <v>311407</v>
      </c>
      <c r="D167">
        <f t="shared" si="8"/>
        <v>0.91913885060049649</v>
      </c>
      <c r="E167">
        <f t="shared" si="8"/>
        <v>0.91913885060049649</v>
      </c>
      <c r="G167">
        <f t="shared" ca="1" si="9"/>
        <v>165</v>
      </c>
      <c r="H167">
        <f t="shared" ca="1" si="10"/>
        <v>151.65791034908193</v>
      </c>
      <c r="I167">
        <f t="shared" ca="1" si="11"/>
        <v>2593.8994651488838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251521</v>
      </c>
      <c r="B170" s="66">
        <v>251521</v>
      </c>
      <c r="D170">
        <f t="shared" si="8"/>
        <v>0.74238126580933461</v>
      </c>
      <c r="E170">
        <f t="shared" si="8"/>
        <v>0.74238126580933461</v>
      </c>
      <c r="G170">
        <f t="shared" ca="1" si="9"/>
        <v>168</v>
      </c>
      <c r="H170">
        <f t="shared" ca="1" si="10"/>
        <v>124.72005265596822</v>
      </c>
      <c r="I170">
        <f t="shared" ca="1" si="11"/>
        <v>2338.380736647237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182988</v>
      </c>
      <c r="B173" s="66">
        <v>182988</v>
      </c>
      <c r="D173">
        <f t="shared" si="8"/>
        <v>0.54010147489839233</v>
      </c>
      <c r="E173">
        <f t="shared" si="8"/>
        <v>0.54010147489839233</v>
      </c>
      <c r="G173">
        <f t="shared" ca="1" si="9"/>
        <v>171</v>
      </c>
      <c r="H173">
        <f t="shared" ca="1" si="10"/>
        <v>92.357352207625084</v>
      </c>
      <c r="I173">
        <f t="shared" ca="1" si="11"/>
        <v>1887.967117990808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129141</v>
      </c>
      <c r="B175" s="66">
        <v>129141</v>
      </c>
      <c r="D175">
        <f t="shared" si="8"/>
        <v>0.38116840759969656</v>
      </c>
      <c r="E175">
        <f t="shared" si="8"/>
        <v>0.38116840759969656</v>
      </c>
      <c r="G175">
        <f t="shared" ca="1" si="9"/>
        <v>173</v>
      </c>
      <c r="H175">
        <f t="shared" ca="1" si="10"/>
        <v>65.942134514747508</v>
      </c>
      <c r="I175">
        <f t="shared" ca="1" si="11"/>
        <v>1424.0726903489108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80280</v>
      </c>
      <c r="B178" s="66">
        <v>80280</v>
      </c>
      <c r="D178">
        <f t="shared" si="8"/>
        <v>0.23695185697883431</v>
      </c>
      <c r="E178">
        <f t="shared" si="8"/>
        <v>0.23695185697883431</v>
      </c>
      <c r="G178">
        <f t="shared" ca="1" si="9"/>
        <v>176</v>
      </c>
      <c r="H178">
        <f t="shared" ca="1" si="10"/>
        <v>41.703526828274839</v>
      </c>
      <c r="I178">
        <f t="shared" ca="1" si="11"/>
        <v>974.30165586069108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45995</v>
      </c>
      <c r="B180" s="66">
        <v>45995</v>
      </c>
      <c r="D180">
        <f t="shared" si="8"/>
        <v>0.13575735752044699</v>
      </c>
      <c r="E180">
        <f t="shared" si="8"/>
        <v>0.13575735752044699</v>
      </c>
      <c r="G180">
        <f t="shared" ca="1" si="9"/>
        <v>178</v>
      </c>
      <c r="H180">
        <f t="shared" ca="1" si="10"/>
        <v>24.164809638639564</v>
      </c>
      <c r="I180">
        <f t="shared" ca="1" si="11"/>
        <v>593.57275979838369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21446</v>
      </c>
      <c r="B183" s="66">
        <v>21446</v>
      </c>
      <c r="D183">
        <f t="shared" si="8"/>
        <v>6.3299321434579975E-2</v>
      </c>
      <c r="E183">
        <f t="shared" si="8"/>
        <v>6.3299321434579975E-2</v>
      </c>
      <c r="G183">
        <f t="shared" ca="1" si="9"/>
        <v>181</v>
      </c>
      <c r="H183">
        <f t="shared" ca="1" si="10"/>
        <v>11.457177179658975</v>
      </c>
      <c r="I183">
        <f t="shared" ca="1" si="11"/>
        <v>302.44712541028315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15986</v>
      </c>
      <c r="B185" s="66">
        <v>15986</v>
      </c>
      <c r="D185">
        <f t="shared" si="8"/>
        <v>4.7183761655003056E-2</v>
      </c>
      <c r="E185">
        <f t="shared" si="8"/>
        <v>4.7183761655003056E-2</v>
      </c>
      <c r="G185">
        <f t="shared" ca="1" si="9"/>
        <v>183</v>
      </c>
      <c r="H185">
        <f t="shared" ca="1" si="10"/>
        <v>8.634628382865559</v>
      </c>
      <c r="I185">
        <f t="shared" ca="1" si="11"/>
        <v>238.68097177343716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7074</v>
      </c>
      <c r="B188" s="66">
        <v>7074</v>
      </c>
      <c r="D188">
        <f t="shared" si="8"/>
        <v>2.0879390088045267E-2</v>
      </c>
      <c r="E188">
        <f t="shared" si="8"/>
        <v>2.0879390088045267E-2</v>
      </c>
      <c r="G188">
        <f t="shared" ca="1" si="9"/>
        <v>186</v>
      </c>
      <c r="H188">
        <f t="shared" ca="1" si="10"/>
        <v>3.8835665563764197</v>
      </c>
      <c r="I188">
        <f t="shared" ca="1" si="11"/>
        <v>114.71723749446791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3045</v>
      </c>
      <c r="B191" s="66">
        <v>3045</v>
      </c>
      <c r="D191">
        <f t="shared" si="8"/>
        <v>8.9875237232255913E-3</v>
      </c>
      <c r="E191">
        <f t="shared" si="8"/>
        <v>8.9875237232255913E-3</v>
      </c>
      <c r="G191">
        <f t="shared" ca="1" si="9"/>
        <v>189</v>
      </c>
      <c r="H191">
        <f t="shared" ca="1" si="10"/>
        <v>1.6986419836896367</v>
      </c>
      <c r="I191">
        <f t="shared" ca="1" si="11"/>
        <v>53.457984930800109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817</v>
      </c>
      <c r="B193" s="66">
        <v>817</v>
      </c>
      <c r="D193">
        <f t="shared" si="8"/>
        <v>2.4114308314861438E-3</v>
      </c>
      <c r="E193">
        <f t="shared" si="8"/>
        <v>2.4114308314861438E-3</v>
      </c>
      <c r="G193">
        <f t="shared" ca="1" si="9"/>
        <v>191</v>
      </c>
      <c r="H193">
        <f t="shared" ca="1" si="10"/>
        <v>0.46058328881385346</v>
      </c>
      <c r="I193">
        <f t="shared" ca="1" si="11"/>
        <v>15.096799463557931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436</v>
      </c>
      <c r="B196" s="66">
        <v>436</v>
      </c>
      <c r="D196">
        <f t="shared" si="12"/>
        <v>1.286883528185996E-3</v>
      </c>
      <c r="E196">
        <f t="shared" si="12"/>
        <v>1.286883528185996E-3</v>
      </c>
      <c r="G196">
        <f t="shared" ca="1" si="13"/>
        <v>194</v>
      </c>
      <c r="H196">
        <f t="shared" ca="1" si="14"/>
        <v>0.24965540446808321</v>
      </c>
      <c r="I196">
        <f t="shared" ca="1" si="15"/>
        <v>8.6790716262485255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106.7418547216252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2.0609173135490066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0.76505756957419113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164</v>
      </c>
      <c r="B8" s="66">
        <v>164</v>
      </c>
      <c r="D8">
        <f t="shared" si="0"/>
        <v>8.9392783167993026E-2</v>
      </c>
      <c r="E8">
        <f t="shared" si="1"/>
        <v>8.9392783167993026E-2</v>
      </c>
      <c r="G8">
        <f t="shared" ca="1" si="2"/>
        <v>6</v>
      </c>
      <c r="H8">
        <f t="shared" ca="1" si="3"/>
        <v>0.53635669900795813</v>
      </c>
      <c r="I8">
        <f t="shared" ca="1" si="4"/>
        <v>907.24032051209986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188</v>
      </c>
      <c r="B10" s="66">
        <v>188</v>
      </c>
      <c r="D10">
        <f t="shared" si="0"/>
        <v>0.1024746538755042</v>
      </c>
      <c r="E10">
        <f t="shared" si="1"/>
        <v>0.1024746538755042</v>
      </c>
      <c r="G10">
        <f t="shared" ca="1" si="2"/>
        <v>8</v>
      </c>
      <c r="H10">
        <f t="shared" ca="1" si="3"/>
        <v>0.81979723100403357</v>
      </c>
      <c r="I10">
        <f t="shared" ca="1" si="4"/>
        <v>999.12314852660472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435</v>
      </c>
      <c r="B13" s="66">
        <v>435</v>
      </c>
      <c r="D13">
        <f t="shared" si="0"/>
        <v>0.23710890657364003</v>
      </c>
      <c r="E13">
        <f t="shared" si="1"/>
        <v>0.23710890657364003</v>
      </c>
      <c r="G13">
        <f t="shared" ca="1" si="2"/>
        <v>11</v>
      </c>
      <c r="H13">
        <f t="shared" ca="1" si="3"/>
        <v>2.6081979723100401</v>
      </c>
      <c r="I13">
        <f t="shared" ca="1" si="4"/>
        <v>2173.4594430984966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959</v>
      </c>
      <c r="B15" s="66">
        <v>959</v>
      </c>
      <c r="D15">
        <f t="shared" si="0"/>
        <v>0.52272975035430069</v>
      </c>
      <c r="E15">
        <f t="shared" si="1"/>
        <v>0.52272975035430069</v>
      </c>
      <c r="G15">
        <f t="shared" ca="1" si="2"/>
        <v>13</v>
      </c>
      <c r="H15">
        <f t="shared" ca="1" si="3"/>
        <v>6.7954867546059088</v>
      </c>
      <c r="I15">
        <f t="shared" ca="1" si="4"/>
        <v>4593.5061475295015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3084</v>
      </c>
      <c r="B18" s="66">
        <v>3084</v>
      </c>
      <c r="D18">
        <f t="shared" si="0"/>
        <v>1.6810203859151858</v>
      </c>
      <c r="E18">
        <f t="shared" si="1"/>
        <v>1.6810203859151858</v>
      </c>
      <c r="G18">
        <f t="shared" ca="1" si="2"/>
        <v>16</v>
      </c>
      <c r="H18">
        <f t="shared" ca="1" si="3"/>
        <v>26.896326174642972</v>
      </c>
      <c r="I18">
        <f t="shared" ca="1" si="4"/>
        <v>13841.663396718917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4443</v>
      </c>
      <c r="B21" s="66">
        <v>4443</v>
      </c>
      <c r="D21">
        <f t="shared" si="0"/>
        <v>2.4217813147280061</v>
      </c>
      <c r="E21">
        <f t="shared" si="1"/>
        <v>2.4217813147280061</v>
      </c>
      <c r="G21">
        <f t="shared" ca="1" si="2"/>
        <v>19</v>
      </c>
      <c r="H21">
        <f t="shared" ca="1" si="3"/>
        <v>46.013844979832115</v>
      </c>
      <c r="I21">
        <f t="shared" ca="1" si="4"/>
        <v>18644.405717850783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5747</v>
      </c>
      <c r="B23" s="66">
        <v>5747</v>
      </c>
      <c r="D23">
        <f t="shared" si="0"/>
        <v>3.1325629565027797</v>
      </c>
      <c r="E23">
        <f t="shared" si="1"/>
        <v>3.1325629565027797</v>
      </c>
      <c r="G23">
        <f t="shared" ca="1" si="2"/>
        <v>21</v>
      </c>
      <c r="H23">
        <f t="shared" ca="1" si="3"/>
        <v>65.783822086558374</v>
      </c>
      <c r="I23">
        <f t="shared" ca="1" si="4"/>
        <v>23029.555487243164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10582</v>
      </c>
      <c r="B26" s="66">
        <v>10582</v>
      </c>
      <c r="D26">
        <f t="shared" si="0"/>
        <v>5.7680148261201349</v>
      </c>
      <c r="E26">
        <f t="shared" si="1"/>
        <v>5.7680148261201349</v>
      </c>
      <c r="G26">
        <f t="shared" ca="1" si="2"/>
        <v>24</v>
      </c>
      <c r="H26">
        <f t="shared" ca="1" si="3"/>
        <v>138.43235582688322</v>
      </c>
      <c r="I26">
        <f t="shared" ca="1" si="4"/>
        <v>39489.066870162475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17385</v>
      </c>
      <c r="B28" s="66">
        <v>17385</v>
      </c>
      <c r="D28">
        <f t="shared" si="0"/>
        <v>9.4761800937534062</v>
      </c>
      <c r="E28">
        <f t="shared" si="1"/>
        <v>9.4761800937534062</v>
      </c>
      <c r="G28">
        <f t="shared" ca="1" si="2"/>
        <v>26</v>
      </c>
      <c r="H28">
        <f t="shared" ca="1" si="3"/>
        <v>246.38068243758858</v>
      </c>
      <c r="I28">
        <f t="shared" ca="1" si="4"/>
        <v>61777.559632123295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26326</v>
      </c>
      <c r="B31" s="66">
        <v>26326</v>
      </c>
      <c r="D31">
        <f t="shared" si="0"/>
        <v>14.349722010247465</v>
      </c>
      <c r="E31">
        <f t="shared" si="1"/>
        <v>14.349722010247465</v>
      </c>
      <c r="G31">
        <f t="shared" ca="1" si="2"/>
        <v>29</v>
      </c>
      <c r="H31">
        <f t="shared" ca="1" si="3"/>
        <v>416.14193829717647</v>
      </c>
      <c r="I31">
        <f t="shared" ca="1" si="4"/>
        <v>86726.792135913682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31914</v>
      </c>
      <c r="B33" s="66">
        <v>31914</v>
      </c>
      <c r="D33">
        <f t="shared" si="0"/>
        <v>17.395617573312983</v>
      </c>
      <c r="E33">
        <f t="shared" si="1"/>
        <v>17.395617573312983</v>
      </c>
      <c r="G33">
        <f t="shared" ca="1" si="2"/>
        <v>31</v>
      </c>
      <c r="H33">
        <f t="shared" ca="1" si="3"/>
        <v>539.26414477270248</v>
      </c>
      <c r="I33">
        <f t="shared" ca="1" si="4"/>
        <v>99795.67565552333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36780</v>
      </c>
      <c r="B36" s="66">
        <v>36780</v>
      </c>
      <c r="D36">
        <f t="shared" si="0"/>
        <v>20.047966859260875</v>
      </c>
      <c r="E36">
        <f t="shared" si="1"/>
        <v>20.047966859260875</v>
      </c>
      <c r="G36">
        <f t="shared" ca="1" si="2"/>
        <v>34</v>
      </c>
      <c r="H36">
        <f t="shared" ca="1" si="3"/>
        <v>681.63087321486978</v>
      </c>
      <c r="I36">
        <f t="shared" ca="1" si="4"/>
        <v>106081.359323242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49552</v>
      </c>
      <c r="B39" s="66">
        <v>49552</v>
      </c>
      <c r="D39">
        <f t="shared" si="0"/>
        <v>27.009702387441404</v>
      </c>
      <c r="E39">
        <f t="shared" si="1"/>
        <v>27.009702387441404</v>
      </c>
      <c r="G39">
        <f t="shared" ca="1" si="2"/>
        <v>37</v>
      </c>
      <c r="H39">
        <f t="shared" ca="1" si="3"/>
        <v>999.3589883353319</v>
      </c>
      <c r="I39">
        <f t="shared" ca="1" si="4"/>
        <v>131373.20179778058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56584</v>
      </c>
      <c r="B41" s="66">
        <v>56584</v>
      </c>
      <c r="D41">
        <f t="shared" si="0"/>
        <v>30.84269050474218</v>
      </c>
      <c r="E41">
        <f t="shared" si="1"/>
        <v>30.84269050474218</v>
      </c>
      <c r="G41">
        <f t="shared" ca="1" si="2"/>
        <v>39</v>
      </c>
      <c r="H41">
        <f t="shared" ca="1" si="3"/>
        <v>1202.8649296849451</v>
      </c>
      <c r="I41">
        <f t="shared" ca="1" si="4"/>
        <v>141535.83850955023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64281</v>
      </c>
      <c r="B44" s="66">
        <v>64281</v>
      </c>
      <c r="D44">
        <f t="shared" si="0"/>
        <v>35.038155456230243</v>
      </c>
      <c r="E44">
        <f t="shared" si="1"/>
        <v>35.038155456230243</v>
      </c>
      <c r="G44">
        <f t="shared" ca="1" si="2"/>
        <v>42</v>
      </c>
      <c r="H44">
        <f t="shared" ca="1" si="3"/>
        <v>1471.6025291616702</v>
      </c>
      <c r="I44">
        <f t="shared" ca="1" si="4"/>
        <v>146862.70023846137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64296</v>
      </c>
      <c r="B46" s="66">
        <v>64296</v>
      </c>
      <c r="D46">
        <f t="shared" si="0"/>
        <v>35.046331625422432</v>
      </c>
      <c r="E46">
        <f t="shared" si="1"/>
        <v>35.046331625422432</v>
      </c>
      <c r="G46">
        <f t="shared" ca="1" si="2"/>
        <v>44</v>
      </c>
      <c r="H46">
        <f t="shared" ca="1" si="3"/>
        <v>1542.0385915185871</v>
      </c>
      <c r="I46">
        <f t="shared" ca="1" si="4"/>
        <v>137961.2979990443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69644</v>
      </c>
      <c r="B49" s="66">
        <v>69644</v>
      </c>
      <c r="D49">
        <f t="shared" si="0"/>
        <v>37.961408481412839</v>
      </c>
      <c r="E49">
        <f t="shared" si="1"/>
        <v>37.961408481412839</v>
      </c>
      <c r="G49">
        <f t="shared" ca="1" si="2"/>
        <v>47</v>
      </c>
      <c r="H49">
        <f t="shared" ca="1" si="3"/>
        <v>1784.1861986264034</v>
      </c>
      <c r="I49">
        <f t="shared" ca="1" si="4"/>
        <v>135487.65323961494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78375</v>
      </c>
      <c r="B51" s="66">
        <v>78375</v>
      </c>
      <c r="D51">
        <f t="shared" si="0"/>
        <v>42.72048402921618</v>
      </c>
      <c r="E51">
        <f t="shared" si="1"/>
        <v>42.72048402921618</v>
      </c>
      <c r="G51">
        <f t="shared" ca="1" si="2"/>
        <v>49</v>
      </c>
      <c r="H51">
        <f t="shared" ca="1" si="3"/>
        <v>2093.3037174315928</v>
      </c>
      <c r="I51">
        <f t="shared" ca="1" si="4"/>
        <v>142435.2965398916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94212</v>
      </c>
      <c r="B54" s="66">
        <v>94212</v>
      </c>
      <c r="D54">
        <f t="shared" si="0"/>
        <v>51.352883462335114</v>
      </c>
      <c r="E54">
        <f t="shared" si="1"/>
        <v>51.352883462335114</v>
      </c>
      <c r="G54">
        <f t="shared" ca="1" si="2"/>
        <v>52</v>
      </c>
      <c r="H54">
        <f t="shared" ca="1" si="3"/>
        <v>2670.3499400414257</v>
      </c>
      <c r="I54">
        <f t="shared" ca="1" si="4"/>
        <v>153887.67909394085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87443</v>
      </c>
      <c r="B57" s="66">
        <v>87443</v>
      </c>
      <c r="D57">
        <f t="shared" si="0"/>
        <v>47.663250844870817</v>
      </c>
      <c r="E57">
        <f t="shared" si="1"/>
        <v>47.663250844870817</v>
      </c>
      <c r="G57">
        <f t="shared" ca="1" si="2"/>
        <v>55</v>
      </c>
      <c r="H57">
        <f t="shared" ca="1" si="3"/>
        <v>2621.4787964678949</v>
      </c>
      <c r="I57">
        <f t="shared" ca="1" si="4"/>
        <v>127604.98602678665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96151</v>
      </c>
      <c r="B59" s="66">
        <v>96151</v>
      </c>
      <c r="D59">
        <f t="shared" si="0"/>
        <v>52.409789599912784</v>
      </c>
      <c r="E59">
        <f t="shared" si="1"/>
        <v>52.409789599912784</v>
      </c>
      <c r="G59">
        <f t="shared" ca="1" si="2"/>
        <v>57</v>
      </c>
      <c r="H59">
        <f t="shared" ca="1" si="3"/>
        <v>2987.3580071950287</v>
      </c>
      <c r="I59">
        <f t="shared" ca="1" si="4"/>
        <v>129675.0325623683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106516</v>
      </c>
      <c r="B62" s="66">
        <v>106516</v>
      </c>
      <c r="D62">
        <f t="shared" si="0"/>
        <v>58.059522511719173</v>
      </c>
      <c r="E62">
        <f t="shared" si="1"/>
        <v>58.059522511719173</v>
      </c>
      <c r="G62">
        <f t="shared" ca="1" si="2"/>
        <v>60</v>
      </c>
      <c r="H62">
        <f t="shared" ca="1" si="3"/>
        <v>3483.5713507031505</v>
      </c>
      <c r="I62">
        <f t="shared" ca="1" si="4"/>
        <v>126848.50184551977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111096</v>
      </c>
      <c r="B64" s="66">
        <v>111096</v>
      </c>
      <c r="D64">
        <f t="shared" si="0"/>
        <v>60.555979505069224</v>
      </c>
      <c r="E64">
        <f t="shared" si="1"/>
        <v>60.555979505069224</v>
      </c>
      <c r="G64">
        <f t="shared" ca="1" si="2"/>
        <v>62</v>
      </c>
      <c r="H64">
        <f t="shared" ca="1" si="3"/>
        <v>3754.4707293142919</v>
      </c>
      <c r="I64">
        <f t="shared" ca="1" si="4"/>
        <v>121222.99226996624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109501</v>
      </c>
      <c r="B67" s="66">
        <v>109501</v>
      </c>
      <c r="D67">
        <f t="shared" ref="D67:D130" si="5">IFERROR( 100*A67/MAX(A$2:A$257), 0 )</f>
        <v>59.686580180965876</v>
      </c>
      <c r="E67">
        <f t="shared" ref="E67:E130" si="6">IFERROR( 100*B67/MAX(B$2:B$257), 0 )</f>
        <v>59.686580180965876</v>
      </c>
      <c r="G67">
        <f t="shared" ref="G67:G130" ca="1" si="7">CELL("row",D67)-2</f>
        <v>65</v>
      </c>
      <c r="H67">
        <f t="shared" ref="H67:H130" ca="1" si="8">D67*G67</f>
        <v>3879.6277117627819</v>
      </c>
      <c r="I67">
        <f t="shared" ref="I67:I130" ca="1" si="9">D67*((G67-$L$1)^2)</f>
        <v>103996.84894842147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116152</v>
      </c>
      <c r="B69" s="66">
        <v>116152</v>
      </c>
      <c r="D69">
        <f t="shared" si="5"/>
        <v>63.311893600784913</v>
      </c>
      <c r="E69">
        <f t="shared" si="6"/>
        <v>63.311893600784913</v>
      </c>
      <c r="G69">
        <f t="shared" ca="1" si="7"/>
        <v>67</v>
      </c>
      <c r="H69">
        <f t="shared" ca="1" si="8"/>
        <v>4241.8968712525893</v>
      </c>
      <c r="I69">
        <f t="shared" ca="1" si="9"/>
        <v>99995.755489727031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115834</v>
      </c>
      <c r="B72" s="66">
        <v>115834</v>
      </c>
      <c r="D72">
        <f t="shared" si="5"/>
        <v>63.138558813910386</v>
      </c>
      <c r="E72">
        <f t="shared" si="6"/>
        <v>63.138558813910386</v>
      </c>
      <c r="G72">
        <f t="shared" ca="1" si="7"/>
        <v>70</v>
      </c>
      <c r="H72">
        <f t="shared" ca="1" si="8"/>
        <v>4419.6991169737266</v>
      </c>
      <c r="I72">
        <f t="shared" ca="1" si="9"/>
        <v>85234.774363452234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118736</v>
      </c>
      <c r="B75" s="66">
        <v>118736</v>
      </c>
      <c r="D75">
        <f t="shared" si="5"/>
        <v>64.720375013626949</v>
      </c>
      <c r="E75">
        <f t="shared" si="6"/>
        <v>64.720375013626949</v>
      </c>
      <c r="G75">
        <f t="shared" ca="1" si="7"/>
        <v>73</v>
      </c>
      <c r="H75">
        <f t="shared" ca="1" si="8"/>
        <v>4724.5873759947672</v>
      </c>
      <c r="I75">
        <f t="shared" ca="1" si="9"/>
        <v>73684.972788575964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128692</v>
      </c>
      <c r="B77" s="66">
        <v>128692</v>
      </c>
      <c r="D77">
        <f t="shared" si="5"/>
        <v>70.147171045459501</v>
      </c>
      <c r="E77">
        <f t="shared" si="6"/>
        <v>70.147171045459501</v>
      </c>
      <c r="G77">
        <f t="shared" ca="1" si="7"/>
        <v>75</v>
      </c>
      <c r="H77">
        <f t="shared" ca="1" si="8"/>
        <v>5261.0378284094622</v>
      </c>
      <c r="I77">
        <f t="shared" ca="1" si="9"/>
        <v>70676.455383020861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128759</v>
      </c>
      <c r="B80" s="66">
        <v>128759</v>
      </c>
      <c r="D80">
        <f t="shared" si="5"/>
        <v>70.183691267851302</v>
      </c>
      <c r="E80">
        <f t="shared" si="6"/>
        <v>70.183691267851302</v>
      </c>
      <c r="G80">
        <f t="shared" ca="1" si="7"/>
        <v>78</v>
      </c>
      <c r="H80">
        <f t="shared" ca="1" si="8"/>
        <v>5474.3279188924016</v>
      </c>
      <c r="I80">
        <f t="shared" ca="1" si="9"/>
        <v>57978.341192051645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135098</v>
      </c>
      <c r="B82" s="66">
        <v>135098</v>
      </c>
      <c r="D82">
        <f t="shared" si="5"/>
        <v>73.638940368472689</v>
      </c>
      <c r="E82">
        <f t="shared" si="6"/>
        <v>73.638940368472689</v>
      </c>
      <c r="G82">
        <f t="shared" ca="1" si="7"/>
        <v>80</v>
      </c>
      <c r="H82">
        <f t="shared" ca="1" si="8"/>
        <v>5891.1152294778149</v>
      </c>
      <c r="I82">
        <f t="shared" ca="1" si="9"/>
        <v>52661.179335765803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154676</v>
      </c>
      <c r="B85" s="66">
        <v>154676</v>
      </c>
      <c r="D85">
        <f t="shared" si="5"/>
        <v>84.310476398124933</v>
      </c>
      <c r="E85">
        <f t="shared" si="6"/>
        <v>84.310476398124933</v>
      </c>
      <c r="G85">
        <f t="shared" ca="1" si="7"/>
        <v>83</v>
      </c>
      <c r="H85">
        <f t="shared" ca="1" si="8"/>
        <v>6997.7695410443694</v>
      </c>
      <c r="I85">
        <f t="shared" ca="1" si="9"/>
        <v>47523.763902684812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140763</v>
      </c>
      <c r="B88" s="66">
        <v>140763</v>
      </c>
      <c r="D88">
        <f t="shared" si="5"/>
        <v>76.726806933391472</v>
      </c>
      <c r="E88">
        <f t="shared" si="6"/>
        <v>76.726806933391472</v>
      </c>
      <c r="G88">
        <f t="shared" ca="1" si="7"/>
        <v>86</v>
      </c>
      <c r="H88">
        <f t="shared" ca="1" si="8"/>
        <v>6598.5053962716665</v>
      </c>
      <c r="I88">
        <f t="shared" ca="1" si="9"/>
        <v>33009.755010888126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146624</v>
      </c>
      <c r="B90" s="66">
        <v>146624</v>
      </c>
      <c r="D90">
        <f t="shared" si="5"/>
        <v>79.92150877575493</v>
      </c>
      <c r="E90">
        <f t="shared" si="6"/>
        <v>79.92150877575493</v>
      </c>
      <c r="G90">
        <f t="shared" ca="1" si="7"/>
        <v>88</v>
      </c>
      <c r="H90">
        <f t="shared" ca="1" si="8"/>
        <v>7033.0927722664337</v>
      </c>
      <c r="I90">
        <f t="shared" ca="1" si="9"/>
        <v>28072.99887127187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156784</v>
      </c>
      <c r="B93" s="66">
        <v>156784</v>
      </c>
      <c r="D93">
        <f t="shared" si="5"/>
        <v>85.459500708601325</v>
      </c>
      <c r="E93">
        <f t="shared" si="6"/>
        <v>85.459500708601325</v>
      </c>
      <c r="G93">
        <f t="shared" ca="1" si="7"/>
        <v>91</v>
      </c>
      <c r="H93">
        <f t="shared" ca="1" si="8"/>
        <v>7776.8145644827209</v>
      </c>
      <c r="I93">
        <f t="shared" ca="1" si="9"/>
        <v>21177.376184559984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148837</v>
      </c>
      <c r="B95" s="66">
        <v>148837</v>
      </c>
      <c r="D95">
        <f t="shared" si="5"/>
        <v>81.127766270576686</v>
      </c>
      <c r="E95">
        <f t="shared" si="6"/>
        <v>81.127766270576686</v>
      </c>
      <c r="G95">
        <f t="shared" ca="1" si="7"/>
        <v>93</v>
      </c>
      <c r="H95">
        <f t="shared" ca="1" si="8"/>
        <v>7544.8822631636322</v>
      </c>
      <c r="I95">
        <f t="shared" ca="1" si="9"/>
        <v>15320.051466392491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151043</v>
      </c>
      <c r="B98" s="66">
        <v>151043</v>
      </c>
      <c r="D98">
        <f t="shared" si="5"/>
        <v>82.330208219775429</v>
      </c>
      <c r="E98">
        <f t="shared" si="6"/>
        <v>82.330208219775429</v>
      </c>
      <c r="G98">
        <f t="shared" ca="1" si="7"/>
        <v>96</v>
      </c>
      <c r="H98">
        <f t="shared" ca="1" si="8"/>
        <v>7903.6999890984407</v>
      </c>
      <c r="I98">
        <f t="shared" ca="1" si="9"/>
        <v>9499.8721966525409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149370</v>
      </c>
      <c r="B100" s="66">
        <v>149370</v>
      </c>
      <c r="D100">
        <f t="shared" si="5"/>
        <v>81.418292815872675</v>
      </c>
      <c r="E100">
        <f t="shared" si="6"/>
        <v>81.418292815872675</v>
      </c>
      <c r="G100">
        <f t="shared" ca="1" si="7"/>
        <v>98</v>
      </c>
      <c r="H100">
        <f t="shared" ca="1" si="8"/>
        <v>7978.9926959555223</v>
      </c>
      <c r="I100">
        <f t="shared" ca="1" si="9"/>
        <v>6221.9878889112106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137130</v>
      </c>
      <c r="B103" s="66">
        <v>137130</v>
      </c>
      <c r="D103">
        <f t="shared" si="5"/>
        <v>74.746538755041968</v>
      </c>
      <c r="E103">
        <f t="shared" si="6"/>
        <v>74.746538755041968</v>
      </c>
      <c r="G103">
        <f t="shared" ca="1" si="7"/>
        <v>101</v>
      </c>
      <c r="H103">
        <f t="shared" ca="1" si="8"/>
        <v>7549.4004142592385</v>
      </c>
      <c r="I103">
        <f t="shared" ca="1" si="9"/>
        <v>2464.3108359838393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128372</v>
      </c>
      <c r="B106" s="66">
        <v>128372</v>
      </c>
      <c r="D106">
        <f t="shared" si="5"/>
        <v>69.972746102692682</v>
      </c>
      <c r="E106">
        <f t="shared" si="6"/>
        <v>69.972746102692682</v>
      </c>
      <c r="G106">
        <f t="shared" ca="1" si="7"/>
        <v>104</v>
      </c>
      <c r="H106">
        <f t="shared" ca="1" si="8"/>
        <v>7277.1655946800392</v>
      </c>
      <c r="I106">
        <f t="shared" ca="1" si="9"/>
        <v>526.03882355651945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118574</v>
      </c>
      <c r="B108" s="66">
        <v>118574</v>
      </c>
      <c r="D108">
        <f t="shared" si="5"/>
        <v>64.632072386351254</v>
      </c>
      <c r="E108">
        <f t="shared" si="6"/>
        <v>64.632072386351254</v>
      </c>
      <c r="G108">
        <f t="shared" ca="1" si="7"/>
        <v>106</v>
      </c>
      <c r="H108">
        <f t="shared" ca="1" si="8"/>
        <v>6850.9996729532331</v>
      </c>
      <c r="I108">
        <f t="shared" ca="1" si="9"/>
        <v>35.57015943605591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126821</v>
      </c>
      <c r="B111" s="66">
        <v>126821</v>
      </c>
      <c r="D111">
        <f t="shared" si="5"/>
        <v>69.127330208219774</v>
      </c>
      <c r="E111">
        <f t="shared" si="6"/>
        <v>69.127330208219774</v>
      </c>
      <c r="G111">
        <f t="shared" ca="1" si="7"/>
        <v>109</v>
      </c>
      <c r="H111">
        <f t="shared" ca="1" si="8"/>
        <v>7534.8789926959553</v>
      </c>
      <c r="I111">
        <f t="shared" ca="1" si="9"/>
        <v>352.49547153586929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110497</v>
      </c>
      <c r="B113" s="66">
        <v>110497</v>
      </c>
      <c r="D113">
        <f t="shared" si="5"/>
        <v>60.229477815327591</v>
      </c>
      <c r="E113">
        <f t="shared" si="6"/>
        <v>60.229477815327591</v>
      </c>
      <c r="G113">
        <f t="shared" ca="1" si="7"/>
        <v>111</v>
      </c>
      <c r="H113">
        <f t="shared" ca="1" si="8"/>
        <v>6685.472037501363</v>
      </c>
      <c r="I113">
        <f t="shared" ca="1" si="9"/>
        <v>1092.0689188347606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98203</v>
      </c>
      <c r="B116" s="66">
        <v>98203</v>
      </c>
      <c r="D116">
        <f t="shared" si="5"/>
        <v>53.528289545404995</v>
      </c>
      <c r="E116">
        <f t="shared" si="6"/>
        <v>53.528289545404995</v>
      </c>
      <c r="G116">
        <f t="shared" ca="1" si="7"/>
        <v>114</v>
      </c>
      <c r="H116">
        <f t="shared" ca="1" si="8"/>
        <v>6102.2250081761695</v>
      </c>
      <c r="I116">
        <f t="shared" ca="1" si="9"/>
        <v>2819.9063114741598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88618</v>
      </c>
      <c r="B118" s="66">
        <v>88618</v>
      </c>
      <c r="D118">
        <f t="shared" si="5"/>
        <v>48.303717431592716</v>
      </c>
      <c r="E118">
        <f t="shared" si="6"/>
        <v>48.303717431592716</v>
      </c>
      <c r="G118">
        <f t="shared" ca="1" si="7"/>
        <v>116</v>
      </c>
      <c r="H118">
        <f t="shared" ca="1" si="8"/>
        <v>5603.2312220647555</v>
      </c>
      <c r="I118">
        <f t="shared" ca="1" si="9"/>
        <v>4140.2688011406563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80753</v>
      </c>
      <c r="B121" s="66">
        <v>80753</v>
      </c>
      <c r="D121">
        <f t="shared" si="5"/>
        <v>44.016679385152074</v>
      </c>
      <c r="E121">
        <f t="shared" si="6"/>
        <v>44.016679385152074</v>
      </c>
      <c r="G121">
        <f t="shared" ca="1" si="7"/>
        <v>119</v>
      </c>
      <c r="H121">
        <f t="shared" ca="1" si="8"/>
        <v>5237.9848468330965</v>
      </c>
      <c r="I121">
        <f t="shared" ca="1" si="9"/>
        <v>6614.039809160412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74045</v>
      </c>
      <c r="B124" s="66">
        <v>74045</v>
      </c>
      <c r="D124">
        <f t="shared" si="5"/>
        <v>40.360296522402706</v>
      </c>
      <c r="E124">
        <f t="shared" si="6"/>
        <v>40.360296522402706</v>
      </c>
      <c r="G124">
        <f t="shared" ca="1" si="7"/>
        <v>122</v>
      </c>
      <c r="H124">
        <f t="shared" ca="1" si="8"/>
        <v>4923.9561757331303</v>
      </c>
      <c r="I124">
        <f t="shared" ca="1" si="9"/>
        <v>9396.3208861569092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72761</v>
      </c>
      <c r="B126" s="66">
        <v>72761</v>
      </c>
      <c r="D126">
        <f t="shared" si="5"/>
        <v>39.660416439550858</v>
      </c>
      <c r="E126">
        <f t="shared" si="6"/>
        <v>39.660416439550858</v>
      </c>
      <c r="G126">
        <f t="shared" ca="1" si="7"/>
        <v>124</v>
      </c>
      <c r="H126">
        <f t="shared" ca="1" si="8"/>
        <v>4917.8916385043067</v>
      </c>
      <c r="I126">
        <f t="shared" ca="1" si="9"/>
        <v>11812.600355152823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72710</v>
      </c>
      <c r="B129" s="66">
        <v>72710</v>
      </c>
      <c r="D129">
        <f t="shared" si="5"/>
        <v>39.632617464297397</v>
      </c>
      <c r="E129">
        <f t="shared" si="6"/>
        <v>39.632617464297397</v>
      </c>
      <c r="G129">
        <f t="shared" ca="1" si="7"/>
        <v>127</v>
      </c>
      <c r="H129">
        <f t="shared" ca="1" si="8"/>
        <v>5033.3424179657695</v>
      </c>
      <c r="I129">
        <f t="shared" ca="1" si="9"/>
        <v>16264.926985831371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76476</v>
      </c>
      <c r="B131" s="66">
        <v>76476</v>
      </c>
      <c r="D131">
        <f t="shared" ref="D131:D194" si="10">IFERROR( 100*A131/MAX(A$2:A$257), 0 )</f>
        <v>41.68538100948436</v>
      </c>
      <c r="E131">
        <f t="shared" ref="E131:E194" si="11">IFERROR( 100*B131/MAX(B$2:B$257), 0 )</f>
        <v>41.68538100948436</v>
      </c>
      <c r="G131">
        <f t="shared" ref="G131:G194" ca="1" si="12">CELL("row",D131)-2</f>
        <v>129</v>
      </c>
      <c r="H131">
        <f t="shared" ref="H131:H194" ca="1" si="13">D131*G131</f>
        <v>5377.4141502234825</v>
      </c>
      <c r="I131">
        <f t="shared" ref="I131:I194" ca="1" si="14">D131*((G131-$L$1)^2)</f>
        <v>20651.981188593229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82939</v>
      </c>
      <c r="B134" s="66">
        <v>82939</v>
      </c>
      <c r="D134">
        <f t="shared" si="10"/>
        <v>45.208219775427885</v>
      </c>
      <c r="E134">
        <f t="shared" si="11"/>
        <v>45.208219775427885</v>
      </c>
      <c r="G134">
        <f t="shared" ca="1" si="12"/>
        <v>132</v>
      </c>
      <c r="H134">
        <f t="shared" ca="1" si="13"/>
        <v>5967.4850103564804</v>
      </c>
      <c r="I134">
        <f t="shared" ca="1" si="14"/>
        <v>28841.664413448336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92275</v>
      </c>
      <c r="B136" s="66">
        <v>92275</v>
      </c>
      <c r="D136">
        <f t="shared" si="10"/>
        <v>50.29706748064973</v>
      </c>
      <c r="E136">
        <f t="shared" si="11"/>
        <v>50.29706748064973</v>
      </c>
      <c r="G136">
        <f t="shared" ca="1" si="12"/>
        <v>134</v>
      </c>
      <c r="H136">
        <f t="shared" ca="1" si="13"/>
        <v>6739.8070424070638</v>
      </c>
      <c r="I136">
        <f t="shared" ca="1" si="14"/>
        <v>37371.047265162655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86633</v>
      </c>
      <c r="B139" s="66">
        <v>86633</v>
      </c>
      <c r="D139">
        <f t="shared" si="10"/>
        <v>47.221737708492313</v>
      </c>
      <c r="E139">
        <f t="shared" si="11"/>
        <v>47.221737708492313</v>
      </c>
      <c r="G139">
        <f t="shared" ca="1" si="12"/>
        <v>137</v>
      </c>
      <c r="H139">
        <f t="shared" ca="1" si="13"/>
        <v>6469.3780660634466</v>
      </c>
      <c r="I139">
        <f t="shared" ca="1" si="14"/>
        <v>43234.114863868002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96224</v>
      </c>
      <c r="B142" s="66">
        <v>96224</v>
      </c>
      <c r="D142">
        <f t="shared" si="10"/>
        <v>52.449580289981469</v>
      </c>
      <c r="E142">
        <f t="shared" si="11"/>
        <v>52.449580289981469</v>
      </c>
      <c r="G142">
        <f t="shared" ca="1" si="12"/>
        <v>140</v>
      </c>
      <c r="H142">
        <f t="shared" ca="1" si="13"/>
        <v>7342.9412405974053</v>
      </c>
      <c r="I142">
        <f t="shared" ca="1" si="14"/>
        <v>58014.702481874265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111433</v>
      </c>
      <c r="B144" s="66">
        <v>111433</v>
      </c>
      <c r="D144">
        <f t="shared" si="10"/>
        <v>60.739670772920526</v>
      </c>
      <c r="E144">
        <f t="shared" si="11"/>
        <v>60.739670772920526</v>
      </c>
      <c r="G144">
        <f t="shared" ca="1" si="12"/>
        <v>142</v>
      </c>
      <c r="H144">
        <f t="shared" ca="1" si="13"/>
        <v>8625.0332497547151</v>
      </c>
      <c r="I144">
        <f t="shared" ca="1" si="14"/>
        <v>75507.720472226662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142466</v>
      </c>
      <c r="B147" s="66">
        <v>142466</v>
      </c>
      <c r="D147">
        <f t="shared" si="10"/>
        <v>77.65507467567862</v>
      </c>
      <c r="E147">
        <f t="shared" si="11"/>
        <v>77.65507467567862</v>
      </c>
      <c r="G147">
        <f t="shared" ca="1" si="12"/>
        <v>145</v>
      </c>
      <c r="H147">
        <f t="shared" ca="1" si="13"/>
        <v>11259.9858279734</v>
      </c>
      <c r="I147">
        <f t="shared" ca="1" si="14"/>
        <v>113662.6207930888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169229</v>
      </c>
      <c r="B149" s="66">
        <v>169229</v>
      </c>
      <c r="D149">
        <f t="shared" si="10"/>
        <v>92.242995748392019</v>
      </c>
      <c r="E149">
        <f t="shared" si="11"/>
        <v>92.242995748392019</v>
      </c>
      <c r="G149">
        <f t="shared" ca="1" si="12"/>
        <v>147</v>
      </c>
      <c r="H149">
        <f t="shared" ca="1" si="13"/>
        <v>13559.720375013627</v>
      </c>
      <c r="I149">
        <f t="shared" ca="1" si="14"/>
        <v>149499.90768226146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178581</v>
      </c>
      <c r="B152" s="66">
        <v>178581</v>
      </c>
      <c r="D152">
        <f t="shared" si="10"/>
        <v>97.340564700752211</v>
      </c>
      <c r="E152">
        <f t="shared" si="11"/>
        <v>97.340564700752211</v>
      </c>
      <c r="G152">
        <f t="shared" ca="1" si="12"/>
        <v>150</v>
      </c>
      <c r="H152">
        <f t="shared" ca="1" si="13"/>
        <v>14601.084705112831</v>
      </c>
      <c r="I152">
        <f t="shared" ca="1" si="14"/>
        <v>182150.19942487509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183460</v>
      </c>
      <c r="B154" s="66">
        <v>183460</v>
      </c>
      <c r="D154">
        <f t="shared" si="10"/>
        <v>100</v>
      </c>
      <c r="E154">
        <f t="shared" si="11"/>
        <v>100</v>
      </c>
      <c r="G154">
        <f t="shared" ca="1" si="12"/>
        <v>152</v>
      </c>
      <c r="H154">
        <f t="shared" ca="1" si="13"/>
        <v>15200</v>
      </c>
      <c r="I154">
        <f t="shared" ca="1" si="14"/>
        <v>204829.97140384791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169271</v>
      </c>
      <c r="B157" s="66">
        <v>169271</v>
      </c>
      <c r="D157">
        <f t="shared" si="10"/>
        <v>92.265889022130168</v>
      </c>
      <c r="E157">
        <f t="shared" si="11"/>
        <v>92.265889022130168</v>
      </c>
      <c r="G157">
        <f t="shared" ca="1" si="12"/>
        <v>155</v>
      </c>
      <c r="H157">
        <f t="shared" ca="1" si="13"/>
        <v>14301.212798430175</v>
      </c>
      <c r="I157">
        <f t="shared" ca="1" si="14"/>
        <v>214873.28515834626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150884</v>
      </c>
      <c r="B160" s="66">
        <v>150884</v>
      </c>
      <c r="D160">
        <f t="shared" si="10"/>
        <v>82.243540826338162</v>
      </c>
      <c r="E160">
        <f t="shared" si="11"/>
        <v>82.243540826338162</v>
      </c>
      <c r="G160">
        <f t="shared" ca="1" si="12"/>
        <v>158</v>
      </c>
      <c r="H160">
        <f t="shared" ca="1" si="13"/>
        <v>12994.47945056143</v>
      </c>
      <c r="I160">
        <f t="shared" ca="1" si="14"/>
        <v>216086.47005296493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123690</v>
      </c>
      <c r="B162" s="66">
        <v>123690</v>
      </c>
      <c r="D162">
        <f t="shared" si="10"/>
        <v>67.420691158835709</v>
      </c>
      <c r="E162">
        <f t="shared" si="11"/>
        <v>67.420691158835709</v>
      </c>
      <c r="G162">
        <f t="shared" ca="1" si="12"/>
        <v>160</v>
      </c>
      <c r="H162">
        <f t="shared" ca="1" si="13"/>
        <v>10787.310585413714</v>
      </c>
      <c r="I162">
        <f t="shared" ca="1" si="14"/>
        <v>191234.07361884569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138818</v>
      </c>
      <c r="B165" s="66">
        <v>138818</v>
      </c>
      <c r="D165">
        <f t="shared" si="10"/>
        <v>75.666630328136918</v>
      </c>
      <c r="E165">
        <f t="shared" si="11"/>
        <v>75.666630328136918</v>
      </c>
      <c r="G165">
        <f t="shared" ca="1" si="12"/>
        <v>163</v>
      </c>
      <c r="H165">
        <f t="shared" ca="1" si="13"/>
        <v>12333.660743486318</v>
      </c>
      <c r="I165">
        <f t="shared" ca="1" si="14"/>
        <v>239483.28919163253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132843</v>
      </c>
      <c r="B167" s="66">
        <v>132843</v>
      </c>
      <c r="D167">
        <f t="shared" si="10"/>
        <v>72.409789599912784</v>
      </c>
      <c r="E167">
        <f t="shared" si="11"/>
        <v>72.409789599912784</v>
      </c>
      <c r="G167">
        <f t="shared" ca="1" si="12"/>
        <v>165</v>
      </c>
      <c r="H167">
        <f t="shared" ca="1" si="13"/>
        <v>11947.615283985609</v>
      </c>
      <c r="I167">
        <f t="shared" ca="1" si="14"/>
        <v>245759.6579829976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105293</v>
      </c>
      <c r="B170" s="66">
        <v>105293</v>
      </c>
      <c r="D170">
        <f t="shared" si="10"/>
        <v>57.392892183582255</v>
      </c>
      <c r="E170">
        <f t="shared" si="11"/>
        <v>57.392892183582255</v>
      </c>
      <c r="G170">
        <f t="shared" ca="1" si="12"/>
        <v>168</v>
      </c>
      <c r="H170">
        <f t="shared" ca="1" si="13"/>
        <v>9642.0058868418182</v>
      </c>
      <c r="I170">
        <f t="shared" ca="1" si="14"/>
        <v>215370.29232297119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68539</v>
      </c>
      <c r="B173" s="66">
        <v>68539</v>
      </c>
      <c r="D173">
        <f t="shared" si="10"/>
        <v>37.359097350921182</v>
      </c>
      <c r="E173">
        <f t="shared" si="11"/>
        <v>37.359097350921182</v>
      </c>
      <c r="G173">
        <f t="shared" ca="1" si="12"/>
        <v>171</v>
      </c>
      <c r="H173">
        <f t="shared" ca="1" si="13"/>
        <v>6388.405647007522</v>
      </c>
      <c r="I173">
        <f t="shared" ca="1" si="14"/>
        <v>154259.79386863374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45235</v>
      </c>
      <c r="B175" s="66">
        <v>45235</v>
      </c>
      <c r="D175">
        <f t="shared" si="10"/>
        <v>24.65660089392783</v>
      </c>
      <c r="E175">
        <f t="shared" si="11"/>
        <v>24.65660089392783</v>
      </c>
      <c r="G175">
        <f t="shared" ca="1" si="12"/>
        <v>173</v>
      </c>
      <c r="H175">
        <f t="shared" ca="1" si="13"/>
        <v>4265.5919546495143</v>
      </c>
      <c r="I175">
        <f t="shared" ca="1" si="14"/>
        <v>108245.97461820371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22756</v>
      </c>
      <c r="B178" s="66">
        <v>22756</v>
      </c>
      <c r="D178">
        <f t="shared" si="10"/>
        <v>12.403793742505178</v>
      </c>
      <c r="E178">
        <f t="shared" si="11"/>
        <v>12.403793742505178</v>
      </c>
      <c r="G178">
        <f t="shared" ca="1" si="12"/>
        <v>176</v>
      </c>
      <c r="H178">
        <f t="shared" ca="1" si="13"/>
        <v>2183.0676986809112</v>
      </c>
      <c r="I178">
        <f t="shared" ca="1" si="14"/>
        <v>59497.161933110794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7373</v>
      </c>
      <c r="B180" s="66">
        <v>7373</v>
      </c>
      <c r="D180">
        <f t="shared" si="10"/>
        <v>4.0188596969366621</v>
      </c>
      <c r="E180">
        <f t="shared" si="11"/>
        <v>4.0188596969366621</v>
      </c>
      <c r="G180">
        <f t="shared" ca="1" si="12"/>
        <v>178</v>
      </c>
      <c r="H180">
        <f t="shared" ca="1" si="13"/>
        <v>715.35702605472591</v>
      </c>
      <c r="I180">
        <f t="shared" ca="1" si="14"/>
        <v>20406.657396028288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2758</v>
      </c>
      <c r="B183" s="66">
        <v>2758</v>
      </c>
      <c r="D183">
        <f t="shared" si="10"/>
        <v>1.5033249754714924</v>
      </c>
      <c r="E183">
        <f t="shared" si="11"/>
        <v>1.5033249754714924</v>
      </c>
      <c r="G183">
        <f t="shared" ca="1" si="12"/>
        <v>181</v>
      </c>
      <c r="H183">
        <f t="shared" ca="1" si="13"/>
        <v>272.10182056034012</v>
      </c>
      <c r="I183">
        <f t="shared" ca="1" si="14"/>
        <v>8289.7430298855725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2630</v>
      </c>
      <c r="B185" s="66">
        <v>2630</v>
      </c>
      <c r="D185">
        <f t="shared" si="10"/>
        <v>1.4335549983647662</v>
      </c>
      <c r="E185">
        <f t="shared" si="11"/>
        <v>1.4335549983647662</v>
      </c>
      <c r="G185">
        <f t="shared" ca="1" si="12"/>
        <v>183</v>
      </c>
      <c r="H185">
        <f t="shared" ca="1" si="13"/>
        <v>262.34056470075222</v>
      </c>
      <c r="I185">
        <f t="shared" ca="1" si="14"/>
        <v>8336.5591502305651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1512</v>
      </c>
      <c r="B188" s="66">
        <v>1512</v>
      </c>
      <c r="D188">
        <f t="shared" si="10"/>
        <v>0.82415785457320401</v>
      </c>
      <c r="E188">
        <f t="shared" si="11"/>
        <v>0.82415785457320401</v>
      </c>
      <c r="G188">
        <f t="shared" ca="1" si="12"/>
        <v>186</v>
      </c>
      <c r="H188">
        <f t="shared" ca="1" si="13"/>
        <v>153.29336095061595</v>
      </c>
      <c r="I188">
        <f t="shared" ca="1" si="14"/>
        <v>5177.2389799234516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1379</v>
      </c>
      <c r="B191" s="66">
        <v>1379</v>
      </c>
      <c r="D191">
        <f t="shared" si="10"/>
        <v>0.75166248773574618</v>
      </c>
      <c r="E191">
        <f t="shared" si="11"/>
        <v>0.75166248773574618</v>
      </c>
      <c r="G191">
        <f t="shared" ca="1" si="12"/>
        <v>189</v>
      </c>
      <c r="H191">
        <f t="shared" ca="1" si="13"/>
        <v>142.06421018205603</v>
      </c>
      <c r="I191">
        <f t="shared" ca="1" si="14"/>
        <v>5086.0509095912439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328</v>
      </c>
      <c r="B193" s="66">
        <v>328</v>
      </c>
      <c r="D193">
        <f t="shared" si="10"/>
        <v>0.17878556633598605</v>
      </c>
      <c r="E193">
        <f t="shared" si="11"/>
        <v>0.17878556633598605</v>
      </c>
      <c r="G193">
        <f t="shared" ca="1" si="12"/>
        <v>191</v>
      </c>
      <c r="H193">
        <f t="shared" ca="1" si="13"/>
        <v>34.148043170173338</v>
      </c>
      <c r="I193">
        <f t="shared" ca="1" si="14"/>
        <v>1269.276515320267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436</v>
      </c>
      <c r="B196" s="66">
        <v>436</v>
      </c>
      <c r="D196">
        <f t="shared" si="15"/>
        <v>0.23765398451978634</v>
      </c>
      <c r="E196">
        <f t="shared" si="16"/>
        <v>0.23765398451978634</v>
      </c>
      <c r="G196">
        <f t="shared" ca="1" si="17"/>
        <v>194</v>
      </c>
      <c r="H196">
        <f t="shared" ca="1" si="18"/>
        <v>46.104872996838552</v>
      </c>
      <c r="I196">
        <f t="shared" ca="1" si="19"/>
        <v>1809.4936160449013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116.65967202308282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2.2524054738633965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0.70950979884557241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347</v>
      </c>
      <c r="B8" s="66">
        <v>347</v>
      </c>
      <c r="D8">
        <f t="shared" si="0"/>
        <v>0.16926829268292684</v>
      </c>
      <c r="E8">
        <f t="shared" si="1"/>
        <v>0.16926829268292684</v>
      </c>
      <c r="G8">
        <f t="shared" ca="1" si="2"/>
        <v>6</v>
      </c>
      <c r="H8">
        <f t="shared" ca="1" si="3"/>
        <v>1.015609756097561</v>
      </c>
      <c r="I8">
        <f t="shared" ca="1" si="4"/>
        <v>2072.7855440258154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313</v>
      </c>
      <c r="B10" s="66">
        <v>313</v>
      </c>
      <c r="D10">
        <f t="shared" si="0"/>
        <v>0.15268292682926829</v>
      </c>
      <c r="E10">
        <f t="shared" si="1"/>
        <v>0.15268292682926829</v>
      </c>
      <c r="G10">
        <f t="shared" ca="1" si="2"/>
        <v>8</v>
      </c>
      <c r="H10">
        <f t="shared" ca="1" si="3"/>
        <v>1.2214634146341463</v>
      </c>
      <c r="I10">
        <f t="shared" ca="1" si="4"/>
        <v>1802.7157626650287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262</v>
      </c>
      <c r="B13" s="66">
        <v>262</v>
      </c>
      <c r="D13">
        <f t="shared" si="0"/>
        <v>0.12780487804878049</v>
      </c>
      <c r="E13">
        <f t="shared" si="1"/>
        <v>0.12780487804878049</v>
      </c>
      <c r="G13">
        <f t="shared" ca="1" si="2"/>
        <v>11</v>
      </c>
      <c r="H13">
        <f t="shared" ca="1" si="3"/>
        <v>1.4058536585365853</v>
      </c>
      <c r="I13">
        <f t="shared" ca="1" si="4"/>
        <v>1426.8093504930061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391</v>
      </c>
      <c r="B15" s="66">
        <v>391</v>
      </c>
      <c r="D15">
        <f t="shared" si="0"/>
        <v>0.19073170731707317</v>
      </c>
      <c r="E15">
        <f t="shared" si="1"/>
        <v>0.19073170731707317</v>
      </c>
      <c r="G15">
        <f t="shared" ca="1" si="2"/>
        <v>13</v>
      </c>
      <c r="H15">
        <f t="shared" ca="1" si="3"/>
        <v>2.4795121951219512</v>
      </c>
      <c r="I15">
        <f t="shared" ca="1" si="4"/>
        <v>2049.4746795794349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762</v>
      </c>
      <c r="B18" s="66">
        <v>762</v>
      </c>
      <c r="D18">
        <f t="shared" si="0"/>
        <v>0.37170731707317073</v>
      </c>
      <c r="E18">
        <f t="shared" si="1"/>
        <v>0.37170731707317073</v>
      </c>
      <c r="G18">
        <f t="shared" ca="1" si="2"/>
        <v>16</v>
      </c>
      <c r="H18">
        <f t="shared" ca="1" si="3"/>
        <v>5.9473170731707317</v>
      </c>
      <c r="I18">
        <f t="shared" ca="1" si="4"/>
        <v>3766.2759091256034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1289</v>
      </c>
      <c r="B21" s="66">
        <v>1289</v>
      </c>
      <c r="D21">
        <f t="shared" si="0"/>
        <v>0.62878048780487805</v>
      </c>
      <c r="E21">
        <f t="shared" si="1"/>
        <v>0.62878048780487805</v>
      </c>
      <c r="G21">
        <f t="shared" ca="1" si="2"/>
        <v>19</v>
      </c>
      <c r="H21">
        <f t="shared" ca="1" si="3"/>
        <v>11.946829268292683</v>
      </c>
      <c r="I21">
        <f t="shared" ca="1" si="4"/>
        <v>5996.9382803008384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1548</v>
      </c>
      <c r="B23" s="66">
        <v>1548</v>
      </c>
      <c r="D23">
        <f t="shared" si="0"/>
        <v>0.7551219512195122</v>
      </c>
      <c r="E23">
        <f t="shared" si="1"/>
        <v>0.7551219512195122</v>
      </c>
      <c r="G23">
        <f t="shared" ca="1" si="2"/>
        <v>21</v>
      </c>
      <c r="H23">
        <f t="shared" ca="1" si="3"/>
        <v>15.857560975609756</v>
      </c>
      <c r="I23">
        <f t="shared" ca="1" si="4"/>
        <v>6909.9494508393764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3462</v>
      </c>
      <c r="B26" s="66">
        <v>3462</v>
      </c>
      <c r="D26">
        <f t="shared" si="0"/>
        <v>1.688780487804878</v>
      </c>
      <c r="E26">
        <f t="shared" si="1"/>
        <v>1.688780487804878</v>
      </c>
      <c r="G26">
        <f t="shared" ca="1" si="2"/>
        <v>24</v>
      </c>
      <c r="H26">
        <f t="shared" ca="1" si="3"/>
        <v>40.530731707317074</v>
      </c>
      <c r="I26">
        <f t="shared" ca="1" si="4"/>
        <v>14499.55653895137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3650</v>
      </c>
      <c r="B28" s="66">
        <v>3650</v>
      </c>
      <c r="D28">
        <f t="shared" si="0"/>
        <v>1.7804878048780488</v>
      </c>
      <c r="E28">
        <f t="shared" si="1"/>
        <v>1.7804878048780488</v>
      </c>
      <c r="G28">
        <f t="shared" ca="1" si="2"/>
        <v>26</v>
      </c>
      <c r="H28">
        <f t="shared" ca="1" si="3"/>
        <v>46.292682926829272</v>
      </c>
      <c r="I28">
        <f t="shared" ca="1" si="4"/>
        <v>14634.142867983051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3277</v>
      </c>
      <c r="B31" s="66">
        <v>3277</v>
      </c>
      <c r="D31">
        <f t="shared" si="0"/>
        <v>1.5985365853658537</v>
      </c>
      <c r="E31">
        <f t="shared" si="1"/>
        <v>1.5985365853658537</v>
      </c>
      <c r="G31">
        <f t="shared" ca="1" si="2"/>
        <v>29</v>
      </c>
      <c r="H31">
        <f t="shared" ca="1" si="3"/>
        <v>46.357560975609758</v>
      </c>
      <c r="I31">
        <f t="shared" ca="1" si="4"/>
        <v>12283.503761492786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6464</v>
      </c>
      <c r="B33" s="66">
        <v>6464</v>
      </c>
      <c r="D33">
        <f t="shared" si="0"/>
        <v>3.1531707317073172</v>
      </c>
      <c r="E33">
        <f t="shared" si="1"/>
        <v>3.1531707317073172</v>
      </c>
      <c r="G33">
        <f t="shared" ca="1" si="2"/>
        <v>31</v>
      </c>
      <c r="H33">
        <f t="shared" ca="1" si="3"/>
        <v>97.748292682926831</v>
      </c>
      <c r="I33">
        <f t="shared" ca="1" si="4"/>
        <v>23136.64064066541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10888</v>
      </c>
      <c r="B36" s="66">
        <v>10888</v>
      </c>
      <c r="D36">
        <f t="shared" si="0"/>
        <v>5.3112195121951222</v>
      </c>
      <c r="E36">
        <f t="shared" si="1"/>
        <v>5.3112195121951222</v>
      </c>
      <c r="G36">
        <f t="shared" ca="1" si="2"/>
        <v>34</v>
      </c>
      <c r="H36">
        <f t="shared" ca="1" si="3"/>
        <v>180.58146341463416</v>
      </c>
      <c r="I36">
        <f t="shared" ca="1" si="4"/>
        <v>36289.551987393126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13401</v>
      </c>
      <c r="B39" s="66">
        <v>13401</v>
      </c>
      <c r="D39">
        <f t="shared" si="0"/>
        <v>6.5370731707317074</v>
      </c>
      <c r="E39">
        <f t="shared" si="1"/>
        <v>6.5370731707317074</v>
      </c>
      <c r="G39">
        <f t="shared" ca="1" si="2"/>
        <v>37</v>
      </c>
      <c r="H39">
        <f t="shared" ca="1" si="3"/>
        <v>241.87170731707317</v>
      </c>
      <c r="I39">
        <f t="shared" ca="1" si="4"/>
        <v>41482.065615026091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23089</v>
      </c>
      <c r="B41" s="66">
        <v>23089</v>
      </c>
      <c r="D41">
        <f t="shared" si="0"/>
        <v>11.262926829268293</v>
      </c>
      <c r="E41">
        <f t="shared" si="1"/>
        <v>11.262926829268293</v>
      </c>
      <c r="G41">
        <f t="shared" ca="1" si="2"/>
        <v>39</v>
      </c>
      <c r="H41">
        <f t="shared" ca="1" si="3"/>
        <v>439.25414634146347</v>
      </c>
      <c r="I41">
        <f t="shared" ca="1" si="4"/>
        <v>67926.989436820222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29646</v>
      </c>
      <c r="B44" s="66">
        <v>29646</v>
      </c>
      <c r="D44">
        <f t="shared" si="0"/>
        <v>14.461463414634146</v>
      </c>
      <c r="E44">
        <f t="shared" si="1"/>
        <v>14.461463414634146</v>
      </c>
      <c r="G44">
        <f t="shared" ca="1" si="2"/>
        <v>42</v>
      </c>
      <c r="H44">
        <f t="shared" ca="1" si="3"/>
        <v>607.38146341463414</v>
      </c>
      <c r="I44">
        <f t="shared" ca="1" si="4"/>
        <v>80609.16059122658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32146</v>
      </c>
      <c r="B46" s="66">
        <v>32146</v>
      </c>
      <c r="D46">
        <f t="shared" si="0"/>
        <v>15.680975609756098</v>
      </c>
      <c r="E46">
        <f t="shared" si="1"/>
        <v>15.680975609756098</v>
      </c>
      <c r="G46">
        <f t="shared" ca="1" si="2"/>
        <v>44</v>
      </c>
      <c r="H46">
        <f t="shared" ca="1" si="3"/>
        <v>689.96292682926833</v>
      </c>
      <c r="I46">
        <f t="shared" ca="1" si="4"/>
        <v>82786.580737114229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42620</v>
      </c>
      <c r="B49" s="66">
        <v>42620</v>
      </c>
      <c r="D49">
        <f t="shared" si="0"/>
        <v>20.790243902439023</v>
      </c>
      <c r="E49">
        <f t="shared" si="1"/>
        <v>20.790243902439023</v>
      </c>
      <c r="G49">
        <f t="shared" ca="1" si="2"/>
        <v>47</v>
      </c>
      <c r="H49">
        <f t="shared" ca="1" si="3"/>
        <v>977.14146341463413</v>
      </c>
      <c r="I49">
        <f t="shared" ca="1" si="4"/>
        <v>100884.03288254193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53068</v>
      </c>
      <c r="B51" s="66">
        <v>53068</v>
      </c>
      <c r="D51">
        <f t="shared" si="0"/>
        <v>25.886829268292683</v>
      </c>
      <c r="E51">
        <f t="shared" si="1"/>
        <v>25.886829268292683</v>
      </c>
      <c r="G51">
        <f t="shared" ca="1" si="2"/>
        <v>49</v>
      </c>
      <c r="H51">
        <f t="shared" ca="1" si="3"/>
        <v>1268.4546341463415</v>
      </c>
      <c r="I51">
        <f t="shared" ca="1" si="4"/>
        <v>118505.53516644519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67978</v>
      </c>
      <c r="B54" s="66">
        <v>67978</v>
      </c>
      <c r="D54">
        <f t="shared" si="0"/>
        <v>33.159999999999997</v>
      </c>
      <c r="E54">
        <f t="shared" si="1"/>
        <v>33.159999999999997</v>
      </c>
      <c r="G54">
        <f t="shared" ca="1" si="2"/>
        <v>52</v>
      </c>
      <c r="H54">
        <f t="shared" ca="1" si="3"/>
        <v>1724.3199999999997</v>
      </c>
      <c r="I54">
        <f t="shared" ca="1" si="4"/>
        <v>138637.75485215828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77328</v>
      </c>
      <c r="B57" s="66">
        <v>77328</v>
      </c>
      <c r="D57">
        <f t="shared" si="0"/>
        <v>37.720975609756096</v>
      </c>
      <c r="E57">
        <f t="shared" si="1"/>
        <v>37.720975609756096</v>
      </c>
      <c r="G57">
        <f t="shared" ca="1" si="2"/>
        <v>55</v>
      </c>
      <c r="H57">
        <f t="shared" ca="1" si="3"/>
        <v>2074.6536585365852</v>
      </c>
      <c r="I57">
        <f t="shared" ca="1" si="4"/>
        <v>143411.94879417511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82414</v>
      </c>
      <c r="B59" s="66">
        <v>82414</v>
      </c>
      <c r="D59">
        <f t="shared" si="0"/>
        <v>40.201951219512196</v>
      </c>
      <c r="E59">
        <f t="shared" si="1"/>
        <v>40.201951219512196</v>
      </c>
      <c r="G59">
        <f t="shared" ca="1" si="2"/>
        <v>57</v>
      </c>
      <c r="H59">
        <f t="shared" ca="1" si="3"/>
        <v>2291.5112195121951</v>
      </c>
      <c r="I59">
        <f t="shared" ca="1" si="4"/>
        <v>143089.85885894237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81877</v>
      </c>
      <c r="B62" s="66">
        <v>81877</v>
      </c>
      <c r="D62">
        <f t="shared" si="0"/>
        <v>39.94</v>
      </c>
      <c r="E62">
        <f t="shared" si="1"/>
        <v>39.94</v>
      </c>
      <c r="G62">
        <f t="shared" ca="1" si="2"/>
        <v>60</v>
      </c>
      <c r="H62">
        <f t="shared" ca="1" si="3"/>
        <v>2396.3999999999996</v>
      </c>
      <c r="I62">
        <f t="shared" ca="1" si="4"/>
        <v>128220.11824450674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96706</v>
      </c>
      <c r="B64" s="66">
        <v>96706</v>
      </c>
      <c r="D64">
        <f t="shared" si="0"/>
        <v>47.173658536585364</v>
      </c>
      <c r="E64">
        <f t="shared" si="1"/>
        <v>47.173658536585364</v>
      </c>
      <c r="G64">
        <f t="shared" ca="1" si="2"/>
        <v>62</v>
      </c>
      <c r="H64">
        <f t="shared" ca="1" si="3"/>
        <v>2924.7668292682924</v>
      </c>
      <c r="I64">
        <f t="shared" ca="1" si="4"/>
        <v>140939.78413895515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90078</v>
      </c>
      <c r="B67" s="66">
        <v>90078</v>
      </c>
      <c r="D67">
        <f t="shared" ref="D67:D130" si="5">IFERROR(100*A67/MAX(A$2:A$257), 0 )</f>
        <v>43.940487804878046</v>
      </c>
      <c r="E67">
        <f t="shared" ref="E67:E130" si="6">IFERROR(100*B67/MAX(B$2:B$257), 0 )</f>
        <v>43.940487804878046</v>
      </c>
      <c r="G67">
        <f t="shared" ref="G67:G130" ca="1" si="7">CELL("row",D67)-2</f>
        <v>65</v>
      </c>
      <c r="H67">
        <f t="shared" ref="H67:H130" ca="1" si="8">D67*G67</f>
        <v>2856.1317073170731</v>
      </c>
      <c r="I67">
        <f t="shared" ref="I67:I130" ca="1" si="9">D67*((G67-$L$1)^2)</f>
        <v>117264.93390808743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95849</v>
      </c>
      <c r="B69" s="66">
        <v>95849</v>
      </c>
      <c r="D69">
        <f t="shared" si="5"/>
        <v>46.755609756097563</v>
      </c>
      <c r="E69">
        <f t="shared" si="6"/>
        <v>46.755609756097563</v>
      </c>
      <c r="G69">
        <f t="shared" ca="1" si="7"/>
        <v>67</v>
      </c>
      <c r="H69">
        <f t="shared" ca="1" si="8"/>
        <v>3132.6258536585369</v>
      </c>
      <c r="I69">
        <f t="shared" ca="1" si="9"/>
        <v>115303.21556361628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112273</v>
      </c>
      <c r="B72" s="66">
        <v>112273</v>
      </c>
      <c r="D72">
        <f t="shared" si="5"/>
        <v>54.76731707317073</v>
      </c>
      <c r="E72">
        <f t="shared" si="6"/>
        <v>54.76731707317073</v>
      </c>
      <c r="G72">
        <f t="shared" ca="1" si="7"/>
        <v>70</v>
      </c>
      <c r="H72">
        <f t="shared" ca="1" si="8"/>
        <v>3833.712195121951</v>
      </c>
      <c r="I72">
        <f t="shared" ca="1" si="9"/>
        <v>119235.29481607658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131386</v>
      </c>
      <c r="B75" s="66">
        <v>131386</v>
      </c>
      <c r="D75">
        <f t="shared" si="5"/>
        <v>64.090731707317076</v>
      </c>
      <c r="E75">
        <f t="shared" si="6"/>
        <v>64.090731707317076</v>
      </c>
      <c r="G75">
        <f t="shared" ca="1" si="7"/>
        <v>73</v>
      </c>
      <c r="H75">
        <f t="shared" ca="1" si="8"/>
        <v>4678.6234146341467</v>
      </c>
      <c r="I75">
        <f t="shared" ca="1" si="9"/>
        <v>122167.63529726003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134000</v>
      </c>
      <c r="B77" s="66">
        <v>134000</v>
      </c>
      <c r="D77">
        <f t="shared" si="5"/>
        <v>65.365853658536579</v>
      </c>
      <c r="E77">
        <f t="shared" si="6"/>
        <v>65.365853658536579</v>
      </c>
      <c r="G77">
        <f t="shared" ca="1" si="7"/>
        <v>75</v>
      </c>
      <c r="H77">
        <f t="shared" ca="1" si="8"/>
        <v>4902.4390243902435</v>
      </c>
      <c r="I77">
        <f t="shared" ca="1" si="9"/>
        <v>113444.28711780054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133703</v>
      </c>
      <c r="B80" s="66">
        <v>133703</v>
      </c>
      <c r="D80">
        <f t="shared" si="5"/>
        <v>65.220975609756096</v>
      </c>
      <c r="E80">
        <f t="shared" si="6"/>
        <v>65.220975609756096</v>
      </c>
      <c r="G80">
        <f t="shared" ca="1" si="7"/>
        <v>78</v>
      </c>
      <c r="H80">
        <f t="shared" ca="1" si="8"/>
        <v>5087.2360975609754</v>
      </c>
      <c r="I80">
        <f t="shared" ca="1" si="9"/>
        <v>97477.329230914955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124518</v>
      </c>
      <c r="B82" s="66">
        <v>124518</v>
      </c>
      <c r="D82">
        <f t="shared" si="5"/>
        <v>60.74048780487805</v>
      </c>
      <c r="E82">
        <f t="shared" si="6"/>
        <v>60.74048780487805</v>
      </c>
      <c r="G82">
        <f t="shared" ca="1" si="7"/>
        <v>80</v>
      </c>
      <c r="H82">
        <f t="shared" ca="1" si="8"/>
        <v>4859.2390243902437</v>
      </c>
      <c r="I82">
        <f t="shared" ca="1" si="9"/>
        <v>81631.05809586891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122000</v>
      </c>
      <c r="B85" s="66">
        <v>122000</v>
      </c>
      <c r="D85">
        <f t="shared" si="5"/>
        <v>59.512195121951223</v>
      </c>
      <c r="E85">
        <f t="shared" si="6"/>
        <v>59.512195121951223</v>
      </c>
      <c r="G85">
        <f t="shared" ca="1" si="7"/>
        <v>83</v>
      </c>
      <c r="H85">
        <f t="shared" ca="1" si="8"/>
        <v>4939.5121951219517</v>
      </c>
      <c r="I85">
        <f t="shared" ca="1" si="9"/>
        <v>67425.741231991953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136989</v>
      </c>
      <c r="B88" s="66">
        <v>136989</v>
      </c>
      <c r="D88">
        <f t="shared" si="5"/>
        <v>66.823902439024394</v>
      </c>
      <c r="E88">
        <f t="shared" si="6"/>
        <v>66.823902439024394</v>
      </c>
      <c r="G88">
        <f t="shared" ca="1" si="7"/>
        <v>86</v>
      </c>
      <c r="H88">
        <f t="shared" ca="1" si="8"/>
        <v>5746.8556097560977</v>
      </c>
      <c r="I88">
        <f t="shared" ca="1" si="9"/>
        <v>62815.503298906253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128522</v>
      </c>
      <c r="B90" s="66">
        <v>128522</v>
      </c>
      <c r="D90">
        <f t="shared" si="5"/>
        <v>62.693658536585367</v>
      </c>
      <c r="E90">
        <f t="shared" si="6"/>
        <v>62.693658536585367</v>
      </c>
      <c r="G90">
        <f t="shared" ca="1" si="7"/>
        <v>88</v>
      </c>
      <c r="H90">
        <f t="shared" ca="1" si="8"/>
        <v>5517.0419512195122</v>
      </c>
      <c r="I90">
        <f t="shared" ca="1" si="9"/>
        <v>51495.116658581581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147005</v>
      </c>
      <c r="B93" s="66">
        <v>147005</v>
      </c>
      <c r="D93">
        <f t="shared" si="5"/>
        <v>71.70975609756097</v>
      </c>
      <c r="E93">
        <f t="shared" si="6"/>
        <v>71.70975609756097</v>
      </c>
      <c r="G93">
        <f t="shared" ca="1" si="7"/>
        <v>91</v>
      </c>
      <c r="H93">
        <f t="shared" ca="1" si="8"/>
        <v>6525.5878048780478</v>
      </c>
      <c r="I93">
        <f t="shared" ca="1" si="9"/>
        <v>47215.049287157068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144400</v>
      </c>
      <c r="B95" s="66">
        <v>144400</v>
      </c>
      <c r="D95">
        <f t="shared" si="5"/>
        <v>70.439024390243901</v>
      </c>
      <c r="E95">
        <f t="shared" si="6"/>
        <v>70.439024390243901</v>
      </c>
      <c r="G95">
        <f t="shared" ca="1" si="7"/>
        <v>93</v>
      </c>
      <c r="H95">
        <f t="shared" ca="1" si="8"/>
        <v>6550.8292682926831</v>
      </c>
      <c r="I95">
        <f t="shared" ca="1" si="9"/>
        <v>39430.362725187333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144302</v>
      </c>
      <c r="B98" s="66">
        <v>144302</v>
      </c>
      <c r="D98">
        <f t="shared" si="5"/>
        <v>70.391219512195121</v>
      </c>
      <c r="E98">
        <f t="shared" si="6"/>
        <v>70.391219512195121</v>
      </c>
      <c r="G98">
        <f t="shared" ca="1" si="7"/>
        <v>96</v>
      </c>
      <c r="H98">
        <f t="shared" ca="1" si="8"/>
        <v>6757.5570731707321</v>
      </c>
      <c r="I98">
        <f t="shared" ca="1" si="9"/>
        <v>30044.524480546901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147229</v>
      </c>
      <c r="B100" s="66">
        <v>147229</v>
      </c>
      <c r="D100">
        <f t="shared" si="5"/>
        <v>71.819024390243897</v>
      </c>
      <c r="E100">
        <f t="shared" si="6"/>
        <v>71.819024390243897</v>
      </c>
      <c r="G100">
        <f t="shared" ca="1" si="7"/>
        <v>98</v>
      </c>
      <c r="H100">
        <f t="shared" ca="1" si="8"/>
        <v>7038.2643902439022</v>
      </c>
      <c r="I100">
        <f t="shared" ca="1" si="9"/>
        <v>25006.189224764857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129928</v>
      </c>
      <c r="B103" s="66">
        <v>129928</v>
      </c>
      <c r="D103">
        <f t="shared" si="5"/>
        <v>63.379512195121954</v>
      </c>
      <c r="E103">
        <f t="shared" si="6"/>
        <v>63.379512195121954</v>
      </c>
      <c r="G103">
        <f t="shared" ca="1" si="7"/>
        <v>101</v>
      </c>
      <c r="H103">
        <f t="shared" ca="1" si="8"/>
        <v>6401.3307317073177</v>
      </c>
      <c r="I103">
        <f t="shared" ca="1" si="9"/>
        <v>15542.261658322577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120384</v>
      </c>
      <c r="B106" s="66">
        <v>120384</v>
      </c>
      <c r="D106">
        <f t="shared" si="5"/>
        <v>58.723902439024393</v>
      </c>
      <c r="E106">
        <f t="shared" si="6"/>
        <v>58.723902439024393</v>
      </c>
      <c r="G106">
        <f t="shared" ca="1" si="7"/>
        <v>104</v>
      </c>
      <c r="H106">
        <f t="shared" ca="1" si="8"/>
        <v>6107.2858536585372</v>
      </c>
      <c r="I106">
        <f t="shared" ca="1" si="9"/>
        <v>9411.5210387337556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118333</v>
      </c>
      <c r="B108" s="66">
        <v>118333</v>
      </c>
      <c r="D108">
        <f t="shared" si="5"/>
        <v>57.723414634146344</v>
      </c>
      <c r="E108">
        <f t="shared" si="6"/>
        <v>57.723414634146344</v>
      </c>
      <c r="G108">
        <f t="shared" ca="1" si="7"/>
        <v>106</v>
      </c>
      <c r="H108">
        <f t="shared" ca="1" si="8"/>
        <v>6118.6819512195125</v>
      </c>
      <c r="I108">
        <f t="shared" ca="1" si="9"/>
        <v>6559.0312330868192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120284</v>
      </c>
      <c r="B111" s="66">
        <v>120284</v>
      </c>
      <c r="D111">
        <f t="shared" si="5"/>
        <v>58.675121951219509</v>
      </c>
      <c r="E111">
        <f t="shared" si="6"/>
        <v>58.675121951219509</v>
      </c>
      <c r="G111">
        <f t="shared" ca="1" si="7"/>
        <v>109</v>
      </c>
      <c r="H111">
        <f t="shared" ca="1" si="8"/>
        <v>6395.5882926829263</v>
      </c>
      <c r="I111">
        <f t="shared" ca="1" si="9"/>
        <v>3442.5031724810042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120387</v>
      </c>
      <c r="B113" s="66">
        <v>120387</v>
      </c>
      <c r="D113">
        <f t="shared" si="5"/>
        <v>58.725365853658538</v>
      </c>
      <c r="E113">
        <f t="shared" si="6"/>
        <v>58.725365853658538</v>
      </c>
      <c r="G113">
        <f t="shared" ca="1" si="7"/>
        <v>111</v>
      </c>
      <c r="H113">
        <f t="shared" ca="1" si="8"/>
        <v>6518.5156097560975</v>
      </c>
      <c r="I113">
        <f t="shared" ca="1" si="9"/>
        <v>1881.0843070688763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125975</v>
      </c>
      <c r="B116" s="66">
        <v>125975</v>
      </c>
      <c r="D116">
        <f t="shared" si="5"/>
        <v>61.451219512195124</v>
      </c>
      <c r="E116">
        <f t="shared" si="6"/>
        <v>61.451219512195124</v>
      </c>
      <c r="G116">
        <f t="shared" ca="1" si="7"/>
        <v>114</v>
      </c>
      <c r="H116">
        <f t="shared" ca="1" si="8"/>
        <v>7005.4390243902444</v>
      </c>
      <c r="I116">
        <f t="shared" ca="1" si="9"/>
        <v>434.697033016972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147039</v>
      </c>
      <c r="B118" s="66">
        <v>147039</v>
      </c>
      <c r="D118">
        <f t="shared" si="5"/>
        <v>71.726341463414627</v>
      </c>
      <c r="E118">
        <f t="shared" si="6"/>
        <v>71.726341463414627</v>
      </c>
      <c r="G118">
        <f t="shared" ca="1" si="7"/>
        <v>116</v>
      </c>
      <c r="H118">
        <f t="shared" ca="1" si="8"/>
        <v>8320.2556097560973</v>
      </c>
      <c r="I118">
        <f t="shared" ca="1" si="9"/>
        <v>31.212949605637057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156329</v>
      </c>
      <c r="B121" s="66">
        <v>156329</v>
      </c>
      <c r="D121">
        <f t="shared" si="5"/>
        <v>76.258048780487812</v>
      </c>
      <c r="E121">
        <f t="shared" si="6"/>
        <v>76.258048780487812</v>
      </c>
      <c r="G121">
        <f t="shared" ca="1" si="7"/>
        <v>119</v>
      </c>
      <c r="H121">
        <f t="shared" ca="1" si="8"/>
        <v>9074.7078048780495</v>
      </c>
      <c r="I121">
        <f t="shared" ca="1" si="9"/>
        <v>417.6756310226566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173935</v>
      </c>
      <c r="B124" s="66">
        <v>173935</v>
      </c>
      <c r="D124">
        <f t="shared" si="5"/>
        <v>84.846341463414632</v>
      </c>
      <c r="E124">
        <f t="shared" si="6"/>
        <v>84.846341463414632</v>
      </c>
      <c r="G124">
        <f t="shared" ca="1" si="7"/>
        <v>122</v>
      </c>
      <c r="H124">
        <f t="shared" ca="1" si="8"/>
        <v>10351.253658536585</v>
      </c>
      <c r="I124">
        <f t="shared" ca="1" si="9"/>
        <v>2419.7415429722673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177268</v>
      </c>
      <c r="B126" s="66">
        <v>177268</v>
      </c>
      <c r="D126">
        <f t="shared" si="5"/>
        <v>86.472195121951216</v>
      </c>
      <c r="E126">
        <f t="shared" si="6"/>
        <v>86.472195121951216</v>
      </c>
      <c r="G126">
        <f t="shared" ca="1" si="7"/>
        <v>124</v>
      </c>
      <c r="H126">
        <f t="shared" ca="1" si="8"/>
        <v>10722.552195121951</v>
      </c>
      <c r="I126">
        <f t="shared" ca="1" si="9"/>
        <v>4659.1577425907062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175987</v>
      </c>
      <c r="B129" s="66">
        <v>175987</v>
      </c>
      <c r="D129">
        <f t="shared" si="5"/>
        <v>85.847317073170728</v>
      </c>
      <c r="E129">
        <f t="shared" si="6"/>
        <v>85.847317073170728</v>
      </c>
      <c r="G129">
        <f t="shared" ca="1" si="7"/>
        <v>127</v>
      </c>
      <c r="H129">
        <f t="shared" ca="1" si="8"/>
        <v>10902.609268292683</v>
      </c>
      <c r="I129">
        <f t="shared" ca="1" si="9"/>
        <v>9178.9996873089403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169355</v>
      </c>
      <c r="B131" s="66">
        <v>169355</v>
      </c>
      <c r="D131">
        <f t="shared" ref="D131:D194" si="10">IFERROR(100*A131/MAX(A$2:A$257), 0 )</f>
        <v>82.612195121951217</v>
      </c>
      <c r="E131">
        <f t="shared" ref="E131:E194" si="11">IFERROR(100*B131/MAX(B$2:B$257), 0 )</f>
        <v>82.612195121951217</v>
      </c>
      <c r="G131">
        <f t="shared" ref="G131:G194" ca="1" si="12">CELL("row",D131)-2</f>
        <v>129</v>
      </c>
      <c r="H131">
        <f t="shared" ref="H131:H194" ca="1" si="13">D131*G131</f>
        <v>10656.973170731708</v>
      </c>
      <c r="I131">
        <f t="shared" ref="I131:I194" ca="1" si="14">D131*((G131-$L$1)^2)</f>
        <v>12580.490290359849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152120</v>
      </c>
      <c r="B134" s="66">
        <v>152120</v>
      </c>
      <c r="D134">
        <f t="shared" si="10"/>
        <v>74.204878048780486</v>
      </c>
      <c r="E134">
        <f t="shared" si="11"/>
        <v>74.204878048780486</v>
      </c>
      <c r="G134">
        <f t="shared" ca="1" si="12"/>
        <v>132</v>
      </c>
      <c r="H134">
        <f t="shared" ca="1" si="13"/>
        <v>9795.0439024390234</v>
      </c>
      <c r="I134">
        <f t="shared" ca="1" si="14"/>
        <v>17462.312083063265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145761</v>
      </c>
      <c r="B136" s="66">
        <v>145761</v>
      </c>
      <c r="D136">
        <f t="shared" si="10"/>
        <v>71.102926829268299</v>
      </c>
      <c r="E136">
        <f t="shared" si="11"/>
        <v>71.102926829268299</v>
      </c>
      <c r="G136">
        <f t="shared" ca="1" si="12"/>
        <v>134</v>
      </c>
      <c r="H136">
        <f t="shared" ca="1" si="13"/>
        <v>9527.7921951219523</v>
      </c>
      <c r="I136">
        <f t="shared" ca="1" si="14"/>
        <v>21379.723935512844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143877</v>
      </c>
      <c r="B139" s="66">
        <v>143877</v>
      </c>
      <c r="D139">
        <f t="shared" si="10"/>
        <v>70.183902439024394</v>
      </c>
      <c r="E139">
        <f t="shared" si="11"/>
        <v>70.183902439024394</v>
      </c>
      <c r="G139">
        <f t="shared" ca="1" si="12"/>
        <v>137</v>
      </c>
      <c r="H139">
        <f t="shared" ca="1" si="13"/>
        <v>9615.1946341463427</v>
      </c>
      <c r="I139">
        <f t="shared" ca="1" si="14"/>
        <v>29037.111716166321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135938</v>
      </c>
      <c r="B142" s="66">
        <v>135938</v>
      </c>
      <c r="D142">
        <f t="shared" si="10"/>
        <v>66.311219512195123</v>
      </c>
      <c r="E142">
        <f t="shared" si="11"/>
        <v>66.311219512195123</v>
      </c>
      <c r="G142">
        <f t="shared" ca="1" si="12"/>
        <v>140</v>
      </c>
      <c r="H142">
        <f t="shared" ca="1" si="13"/>
        <v>9283.5707317073175</v>
      </c>
      <c r="I142">
        <f t="shared" ca="1" si="14"/>
        <v>36124.42340151425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141722</v>
      </c>
      <c r="B144" s="66">
        <v>141722</v>
      </c>
      <c r="D144">
        <f t="shared" si="10"/>
        <v>69.132682926829261</v>
      </c>
      <c r="E144">
        <f t="shared" si="11"/>
        <v>69.132682926829261</v>
      </c>
      <c r="G144">
        <f t="shared" ca="1" si="12"/>
        <v>142</v>
      </c>
      <c r="H144">
        <f t="shared" ca="1" si="13"/>
        <v>9816.8409756097553</v>
      </c>
      <c r="I144">
        <f t="shared" ca="1" si="14"/>
        <v>44392.323299086856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144385</v>
      </c>
      <c r="B147" s="66">
        <v>144385</v>
      </c>
      <c r="D147">
        <f t="shared" si="10"/>
        <v>70.431707317073176</v>
      </c>
      <c r="E147">
        <f t="shared" si="11"/>
        <v>70.431707317073176</v>
      </c>
      <c r="G147">
        <f t="shared" ca="1" si="12"/>
        <v>145</v>
      </c>
      <c r="H147">
        <f t="shared" ca="1" si="13"/>
        <v>10212.59756097561</v>
      </c>
      <c r="I147">
        <f t="shared" ca="1" si="14"/>
        <v>56568.929463384338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152681</v>
      </c>
      <c r="B149" s="66">
        <v>152681</v>
      </c>
      <c r="D149">
        <f t="shared" si="10"/>
        <v>74.478536585365859</v>
      </c>
      <c r="E149">
        <f t="shared" si="11"/>
        <v>74.478536585365859</v>
      </c>
      <c r="G149">
        <f t="shared" ca="1" si="12"/>
        <v>147</v>
      </c>
      <c r="H149">
        <f t="shared" ca="1" si="13"/>
        <v>10948.344878048782</v>
      </c>
      <c r="I149">
        <f t="shared" ca="1" si="14"/>
        <v>68560.137044984862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152291</v>
      </c>
      <c r="B152" s="66">
        <v>152291</v>
      </c>
      <c r="D152">
        <f t="shared" si="10"/>
        <v>74.288292682926823</v>
      </c>
      <c r="E152">
        <f t="shared" si="11"/>
        <v>74.288292682926823</v>
      </c>
      <c r="G152">
        <f t="shared" ca="1" si="12"/>
        <v>150</v>
      </c>
      <c r="H152">
        <f t="shared" ca="1" si="13"/>
        <v>11143.243902439024</v>
      </c>
      <c r="I152">
        <f t="shared" ca="1" si="14"/>
        <v>82577.192402016502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155897</v>
      </c>
      <c r="B154" s="66">
        <v>155897</v>
      </c>
      <c r="D154">
        <f t="shared" si="10"/>
        <v>76.047317073170731</v>
      </c>
      <c r="E154">
        <f t="shared" si="11"/>
        <v>76.047317073170731</v>
      </c>
      <c r="G154">
        <f t="shared" ca="1" si="12"/>
        <v>152</v>
      </c>
      <c r="H154">
        <f t="shared" ca="1" si="13"/>
        <v>11559.192195121952</v>
      </c>
      <c r="I154">
        <f t="shared" ca="1" si="14"/>
        <v>94978.443522932474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154919</v>
      </c>
      <c r="B157" s="66">
        <v>154919</v>
      </c>
      <c r="D157">
        <f t="shared" si="10"/>
        <v>75.570243902439017</v>
      </c>
      <c r="E157">
        <f t="shared" si="11"/>
        <v>75.570243902439017</v>
      </c>
      <c r="G157">
        <f t="shared" ca="1" si="12"/>
        <v>155</v>
      </c>
      <c r="H157">
        <f t="shared" ca="1" si="13"/>
        <v>11713.387804878048</v>
      </c>
      <c r="I157">
        <f t="shared" ca="1" si="14"/>
        <v>111086.80376235367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175228</v>
      </c>
      <c r="B160" s="66">
        <v>175228</v>
      </c>
      <c r="D160">
        <f t="shared" si="10"/>
        <v>85.477073170731714</v>
      </c>
      <c r="E160">
        <f t="shared" si="11"/>
        <v>85.477073170731714</v>
      </c>
      <c r="G160">
        <f t="shared" ca="1" si="12"/>
        <v>158</v>
      </c>
      <c r="H160">
        <f t="shared" ca="1" si="13"/>
        <v>13505.37756097561</v>
      </c>
      <c r="I160">
        <f t="shared" ca="1" si="14"/>
        <v>146082.25985188771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195599</v>
      </c>
      <c r="B162" s="66">
        <v>195599</v>
      </c>
      <c r="D162">
        <f t="shared" si="10"/>
        <v>95.414146341463422</v>
      </c>
      <c r="E162">
        <f t="shared" si="11"/>
        <v>95.414146341463422</v>
      </c>
      <c r="G162">
        <f t="shared" ca="1" si="12"/>
        <v>160</v>
      </c>
      <c r="H162">
        <f t="shared" ca="1" si="13"/>
        <v>15266.263414634148</v>
      </c>
      <c r="I162">
        <f t="shared" ca="1" si="14"/>
        <v>179224.4086424757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205000</v>
      </c>
      <c r="B165" s="66">
        <v>205000</v>
      </c>
      <c r="D165">
        <f t="shared" si="10"/>
        <v>100</v>
      </c>
      <c r="E165">
        <f t="shared" si="11"/>
        <v>100</v>
      </c>
      <c r="G165">
        <f t="shared" ca="1" si="12"/>
        <v>163</v>
      </c>
      <c r="H165">
        <f t="shared" ca="1" si="13"/>
        <v>16300</v>
      </c>
      <c r="I165">
        <f t="shared" ca="1" si="14"/>
        <v>214742.59970082529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184835</v>
      </c>
      <c r="B167" s="66">
        <v>184835</v>
      </c>
      <c r="D167">
        <f t="shared" si="10"/>
        <v>90.163414634146335</v>
      </c>
      <c r="E167">
        <f t="shared" si="11"/>
        <v>90.163414634146335</v>
      </c>
      <c r="G167">
        <f t="shared" ca="1" si="12"/>
        <v>165</v>
      </c>
      <c r="H167">
        <f t="shared" ca="1" si="13"/>
        <v>14876.963414634145</v>
      </c>
      <c r="I167">
        <f t="shared" ca="1" si="14"/>
        <v>210692.72304559729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154084</v>
      </c>
      <c r="B170" s="66">
        <v>154084</v>
      </c>
      <c r="D170">
        <f t="shared" si="10"/>
        <v>75.162926829268287</v>
      </c>
      <c r="E170">
        <f t="shared" si="11"/>
        <v>75.162926829268287</v>
      </c>
      <c r="G170">
        <f t="shared" ca="1" si="12"/>
        <v>168</v>
      </c>
      <c r="H170">
        <f t="shared" ca="1" si="13"/>
        <v>12627.371707317072</v>
      </c>
      <c r="I170">
        <f t="shared" ca="1" si="14"/>
        <v>198116.64306486474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118729</v>
      </c>
      <c r="B173" s="66">
        <v>118729</v>
      </c>
      <c r="D173">
        <f t="shared" si="10"/>
        <v>57.916585365853656</v>
      </c>
      <c r="E173">
        <f t="shared" si="11"/>
        <v>57.916585365853656</v>
      </c>
      <c r="G173">
        <f t="shared" ca="1" si="12"/>
        <v>171</v>
      </c>
      <c r="H173">
        <f t="shared" ca="1" si="13"/>
        <v>9903.7360975609754</v>
      </c>
      <c r="I173">
        <f t="shared" ca="1" si="14"/>
        <v>171020.21951450501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86884</v>
      </c>
      <c r="B175" s="66">
        <v>86884</v>
      </c>
      <c r="D175">
        <f t="shared" si="10"/>
        <v>42.382439024390244</v>
      </c>
      <c r="E175">
        <f t="shared" si="11"/>
        <v>42.382439024390244</v>
      </c>
      <c r="G175">
        <f t="shared" ca="1" si="12"/>
        <v>173</v>
      </c>
      <c r="H175">
        <f t="shared" ca="1" si="13"/>
        <v>7332.161951219512</v>
      </c>
      <c r="I175">
        <f t="shared" ca="1" si="14"/>
        <v>134531.7177770705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59454</v>
      </c>
      <c r="B178" s="66">
        <v>59454</v>
      </c>
      <c r="D178">
        <f t="shared" si="10"/>
        <v>29.001951219512193</v>
      </c>
      <c r="E178">
        <f t="shared" si="11"/>
        <v>29.001951219512193</v>
      </c>
      <c r="G178">
        <f t="shared" ca="1" si="12"/>
        <v>176</v>
      </c>
      <c r="H178">
        <f t="shared" ca="1" si="13"/>
        <v>5104.343414634146</v>
      </c>
      <c r="I178">
        <f t="shared" ca="1" si="14"/>
        <v>102123.8319873947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38803</v>
      </c>
      <c r="B180" s="66">
        <v>38803</v>
      </c>
      <c r="D180">
        <f t="shared" si="10"/>
        <v>18.928292682926831</v>
      </c>
      <c r="E180">
        <f t="shared" si="11"/>
        <v>18.928292682926831</v>
      </c>
      <c r="G180">
        <f t="shared" ca="1" si="12"/>
        <v>178</v>
      </c>
      <c r="H180">
        <f t="shared" ca="1" si="13"/>
        <v>3369.2360975609758</v>
      </c>
      <c r="I180">
        <f t="shared" ca="1" si="14"/>
        <v>71220.272369054044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19358</v>
      </c>
      <c r="B183" s="66">
        <v>19358</v>
      </c>
      <c r="D183">
        <f t="shared" si="10"/>
        <v>9.4429268292682931</v>
      </c>
      <c r="E183">
        <f t="shared" si="11"/>
        <v>9.4429268292682931</v>
      </c>
      <c r="G183">
        <f t="shared" ca="1" si="12"/>
        <v>181</v>
      </c>
      <c r="H183">
        <f t="shared" ca="1" si="13"/>
        <v>1709.169756097561</v>
      </c>
      <c r="I183">
        <f t="shared" ca="1" si="14"/>
        <v>39090.674601592014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13661</v>
      </c>
      <c r="B185" s="66">
        <v>13661</v>
      </c>
      <c r="D185">
        <f t="shared" si="10"/>
        <v>6.6639024390243904</v>
      </c>
      <c r="E185">
        <f t="shared" si="11"/>
        <v>6.6639024390243904</v>
      </c>
      <c r="G185">
        <f t="shared" ca="1" si="12"/>
        <v>183</v>
      </c>
      <c r="H185">
        <f t="shared" ca="1" si="13"/>
        <v>1219.4941463414634</v>
      </c>
      <c r="I185">
        <f t="shared" ca="1" si="14"/>
        <v>29328.09529992018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5562</v>
      </c>
      <c r="B188" s="66">
        <v>5562</v>
      </c>
      <c r="D188">
        <f t="shared" si="10"/>
        <v>2.7131707317073173</v>
      </c>
      <c r="E188">
        <f t="shared" si="11"/>
        <v>2.7131707317073173</v>
      </c>
      <c r="G188">
        <f t="shared" ca="1" si="12"/>
        <v>186</v>
      </c>
      <c r="H188">
        <f t="shared" ca="1" si="13"/>
        <v>504.64975609756101</v>
      </c>
      <c r="I188">
        <f t="shared" ca="1" si="14"/>
        <v>13045.144872639084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1666</v>
      </c>
      <c r="B191" s="66">
        <v>1666</v>
      </c>
      <c r="D191">
        <f t="shared" si="10"/>
        <v>0.81268292682926824</v>
      </c>
      <c r="E191">
        <f t="shared" si="11"/>
        <v>0.81268292682926824</v>
      </c>
      <c r="G191">
        <f t="shared" ca="1" si="12"/>
        <v>189</v>
      </c>
      <c r="H191">
        <f t="shared" ca="1" si="13"/>
        <v>153.5970731707317</v>
      </c>
      <c r="I191">
        <f t="shared" ca="1" si="14"/>
        <v>4252.8697582009945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489</v>
      </c>
      <c r="B193" s="66">
        <v>489</v>
      </c>
      <c r="D193">
        <f t="shared" si="10"/>
        <v>0.23853658536585365</v>
      </c>
      <c r="E193">
        <f t="shared" si="11"/>
        <v>0.23853658536585365</v>
      </c>
      <c r="G193">
        <f t="shared" ca="1" si="12"/>
        <v>191</v>
      </c>
      <c r="H193">
        <f t="shared" ca="1" si="13"/>
        <v>45.560487804878044</v>
      </c>
      <c r="I193">
        <f t="shared" ca="1" si="14"/>
        <v>1318.2687091985053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0.26151799999999997</v>
      </c>
      <c r="B2" s="68">
        <v>0.51271</v>
      </c>
      <c r="C2" s="68">
        <v>0</v>
      </c>
      <c r="D2" s="68">
        <v>1</v>
      </c>
      <c r="E2" s="68" t="s">
        <v>408</v>
      </c>
    </row>
    <row r="3" spans="1:5">
      <c r="A3" s="68">
        <v>0.272567</v>
      </c>
      <c r="B3" s="68">
        <v>0.49767499999999998</v>
      </c>
      <c r="C3" s="68">
        <v>0.40388299999999999</v>
      </c>
      <c r="D3" s="89">
        <v>1</v>
      </c>
      <c r="E3" s="68" t="s">
        <v>409</v>
      </c>
    </row>
    <row r="4" spans="1:5">
      <c r="A4" s="68">
        <v>0.28355900000000001</v>
      </c>
      <c r="B4" s="68">
        <v>0.48345700000000003</v>
      </c>
      <c r="C4" s="68">
        <v>0.81181599999999998</v>
      </c>
      <c r="D4" s="89">
        <v>1</v>
      </c>
      <c r="E4" s="68" t="s">
        <v>410</v>
      </c>
    </row>
    <row r="5" spans="1:5">
      <c r="A5" s="89">
        <v>0.29469800000000002</v>
      </c>
      <c r="B5" s="89">
        <v>0.46932000000000001</v>
      </c>
      <c r="C5" s="89">
        <v>1.2169399999999999</v>
      </c>
      <c r="D5" s="89">
        <v>1</v>
      </c>
      <c r="E5" s="68" t="s">
        <v>411</v>
      </c>
    </row>
    <row r="6" spans="1:5">
      <c r="A6" s="68">
        <v>0.30560399999999999</v>
      </c>
      <c r="B6" s="68">
        <v>0.45661800000000002</v>
      </c>
      <c r="C6" s="68">
        <v>1.6256299999999999</v>
      </c>
      <c r="D6" s="68">
        <v>1</v>
      </c>
      <c r="E6" s="68" t="s">
        <v>412</v>
      </c>
    </row>
    <row r="7" spans="1:5">
      <c r="A7" s="68">
        <v>0.31608399999999998</v>
      </c>
      <c r="B7" s="68">
        <v>0.44583299999999998</v>
      </c>
      <c r="C7" s="68">
        <v>2.02956</v>
      </c>
      <c r="D7" s="68">
        <v>1</v>
      </c>
      <c r="E7" s="68" t="s">
        <v>413</v>
      </c>
    </row>
    <row r="8" spans="1:5">
      <c r="A8" s="68">
        <v>0.32603199999999999</v>
      </c>
      <c r="B8" s="68">
        <v>0.43784499999999998</v>
      </c>
      <c r="C8" s="68">
        <v>2.4335499999999999</v>
      </c>
      <c r="D8" s="68">
        <v>1</v>
      </c>
      <c r="E8" s="68" t="s">
        <v>414</v>
      </c>
    </row>
    <row r="9" spans="1:5">
      <c r="A9" s="68">
        <v>0.335702</v>
      </c>
      <c r="B9" s="68">
        <v>0.430585</v>
      </c>
      <c r="C9" s="68">
        <v>2.84144</v>
      </c>
      <c r="D9" s="68">
        <v>1</v>
      </c>
      <c r="E9" s="68" t="s">
        <v>415</v>
      </c>
    </row>
    <row r="10" spans="1:5">
      <c r="A10" s="68">
        <v>0.345024</v>
      </c>
      <c r="B10" s="68">
        <v>0.423456</v>
      </c>
      <c r="C10" s="68">
        <v>3.2435499999999999</v>
      </c>
      <c r="D10" s="68">
        <v>1</v>
      </c>
      <c r="E10" s="68" t="s">
        <v>416</v>
      </c>
    </row>
    <row r="11" spans="1:5">
      <c r="A11" s="68">
        <v>0.35385</v>
      </c>
      <c r="B11" s="68">
        <v>0.418157</v>
      </c>
      <c r="C11" s="68">
        <v>3.6512799999999999</v>
      </c>
      <c r="D11" s="68">
        <v>1</v>
      </c>
      <c r="E11" s="68" t="s">
        <v>417</v>
      </c>
    </row>
    <row r="12" spans="1:5">
      <c r="A12" s="68">
        <v>0.36222599999999999</v>
      </c>
      <c r="B12" s="68">
        <v>0.41450700000000001</v>
      </c>
      <c r="C12" s="68">
        <v>4.0603499999999997</v>
      </c>
      <c r="D12" s="68">
        <v>1</v>
      </c>
      <c r="E12" s="68" t="s">
        <v>418</v>
      </c>
    </row>
    <row r="13" spans="1:5">
      <c r="A13" s="68">
        <v>0.37027900000000002</v>
      </c>
      <c r="B13" s="68">
        <v>0.41153400000000001</v>
      </c>
      <c r="C13" s="68">
        <v>4.4671099999999999</v>
      </c>
      <c r="D13" s="68">
        <v>1</v>
      </c>
      <c r="E13" s="68" t="s">
        <v>419</v>
      </c>
    </row>
    <row r="14" spans="1:5">
      <c r="A14" s="68">
        <v>0.37790200000000002</v>
      </c>
      <c r="B14" s="68">
        <v>0.40970899999999999</v>
      </c>
      <c r="C14" s="68">
        <v>4.87195</v>
      </c>
      <c r="D14" s="68">
        <v>1</v>
      </c>
      <c r="E14" s="68" t="s">
        <v>420</v>
      </c>
    </row>
    <row r="15" spans="1:5">
      <c r="A15" s="68">
        <v>0.38496599999999997</v>
      </c>
      <c r="B15" s="68">
        <v>0.40983799999999998</v>
      </c>
      <c r="C15" s="68">
        <v>5.2758000000000003</v>
      </c>
      <c r="D15" s="68">
        <v>1</v>
      </c>
      <c r="E15" s="68" t="s">
        <v>421</v>
      </c>
    </row>
    <row r="16" spans="1:5">
      <c r="A16" s="68">
        <v>0.39179199999999997</v>
      </c>
      <c r="B16" s="68">
        <v>0.41014200000000001</v>
      </c>
      <c r="C16" s="68">
        <v>5.6810600000000004</v>
      </c>
      <c r="D16" s="68">
        <v>1</v>
      </c>
      <c r="E16" s="68" t="s">
        <v>422</v>
      </c>
    </row>
    <row r="17" spans="1:5">
      <c r="A17" s="68">
        <v>0.39849299999999999</v>
      </c>
      <c r="B17" s="68">
        <v>0.41009499999999999</v>
      </c>
      <c r="C17" s="68">
        <v>6.09293</v>
      </c>
      <c r="D17" s="68">
        <v>1</v>
      </c>
      <c r="E17" s="68" t="s">
        <v>423</v>
      </c>
    </row>
    <row r="18" spans="1:5">
      <c r="A18" s="68">
        <v>0.40491500000000002</v>
      </c>
      <c r="B18" s="68">
        <v>0.41025299999999998</v>
      </c>
      <c r="C18" s="68">
        <v>6.4985499999999998</v>
      </c>
      <c r="D18" s="68">
        <v>1</v>
      </c>
      <c r="E18" s="68" t="s">
        <v>424</v>
      </c>
    </row>
    <row r="19" spans="1:5">
      <c r="A19" s="68">
        <v>0.41101300000000002</v>
      </c>
      <c r="B19" s="68">
        <v>0.40976499999999999</v>
      </c>
      <c r="C19" s="68">
        <v>6.9044400000000001</v>
      </c>
      <c r="D19" s="68">
        <v>1</v>
      </c>
      <c r="E19" s="68" t="s">
        <v>425</v>
      </c>
    </row>
    <row r="20" spans="1:5">
      <c r="A20" s="68">
        <v>0.41690199999999999</v>
      </c>
      <c r="B20" s="68">
        <v>0.40750199999999998</v>
      </c>
      <c r="C20" s="68">
        <v>7.3074199999999996</v>
      </c>
      <c r="D20" s="68">
        <v>1</v>
      </c>
      <c r="E20" s="68" t="s">
        <v>426</v>
      </c>
    </row>
    <row r="21" spans="1:5">
      <c r="A21" s="68">
        <v>0.42246499999999998</v>
      </c>
      <c r="B21" s="68">
        <v>0.40522799999999998</v>
      </c>
      <c r="C21" s="68">
        <v>7.7144300000000001</v>
      </c>
      <c r="D21" s="68">
        <v>1</v>
      </c>
      <c r="E21" s="68" t="s">
        <v>427</v>
      </c>
    </row>
    <row r="22" spans="1:5">
      <c r="A22" s="68">
        <v>0.427367</v>
      </c>
      <c r="B22" s="68">
        <v>0.403117</v>
      </c>
      <c r="C22" s="68">
        <v>8.1232100000000003</v>
      </c>
      <c r="D22" s="68">
        <v>1</v>
      </c>
      <c r="E22" s="68" t="s">
        <v>428</v>
      </c>
    </row>
    <row r="23" spans="1:5">
      <c r="A23" s="68">
        <v>0.43176700000000001</v>
      </c>
      <c r="B23" s="68">
        <v>0.40057199999999998</v>
      </c>
      <c r="C23" s="68">
        <v>8.5263399999999994</v>
      </c>
      <c r="D23" s="68">
        <v>1</v>
      </c>
      <c r="E23" s="68" t="s">
        <v>429</v>
      </c>
    </row>
    <row r="24" spans="1:5">
      <c r="A24" s="68">
        <v>0.43567299999999998</v>
      </c>
      <c r="B24" s="68">
        <v>0.39747399999999999</v>
      </c>
      <c r="C24" s="68">
        <v>8.9350500000000004</v>
      </c>
      <c r="D24" s="68">
        <v>1</v>
      </c>
      <c r="E24" s="68" t="s">
        <v>430</v>
      </c>
    </row>
    <row r="25" spans="1:5">
      <c r="A25" s="68">
        <v>0.43924200000000002</v>
      </c>
      <c r="B25" s="68">
        <v>0.393876</v>
      </c>
      <c r="C25" s="68">
        <v>9.3410899999999994</v>
      </c>
      <c r="D25" s="68">
        <v>1</v>
      </c>
      <c r="E25" s="68" t="s">
        <v>431</v>
      </c>
    </row>
    <row r="26" spans="1:5">
      <c r="A26" s="68">
        <v>0.44271899999999997</v>
      </c>
      <c r="B26" s="68">
        <v>0.38909500000000002</v>
      </c>
      <c r="C26" s="68">
        <v>9.7459799999999994</v>
      </c>
      <c r="D26" s="68">
        <v>1</v>
      </c>
      <c r="E26" s="68" t="s">
        <v>432</v>
      </c>
    </row>
    <row r="27" spans="1:5">
      <c r="A27" s="68">
        <v>0.44602599999999998</v>
      </c>
      <c r="B27" s="68">
        <v>0.382525</v>
      </c>
      <c r="C27" s="68">
        <v>10.155799999999999</v>
      </c>
      <c r="D27" s="68">
        <v>1</v>
      </c>
      <c r="E27" s="68" t="s">
        <v>433</v>
      </c>
    </row>
    <row r="28" spans="1:5">
      <c r="A28" s="68">
        <v>0.44897799999999999</v>
      </c>
      <c r="B28" s="68">
        <v>0.37521300000000002</v>
      </c>
      <c r="C28" s="68">
        <v>10.562799999999999</v>
      </c>
      <c r="D28" s="68">
        <v>1</v>
      </c>
      <c r="E28" s="68" t="s">
        <v>434</v>
      </c>
    </row>
    <row r="29" spans="1:5">
      <c r="A29" s="68">
        <v>0.45152300000000001</v>
      </c>
      <c r="B29" s="68">
        <v>0.36733399999999999</v>
      </c>
      <c r="C29" s="68">
        <v>10.967700000000001</v>
      </c>
      <c r="D29" s="68">
        <v>1</v>
      </c>
      <c r="E29" s="68" t="s">
        <v>435</v>
      </c>
    </row>
    <row r="30" spans="1:5">
      <c r="A30" s="68">
        <v>0.45365499999999997</v>
      </c>
      <c r="B30" s="68">
        <v>0.35804599999999998</v>
      </c>
      <c r="C30" s="68">
        <v>11.3696</v>
      </c>
      <c r="D30" s="68">
        <v>1</v>
      </c>
      <c r="E30" s="68" t="s">
        <v>436</v>
      </c>
    </row>
    <row r="31" spans="1:5">
      <c r="A31" s="68">
        <v>0.45549899999999999</v>
      </c>
      <c r="B31" s="68">
        <v>0.34889199999999998</v>
      </c>
      <c r="C31" s="68">
        <v>11.782500000000001</v>
      </c>
      <c r="D31" s="68">
        <v>1</v>
      </c>
      <c r="E31" s="68" t="s">
        <v>437</v>
      </c>
    </row>
    <row r="32" spans="1:5">
      <c r="A32" s="68">
        <v>0.45719900000000002</v>
      </c>
      <c r="B32" s="68">
        <v>0.33982800000000002</v>
      </c>
      <c r="C32" s="68">
        <v>12.182399999999999</v>
      </c>
      <c r="D32" s="68">
        <v>1</v>
      </c>
      <c r="E32" s="68" t="s">
        <v>438</v>
      </c>
    </row>
    <row r="33" spans="1:5">
      <c r="A33" s="68">
        <v>0.45876</v>
      </c>
      <c r="B33" s="68">
        <v>0.33066200000000001</v>
      </c>
      <c r="C33" s="68">
        <v>12.593500000000001</v>
      </c>
      <c r="D33" s="68">
        <v>1</v>
      </c>
      <c r="E33" s="68" t="s">
        <v>439</v>
      </c>
    </row>
    <row r="34" spans="1:5">
      <c r="A34" s="68">
        <v>0.46001799999999998</v>
      </c>
      <c r="B34" s="68">
        <v>0.322245</v>
      </c>
      <c r="C34" s="68">
        <v>12.9962</v>
      </c>
      <c r="D34" s="68">
        <v>1</v>
      </c>
      <c r="E34" s="68" t="s">
        <v>440</v>
      </c>
    </row>
    <row r="35" spans="1:5">
      <c r="A35" s="68">
        <v>0.46104699999999998</v>
      </c>
      <c r="B35" s="68">
        <v>0.31479699999999999</v>
      </c>
      <c r="C35" s="68">
        <v>13.4031</v>
      </c>
      <c r="D35" s="68">
        <v>1</v>
      </c>
      <c r="E35" s="68" t="s">
        <v>441</v>
      </c>
    </row>
    <row r="36" spans="1:5">
      <c r="A36" s="68">
        <v>0.46204099999999998</v>
      </c>
      <c r="B36" s="68">
        <v>0.30737599999999998</v>
      </c>
      <c r="C36" s="68">
        <v>13.813000000000001</v>
      </c>
      <c r="D36" s="68">
        <v>1</v>
      </c>
      <c r="E36" s="68" t="s">
        <v>442</v>
      </c>
    </row>
    <row r="37" spans="1:5">
      <c r="A37" s="68">
        <v>0.46293200000000001</v>
      </c>
      <c r="B37" s="68">
        <v>0.29984100000000002</v>
      </c>
      <c r="C37" s="68">
        <v>14.2133</v>
      </c>
      <c r="D37" s="68">
        <v>1</v>
      </c>
      <c r="E37" s="68" t="s">
        <v>443</v>
      </c>
    </row>
    <row r="38" spans="1:5">
      <c r="A38" s="68">
        <v>0.46369700000000003</v>
      </c>
      <c r="B38" s="68">
        <v>0.29239500000000002</v>
      </c>
      <c r="C38" s="68">
        <v>14.6229</v>
      </c>
      <c r="D38" s="68">
        <v>1</v>
      </c>
      <c r="E38" s="68" t="s">
        <v>444</v>
      </c>
    </row>
    <row r="39" spans="1:5">
      <c r="A39" s="68">
        <v>0.46450599999999997</v>
      </c>
      <c r="B39" s="68">
        <v>0.28439999999999999</v>
      </c>
      <c r="C39" s="68">
        <v>15.0318</v>
      </c>
      <c r="D39" s="68">
        <v>1</v>
      </c>
      <c r="E39" s="68" t="s">
        <v>445</v>
      </c>
    </row>
    <row r="40" spans="1:5">
      <c r="A40" s="68">
        <v>0.465447</v>
      </c>
      <c r="B40" s="68">
        <v>0.27596900000000002</v>
      </c>
      <c r="C40" s="68">
        <v>15.432700000000001</v>
      </c>
      <c r="D40" s="68">
        <v>1</v>
      </c>
      <c r="E40" s="68" t="s">
        <v>446</v>
      </c>
    </row>
    <row r="41" spans="1:5">
      <c r="A41" s="68">
        <v>0.46643200000000001</v>
      </c>
      <c r="B41" s="68">
        <v>0.26799899999999999</v>
      </c>
      <c r="C41" s="68">
        <v>15.841799999999999</v>
      </c>
      <c r="D41" s="68">
        <v>1</v>
      </c>
      <c r="E41" s="68" t="s">
        <v>447</v>
      </c>
    </row>
    <row r="42" spans="1:5">
      <c r="A42" s="68">
        <v>0.46715099999999998</v>
      </c>
      <c r="B42" s="68">
        <v>0.26076100000000002</v>
      </c>
      <c r="C42" s="68">
        <v>16.250499999999999</v>
      </c>
      <c r="D42" s="68">
        <v>1</v>
      </c>
      <c r="E42" s="68" t="s">
        <v>448</v>
      </c>
    </row>
    <row r="43" spans="1:5">
      <c r="A43" s="68">
        <v>0.467501</v>
      </c>
      <c r="B43" s="68">
        <v>0.25399500000000003</v>
      </c>
      <c r="C43" s="68">
        <v>16.654499999999999</v>
      </c>
      <c r="D43" s="68">
        <v>1</v>
      </c>
      <c r="E43" s="68" t="s">
        <v>449</v>
      </c>
    </row>
    <row r="44" spans="1:5">
      <c r="A44" s="68">
        <v>0.46768900000000002</v>
      </c>
      <c r="B44" s="68">
        <v>0.24726200000000001</v>
      </c>
      <c r="C44" s="68">
        <v>17.0609</v>
      </c>
      <c r="D44" s="68">
        <v>1</v>
      </c>
      <c r="E44" s="68" t="s">
        <v>450</v>
      </c>
    </row>
    <row r="45" spans="1:5">
      <c r="A45" s="68">
        <v>0.46766000000000002</v>
      </c>
      <c r="B45" s="68">
        <v>0.241429</v>
      </c>
      <c r="C45" s="68">
        <v>17.466200000000001</v>
      </c>
      <c r="D45" s="68">
        <v>1</v>
      </c>
      <c r="E45" s="68" t="s">
        <v>451</v>
      </c>
    </row>
    <row r="46" spans="1:5">
      <c r="A46" s="68">
        <v>0.46772200000000003</v>
      </c>
      <c r="B46" s="68">
        <v>0.23580000000000001</v>
      </c>
      <c r="C46" s="68">
        <v>17.8734</v>
      </c>
      <c r="D46" s="68">
        <v>1</v>
      </c>
      <c r="E46" s="68" t="s">
        <v>452</v>
      </c>
    </row>
    <row r="47" spans="1:5">
      <c r="A47" s="68">
        <v>0.46801999999999999</v>
      </c>
      <c r="B47" s="68">
        <v>0.23016800000000001</v>
      </c>
      <c r="C47" s="68">
        <v>18.276299999999999</v>
      </c>
      <c r="D47" s="68">
        <v>1</v>
      </c>
      <c r="E47" s="68" t="s">
        <v>453</v>
      </c>
    </row>
    <row r="48" spans="1:5">
      <c r="A48" s="68">
        <v>0.46834300000000001</v>
      </c>
      <c r="B48" s="68">
        <v>0.224775</v>
      </c>
      <c r="C48" s="68">
        <v>18.6861</v>
      </c>
      <c r="D48" s="68">
        <v>1</v>
      </c>
      <c r="E48" s="68" t="s">
        <v>454</v>
      </c>
    </row>
    <row r="49" spans="1:5">
      <c r="A49" s="68">
        <v>0.46881800000000001</v>
      </c>
      <c r="B49" s="68">
        <v>0.219638</v>
      </c>
      <c r="C49" s="68">
        <v>19.090900000000001</v>
      </c>
      <c r="D49" s="68">
        <v>1</v>
      </c>
      <c r="E49" s="68" t="s">
        <v>455</v>
      </c>
    </row>
    <row r="50" spans="1:5">
      <c r="A50" s="68">
        <v>0.46935700000000002</v>
      </c>
      <c r="B50" s="68">
        <v>0.2145</v>
      </c>
      <c r="C50" s="68">
        <v>19.4969</v>
      </c>
      <c r="D50" s="68">
        <v>1</v>
      </c>
      <c r="E50" s="68" t="s">
        <v>456</v>
      </c>
    </row>
    <row r="51" spans="1:5">
      <c r="A51" s="68">
        <v>0.46973100000000001</v>
      </c>
      <c r="B51" s="68">
        <v>0.21015700000000001</v>
      </c>
      <c r="C51" s="68">
        <v>19.904800000000002</v>
      </c>
      <c r="D51" s="68">
        <v>1</v>
      </c>
      <c r="E51" s="68" t="s">
        <v>457</v>
      </c>
    </row>
    <row r="52" spans="1:5">
      <c r="A52" s="68">
        <v>0.46995900000000002</v>
      </c>
      <c r="B52" s="68">
        <v>0.207345</v>
      </c>
      <c r="C52" s="68">
        <v>20.309899999999999</v>
      </c>
      <c r="D52" s="68">
        <v>1</v>
      </c>
      <c r="E52" s="68" t="s">
        <v>458</v>
      </c>
    </row>
    <row r="53" spans="1:5">
      <c r="A53" s="68">
        <v>0.47015200000000001</v>
      </c>
      <c r="B53" s="68">
        <v>0.20502100000000001</v>
      </c>
      <c r="C53" s="68">
        <v>20.717600000000001</v>
      </c>
      <c r="D53" s="68">
        <v>1</v>
      </c>
      <c r="E53" s="68" t="s">
        <v>459</v>
      </c>
    </row>
    <row r="54" spans="1:5">
      <c r="A54" s="68">
        <v>0.47026499999999999</v>
      </c>
      <c r="B54" s="68">
        <v>0.20344100000000001</v>
      </c>
      <c r="C54" s="68">
        <v>21.124500000000001</v>
      </c>
      <c r="D54" s="68">
        <v>1</v>
      </c>
      <c r="E54" s="68" t="s">
        <v>460</v>
      </c>
    </row>
    <row r="55" spans="1:5">
      <c r="A55" s="68">
        <v>0.46992600000000001</v>
      </c>
      <c r="B55" s="68">
        <v>0.20333799999999999</v>
      </c>
      <c r="C55" s="68">
        <v>21.529499999999999</v>
      </c>
      <c r="D55" s="68">
        <v>1</v>
      </c>
      <c r="E55" s="68" t="s">
        <v>461</v>
      </c>
    </row>
    <row r="56" spans="1:5">
      <c r="A56" s="68">
        <v>0.46958</v>
      </c>
      <c r="B56" s="68">
        <v>0.20366200000000001</v>
      </c>
      <c r="C56" s="68">
        <v>21.933900000000001</v>
      </c>
      <c r="D56" s="68">
        <v>1</v>
      </c>
      <c r="E56" s="68" t="s">
        <v>462</v>
      </c>
    </row>
    <row r="57" spans="1:5">
      <c r="A57" s="68">
        <v>0.469385</v>
      </c>
      <c r="B57" s="68">
        <v>0.203871</v>
      </c>
      <c r="C57" s="68">
        <v>22.3444</v>
      </c>
      <c r="D57" s="68">
        <v>1</v>
      </c>
      <c r="E57" s="68" t="s">
        <v>463</v>
      </c>
    </row>
    <row r="58" spans="1:5">
      <c r="A58" s="68">
        <v>0.468864</v>
      </c>
      <c r="B58" s="68">
        <v>0.20535600000000001</v>
      </c>
      <c r="C58" s="68">
        <v>22.7501</v>
      </c>
      <c r="D58" s="68">
        <v>1</v>
      </c>
      <c r="E58" s="68" t="s">
        <v>464</v>
      </c>
    </row>
    <row r="59" spans="1:5">
      <c r="A59" s="68">
        <v>0.46795399999999998</v>
      </c>
      <c r="B59" s="68">
        <v>0.20669299999999999</v>
      </c>
      <c r="C59" s="68">
        <v>23.156099999999999</v>
      </c>
      <c r="D59" s="68">
        <v>1</v>
      </c>
      <c r="E59" s="68" t="s">
        <v>465</v>
      </c>
    </row>
    <row r="60" spans="1:5">
      <c r="A60" s="68">
        <v>0.46742499999999998</v>
      </c>
      <c r="B60" s="68">
        <v>0.20705200000000001</v>
      </c>
      <c r="C60" s="68">
        <v>23.561</v>
      </c>
      <c r="D60" s="68">
        <v>1</v>
      </c>
      <c r="E60" s="68" t="s">
        <v>466</v>
      </c>
    </row>
    <row r="61" spans="1:5">
      <c r="A61" s="68">
        <v>0.467113</v>
      </c>
      <c r="B61" s="68">
        <v>0.20702999999999999</v>
      </c>
      <c r="C61" s="68">
        <v>23.962</v>
      </c>
      <c r="D61" s="68">
        <v>1</v>
      </c>
      <c r="E61" s="68" t="s">
        <v>467</v>
      </c>
    </row>
    <row r="62" spans="1:5">
      <c r="A62" s="68">
        <v>0.46656900000000001</v>
      </c>
      <c r="B62" s="68">
        <v>0.20799799999999999</v>
      </c>
      <c r="C62" s="68">
        <v>24.3719</v>
      </c>
      <c r="D62" s="68">
        <v>1</v>
      </c>
      <c r="E62" s="68" t="s">
        <v>468</v>
      </c>
    </row>
    <row r="63" spans="1:5">
      <c r="A63" s="68">
        <v>0.46556700000000001</v>
      </c>
      <c r="B63" s="68">
        <v>0.21071599999999999</v>
      </c>
      <c r="C63" s="68">
        <v>24.778700000000001</v>
      </c>
      <c r="D63" s="68">
        <v>1</v>
      </c>
      <c r="E63" s="68" t="s">
        <v>469</v>
      </c>
    </row>
    <row r="64" spans="1:5">
      <c r="A64" s="68">
        <v>0.46489000000000003</v>
      </c>
      <c r="B64" s="68">
        <v>0.21285799999999999</v>
      </c>
      <c r="C64" s="68">
        <v>25.184699999999999</v>
      </c>
      <c r="D64" s="68">
        <v>1</v>
      </c>
      <c r="E64" s="68" t="s">
        <v>470</v>
      </c>
    </row>
    <row r="65" spans="1:5">
      <c r="A65" s="68">
        <v>0.46402300000000002</v>
      </c>
      <c r="B65" s="68">
        <v>0.21620400000000001</v>
      </c>
      <c r="C65" s="68">
        <v>25.592600000000001</v>
      </c>
      <c r="D65" s="68">
        <v>1</v>
      </c>
      <c r="E65" s="68" t="s">
        <v>471</v>
      </c>
    </row>
    <row r="66" spans="1:5">
      <c r="A66" s="68">
        <v>0.46262799999999998</v>
      </c>
      <c r="B66" s="68">
        <v>0.220105</v>
      </c>
      <c r="C66" s="68">
        <v>26.0014</v>
      </c>
      <c r="D66" s="68">
        <v>1</v>
      </c>
      <c r="E66" s="68" t="s">
        <v>472</v>
      </c>
    </row>
    <row r="67" spans="1:5">
      <c r="A67" s="68">
        <v>0.46169199999999999</v>
      </c>
      <c r="B67" s="68">
        <v>0.222635</v>
      </c>
      <c r="C67" s="68">
        <v>26.403099999999998</v>
      </c>
      <c r="D67" s="68">
        <v>1</v>
      </c>
      <c r="E67" s="68" t="s">
        <v>473</v>
      </c>
    </row>
    <row r="68" spans="1:5">
      <c r="A68" s="68">
        <v>0.46102900000000002</v>
      </c>
      <c r="B68" s="68">
        <v>0.22569400000000001</v>
      </c>
      <c r="C68" s="68">
        <v>26.809000000000001</v>
      </c>
      <c r="D68" s="68">
        <v>1</v>
      </c>
      <c r="E68" s="68" t="s">
        <v>474</v>
      </c>
    </row>
    <row r="69" spans="1:5">
      <c r="A69" s="68">
        <v>0.46057900000000002</v>
      </c>
      <c r="B69" s="68">
        <v>0.229383</v>
      </c>
      <c r="C69" s="68">
        <v>27.213000000000001</v>
      </c>
      <c r="D69" s="68">
        <v>1</v>
      </c>
      <c r="E69" s="68" t="s">
        <v>475</v>
      </c>
    </row>
    <row r="70" spans="1:5">
      <c r="A70" s="68">
        <v>0.460312</v>
      </c>
      <c r="B70" s="68">
        <v>0.23394699999999999</v>
      </c>
      <c r="C70" s="68">
        <v>27.623899999999999</v>
      </c>
      <c r="D70" s="68">
        <v>1</v>
      </c>
      <c r="E70" s="68" t="s">
        <v>476</v>
      </c>
    </row>
    <row r="71" spans="1:5">
      <c r="A71" s="68">
        <v>0.46007900000000002</v>
      </c>
      <c r="B71" s="68">
        <v>0.23862700000000001</v>
      </c>
      <c r="C71" s="68">
        <v>28.029299999999999</v>
      </c>
      <c r="D71" s="68">
        <v>1</v>
      </c>
      <c r="E71" s="68" t="s">
        <v>477</v>
      </c>
    </row>
    <row r="72" spans="1:5">
      <c r="A72" s="68">
        <v>0.45987099999999997</v>
      </c>
      <c r="B72" s="68">
        <v>0.24360200000000001</v>
      </c>
      <c r="C72" s="68">
        <v>28.434999999999999</v>
      </c>
      <c r="D72" s="68">
        <v>1</v>
      </c>
      <c r="E72" s="68" t="s">
        <v>478</v>
      </c>
    </row>
    <row r="73" spans="1:5">
      <c r="A73" s="68">
        <v>0.45972000000000002</v>
      </c>
      <c r="B73" s="68">
        <v>0.249665</v>
      </c>
      <c r="C73" s="68">
        <v>28.836600000000001</v>
      </c>
      <c r="D73" s="68">
        <v>1</v>
      </c>
      <c r="E73" s="68" t="s">
        <v>479</v>
      </c>
    </row>
    <row r="74" spans="1:5">
      <c r="A74" s="68">
        <v>0.45967599999999997</v>
      </c>
      <c r="B74" s="68">
        <v>0.25585000000000002</v>
      </c>
      <c r="C74" s="68">
        <v>29.2471</v>
      </c>
      <c r="D74" s="68">
        <v>1</v>
      </c>
      <c r="E74" s="68" t="s">
        <v>480</v>
      </c>
    </row>
    <row r="75" spans="1:5">
      <c r="A75" s="68">
        <v>0.45979599999999998</v>
      </c>
      <c r="B75" s="68">
        <v>0.26349899999999998</v>
      </c>
      <c r="C75" s="68">
        <v>29.657699999999998</v>
      </c>
      <c r="D75" s="68">
        <v>1</v>
      </c>
      <c r="E75" s="68" t="s">
        <v>481</v>
      </c>
    </row>
    <row r="76" spans="1:5">
      <c r="A76" s="68">
        <v>0.45967599999999997</v>
      </c>
      <c r="B76" s="68">
        <v>0.26991199999999999</v>
      </c>
      <c r="C76" s="68">
        <v>30.0626</v>
      </c>
      <c r="D76" s="68">
        <v>2</v>
      </c>
      <c r="E76" s="68" t="s">
        <v>482</v>
      </c>
    </row>
    <row r="77" spans="1:5">
      <c r="A77" s="68">
        <v>0.459845</v>
      </c>
      <c r="B77" s="68">
        <v>0.27569700000000003</v>
      </c>
      <c r="C77" s="68">
        <v>30.5642</v>
      </c>
      <c r="D77" s="68">
        <v>2</v>
      </c>
      <c r="E77" s="68" t="s">
        <v>483</v>
      </c>
    </row>
    <row r="78" spans="1:5">
      <c r="A78" s="68">
        <v>0.46052399999999999</v>
      </c>
      <c r="B78" s="68">
        <v>0.280692</v>
      </c>
      <c r="C78" s="68">
        <v>30.936299999999999</v>
      </c>
      <c r="D78" s="68">
        <v>2</v>
      </c>
      <c r="E78" s="68" t="s">
        <v>484</v>
      </c>
    </row>
    <row r="79" spans="1:5">
      <c r="A79" s="68">
        <v>0.46179300000000001</v>
      </c>
      <c r="B79" s="68">
        <v>0.28482299999999999</v>
      </c>
      <c r="C79" s="68">
        <v>31.330200000000001</v>
      </c>
      <c r="D79" s="68">
        <v>2</v>
      </c>
      <c r="E79" s="68" t="s">
        <v>485</v>
      </c>
    </row>
    <row r="80" spans="1:5">
      <c r="A80" s="68">
        <v>0.46350200000000003</v>
      </c>
      <c r="B80" s="68">
        <v>0.28796699999999997</v>
      </c>
      <c r="C80" s="68">
        <v>31.7331</v>
      </c>
      <c r="D80" s="68">
        <v>2</v>
      </c>
      <c r="E80" s="68" t="s">
        <v>486</v>
      </c>
    </row>
    <row r="81" spans="1:5">
      <c r="A81" s="68">
        <v>0.46568900000000002</v>
      </c>
      <c r="B81" s="68">
        <v>0.28943099999999999</v>
      </c>
      <c r="C81" s="68">
        <v>32.139099999999999</v>
      </c>
      <c r="D81" s="68">
        <v>2</v>
      </c>
      <c r="E81" s="68" t="s">
        <v>487</v>
      </c>
    </row>
    <row r="82" spans="1:5">
      <c r="A82" s="68">
        <v>0.467864</v>
      </c>
      <c r="B82" s="68">
        <v>0.29023199999999999</v>
      </c>
      <c r="C82" s="68">
        <v>32.550899999999999</v>
      </c>
      <c r="D82" s="68">
        <v>2</v>
      </c>
      <c r="E82" s="68" t="s">
        <v>488</v>
      </c>
    </row>
    <row r="83" spans="1:5">
      <c r="A83" s="68">
        <v>0.47027799999999997</v>
      </c>
      <c r="B83" s="68">
        <v>0.29099799999999998</v>
      </c>
      <c r="C83" s="68">
        <v>32.948900000000002</v>
      </c>
      <c r="D83" s="68">
        <v>2</v>
      </c>
      <c r="E83" s="68" t="s">
        <v>489</v>
      </c>
    </row>
    <row r="84" spans="1:5">
      <c r="A84" s="68">
        <v>0.47282200000000002</v>
      </c>
      <c r="B84" s="68">
        <v>0.291798</v>
      </c>
      <c r="C84" s="68">
        <v>33.357900000000001</v>
      </c>
      <c r="D84" s="68">
        <v>2</v>
      </c>
      <c r="E84" s="68" t="s">
        <v>490</v>
      </c>
    </row>
    <row r="85" spans="1:5">
      <c r="A85" s="68">
        <v>0.47533700000000001</v>
      </c>
      <c r="B85" s="68">
        <v>0.29247099999999998</v>
      </c>
      <c r="C85" s="68">
        <v>33.761800000000001</v>
      </c>
      <c r="D85" s="68">
        <v>2</v>
      </c>
      <c r="E85" s="68" t="s">
        <v>491</v>
      </c>
    </row>
    <row r="86" spans="1:5">
      <c r="A86" s="68">
        <v>0.47792299999999999</v>
      </c>
      <c r="B86" s="68">
        <v>0.29293400000000003</v>
      </c>
      <c r="C86" s="68">
        <v>34.169499999999999</v>
      </c>
      <c r="D86" s="68">
        <v>2</v>
      </c>
      <c r="E86" s="68" t="s">
        <v>492</v>
      </c>
    </row>
    <row r="87" spans="1:5">
      <c r="A87" s="68">
        <v>0.48067300000000002</v>
      </c>
      <c r="B87" s="68">
        <v>0.29320099999999999</v>
      </c>
      <c r="C87" s="68">
        <v>34.573799999999999</v>
      </c>
      <c r="D87" s="68">
        <v>2</v>
      </c>
      <c r="E87" s="68" t="s">
        <v>493</v>
      </c>
    </row>
    <row r="88" spans="1:5">
      <c r="A88" s="68">
        <v>0.48358299999999999</v>
      </c>
      <c r="B88" s="68">
        <v>0.29316999999999999</v>
      </c>
      <c r="C88" s="68">
        <v>34.979500000000002</v>
      </c>
      <c r="D88" s="68">
        <v>2</v>
      </c>
      <c r="E88" s="68" t="s">
        <v>494</v>
      </c>
    </row>
    <row r="89" spans="1:5">
      <c r="A89" s="68">
        <v>0.486238</v>
      </c>
      <c r="B89" s="68">
        <v>0.293605</v>
      </c>
      <c r="C89" s="68">
        <v>35.387599999999999</v>
      </c>
      <c r="D89" s="68">
        <v>2</v>
      </c>
      <c r="E89" s="68" t="s">
        <v>495</v>
      </c>
    </row>
    <row r="90" spans="1:5">
      <c r="A90" s="68">
        <v>0.48849999999999999</v>
      </c>
      <c r="B90" s="68">
        <v>0.29490699999999997</v>
      </c>
      <c r="C90" s="68">
        <v>35.796199999999999</v>
      </c>
      <c r="D90" s="68">
        <v>2</v>
      </c>
      <c r="E90" s="68" t="s">
        <v>496</v>
      </c>
    </row>
    <row r="91" spans="1:5">
      <c r="A91" s="68">
        <v>0.49049100000000001</v>
      </c>
      <c r="B91" s="68">
        <v>0.29679299999999997</v>
      </c>
      <c r="C91" s="68">
        <v>36.197499999999998</v>
      </c>
      <c r="D91" s="68">
        <v>2</v>
      </c>
      <c r="E91" s="68" t="s">
        <v>497</v>
      </c>
    </row>
    <row r="92" spans="1:5">
      <c r="A92" s="68">
        <v>0.49226399999999998</v>
      </c>
      <c r="B92" s="68">
        <v>0.29839599999999999</v>
      </c>
      <c r="C92" s="68">
        <v>36.603400000000001</v>
      </c>
      <c r="D92" s="68">
        <v>2</v>
      </c>
      <c r="E92" s="68" t="s">
        <v>498</v>
      </c>
    </row>
    <row r="93" spans="1:5">
      <c r="A93" s="68">
        <v>0.493751</v>
      </c>
      <c r="B93" s="68">
        <v>0.29982300000000001</v>
      </c>
      <c r="C93" s="68">
        <v>37.014099999999999</v>
      </c>
      <c r="D93" s="68">
        <v>2</v>
      </c>
      <c r="E93" s="68" t="s">
        <v>499</v>
      </c>
    </row>
    <row r="94" spans="1:5">
      <c r="A94" s="68">
        <v>0.494834</v>
      </c>
      <c r="B94" s="68">
        <v>0.30115599999999998</v>
      </c>
      <c r="C94" s="68">
        <v>37.417900000000003</v>
      </c>
      <c r="D94" s="68">
        <v>2</v>
      </c>
      <c r="E94" s="68" t="s">
        <v>500</v>
      </c>
    </row>
    <row r="95" spans="1:5">
      <c r="A95" s="68">
        <v>0.49553199999999997</v>
      </c>
      <c r="B95" s="68">
        <v>0.30220900000000001</v>
      </c>
      <c r="C95" s="68">
        <v>37.826099999999997</v>
      </c>
      <c r="D95" s="68">
        <v>2</v>
      </c>
      <c r="E95" s="68" t="s">
        <v>501</v>
      </c>
    </row>
    <row r="96" spans="1:5">
      <c r="A96" s="68">
        <v>0.49585400000000002</v>
      </c>
      <c r="B96" s="68">
        <v>0.30341200000000002</v>
      </c>
      <c r="C96" s="68">
        <v>38.2318</v>
      </c>
      <c r="D96" s="68">
        <v>2</v>
      </c>
      <c r="E96" s="68" t="s">
        <v>502</v>
      </c>
    </row>
    <row r="97" spans="1:5">
      <c r="A97" s="68">
        <v>0.49603199999999997</v>
      </c>
      <c r="B97" s="68">
        <v>0.30474099999999998</v>
      </c>
      <c r="C97" s="68">
        <v>38.636600000000001</v>
      </c>
      <c r="D97" s="68">
        <v>2</v>
      </c>
      <c r="E97" s="68" t="s">
        <v>503</v>
      </c>
    </row>
    <row r="98" spans="1:5">
      <c r="A98" s="68">
        <v>0.49594100000000002</v>
      </c>
      <c r="B98" s="68">
        <v>0.30554199999999998</v>
      </c>
      <c r="C98" s="68">
        <v>39.046599999999998</v>
      </c>
      <c r="D98" s="68">
        <v>2</v>
      </c>
      <c r="E98" s="68" t="s">
        <v>504</v>
      </c>
    </row>
    <row r="99" spans="1:5">
      <c r="A99" s="68">
        <v>0.495475</v>
      </c>
      <c r="B99" s="68">
        <v>0.30551899999999999</v>
      </c>
      <c r="C99" s="68">
        <v>39.453499999999998</v>
      </c>
      <c r="D99" s="68">
        <v>2</v>
      </c>
      <c r="E99" s="68" t="s">
        <v>505</v>
      </c>
    </row>
    <row r="100" spans="1:5">
      <c r="A100" s="68">
        <v>0.49484699999999998</v>
      </c>
      <c r="B100" s="68">
        <v>0.304921</v>
      </c>
      <c r="C100" s="68">
        <v>39.858400000000003</v>
      </c>
      <c r="D100" s="68">
        <v>2</v>
      </c>
      <c r="E100" s="68" t="s">
        <v>506</v>
      </c>
    </row>
    <row r="101" spans="1:5">
      <c r="A101" s="68">
        <v>0.49405500000000002</v>
      </c>
      <c r="B101" s="68">
        <v>0.30365500000000001</v>
      </c>
      <c r="C101" s="68">
        <v>40.263300000000001</v>
      </c>
      <c r="D101" s="68">
        <v>2</v>
      </c>
      <c r="E101" s="68" t="s">
        <v>507</v>
      </c>
    </row>
    <row r="102" spans="1:5">
      <c r="A102" s="68">
        <v>0.49279099999999998</v>
      </c>
      <c r="B102" s="68">
        <v>0.30138700000000002</v>
      </c>
      <c r="C102" s="68">
        <v>40.672499999999999</v>
      </c>
      <c r="D102" s="68">
        <v>2</v>
      </c>
      <c r="E102" s="68" t="s">
        <v>508</v>
      </c>
    </row>
    <row r="103" spans="1:5">
      <c r="A103" s="68">
        <v>0.49102000000000001</v>
      </c>
      <c r="B103" s="68">
        <v>0.298564</v>
      </c>
      <c r="C103" s="68">
        <v>41.078099999999999</v>
      </c>
      <c r="D103" s="68">
        <v>2</v>
      </c>
      <c r="E103" s="68" t="s">
        <v>509</v>
      </c>
    </row>
    <row r="104" spans="1:5">
      <c r="A104" s="68">
        <v>0.48887199999999997</v>
      </c>
      <c r="B104" s="68">
        <v>0.295464</v>
      </c>
      <c r="C104" s="68">
        <v>41.485300000000002</v>
      </c>
      <c r="D104" s="68">
        <v>2</v>
      </c>
      <c r="E104" s="68" t="s">
        <v>510</v>
      </c>
    </row>
    <row r="105" spans="1:5">
      <c r="A105" s="68">
        <v>0.48630499999999999</v>
      </c>
      <c r="B105" s="68">
        <v>0.292717</v>
      </c>
      <c r="C105" s="68">
        <v>41.89</v>
      </c>
      <c r="D105" s="68">
        <v>2</v>
      </c>
      <c r="E105" s="68" t="s">
        <v>511</v>
      </c>
    </row>
    <row r="106" spans="1:5">
      <c r="A106" s="68">
        <v>0.48323899999999997</v>
      </c>
      <c r="B106" s="68">
        <v>0.29101700000000003</v>
      </c>
      <c r="C106" s="68">
        <v>42.296999999999997</v>
      </c>
      <c r="D106" s="68">
        <v>2</v>
      </c>
      <c r="E106" s="68" t="s">
        <v>512</v>
      </c>
    </row>
    <row r="107" spans="1:5">
      <c r="A107" s="68">
        <v>0.47994799999999999</v>
      </c>
      <c r="B107" s="68">
        <v>0.29000799999999999</v>
      </c>
      <c r="C107" s="68">
        <v>42.698799999999999</v>
      </c>
      <c r="D107" s="68">
        <v>2</v>
      </c>
      <c r="E107" s="68" t="s">
        <v>513</v>
      </c>
    </row>
    <row r="108" spans="1:5">
      <c r="A108" s="68">
        <v>0.47624</v>
      </c>
      <c r="B108" s="68">
        <v>0.28932099999999999</v>
      </c>
      <c r="C108" s="68">
        <v>43.107700000000001</v>
      </c>
      <c r="D108" s="68">
        <v>2</v>
      </c>
      <c r="E108" s="68" t="s">
        <v>514</v>
      </c>
    </row>
    <row r="109" spans="1:5">
      <c r="A109" s="68">
        <v>0.47208699999999998</v>
      </c>
      <c r="B109" s="68">
        <v>0.28966399999999998</v>
      </c>
      <c r="C109" s="68">
        <v>43.514600000000002</v>
      </c>
      <c r="D109" s="68">
        <v>2</v>
      </c>
      <c r="E109" s="68" t="s">
        <v>515</v>
      </c>
    </row>
    <row r="110" spans="1:5">
      <c r="A110" s="68">
        <v>0.46759800000000001</v>
      </c>
      <c r="B110" s="68">
        <v>0.29083199999999998</v>
      </c>
      <c r="C110" s="68">
        <v>43.916499999999999</v>
      </c>
      <c r="D110" s="68">
        <v>2</v>
      </c>
      <c r="E110" s="68" t="s">
        <v>516</v>
      </c>
    </row>
    <row r="111" spans="1:5">
      <c r="A111" s="68">
        <v>0.46255400000000002</v>
      </c>
      <c r="B111" s="68">
        <v>0.29394399999999998</v>
      </c>
      <c r="C111" s="68">
        <v>44.326799999999999</v>
      </c>
      <c r="D111" s="68">
        <v>2</v>
      </c>
      <c r="E111" s="68" t="s">
        <v>517</v>
      </c>
    </row>
    <row r="112" spans="1:5">
      <c r="A112" s="68">
        <v>0.45711800000000002</v>
      </c>
      <c r="B112" s="68">
        <v>0.298871</v>
      </c>
      <c r="C112" s="68">
        <v>44.731299999999997</v>
      </c>
      <c r="D112" s="68">
        <v>2</v>
      </c>
      <c r="E112" s="68" t="s">
        <v>518</v>
      </c>
    </row>
    <row r="113" spans="1:5">
      <c r="A113" s="68">
        <v>0.45130399999999998</v>
      </c>
      <c r="B113" s="68">
        <v>0.30521799999999999</v>
      </c>
      <c r="C113" s="68">
        <v>45.134300000000003</v>
      </c>
      <c r="D113" s="68">
        <v>2</v>
      </c>
      <c r="E113" s="68" t="s">
        <v>519</v>
      </c>
    </row>
    <row r="114" spans="1:5">
      <c r="A114" s="68">
        <v>0.44526100000000002</v>
      </c>
      <c r="B114" s="68">
        <v>0.31225199999999997</v>
      </c>
      <c r="C114" s="68">
        <v>45.545400000000001</v>
      </c>
      <c r="D114" s="68">
        <v>2</v>
      </c>
      <c r="E114" s="68" t="s">
        <v>520</v>
      </c>
    </row>
    <row r="115" spans="1:5">
      <c r="A115" s="68">
        <v>0.43938199999999999</v>
      </c>
      <c r="B115" s="68">
        <v>0.31961200000000001</v>
      </c>
      <c r="C115" s="68">
        <v>45.951099999999997</v>
      </c>
      <c r="D115" s="68">
        <v>2</v>
      </c>
      <c r="E115" s="68" t="s">
        <v>521</v>
      </c>
    </row>
    <row r="116" spans="1:5">
      <c r="A116" s="68">
        <v>0.43375900000000001</v>
      </c>
      <c r="B116" s="68">
        <v>0.326291</v>
      </c>
      <c r="C116" s="68">
        <v>46.357100000000003</v>
      </c>
      <c r="D116" s="68">
        <v>2</v>
      </c>
      <c r="E116" s="68" t="s">
        <v>522</v>
      </c>
    </row>
    <row r="117" spans="1:5">
      <c r="A117" s="68">
        <v>0.428066</v>
      </c>
      <c r="B117" s="68">
        <v>0.333922</v>
      </c>
      <c r="C117" s="68">
        <v>46.76</v>
      </c>
      <c r="D117" s="68">
        <v>2</v>
      </c>
      <c r="E117" s="68" t="s">
        <v>523</v>
      </c>
    </row>
    <row r="118" spans="1:5">
      <c r="A118" s="68">
        <v>0.422377</v>
      </c>
      <c r="B118" s="68">
        <v>0.343003</v>
      </c>
      <c r="C118" s="68">
        <v>47.167999999999999</v>
      </c>
      <c r="D118" s="68">
        <v>2</v>
      </c>
      <c r="E118" s="68" t="s">
        <v>524</v>
      </c>
    </row>
    <row r="119" spans="1:5">
      <c r="A119" s="68">
        <v>0.417016</v>
      </c>
      <c r="B119" s="68">
        <v>0.35086800000000001</v>
      </c>
      <c r="C119" s="68">
        <v>47.574800000000003</v>
      </c>
      <c r="D119" s="68">
        <v>2</v>
      </c>
      <c r="E119" s="68" t="s">
        <v>525</v>
      </c>
    </row>
    <row r="120" spans="1:5">
      <c r="A120" s="68">
        <v>0.41196300000000002</v>
      </c>
      <c r="B120" s="68">
        <v>0.35774299999999998</v>
      </c>
      <c r="C120" s="68">
        <v>47.980699999999999</v>
      </c>
      <c r="D120" s="68">
        <v>2</v>
      </c>
      <c r="E120" s="68" t="s">
        <v>526</v>
      </c>
    </row>
    <row r="121" spans="1:5">
      <c r="A121" s="68">
        <v>0.40742400000000001</v>
      </c>
      <c r="B121" s="68">
        <v>0.36317199999999999</v>
      </c>
      <c r="C121" s="68">
        <v>48.387599999999999</v>
      </c>
      <c r="D121" s="68">
        <v>2</v>
      </c>
      <c r="E121" s="68" t="s">
        <v>527</v>
      </c>
    </row>
    <row r="122" spans="1:5">
      <c r="A122" s="68">
        <v>0.40335799999999999</v>
      </c>
      <c r="B122" s="68">
        <v>0.36745499999999998</v>
      </c>
      <c r="C122" s="68">
        <v>48.795499999999997</v>
      </c>
      <c r="D122" s="68">
        <v>2</v>
      </c>
      <c r="E122" s="68" t="s">
        <v>528</v>
      </c>
    </row>
    <row r="123" spans="1:5">
      <c r="A123" s="68">
        <v>0.39961400000000002</v>
      </c>
      <c r="B123" s="68">
        <v>0.37108000000000002</v>
      </c>
      <c r="C123" s="68">
        <v>49.197600000000001</v>
      </c>
      <c r="D123" s="68">
        <v>2</v>
      </c>
      <c r="E123" s="68" t="s">
        <v>529</v>
      </c>
    </row>
    <row r="124" spans="1:5">
      <c r="A124" s="68">
        <v>0.39649400000000001</v>
      </c>
      <c r="B124" s="68">
        <v>0.37454900000000002</v>
      </c>
      <c r="C124" s="68">
        <v>49.607500000000002</v>
      </c>
      <c r="D124" s="68">
        <v>2</v>
      </c>
      <c r="E124" s="68" t="s">
        <v>530</v>
      </c>
    </row>
    <row r="125" spans="1:5">
      <c r="A125" s="68">
        <v>0.39369700000000002</v>
      </c>
      <c r="B125" s="68">
        <v>0.37878499999999998</v>
      </c>
      <c r="C125" s="68">
        <v>50.0122</v>
      </c>
      <c r="D125" s="68">
        <v>2</v>
      </c>
      <c r="E125" s="68" t="s">
        <v>531</v>
      </c>
    </row>
    <row r="126" spans="1:5">
      <c r="A126" s="68">
        <v>0.39175399999999999</v>
      </c>
      <c r="B126" s="68">
        <v>0.38070799999999999</v>
      </c>
      <c r="C126" s="68">
        <v>50.421199999999999</v>
      </c>
      <c r="D126" s="68">
        <v>2</v>
      </c>
      <c r="E126" s="68" t="s">
        <v>532</v>
      </c>
    </row>
    <row r="127" spans="1:5">
      <c r="A127" s="68">
        <v>0.39026499999999997</v>
      </c>
      <c r="B127" s="68">
        <v>0.38270300000000002</v>
      </c>
      <c r="C127" s="68">
        <v>50.826300000000003</v>
      </c>
      <c r="D127" s="68">
        <v>2</v>
      </c>
      <c r="E127" s="68" t="s">
        <v>533</v>
      </c>
    </row>
    <row r="128" spans="1:5">
      <c r="A128" s="68">
        <v>0.38896999999999998</v>
      </c>
      <c r="B128" s="68">
        <v>0.38498399999999999</v>
      </c>
      <c r="C128" s="68">
        <v>51.232900000000001</v>
      </c>
      <c r="D128" s="68">
        <v>2</v>
      </c>
      <c r="E128" s="68" t="s">
        <v>534</v>
      </c>
    </row>
    <row r="129" spans="1:5">
      <c r="A129" s="68">
        <v>0.38757799999999998</v>
      </c>
      <c r="B129" s="68">
        <v>0.38809399999999999</v>
      </c>
      <c r="C129" s="68">
        <v>51.6389</v>
      </c>
      <c r="D129" s="68">
        <v>2</v>
      </c>
      <c r="E129" s="68" t="s">
        <v>535</v>
      </c>
    </row>
    <row r="130" spans="1:5">
      <c r="A130" s="68">
        <v>0.38616</v>
      </c>
      <c r="B130" s="68">
        <v>0.39155899999999999</v>
      </c>
      <c r="C130" s="68">
        <v>52.042999999999999</v>
      </c>
      <c r="D130" s="68">
        <v>2</v>
      </c>
      <c r="E130" s="68" t="s">
        <v>536</v>
      </c>
    </row>
    <row r="131" spans="1:5">
      <c r="A131" s="68">
        <v>0.38477699999999998</v>
      </c>
      <c r="B131" s="68">
        <v>0.394598</v>
      </c>
      <c r="C131" s="68">
        <v>52.4482</v>
      </c>
      <c r="D131" s="68">
        <v>2</v>
      </c>
      <c r="E131" s="68" t="s">
        <v>537</v>
      </c>
    </row>
    <row r="132" spans="1:5">
      <c r="A132" s="68">
        <v>0.383579</v>
      </c>
      <c r="B132" s="68">
        <v>0.39664100000000002</v>
      </c>
      <c r="C132" s="68">
        <v>52.859900000000003</v>
      </c>
      <c r="D132" s="68">
        <v>2</v>
      </c>
      <c r="E132" s="68" t="s">
        <v>538</v>
      </c>
    </row>
    <row r="133" spans="1:5">
      <c r="A133" s="68">
        <v>0.38256899999999999</v>
      </c>
      <c r="B133" s="68">
        <v>0.39842699999999998</v>
      </c>
      <c r="C133" s="68">
        <v>53.263599999999997</v>
      </c>
      <c r="D133" s="68">
        <v>2</v>
      </c>
      <c r="E133" s="68" t="s">
        <v>539</v>
      </c>
    </row>
    <row r="134" spans="1:5">
      <c r="A134" s="68">
        <v>0.38171699999999997</v>
      </c>
      <c r="B134" s="68">
        <v>0.39982200000000001</v>
      </c>
      <c r="C134" s="68">
        <v>53.667499999999997</v>
      </c>
      <c r="D134" s="68">
        <v>2</v>
      </c>
      <c r="E134" s="68" t="s">
        <v>540</v>
      </c>
    </row>
    <row r="135" spans="1:5">
      <c r="A135" s="68">
        <v>0.380969</v>
      </c>
      <c r="B135" s="68">
        <v>0.40105000000000002</v>
      </c>
      <c r="C135" s="68">
        <v>54.073399999999999</v>
      </c>
      <c r="D135" s="68">
        <v>2</v>
      </c>
      <c r="E135" s="68" t="s">
        <v>541</v>
      </c>
    </row>
    <row r="136" spans="1:5">
      <c r="A136" s="68">
        <v>0.38033499999999998</v>
      </c>
      <c r="B136" s="68">
        <v>0.40119899999999997</v>
      </c>
      <c r="C136" s="68">
        <v>54.4833</v>
      </c>
      <c r="D136" s="68">
        <v>2</v>
      </c>
      <c r="E136" s="68" t="s">
        <v>542</v>
      </c>
    </row>
    <row r="137" spans="1:5">
      <c r="A137" s="68">
        <v>0.37953999999999999</v>
      </c>
      <c r="B137" s="68">
        <v>0.40063500000000002</v>
      </c>
      <c r="C137" s="68">
        <v>54.891199999999998</v>
      </c>
      <c r="D137" s="68">
        <v>2</v>
      </c>
      <c r="E137" s="68" t="s">
        <v>543</v>
      </c>
    </row>
    <row r="138" spans="1:5">
      <c r="A138" s="68">
        <v>0.37876500000000002</v>
      </c>
      <c r="B138" s="68">
        <v>0.40037400000000001</v>
      </c>
      <c r="C138" s="68">
        <v>55.296100000000003</v>
      </c>
      <c r="D138" s="68">
        <v>2</v>
      </c>
      <c r="E138" s="68" t="s">
        <v>544</v>
      </c>
    </row>
    <row r="139" spans="1:5">
      <c r="A139" s="68">
        <v>0.37818600000000002</v>
      </c>
      <c r="B139" s="68">
        <v>0.40039799999999998</v>
      </c>
      <c r="C139" s="68">
        <v>55.703000000000003</v>
      </c>
      <c r="D139" s="68">
        <v>2</v>
      </c>
      <c r="E139" s="68" t="s">
        <v>545</v>
      </c>
    </row>
    <row r="140" spans="1:5">
      <c r="A140" s="68">
        <v>0.37793500000000002</v>
      </c>
      <c r="B140" s="68">
        <v>0.39990700000000001</v>
      </c>
      <c r="C140" s="68">
        <v>56.103999999999999</v>
      </c>
      <c r="D140" s="68">
        <v>2</v>
      </c>
      <c r="E140" s="68" t="s">
        <v>546</v>
      </c>
    </row>
    <row r="141" spans="1:5">
      <c r="A141" s="68">
        <v>0.377882</v>
      </c>
      <c r="B141" s="68">
        <v>0.39965099999999998</v>
      </c>
      <c r="C141" s="68">
        <v>56.512900000000002</v>
      </c>
      <c r="D141" s="68">
        <v>2</v>
      </c>
      <c r="E141" s="68" t="s">
        <v>547</v>
      </c>
    </row>
    <row r="142" spans="1:5">
      <c r="A142" s="68">
        <v>0.377913</v>
      </c>
      <c r="B142" s="68">
        <v>0.398897</v>
      </c>
      <c r="C142" s="68">
        <v>56.9208</v>
      </c>
      <c r="D142" s="68">
        <v>2</v>
      </c>
      <c r="E142" s="68" t="s">
        <v>548</v>
      </c>
    </row>
    <row r="143" spans="1:5">
      <c r="A143" s="68">
        <v>0.378108</v>
      </c>
      <c r="B143" s="68">
        <v>0.39695200000000003</v>
      </c>
      <c r="C143" s="68">
        <v>57.3277</v>
      </c>
      <c r="D143" s="68">
        <v>2</v>
      </c>
      <c r="E143" s="68" t="s">
        <v>549</v>
      </c>
    </row>
    <row r="144" spans="1:5">
      <c r="A144" s="68">
        <v>0.37906299999999998</v>
      </c>
      <c r="B144" s="68">
        <v>0.39487499999999998</v>
      </c>
      <c r="C144" s="68">
        <v>57.732599999999998</v>
      </c>
      <c r="D144" s="68">
        <v>2</v>
      </c>
      <c r="E144" s="68" t="s">
        <v>550</v>
      </c>
    </row>
    <row r="145" spans="1:5">
      <c r="A145" s="68">
        <v>0.38059599999999999</v>
      </c>
      <c r="B145" s="68">
        <v>0.39418700000000001</v>
      </c>
      <c r="C145" s="68">
        <v>58.1355</v>
      </c>
      <c r="D145" s="68">
        <v>2</v>
      </c>
      <c r="E145" s="68" t="s">
        <v>551</v>
      </c>
    </row>
    <row r="146" spans="1:5">
      <c r="A146" s="68">
        <v>0.38173299999999999</v>
      </c>
      <c r="B146" s="68">
        <v>0.39703100000000002</v>
      </c>
      <c r="C146" s="68">
        <v>58.547699999999999</v>
      </c>
      <c r="D146" s="68">
        <v>2</v>
      </c>
      <c r="E146" s="68" t="s">
        <v>552</v>
      </c>
    </row>
    <row r="147" spans="1:5">
      <c r="A147" s="68">
        <v>0.38148100000000001</v>
      </c>
      <c r="B147" s="68">
        <v>0.403669</v>
      </c>
      <c r="C147" s="68">
        <v>58.952300000000001</v>
      </c>
      <c r="D147" s="68">
        <v>2</v>
      </c>
      <c r="E147" s="68" t="s">
        <v>553</v>
      </c>
    </row>
    <row r="148" spans="1:5">
      <c r="A148" s="68">
        <v>0.38187900000000002</v>
      </c>
      <c r="B148" s="68">
        <v>0.41008899999999998</v>
      </c>
      <c r="C148" s="68">
        <v>59.361699999999999</v>
      </c>
      <c r="D148" s="68">
        <v>2</v>
      </c>
      <c r="E148" s="68" t="s">
        <v>554</v>
      </c>
    </row>
    <row r="149" spans="1:5">
      <c r="A149" s="68">
        <v>0.38213599999999998</v>
      </c>
      <c r="B149" s="68">
        <v>0.41540500000000002</v>
      </c>
      <c r="C149" s="68">
        <v>59.765300000000003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562</v>
      </c>
      <c r="G1" s="66" t="s">
        <v>563</v>
      </c>
      <c r="H1" s="66" t="s">
        <v>564</v>
      </c>
      <c r="I1" s="66" t="s">
        <v>565</v>
      </c>
      <c r="J1" s="66" t="s">
        <v>566</v>
      </c>
      <c r="K1" s="66" t="s">
        <v>567</v>
      </c>
      <c r="L1" s="66" t="s">
        <v>568</v>
      </c>
      <c r="M1" s="66" t="s">
        <v>569</v>
      </c>
      <c r="N1" s="66"/>
    </row>
    <row r="2" spans="1:14">
      <c r="A2" s="75">
        <v>43606.408391203702</v>
      </c>
      <c r="B2" s="66" t="s">
        <v>558</v>
      </c>
      <c r="C2" s="66"/>
      <c r="D2" s="66"/>
      <c r="E2" s="66">
        <v>4.9234099999999996</v>
      </c>
      <c r="F2" s="66">
        <v>2.2523599999999999</v>
      </c>
      <c r="G2" s="66">
        <v>0.70957000000000003</v>
      </c>
      <c r="H2" s="66">
        <v>0</v>
      </c>
      <c r="I2" s="66">
        <v>205000</v>
      </c>
      <c r="J2" s="66">
        <v>163</v>
      </c>
      <c r="K2" s="66">
        <v>163</v>
      </c>
      <c r="L2" s="66">
        <v>0</v>
      </c>
      <c r="M2" s="66" t="s">
        <v>570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吕敬华</cp:lastModifiedBy>
  <cp:lastPrinted>2019-05-21T01:49:40Z</cp:lastPrinted>
  <dcterms:created xsi:type="dcterms:W3CDTF">2010-10-29T12:53:05Z</dcterms:created>
  <dcterms:modified xsi:type="dcterms:W3CDTF">2020-03-13T06:22:28Z</dcterms:modified>
</cp:coreProperties>
</file>