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<sst xmlns="http://schemas.openxmlformats.org/spreadsheetml/2006/main" count="700" uniqueCount="515">
  <si>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</si>
  <si>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</si>
  <si>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</si>
  <si>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</si>
  <si>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</si>
  <si>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</si>
  <si>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</si>
  <si>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</si>
  <si>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</si>
  <si>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</si>
  <si>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</si>
  <si>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</si>
  <si>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</si>
  <si>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</si>
  <si>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</si>
  <si>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</si>
  <si>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</si>
  <si>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</si>
  <si>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</si>
  <si>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</si>
  <si>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</si>
  <si>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</si>
  <si>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</si>
  <si>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</si>
  <si>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</si>
  <si>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</si>
  <si>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</si>
  <si>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</si>
  <si>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</si>
  <si>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</si>
  <si>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</si>
  <si>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</si>
  <si>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</si>
  <si>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</si>
  <si>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</si>
  <si>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</si>
  <si>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</si>
  <si>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</si>
  <si>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</si>
  <si>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</si>
  <si>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</si>
  <si>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</si>
  <si>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</si>
  <si>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</si>
  <si>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</si>
  <si>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</si>
  <si>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</si>
  <si>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</si>
  <si>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</si>
  <si>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</si>
  <si>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</si>
  <si>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</si>
  <si>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</si>
  <si>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</si>
  <si>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</si>
  <si>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</si>
  <si>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</si>
  <si>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</si>
  <si>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</si>
  <si>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</si>
  <si>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</si>
  <si>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</si>
  <si>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</si>
  <si>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</si>
  <si>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</si>
  <si>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</si>
  <si>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</si>
  <si>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</si>
  <si>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</si>
  <si>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</si>
  <si>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</si>
  <si>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</si>
  <si>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</si>
  <si>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</si>
  <si>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</si>
  <si>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</si>
  <si>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</si>
  <si>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</si>
  <si>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</si>
  <si>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</si>
  <si>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</si>
  <si>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</si>
  <si>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</si>
  <si>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</si>
  <si>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</si>
  <si>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</si>
  <si>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</si>
  <si>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</si>
  <si>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</si>
  <si>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</si>
  <si>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</si>
  <si>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</si>
  <si>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</si>
  <si>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</si>
  <si>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</si>
  <si>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</si>
  <si>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</si>
  <si>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</si>
  <si>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</si>
  <si>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</si>
  <si>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</si>
  <si>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</si>
  <si>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</si>
  <si>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</si>
  <si>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</si>
  <si>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</si>
  <si>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</si>
  <si>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</si>
  <si>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</si>
  <si>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</si>
  <si>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</si>
  <si>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</si>
  <si>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</si>
  <si>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</si>
  <si>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</si>
  <si>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</si>
  <si>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</si>
  <si>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</si>
  <si>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</si>
  <si>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</si>
  <si>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</si>
  <si>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</si>
  <si>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</si>
  <si>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</si>
  <si>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</si>
  <si>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</si>
  <si>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</si>
  <si>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</si>
  <si>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</si>
  <si>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</si>
  <si>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</si>
  <si>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</si>
  <si>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</si>
  <si>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</si>
  <si>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</si>
  <si>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</si>
  <si>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</si>
  <si>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</si>
  <si>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</si>
  <si>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</si>
  <si>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</si>
  <si>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</si>
  <si>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</si>
  <si>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</si>
  <si>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</si>
  <si>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</si>
  <si>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</si>
  <si>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</si>
  <si>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</si>
  <si>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</si>
  <si>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</si>
  <si>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</si>
  <si>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</si>
  <si>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</si>
  <si>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</si>
  <si>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</si>
  <si>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</si>
  <si>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</si>
  <si>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</si>
  <si>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</si>
  <si>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</si>
  <si>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</si>
  <si>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</si>
  <si>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</si>
  <si>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</si>
  <si>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</si>
  <si>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</si>
  <si>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</si>
  <si>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</si>
  <si>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</si>
  <si>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</si>
  <si>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</si>
  <si>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</si>
  <si>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</si>
  <si>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</si>
  <si>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</si>
  <si>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</si>
  <si>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</si>
  <si>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</si>
  <si>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</si>
  <si>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</si>
  <si>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</si>
  <si>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</si>
  <si>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</si>
  <si>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</si>
  <si>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</si>
  <si>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</si>
  <si>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</si>
  <si>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</si>
  <si>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</si>
  <si>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</si>
  <si>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</si>
  <si>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</si>
  <si>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</si>
  <si>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</si>
  <si>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</si>
  <si>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</si>
  <si>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</si>
  <si>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</si>
  <si>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</si>
  <si>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</si>
  <si>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</si>
  <si>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</si>
  <si>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</si>
  <si>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</si>
  <si>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</si>
  <si>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</si>
  <si>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</si>
  <si>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</si>
  <si>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</si>
  <si>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</si>
  <si>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</si>
  <si>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</si>
  <si>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</si>
  <si>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</si>
  <si>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</si>
  <si>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</si>
  <si>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</si>
  <si>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</si>
  <si>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</si>
  <si>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</si>
  <si>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</si>
  <si>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</si>
  <si>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</si>
  <si>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</si>
  <si>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</si>
  <si>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</si>
  <si>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</si>
  <si>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</si>
  <si>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</si>
  <si>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</si>
  <si>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</si>
  <si>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</si>
  <si>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</si>
  <si>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</si>
  <si>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</si>
  <si>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</si>
  <si>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</si>
  <si>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</si>
  <si>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</si>
  <si>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</si>
  <si>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</si>
  <si>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</si>
  <si>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</si>
  <si>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</si>
  <si>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</si>
  <si>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</si>
  <si>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</si>
  <si>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</si>
  <si>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</si>
  <si>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</si>
  <si>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</si>
  <si>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</si>
  <si>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</si>
  <si>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</si>
  <si>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</si>
  <si>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</si>
  <si>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</si>
  <si>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</si>
  <si>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</si>
  <si>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</si>
  <si>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</si>
  <si>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</si>
  <si>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</si>
  <si>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</si>
  <si>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</si>
  <si>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</si>
  <si>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</si>
  <si>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</si>
  <si>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</si>
  <si>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</si>
  <si>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</si>
  <si>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</si>
  <si>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</si>
  <si>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</si>
  <si>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</si>
  <si>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</si>
  <si>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</si>
  <si>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</si>
  <si>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</si>
  <si>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</si>
  <si>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</si>
  <si>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</si>
  <si>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</si>
  <si>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</si>
  <si>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</si>
  <si>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</si>
  <si>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</si>
  <si>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</si>
  <si>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</si>
  <si>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</si>
  <si>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</si>
  <si>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</si>
  <si>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</si>
  <si>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</si>
  <si>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</si>
  <si>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</si>
  <si>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</si>
  <si>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</si>
  <si>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</si>
  <si>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</si>
  <si>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</si>
  <si>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</si>
  <si>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</si>
  <si>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</si>
  <si>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</si>
  <si>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</si>
  <si>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</si>
  <si>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</si>
  <si>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</si>
  <si>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</si>
  <si>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</si>
  <si>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</si>
  <si>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</si>
  <si>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</si>
  <si>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</si>
  <si>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</si>
  <si>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</si>
  <si>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</si>
  <si>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</si>
  <si>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</si>
  <si>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</si>
  <si>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</si>
  <si>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</si>
  <si>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</si>
  <si>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</si>
  <si>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</si>
  <si>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</si>
  <si>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</si>
  <si>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</si>
  <si>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</si>
  <si>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</si>
  <si>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</si>
  <si>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</si>
  <si>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</si>
  <si>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</si>
  <si>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</si>
  <si>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</si>
  <si>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</si>
  <si>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</si>
  <si>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</si>
  <si>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</si>
  <si>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</si>
  <si>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</si>
  <si>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</si>
  <si>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</si>
  <si>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</si>
  <si>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</si>
  <si>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</si>
  <si>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</si>
  <si>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</si>
  <si>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</si>
  <si>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</si>
  <si>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</si>
  <si>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[0.409663]</t>
  </si>
  <si>
    <t>1 [0.811656]</t>
  </si>
  <si>
    <t>1 [1.219344]</t>
  </si>
  <si>
    <t>1 [1.625869]</t>
  </si>
  <si>
    <t>1 [2.031591]</t>
  </si>
  <si>
    <t>1 [2.435247]</t>
  </si>
  <si>
    <t>1 [2.843201]</t>
  </si>
  <si>
    <t>1 [3.253046]</t>
  </si>
  <si>
    <t>1 [3.655864]</t>
  </si>
  <si>
    <t>1 [4.058010]</t>
  </si>
  <si>
    <t>1 [4.468701]</t>
  </si>
  <si>
    <t>1 [4.875814]</t>
  </si>
  <si>
    <t>1 [5.280583]</t>
  </si>
  <si>
    <t>1 [5.687385]</t>
  </si>
  <si>
    <t>1 [6.090736]</t>
  </si>
  <si>
    <t>1 [6.501255]</t>
  </si>
  <si>
    <t>1 [6.907400]</t>
  </si>
  <si>
    <t>1 [7.315088]</t>
  </si>
  <si>
    <t>1 [7.720042]</t>
  </si>
  <si>
    <t>1 [8.127258]</t>
  </si>
  <si>
    <t>1 [8.529067]</t>
  </si>
  <si>
    <t>1 [8.938771]</t>
  </si>
  <si>
    <t>1 [9.344825]</t>
  </si>
  <si>
    <t>1 [9.749633]</t>
  </si>
  <si>
    <t>1 [10.155368]</t>
  </si>
  <si>
    <t>1 [10.559502]</t>
  </si>
  <si>
    <t>1 [10.964809]</t>
  </si>
  <si>
    <t>1 [11.375470]</t>
  </si>
  <si>
    <t>1 [11.779836]</t>
  </si>
  <si>
    <t>1 [12.187055]</t>
  </si>
  <si>
    <t>1 [12.592783]</t>
  </si>
  <si>
    <t>1 [13.000803]</t>
  </si>
  <si>
    <t>1 [13.405594]</t>
  </si>
  <si>
    <t>1 [13.810826]</t>
  </si>
  <si>
    <t>1 [14.218604]</t>
  </si>
  <si>
    <t>1 [14.626529]</t>
  </si>
  <si>
    <t>1 [15.033449]</t>
  </si>
  <si>
    <t>1 [15.436374]</t>
  </si>
  <si>
    <t>1 [15.839702]</t>
  </si>
  <si>
    <t>1 [16.251120]</t>
  </si>
  <si>
    <t>1 [16.659031]</t>
  </si>
  <si>
    <t>1 [17.060957]</t>
  </si>
  <si>
    <t>1 [17.468873]</t>
  </si>
  <si>
    <t>1 [17.871851]</t>
  </si>
  <si>
    <t>1 [18.278927]</t>
  </si>
  <si>
    <t>1 [18.685174]</t>
  </si>
  <si>
    <t>1 [19.090938]</t>
  </si>
  <si>
    <t>1 [19.498385]</t>
  </si>
  <si>
    <t>1 [19.907954]</t>
  </si>
  <si>
    <t>1 [20.314260]</t>
  </si>
  <si>
    <t>1 [20.721163]</t>
  </si>
  <si>
    <t>1 [21.124238]</t>
  </si>
  <si>
    <t>1 [21.528959]</t>
  </si>
  <si>
    <t>1 [21.936070]</t>
  </si>
  <si>
    <t>1 [22.342092]</t>
  </si>
  <si>
    <t>1 [22.749751]</t>
  </si>
  <si>
    <t>1 [23.155612]</t>
  </si>
  <si>
    <t>1 [23.558450]</t>
  </si>
  <si>
    <t>1 [23.967816]</t>
  </si>
  <si>
    <t>1 [24.374628]</t>
  </si>
  <si>
    <t>1 [24.778212]</t>
  </si>
  <si>
    <t>1 [25.187213]</t>
  </si>
  <si>
    <t>1 [25.589993]</t>
  </si>
  <si>
    <t>1 [25.997044]</t>
  </si>
  <si>
    <t>1 [26.407432]</t>
  </si>
  <si>
    <t>1 [26.811972]</t>
  </si>
  <si>
    <t>1 [27.218912]</t>
  </si>
  <si>
    <t>1 [27.622703]</t>
  </si>
  <si>
    <t>1 [28.029687]</t>
  </si>
  <si>
    <t>1 [28.437571]</t>
  </si>
  <si>
    <t>1 [28.843403]</t>
  </si>
  <si>
    <t>1 [29.249411]</t>
  </si>
  <si>
    <t>1 [29.654350]</t>
  </si>
  <si>
    <t>2 [30.061205]</t>
  </si>
  <si>
    <t>2 [30.528196]</t>
  </si>
  <si>
    <t>2 [30.921385]</t>
  </si>
  <si>
    <t>2 [31.323041]</t>
  </si>
  <si>
    <t>2 [31.735152]</t>
  </si>
  <si>
    <t>2 [32.138205]</t>
  </si>
  <si>
    <t>2 [32.548070]</t>
  </si>
  <si>
    <t>2 [32.950338]</t>
  </si>
  <si>
    <t>2 [33.354622]</t>
  </si>
  <si>
    <t>2 [33.762833]</t>
  </si>
  <si>
    <t>2 [34.174080]</t>
  </si>
  <si>
    <t>2 [34.576692]</t>
  </si>
  <si>
    <t>2 [34.980350]</t>
  </si>
  <si>
    <t>2 [35.391543]</t>
  </si>
  <si>
    <t>2 [35.796671]</t>
  </si>
  <si>
    <t>2 [36.200150]</t>
  </si>
  <si>
    <t>2 [36.610295]</t>
  </si>
  <si>
    <t>2 [37.011883]</t>
  </si>
  <si>
    <t>2 [37.419047]</t>
  </si>
  <si>
    <t>2 [37.829196]</t>
  </si>
  <si>
    <t>2 [38.232225]</t>
  </si>
  <si>
    <t>2 [38.637502]</t>
  </si>
  <si>
    <t>2 [39.044845]</t>
  </si>
  <si>
    <t>2 [39.453617]</t>
  </si>
  <si>
    <t>2 [39.859462]</t>
  </si>
  <si>
    <t>2 [40.263113]</t>
  </si>
  <si>
    <t>2 [40.669363]</t>
  </si>
  <si>
    <t>2 [41.075152]</t>
  </si>
  <si>
    <t>2 [41.487263]</t>
  </si>
  <si>
    <t>2 [41.889173]</t>
  </si>
  <si>
    <t>2 [42.294944]</t>
  </si>
  <si>
    <t>2 [42.700001]</t>
  </si>
  <si>
    <t>2 [43.105326]</t>
  </si>
  <si>
    <t>2 [43.514047]</t>
  </si>
  <si>
    <t>2 [43.920546]</t>
  </si>
  <si>
    <t>2 [44.326486]</t>
  </si>
  <si>
    <t>2 [44.734455]</t>
  </si>
  <si>
    <t>2 [45.141435]</t>
  </si>
  <si>
    <t>2 [45.549224]</t>
  </si>
  <si>
    <t>2 [45.949239]</t>
  </si>
  <si>
    <t>2 [46.359086]</t>
  </si>
  <si>
    <t>2 [46.762352]</t>
  </si>
  <si>
    <t>2 [47.169152]</t>
  </si>
  <si>
    <t>2 [47.579777]</t>
  </si>
  <si>
    <t>2 [47.985754]</t>
  </si>
  <si>
    <t>2 [48.392713]</t>
  </si>
  <si>
    <t>2 [48.794588]</t>
  </si>
  <si>
    <t>2 [49.201661]</t>
  </si>
  <si>
    <t>2 [49.609373]</t>
  </si>
  <si>
    <t>2 [50.016314]</t>
  </si>
  <si>
    <t>2 [50.421161]</t>
  </si>
  <si>
    <t>2 [50.826128]</t>
  </si>
  <si>
    <t>2 [51.232277]</t>
  </si>
  <si>
    <t>2 [51.641819]</t>
  </si>
  <si>
    <t>2 [52.046981]</t>
  </si>
  <si>
    <t>2 [52.451848]</t>
  </si>
  <si>
    <t>2 [52.856892]</t>
  </si>
  <si>
    <t>2 [53.263530]</t>
  </si>
  <si>
    <t>2 [53.669703]</t>
  </si>
  <si>
    <t>2 [54.078396]</t>
  </si>
  <si>
    <t>2 [54.485345]</t>
  </si>
  <si>
    <t>2 [54.887698]</t>
  </si>
  <si>
    <t>2 [55.294170]</t>
  </si>
  <si>
    <t>2 [55.701067]</t>
  </si>
  <si>
    <t>2 [56.112184]</t>
  </si>
  <si>
    <t>2 [56.519935]</t>
  </si>
  <si>
    <t>2 [56.921931]</t>
  </si>
  <si>
    <t>2 [57.326911]</t>
  </si>
  <si>
    <t>2 [57.734695]</t>
  </si>
  <si>
    <t>2 [58.142631]</t>
  </si>
  <si>
    <t>2 [58.548417]</t>
  </si>
  <si>
    <t>2 [58.952612]</t>
  </si>
  <si>
    <t>2 [59.358301]</t>
  </si>
  <si>
    <t>2 [59.762600]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</si>
  <si>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</si>
  <si>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</si>
  <si>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</si>
  <si>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</si>
  <si>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</si>
  <si>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M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</si>
  <si>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</si>
  <si>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</si>
  <si>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</si>
  <si>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</si>
  <si>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</si>
  <si>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</si>
  <si>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</si>
  <si>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李翔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</si>
</sst>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5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49.550800000000002</c:v>
                </c:pt>
                <c:pt idx="1">
                  <c:v>34.753900000000002</c:v>
                </c:pt>
                <c:pt idx="2">
                  <c:v>24.229800000000001</c:v>
                </c:pt>
                <c:pt idx="3">
                  <c:v>32.1509</c:v>
                </c:pt>
                <c:pt idx="4">
                  <c:v>56.553600000000003</c:v>
                </c:pt>
                <c:pt idx="5">
                  <c:v>65.512</c:v>
                </c:pt>
                <c:pt idx="6">
                  <c:v>23.4161</c:v>
                </c:pt>
                <c:pt idx="7">
                  <c:v>61.893500000000003</c:v>
                </c:pt>
                <c:pt idx="8">
                  <c:v>14.679</c:v>
                </c:pt>
                <c:pt idx="9">
                  <c:v>36.999299999999998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0.45938701493873069</c:v>
                </c:pt>
                <c:pt idx="1">
                  <c:v>0.31165272391038706</c:v>
                </c:pt>
                <c:pt idx="2">
                  <c:v>0.22896026115088214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11315</c:v>
                </c:pt>
                <c:pt idx="7">
                  <c:v>0</c:v>
                </c:pt>
                <c:pt idx="8">
                  <c:v>10622</c:v>
                </c:pt>
                <c:pt idx="9">
                  <c:v>0</c:v>
                </c:pt>
                <c:pt idx="10">
                  <c:v>0</c:v>
                </c:pt>
                <c:pt idx="11">
                  <c:v>10126</c:v>
                </c:pt>
                <c:pt idx="12">
                  <c:v>0</c:v>
                </c:pt>
                <c:pt idx="13">
                  <c:v>13207</c:v>
                </c:pt>
                <c:pt idx="14">
                  <c:v>0</c:v>
                </c:pt>
                <c:pt idx="15">
                  <c:v>0</c:v>
                </c:pt>
                <c:pt idx="16">
                  <c:v>18278</c:v>
                </c:pt>
                <c:pt idx="17">
                  <c:v>0</c:v>
                </c:pt>
                <c:pt idx="18">
                  <c:v>0</c:v>
                </c:pt>
                <c:pt idx="19">
                  <c:v>24125</c:v>
                </c:pt>
                <c:pt idx="20">
                  <c:v>0</c:v>
                </c:pt>
                <c:pt idx="21">
                  <c:v>27488</c:v>
                </c:pt>
                <c:pt idx="22">
                  <c:v>0</c:v>
                </c:pt>
                <c:pt idx="23">
                  <c:v>0</c:v>
                </c:pt>
                <c:pt idx="24">
                  <c:v>33237</c:v>
                </c:pt>
                <c:pt idx="25">
                  <c:v>0</c:v>
                </c:pt>
                <c:pt idx="26">
                  <c:v>38742</c:v>
                </c:pt>
                <c:pt idx="27">
                  <c:v>0</c:v>
                </c:pt>
                <c:pt idx="28">
                  <c:v>0</c:v>
                </c:pt>
                <c:pt idx="29">
                  <c:v>41357</c:v>
                </c:pt>
                <c:pt idx="30">
                  <c:v>0</c:v>
                </c:pt>
                <c:pt idx="31">
                  <c:v>43521</c:v>
                </c:pt>
                <c:pt idx="32">
                  <c:v>0</c:v>
                </c:pt>
                <c:pt idx="33">
                  <c:v>0</c:v>
                </c:pt>
                <c:pt idx="34">
                  <c:v>50421</c:v>
                </c:pt>
                <c:pt idx="35">
                  <c:v>0</c:v>
                </c:pt>
                <c:pt idx="36">
                  <c:v>0</c:v>
                </c:pt>
                <c:pt idx="37">
                  <c:v>64177</c:v>
                </c:pt>
                <c:pt idx="38">
                  <c:v>0</c:v>
                </c:pt>
                <c:pt idx="39">
                  <c:v>75633</c:v>
                </c:pt>
                <c:pt idx="40">
                  <c:v>0</c:v>
                </c:pt>
                <c:pt idx="41">
                  <c:v>0</c:v>
                </c:pt>
                <c:pt idx="42">
                  <c:v>101762</c:v>
                </c:pt>
                <c:pt idx="43">
                  <c:v>0</c:v>
                </c:pt>
                <c:pt idx="44">
                  <c:v>112012</c:v>
                </c:pt>
                <c:pt idx="45">
                  <c:v>0</c:v>
                </c:pt>
                <c:pt idx="46">
                  <c:v>0</c:v>
                </c:pt>
                <c:pt idx="47">
                  <c:v>116520</c:v>
                </c:pt>
                <c:pt idx="48">
                  <c:v>0</c:v>
                </c:pt>
                <c:pt idx="49">
                  <c:v>126167</c:v>
                </c:pt>
                <c:pt idx="50">
                  <c:v>0</c:v>
                </c:pt>
                <c:pt idx="51">
                  <c:v>0</c:v>
                </c:pt>
                <c:pt idx="52">
                  <c:v>140116</c:v>
                </c:pt>
                <c:pt idx="53">
                  <c:v>0</c:v>
                </c:pt>
                <c:pt idx="54">
                  <c:v>0</c:v>
                </c:pt>
                <c:pt idx="55">
                  <c:v>150265</c:v>
                </c:pt>
                <c:pt idx="56">
                  <c:v>0</c:v>
                </c:pt>
                <c:pt idx="57">
                  <c:v>145764</c:v>
                </c:pt>
                <c:pt idx="58">
                  <c:v>0</c:v>
                </c:pt>
                <c:pt idx="59">
                  <c:v>0</c:v>
                </c:pt>
                <c:pt idx="60">
                  <c:v>141881</c:v>
                </c:pt>
                <c:pt idx="61">
                  <c:v>0</c:v>
                </c:pt>
                <c:pt idx="62">
                  <c:v>139680</c:v>
                </c:pt>
                <c:pt idx="63">
                  <c:v>0</c:v>
                </c:pt>
                <c:pt idx="64">
                  <c:v>0</c:v>
                </c:pt>
                <c:pt idx="65">
                  <c:v>143470</c:v>
                </c:pt>
                <c:pt idx="66">
                  <c:v>0</c:v>
                </c:pt>
                <c:pt idx="67">
                  <c:v>135665</c:v>
                </c:pt>
                <c:pt idx="68">
                  <c:v>0</c:v>
                </c:pt>
                <c:pt idx="69">
                  <c:v>0</c:v>
                </c:pt>
                <c:pt idx="70">
                  <c:v>129796</c:v>
                </c:pt>
                <c:pt idx="71">
                  <c:v>0</c:v>
                </c:pt>
                <c:pt idx="72">
                  <c:v>0</c:v>
                </c:pt>
                <c:pt idx="73">
                  <c:v>129833</c:v>
                </c:pt>
                <c:pt idx="74">
                  <c:v>0</c:v>
                </c:pt>
                <c:pt idx="75">
                  <c:v>136061</c:v>
                </c:pt>
                <c:pt idx="76">
                  <c:v>0</c:v>
                </c:pt>
                <c:pt idx="77">
                  <c:v>0</c:v>
                </c:pt>
                <c:pt idx="78">
                  <c:v>136174</c:v>
                </c:pt>
                <c:pt idx="79">
                  <c:v>0</c:v>
                </c:pt>
                <c:pt idx="80">
                  <c:v>138469</c:v>
                </c:pt>
                <c:pt idx="81">
                  <c:v>0</c:v>
                </c:pt>
                <c:pt idx="82">
                  <c:v>0</c:v>
                </c:pt>
                <c:pt idx="83">
                  <c:v>137730</c:v>
                </c:pt>
                <c:pt idx="84">
                  <c:v>0</c:v>
                </c:pt>
                <c:pt idx="85">
                  <c:v>0</c:v>
                </c:pt>
                <c:pt idx="86">
                  <c:v>138466</c:v>
                </c:pt>
                <c:pt idx="87">
                  <c:v>0</c:v>
                </c:pt>
                <c:pt idx="88">
                  <c:v>131501</c:v>
                </c:pt>
                <c:pt idx="89">
                  <c:v>0</c:v>
                </c:pt>
                <c:pt idx="90">
                  <c:v>0</c:v>
                </c:pt>
                <c:pt idx="91">
                  <c:v>119756</c:v>
                </c:pt>
                <c:pt idx="92">
                  <c:v>0</c:v>
                </c:pt>
                <c:pt idx="93">
                  <c:v>119402</c:v>
                </c:pt>
                <c:pt idx="94">
                  <c:v>0</c:v>
                </c:pt>
                <c:pt idx="95">
                  <c:v>0</c:v>
                </c:pt>
                <c:pt idx="96">
                  <c:v>111439</c:v>
                </c:pt>
                <c:pt idx="97">
                  <c:v>0</c:v>
                </c:pt>
                <c:pt idx="98">
                  <c:v>115730</c:v>
                </c:pt>
                <c:pt idx="99">
                  <c:v>0</c:v>
                </c:pt>
                <c:pt idx="100">
                  <c:v>0</c:v>
                </c:pt>
                <c:pt idx="101">
                  <c:v>116288</c:v>
                </c:pt>
                <c:pt idx="102">
                  <c:v>0</c:v>
                </c:pt>
                <c:pt idx="103">
                  <c:v>0</c:v>
                </c:pt>
                <c:pt idx="104">
                  <c:v>128740</c:v>
                </c:pt>
                <c:pt idx="105">
                  <c:v>0</c:v>
                </c:pt>
                <c:pt idx="106">
                  <c:v>136024</c:v>
                </c:pt>
                <c:pt idx="107">
                  <c:v>0</c:v>
                </c:pt>
                <c:pt idx="108">
                  <c:v>0</c:v>
                </c:pt>
                <c:pt idx="109">
                  <c:v>133386</c:v>
                </c:pt>
                <c:pt idx="110">
                  <c:v>0</c:v>
                </c:pt>
                <c:pt idx="111">
                  <c:v>142780</c:v>
                </c:pt>
                <c:pt idx="112">
                  <c:v>0</c:v>
                </c:pt>
                <c:pt idx="113">
                  <c:v>0</c:v>
                </c:pt>
                <c:pt idx="114">
                  <c:v>160813</c:v>
                </c:pt>
                <c:pt idx="115">
                  <c:v>0</c:v>
                </c:pt>
                <c:pt idx="116">
                  <c:v>167845</c:v>
                </c:pt>
                <c:pt idx="117">
                  <c:v>0</c:v>
                </c:pt>
                <c:pt idx="118">
                  <c:v>0</c:v>
                </c:pt>
                <c:pt idx="119">
                  <c:v>173489</c:v>
                </c:pt>
                <c:pt idx="120">
                  <c:v>0</c:v>
                </c:pt>
                <c:pt idx="121">
                  <c:v>0</c:v>
                </c:pt>
                <c:pt idx="122">
                  <c:v>164813</c:v>
                </c:pt>
                <c:pt idx="123">
                  <c:v>0</c:v>
                </c:pt>
                <c:pt idx="124">
                  <c:v>158819</c:v>
                </c:pt>
                <c:pt idx="125">
                  <c:v>0</c:v>
                </c:pt>
                <c:pt idx="126">
                  <c:v>0</c:v>
                </c:pt>
                <c:pt idx="127">
                  <c:v>146761</c:v>
                </c:pt>
                <c:pt idx="128">
                  <c:v>0</c:v>
                </c:pt>
                <c:pt idx="129">
                  <c:v>138625</c:v>
                </c:pt>
                <c:pt idx="130">
                  <c:v>0</c:v>
                </c:pt>
                <c:pt idx="131">
                  <c:v>0</c:v>
                </c:pt>
                <c:pt idx="132">
                  <c:v>127617</c:v>
                </c:pt>
                <c:pt idx="133">
                  <c:v>0</c:v>
                </c:pt>
                <c:pt idx="134">
                  <c:v>116426</c:v>
                </c:pt>
                <c:pt idx="135">
                  <c:v>0</c:v>
                </c:pt>
                <c:pt idx="136">
                  <c:v>0</c:v>
                </c:pt>
                <c:pt idx="137">
                  <c:v>107213</c:v>
                </c:pt>
                <c:pt idx="138">
                  <c:v>0</c:v>
                </c:pt>
                <c:pt idx="139">
                  <c:v>0</c:v>
                </c:pt>
                <c:pt idx="140">
                  <c:v>92637</c:v>
                </c:pt>
                <c:pt idx="141">
                  <c:v>0</c:v>
                </c:pt>
                <c:pt idx="142">
                  <c:v>79630</c:v>
                </c:pt>
                <c:pt idx="143">
                  <c:v>0</c:v>
                </c:pt>
                <c:pt idx="144">
                  <c:v>0</c:v>
                </c:pt>
                <c:pt idx="145">
                  <c:v>67840</c:v>
                </c:pt>
                <c:pt idx="146">
                  <c:v>0</c:v>
                </c:pt>
                <c:pt idx="147">
                  <c:v>51039</c:v>
                </c:pt>
                <c:pt idx="148">
                  <c:v>0</c:v>
                </c:pt>
                <c:pt idx="149">
                  <c:v>0</c:v>
                </c:pt>
                <c:pt idx="150">
                  <c:v>40744</c:v>
                </c:pt>
                <c:pt idx="151">
                  <c:v>0</c:v>
                </c:pt>
                <c:pt idx="152">
                  <c:v>32527</c:v>
                </c:pt>
                <c:pt idx="153">
                  <c:v>0</c:v>
                </c:pt>
                <c:pt idx="154">
                  <c:v>0</c:v>
                </c:pt>
                <c:pt idx="155">
                  <c:v>27020</c:v>
                </c:pt>
                <c:pt idx="156">
                  <c:v>0</c:v>
                </c:pt>
                <c:pt idx="157">
                  <c:v>0</c:v>
                </c:pt>
                <c:pt idx="158">
                  <c:v>18984</c:v>
                </c:pt>
                <c:pt idx="159">
                  <c:v>0</c:v>
                </c:pt>
                <c:pt idx="160">
                  <c:v>15283</c:v>
                </c:pt>
                <c:pt idx="161">
                  <c:v>0</c:v>
                </c:pt>
                <c:pt idx="162">
                  <c:v>0</c:v>
                </c:pt>
                <c:pt idx="163">
                  <c:v>13551</c:v>
                </c:pt>
                <c:pt idx="164">
                  <c:v>0</c:v>
                </c:pt>
                <c:pt idx="165">
                  <c:v>11366</c:v>
                </c:pt>
                <c:pt idx="166">
                  <c:v>0</c:v>
                </c:pt>
                <c:pt idx="167">
                  <c:v>0</c:v>
                </c:pt>
                <c:pt idx="168">
                  <c:v>12120</c:v>
                </c:pt>
                <c:pt idx="169">
                  <c:v>0</c:v>
                </c:pt>
                <c:pt idx="170">
                  <c:v>0</c:v>
                </c:pt>
                <c:pt idx="171">
                  <c:v>11316</c:v>
                </c:pt>
                <c:pt idx="172">
                  <c:v>0</c:v>
                </c:pt>
                <c:pt idx="173">
                  <c:v>9494</c:v>
                </c:pt>
                <c:pt idx="174">
                  <c:v>0</c:v>
                </c:pt>
                <c:pt idx="175">
                  <c:v>0</c:v>
                </c:pt>
                <c:pt idx="176">
                  <c:v>13119</c:v>
                </c:pt>
                <c:pt idx="177">
                  <c:v>0</c:v>
                </c:pt>
                <c:pt idx="178">
                  <c:v>7922</c:v>
                </c:pt>
                <c:pt idx="179">
                  <c:v>0</c:v>
                </c:pt>
                <c:pt idx="180">
                  <c:v>0</c:v>
                </c:pt>
                <c:pt idx="181">
                  <c:v>5473</c:v>
                </c:pt>
                <c:pt idx="182">
                  <c:v>0</c:v>
                </c:pt>
                <c:pt idx="183">
                  <c:v>3506</c:v>
                </c:pt>
                <c:pt idx="184">
                  <c:v>0</c:v>
                </c:pt>
                <c:pt idx="185">
                  <c:v>0</c:v>
                </c:pt>
                <c:pt idx="186">
                  <c:v>3535</c:v>
                </c:pt>
                <c:pt idx="187">
                  <c:v>0</c:v>
                </c:pt>
                <c:pt idx="188">
                  <c:v>0</c:v>
                </c:pt>
                <c:pt idx="189">
                  <c:v>1674</c:v>
                </c:pt>
                <c:pt idx="190">
                  <c:v>0</c:v>
                </c:pt>
                <c:pt idx="191">
                  <c:v>107</c:v>
                </c:pt>
                <c:pt idx="192">
                  <c:v>0</c:v>
                </c:pt>
                <c:pt idx="193">
                  <c:v>0</c:v>
                </c:pt>
                <c:pt idx="194">
                  <c:v>411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2.22079</c:v>
                </c:pt>
                <c:pt idx="1">
                  <c:v>2.2955100000000002</c:v>
                </c:pt>
                <c:pt idx="2">
                  <c:v>2.3728799999999999</c:v>
                </c:pt>
                <c:pt idx="3">
                  <c:v>2.4516499999999999</c:v>
                </c:pt>
                <c:pt idx="4">
                  <c:v>2.5338799999999999</c:v>
                </c:pt>
                <c:pt idx="5">
                  <c:v>2.6192599999999997</c:v>
                </c:pt>
                <c:pt idx="6">
                  <c:v>2.70248</c:v>
                </c:pt>
                <c:pt idx="7">
                  <c:v>2.7824900000000001</c:v>
                </c:pt>
                <c:pt idx="8">
                  <c:v>2.8613200000000001</c:v>
                </c:pt>
                <c:pt idx="9">
                  <c:v>2.94394</c:v>
                </c:pt>
                <c:pt idx="10">
                  <c:v>3.02678</c:v>
                </c:pt>
                <c:pt idx="11">
                  <c:v>3.1094599999999999</c:v>
                </c:pt>
                <c:pt idx="12">
                  <c:v>3.1948400000000001</c:v>
                </c:pt>
                <c:pt idx="13">
                  <c:v>3.2812400000000004</c:v>
                </c:pt>
                <c:pt idx="14">
                  <c:v>3.3552200000000001</c:v>
                </c:pt>
                <c:pt idx="15">
                  <c:v>3.4249900000000002</c:v>
                </c:pt>
                <c:pt idx="16">
                  <c:v>3.4935999999999998</c:v>
                </c:pt>
                <c:pt idx="17">
                  <c:v>3.5563099999999999</c:v>
                </c:pt>
                <c:pt idx="18">
                  <c:v>3.6154299999999999</c:v>
                </c:pt>
                <c:pt idx="19">
                  <c:v>3.6761300000000001</c:v>
                </c:pt>
                <c:pt idx="20">
                  <c:v>3.7384499999999998</c:v>
                </c:pt>
                <c:pt idx="21">
                  <c:v>3.7962600000000002</c:v>
                </c:pt>
                <c:pt idx="22">
                  <c:v>3.8504</c:v>
                </c:pt>
                <c:pt idx="23">
                  <c:v>3.8989600000000002</c:v>
                </c:pt>
                <c:pt idx="24">
                  <c:v>3.9422099999999998</c:v>
                </c:pt>
                <c:pt idx="25">
                  <c:v>3.9779399999999998</c:v>
                </c:pt>
                <c:pt idx="26">
                  <c:v>4.0075500000000002</c:v>
                </c:pt>
                <c:pt idx="27">
                  <c:v>4.0327600000000006</c:v>
                </c:pt>
                <c:pt idx="28">
                  <c:v>4.0496400000000001</c:v>
                </c:pt>
                <c:pt idx="29">
                  <c:v>4.0584600000000002</c:v>
                </c:pt>
                <c:pt idx="30">
                  <c:v>4.0616099999999999</c:v>
                </c:pt>
                <c:pt idx="31">
                  <c:v>4.0618100000000004</c:v>
                </c:pt>
                <c:pt idx="32">
                  <c:v>4.0614099999999995</c:v>
                </c:pt>
                <c:pt idx="33">
                  <c:v>4.05802</c:v>
                </c:pt>
                <c:pt idx="34">
                  <c:v>4.0460600000000007</c:v>
                </c:pt>
                <c:pt idx="35">
                  <c:v>4.0273900000000005</c:v>
                </c:pt>
                <c:pt idx="36">
                  <c:v>4.0043899999999999</c:v>
                </c:pt>
                <c:pt idx="37">
                  <c:v>3.9718300000000002</c:v>
                </c:pt>
                <c:pt idx="38">
                  <c:v>3.9337400000000002</c:v>
                </c:pt>
                <c:pt idx="39">
                  <c:v>3.8957599999999997</c:v>
                </c:pt>
                <c:pt idx="40">
                  <c:v>3.8602799999999999</c:v>
                </c:pt>
                <c:pt idx="41">
                  <c:v>3.8262200000000002</c:v>
                </c:pt>
                <c:pt idx="42">
                  <c:v>3.7934000000000001</c:v>
                </c:pt>
                <c:pt idx="43">
                  <c:v>3.7611600000000003</c:v>
                </c:pt>
                <c:pt idx="44">
                  <c:v>3.7278199999999999</c:v>
                </c:pt>
                <c:pt idx="45">
                  <c:v>3.6908999999999996</c:v>
                </c:pt>
                <c:pt idx="46">
                  <c:v>3.6536600000000004</c:v>
                </c:pt>
                <c:pt idx="47">
                  <c:v>3.6145300000000002</c:v>
                </c:pt>
                <c:pt idx="48">
                  <c:v>3.5777700000000001</c:v>
                </c:pt>
                <c:pt idx="49">
                  <c:v>3.5445799999999998</c:v>
                </c:pt>
                <c:pt idx="50">
                  <c:v>3.5209800000000002</c:v>
                </c:pt>
                <c:pt idx="51">
                  <c:v>3.4944199999999999</c:v>
                </c:pt>
                <c:pt idx="52">
                  <c:v>3.4676900000000002</c:v>
                </c:pt>
                <c:pt idx="53">
                  <c:v>3.44584</c:v>
                </c:pt>
                <c:pt idx="54">
                  <c:v>3.4294599999999997</c:v>
                </c:pt>
                <c:pt idx="55">
                  <c:v>3.4135900000000001</c:v>
                </c:pt>
                <c:pt idx="56">
                  <c:v>3.4000000000000004</c:v>
                </c:pt>
                <c:pt idx="57">
                  <c:v>3.3858800000000002</c:v>
                </c:pt>
                <c:pt idx="58">
                  <c:v>3.3765400000000003</c:v>
                </c:pt>
                <c:pt idx="59">
                  <c:v>3.37568</c:v>
                </c:pt>
                <c:pt idx="60">
                  <c:v>3.3715299999999999</c:v>
                </c:pt>
                <c:pt idx="61">
                  <c:v>3.3755200000000003</c:v>
                </c:pt>
                <c:pt idx="62">
                  <c:v>3.3902799999999997</c:v>
                </c:pt>
                <c:pt idx="63">
                  <c:v>3.3960499999999998</c:v>
                </c:pt>
                <c:pt idx="64">
                  <c:v>3.4054600000000002</c:v>
                </c:pt>
                <c:pt idx="65">
                  <c:v>3.41323</c:v>
                </c:pt>
                <c:pt idx="66">
                  <c:v>3.4228999999999998</c:v>
                </c:pt>
                <c:pt idx="67">
                  <c:v>3.43919</c:v>
                </c:pt>
                <c:pt idx="68">
                  <c:v>3.4546700000000001</c:v>
                </c:pt>
                <c:pt idx="69">
                  <c:v>3.4708199999999998</c:v>
                </c:pt>
                <c:pt idx="70">
                  <c:v>3.4869400000000002</c:v>
                </c:pt>
                <c:pt idx="71">
                  <c:v>3.4993800000000004</c:v>
                </c:pt>
                <c:pt idx="72">
                  <c:v>3.5169199999999998</c:v>
                </c:pt>
                <c:pt idx="73">
                  <c:v>3.5306100000000002</c:v>
                </c:pt>
                <c:pt idx="74">
                  <c:v>3.5478900000000002</c:v>
                </c:pt>
                <c:pt idx="75">
                  <c:v>3.5623500000000003</c:v>
                </c:pt>
                <c:pt idx="76">
                  <c:v>3.5780499999999997</c:v>
                </c:pt>
                <c:pt idx="77">
                  <c:v>3.5937099999999997</c:v>
                </c:pt>
                <c:pt idx="78">
                  <c:v>3.6106799999999999</c:v>
                </c:pt>
                <c:pt idx="79">
                  <c:v>3.6272100000000003</c:v>
                </c:pt>
                <c:pt idx="80">
                  <c:v>3.6428400000000001</c:v>
                </c:pt>
                <c:pt idx="81">
                  <c:v>3.6572199999999997</c:v>
                </c:pt>
                <c:pt idx="82">
                  <c:v>3.6681300000000001</c:v>
                </c:pt>
                <c:pt idx="83">
                  <c:v>3.67896</c:v>
                </c:pt>
                <c:pt idx="84">
                  <c:v>3.69048</c:v>
                </c:pt>
                <c:pt idx="85">
                  <c:v>3.69956</c:v>
                </c:pt>
                <c:pt idx="86">
                  <c:v>3.7078600000000002</c:v>
                </c:pt>
                <c:pt idx="87">
                  <c:v>3.71549</c:v>
                </c:pt>
                <c:pt idx="88">
                  <c:v>3.72499</c:v>
                </c:pt>
                <c:pt idx="89">
                  <c:v>3.7378499999999999</c:v>
                </c:pt>
                <c:pt idx="90">
                  <c:v>3.7516100000000003</c:v>
                </c:pt>
                <c:pt idx="91">
                  <c:v>3.7640000000000002</c:v>
                </c:pt>
                <c:pt idx="92">
                  <c:v>3.7743500000000001</c:v>
                </c:pt>
                <c:pt idx="93">
                  <c:v>3.7811299999999997</c:v>
                </c:pt>
                <c:pt idx="94">
                  <c:v>3.7834600000000003</c:v>
                </c:pt>
                <c:pt idx="95">
                  <c:v>3.7856099999999997</c:v>
                </c:pt>
                <c:pt idx="96">
                  <c:v>3.7913599999999996</c:v>
                </c:pt>
                <c:pt idx="97">
                  <c:v>3.79705</c:v>
                </c:pt>
                <c:pt idx="98">
                  <c:v>3.8023400000000001</c:v>
                </c:pt>
                <c:pt idx="99">
                  <c:v>3.8053999999999997</c:v>
                </c:pt>
                <c:pt idx="100">
                  <c:v>3.8078499999999997</c:v>
                </c:pt>
                <c:pt idx="101">
                  <c:v>3.8125300000000002</c:v>
                </c:pt>
                <c:pt idx="102">
                  <c:v>3.81515</c:v>
                </c:pt>
                <c:pt idx="103">
                  <c:v>3.8171200000000001</c:v>
                </c:pt>
                <c:pt idx="104">
                  <c:v>3.8187199999999999</c:v>
                </c:pt>
                <c:pt idx="105">
                  <c:v>3.8229800000000003</c:v>
                </c:pt>
                <c:pt idx="106">
                  <c:v>3.8269199999999999</c:v>
                </c:pt>
                <c:pt idx="107">
                  <c:v>3.82884</c:v>
                </c:pt>
                <c:pt idx="108">
                  <c:v>3.82789</c:v>
                </c:pt>
                <c:pt idx="109">
                  <c:v>3.8270900000000001</c:v>
                </c:pt>
                <c:pt idx="110">
                  <c:v>3.82599</c:v>
                </c:pt>
                <c:pt idx="111">
                  <c:v>3.8244299999999996</c:v>
                </c:pt>
                <c:pt idx="112">
                  <c:v>3.8243899999999997</c:v>
                </c:pt>
                <c:pt idx="113">
                  <c:v>3.8277800000000002</c:v>
                </c:pt>
                <c:pt idx="114">
                  <c:v>3.8313100000000002</c:v>
                </c:pt>
                <c:pt idx="115">
                  <c:v>3.8331999999999997</c:v>
                </c:pt>
                <c:pt idx="116">
                  <c:v>3.8348300000000002</c:v>
                </c:pt>
                <c:pt idx="117">
                  <c:v>3.8390300000000002</c:v>
                </c:pt>
                <c:pt idx="118">
                  <c:v>3.8445800000000001</c:v>
                </c:pt>
                <c:pt idx="119">
                  <c:v>3.8506499999999999</c:v>
                </c:pt>
                <c:pt idx="120">
                  <c:v>3.8586</c:v>
                </c:pt>
                <c:pt idx="121">
                  <c:v>3.8701699999999999</c:v>
                </c:pt>
                <c:pt idx="122">
                  <c:v>3.8829099999999999</c:v>
                </c:pt>
                <c:pt idx="123">
                  <c:v>3.89364</c:v>
                </c:pt>
                <c:pt idx="124">
                  <c:v>3.8993499999999996</c:v>
                </c:pt>
                <c:pt idx="125">
                  <c:v>3.9040900000000001</c:v>
                </c:pt>
                <c:pt idx="126">
                  <c:v>3.9070800000000001</c:v>
                </c:pt>
                <c:pt idx="127">
                  <c:v>3.91133</c:v>
                </c:pt>
                <c:pt idx="128">
                  <c:v>3.91439</c:v>
                </c:pt>
                <c:pt idx="129">
                  <c:v>3.9175500000000003</c:v>
                </c:pt>
                <c:pt idx="130">
                  <c:v>3.9195200000000003</c:v>
                </c:pt>
                <c:pt idx="131">
                  <c:v>3.92361</c:v>
                </c:pt>
                <c:pt idx="132">
                  <c:v>3.9326499999999998</c:v>
                </c:pt>
                <c:pt idx="133">
                  <c:v>3.9434000000000005</c:v>
                </c:pt>
                <c:pt idx="134">
                  <c:v>3.9528000000000003</c:v>
                </c:pt>
                <c:pt idx="135">
                  <c:v>3.96428</c:v>
                </c:pt>
                <c:pt idx="136">
                  <c:v>3.97682</c:v>
                </c:pt>
                <c:pt idx="137">
                  <c:v>3.98759</c:v>
                </c:pt>
                <c:pt idx="138">
                  <c:v>3.99254</c:v>
                </c:pt>
                <c:pt idx="139">
                  <c:v>3.9991300000000001</c:v>
                </c:pt>
                <c:pt idx="140">
                  <c:v>4.00861</c:v>
                </c:pt>
                <c:pt idx="141">
                  <c:v>4.0190299999999999</c:v>
                </c:pt>
                <c:pt idx="142">
                  <c:v>4.0256400000000001</c:v>
                </c:pt>
                <c:pt idx="143">
                  <c:v>4.0328400000000002</c:v>
                </c:pt>
                <c:pt idx="144">
                  <c:v>4.0498799999999999</c:v>
                </c:pt>
                <c:pt idx="145">
                  <c:v>4.0660499999999997</c:v>
                </c:pt>
                <c:pt idx="146">
                  <c:v>4.0617599999999996</c:v>
                </c:pt>
                <c:pt idx="147">
                  <c:v>4.0329100000000002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53.555100000000003</c:v>
                </c:pt>
                <c:pt idx="1">
                  <c:v>52.590800000000002</c:v>
                </c:pt>
                <c:pt idx="2">
                  <c:v>51.531199999999998</c:v>
                </c:pt>
                <c:pt idx="3">
                  <c:v>50.400599999999997</c:v>
                </c:pt>
                <c:pt idx="4">
                  <c:v>49.002899999999997</c:v>
                </c:pt>
                <c:pt idx="5">
                  <c:v>47.527799999999999</c:v>
                </c:pt>
                <c:pt idx="6">
                  <c:v>46.278100000000002</c:v>
                </c:pt>
                <c:pt idx="7">
                  <c:v>45.352499999999999</c:v>
                </c:pt>
                <c:pt idx="8">
                  <c:v>44.569199999999995</c:v>
                </c:pt>
                <c:pt idx="9">
                  <c:v>43.568400000000004</c:v>
                </c:pt>
                <c:pt idx="10">
                  <c:v>42.424700000000001</c:v>
                </c:pt>
                <c:pt idx="11">
                  <c:v>41.241799999999998</c:v>
                </c:pt>
                <c:pt idx="12">
                  <c:v>39.806100000000001</c:v>
                </c:pt>
                <c:pt idx="13">
                  <c:v>38.336100000000002</c:v>
                </c:pt>
                <c:pt idx="14">
                  <c:v>37.148900000000005</c:v>
                </c:pt>
                <c:pt idx="15">
                  <c:v>36.149500000000003</c:v>
                </c:pt>
                <c:pt idx="16">
                  <c:v>35.406300000000002</c:v>
                </c:pt>
                <c:pt idx="17">
                  <c:v>34.809600000000003</c:v>
                </c:pt>
                <c:pt idx="18">
                  <c:v>34.372999999999998</c:v>
                </c:pt>
                <c:pt idx="19">
                  <c:v>33.928699999999999</c:v>
                </c:pt>
                <c:pt idx="20">
                  <c:v>33.3934</c:v>
                </c:pt>
                <c:pt idx="21">
                  <c:v>32.972099999999998</c:v>
                </c:pt>
                <c:pt idx="22">
                  <c:v>32.5608</c:v>
                </c:pt>
                <c:pt idx="23">
                  <c:v>32.316200000000002</c:v>
                </c:pt>
                <c:pt idx="24">
                  <c:v>32.157200000000003</c:v>
                </c:pt>
                <c:pt idx="25">
                  <c:v>32.1006</c:v>
                </c:pt>
                <c:pt idx="26">
                  <c:v>32.036799999999999</c:v>
                </c:pt>
                <c:pt idx="27">
                  <c:v>31.916099999999997</c:v>
                </c:pt>
                <c:pt idx="28">
                  <c:v>31.7942</c:v>
                </c:pt>
                <c:pt idx="29">
                  <c:v>31.668400000000002</c:v>
                </c:pt>
                <c:pt idx="30">
                  <c:v>31.521999999999998</c:v>
                </c:pt>
                <c:pt idx="31">
                  <c:v>31.3962</c:v>
                </c:pt>
                <c:pt idx="32">
                  <c:v>31.255800000000001</c:v>
                </c:pt>
                <c:pt idx="33">
                  <c:v>31.127300000000002</c:v>
                </c:pt>
                <c:pt idx="34">
                  <c:v>31.0183</c:v>
                </c:pt>
                <c:pt idx="35">
                  <c:v>30.862699999999997</c:v>
                </c:pt>
                <c:pt idx="36">
                  <c:v>30.704700000000003</c:v>
                </c:pt>
                <c:pt idx="37">
                  <c:v>30.612299999999998</c:v>
                </c:pt>
                <c:pt idx="38">
                  <c:v>30.688500000000001</c:v>
                </c:pt>
                <c:pt idx="39">
                  <c:v>30.970799999999997</c:v>
                </c:pt>
                <c:pt idx="40">
                  <c:v>31.341100000000001</c:v>
                </c:pt>
                <c:pt idx="41">
                  <c:v>31.685799999999997</c:v>
                </c:pt>
                <c:pt idx="42">
                  <c:v>31.977599999999999</c:v>
                </c:pt>
                <c:pt idx="43">
                  <c:v>32.210799999999999</c:v>
                </c:pt>
                <c:pt idx="44">
                  <c:v>32.486699999999999</c:v>
                </c:pt>
                <c:pt idx="45">
                  <c:v>32.918500000000002</c:v>
                </c:pt>
                <c:pt idx="46">
                  <c:v>33.42</c:v>
                </c:pt>
                <c:pt idx="47">
                  <c:v>34.0047</c:v>
                </c:pt>
                <c:pt idx="48">
                  <c:v>34.569899999999997</c:v>
                </c:pt>
                <c:pt idx="49">
                  <c:v>35.124300000000005</c:v>
                </c:pt>
                <c:pt idx="50">
                  <c:v>35.537199999999999</c:v>
                </c:pt>
                <c:pt idx="51">
                  <c:v>35.966099999999997</c:v>
                </c:pt>
                <c:pt idx="52">
                  <c:v>36.4589</c:v>
                </c:pt>
                <c:pt idx="53">
                  <c:v>36.801499999999997</c:v>
                </c:pt>
                <c:pt idx="54">
                  <c:v>37.054400000000001</c:v>
                </c:pt>
                <c:pt idx="55">
                  <c:v>37.3431</c:v>
                </c:pt>
                <c:pt idx="56">
                  <c:v>37.645400000000002</c:v>
                </c:pt>
                <c:pt idx="57">
                  <c:v>37.878499999999995</c:v>
                </c:pt>
                <c:pt idx="58">
                  <c:v>38.049399999999999</c:v>
                </c:pt>
                <c:pt idx="59">
                  <c:v>38.067799999999998</c:v>
                </c:pt>
                <c:pt idx="60">
                  <c:v>38.159100000000002</c:v>
                </c:pt>
                <c:pt idx="61">
                  <c:v>38.148700000000005</c:v>
                </c:pt>
                <c:pt idx="62">
                  <c:v>37.934200000000004</c:v>
                </c:pt>
                <c:pt idx="63">
                  <c:v>37.838699999999996</c:v>
                </c:pt>
                <c:pt idx="64">
                  <c:v>37.698700000000002</c:v>
                </c:pt>
                <c:pt idx="65">
                  <c:v>37.533000000000001</c:v>
                </c:pt>
                <c:pt idx="66">
                  <c:v>37.322699999999998</c:v>
                </c:pt>
                <c:pt idx="67">
                  <c:v>36.947899999999997</c:v>
                </c:pt>
                <c:pt idx="68">
                  <c:v>36.596200000000003</c:v>
                </c:pt>
                <c:pt idx="69">
                  <c:v>36.191099999999999</c:v>
                </c:pt>
                <c:pt idx="70">
                  <c:v>35.740699999999997</c:v>
                </c:pt>
                <c:pt idx="71">
                  <c:v>35.431200000000004</c:v>
                </c:pt>
                <c:pt idx="72">
                  <c:v>34.873699999999999</c:v>
                </c:pt>
                <c:pt idx="73">
                  <c:v>34.580599999999997</c:v>
                </c:pt>
                <c:pt idx="74">
                  <c:v>34.098800000000004</c:v>
                </c:pt>
                <c:pt idx="75">
                  <c:v>33.701999999999998</c:v>
                </c:pt>
                <c:pt idx="76">
                  <c:v>33.307700000000004</c:v>
                </c:pt>
                <c:pt idx="77">
                  <c:v>32.933</c:v>
                </c:pt>
                <c:pt idx="78">
                  <c:v>32.522800000000004</c:v>
                </c:pt>
                <c:pt idx="79">
                  <c:v>32.040800000000004</c:v>
                </c:pt>
                <c:pt idx="80">
                  <c:v>31.5457</c:v>
                </c:pt>
                <c:pt idx="81">
                  <c:v>31.055</c:v>
                </c:pt>
                <c:pt idx="82">
                  <c:v>30.642500000000002</c:v>
                </c:pt>
                <c:pt idx="83">
                  <c:v>30.2529</c:v>
                </c:pt>
                <c:pt idx="84">
                  <c:v>29.817900000000002</c:v>
                </c:pt>
                <c:pt idx="85">
                  <c:v>29.408800000000003</c:v>
                </c:pt>
                <c:pt idx="86">
                  <c:v>29.035499999999999</c:v>
                </c:pt>
                <c:pt idx="87">
                  <c:v>28.693200000000001</c:v>
                </c:pt>
                <c:pt idx="88">
                  <c:v>28.307500000000001</c:v>
                </c:pt>
                <c:pt idx="89">
                  <c:v>27.999700000000001</c:v>
                </c:pt>
                <c:pt idx="90">
                  <c:v>27.757100000000001</c:v>
                </c:pt>
                <c:pt idx="91">
                  <c:v>27.539899999999999</c:v>
                </c:pt>
                <c:pt idx="92">
                  <c:v>27.481299999999997</c:v>
                </c:pt>
                <c:pt idx="93">
                  <c:v>27.508899999999997</c:v>
                </c:pt>
                <c:pt idx="94">
                  <c:v>27.6403</c:v>
                </c:pt>
                <c:pt idx="95">
                  <c:v>27.847100000000001</c:v>
                </c:pt>
                <c:pt idx="96">
                  <c:v>28.044400000000003</c:v>
                </c:pt>
                <c:pt idx="97">
                  <c:v>28.183200000000003</c:v>
                </c:pt>
                <c:pt idx="98">
                  <c:v>28.291300000000003</c:v>
                </c:pt>
                <c:pt idx="99">
                  <c:v>28.447600000000001</c:v>
                </c:pt>
                <c:pt idx="100">
                  <c:v>28.624699999999997</c:v>
                </c:pt>
                <c:pt idx="101">
                  <c:v>28.766500000000001</c:v>
                </c:pt>
                <c:pt idx="102">
                  <c:v>28.944300000000002</c:v>
                </c:pt>
                <c:pt idx="103">
                  <c:v>29.139799999999997</c:v>
                </c:pt>
                <c:pt idx="104">
                  <c:v>29.291699999999999</c:v>
                </c:pt>
                <c:pt idx="105">
                  <c:v>29.401699999999998</c:v>
                </c:pt>
                <c:pt idx="106">
                  <c:v>29.524499999999996</c:v>
                </c:pt>
                <c:pt idx="107">
                  <c:v>29.628900000000002</c:v>
                </c:pt>
                <c:pt idx="108">
                  <c:v>29.737599999999997</c:v>
                </c:pt>
                <c:pt idx="109">
                  <c:v>29.804199999999998</c:v>
                </c:pt>
                <c:pt idx="110">
                  <c:v>29.9145</c:v>
                </c:pt>
                <c:pt idx="111">
                  <c:v>30.062200000000001</c:v>
                </c:pt>
                <c:pt idx="112">
                  <c:v>30.1402</c:v>
                </c:pt>
                <c:pt idx="113">
                  <c:v>30.197800000000001</c:v>
                </c:pt>
                <c:pt idx="114">
                  <c:v>30.255900000000004</c:v>
                </c:pt>
                <c:pt idx="115">
                  <c:v>30.456100000000003</c:v>
                </c:pt>
                <c:pt idx="116">
                  <c:v>30.680499999999999</c:v>
                </c:pt>
                <c:pt idx="117">
                  <c:v>30.831299999999999</c:v>
                </c:pt>
                <c:pt idx="118">
                  <c:v>31.013300000000001</c:v>
                </c:pt>
                <c:pt idx="119">
                  <c:v>31.228899999999999</c:v>
                </c:pt>
                <c:pt idx="120">
                  <c:v>31.403700000000001</c:v>
                </c:pt>
                <c:pt idx="121">
                  <c:v>31.467600000000001</c:v>
                </c:pt>
                <c:pt idx="122">
                  <c:v>31.541799999999999</c:v>
                </c:pt>
                <c:pt idx="123">
                  <c:v>31.659399999999998</c:v>
                </c:pt>
                <c:pt idx="124">
                  <c:v>31.6647</c:v>
                </c:pt>
                <c:pt idx="125">
                  <c:v>31.676500000000001</c:v>
                </c:pt>
                <c:pt idx="126">
                  <c:v>31.695600000000002</c:v>
                </c:pt>
                <c:pt idx="127">
                  <c:v>31.675900000000002</c:v>
                </c:pt>
                <c:pt idx="128">
                  <c:v>31.682500000000001</c:v>
                </c:pt>
                <c:pt idx="129">
                  <c:v>31.736999999999998</c:v>
                </c:pt>
                <c:pt idx="130">
                  <c:v>31.8307</c:v>
                </c:pt>
                <c:pt idx="131">
                  <c:v>31.9133</c:v>
                </c:pt>
                <c:pt idx="132">
                  <c:v>31.988899999999997</c:v>
                </c:pt>
                <c:pt idx="133">
                  <c:v>32.057200000000002</c:v>
                </c:pt>
                <c:pt idx="134">
                  <c:v>32.238799999999998</c:v>
                </c:pt>
                <c:pt idx="135">
                  <c:v>32.367100000000001</c:v>
                </c:pt>
                <c:pt idx="136">
                  <c:v>32.461600000000004</c:v>
                </c:pt>
                <c:pt idx="137">
                  <c:v>32.684800000000003</c:v>
                </c:pt>
                <c:pt idx="138">
                  <c:v>32.971299999999999</c:v>
                </c:pt>
                <c:pt idx="139">
                  <c:v>33.301099999999998</c:v>
                </c:pt>
                <c:pt idx="140">
                  <c:v>33.414200000000001</c:v>
                </c:pt>
                <c:pt idx="141">
                  <c:v>33.470700000000001</c:v>
                </c:pt>
                <c:pt idx="142">
                  <c:v>33.607900000000001</c:v>
                </c:pt>
                <c:pt idx="143">
                  <c:v>33.612900000000003</c:v>
                </c:pt>
                <c:pt idx="144">
                  <c:v>33.393099999999997</c:v>
                </c:pt>
                <c:pt idx="145">
                  <c:v>33.148499999999999</c:v>
                </c:pt>
                <c:pt idx="146">
                  <c:v>33.403100000000002</c:v>
                </c:pt>
                <c:pt idx="147">
                  <c:v>33.903700000000001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2.22079</c:v>
                </c:pt>
                <c:pt idx="1">
                  <c:v>2.2955100000000002</c:v>
                </c:pt>
                <c:pt idx="2">
                  <c:v>2.3728799999999999</c:v>
                </c:pt>
                <c:pt idx="3">
                  <c:v>2.4516499999999999</c:v>
                </c:pt>
                <c:pt idx="4">
                  <c:v>2.5338799999999999</c:v>
                </c:pt>
                <c:pt idx="5">
                  <c:v>2.6192599999999997</c:v>
                </c:pt>
                <c:pt idx="6">
                  <c:v>2.70248</c:v>
                </c:pt>
                <c:pt idx="7">
                  <c:v>2.7824900000000001</c:v>
                </c:pt>
                <c:pt idx="8">
                  <c:v>2.8613200000000001</c:v>
                </c:pt>
                <c:pt idx="9">
                  <c:v>2.94394</c:v>
                </c:pt>
                <c:pt idx="10">
                  <c:v>3.02678</c:v>
                </c:pt>
                <c:pt idx="11">
                  <c:v>3.1094599999999999</c:v>
                </c:pt>
                <c:pt idx="12">
                  <c:v>3.1948400000000001</c:v>
                </c:pt>
                <c:pt idx="13">
                  <c:v>3.2812400000000004</c:v>
                </c:pt>
                <c:pt idx="14">
                  <c:v>3.3552200000000001</c:v>
                </c:pt>
                <c:pt idx="15">
                  <c:v>3.4249900000000002</c:v>
                </c:pt>
                <c:pt idx="16">
                  <c:v>3.4935999999999998</c:v>
                </c:pt>
                <c:pt idx="17">
                  <c:v>3.5563099999999999</c:v>
                </c:pt>
                <c:pt idx="18">
                  <c:v>3.6154299999999999</c:v>
                </c:pt>
                <c:pt idx="19">
                  <c:v>3.6761300000000001</c:v>
                </c:pt>
                <c:pt idx="20">
                  <c:v>3.7384499999999998</c:v>
                </c:pt>
                <c:pt idx="21">
                  <c:v>3.7962600000000002</c:v>
                </c:pt>
                <c:pt idx="22">
                  <c:v>3.8504</c:v>
                </c:pt>
                <c:pt idx="23">
                  <c:v>3.8989600000000002</c:v>
                </c:pt>
                <c:pt idx="24">
                  <c:v>3.9422099999999998</c:v>
                </c:pt>
                <c:pt idx="25">
                  <c:v>3.9779399999999998</c:v>
                </c:pt>
                <c:pt idx="26">
                  <c:v>4.0075500000000002</c:v>
                </c:pt>
                <c:pt idx="27">
                  <c:v>4.0327600000000006</c:v>
                </c:pt>
                <c:pt idx="28">
                  <c:v>4.0496400000000001</c:v>
                </c:pt>
                <c:pt idx="29">
                  <c:v>4.0584600000000002</c:v>
                </c:pt>
                <c:pt idx="30">
                  <c:v>4.0616099999999999</c:v>
                </c:pt>
                <c:pt idx="31">
                  <c:v>4.0618100000000004</c:v>
                </c:pt>
                <c:pt idx="32">
                  <c:v>4.0614099999999995</c:v>
                </c:pt>
                <c:pt idx="33">
                  <c:v>4.05802</c:v>
                </c:pt>
                <c:pt idx="34">
                  <c:v>4.0460600000000007</c:v>
                </c:pt>
                <c:pt idx="35">
                  <c:v>4.0273900000000005</c:v>
                </c:pt>
                <c:pt idx="36">
                  <c:v>4.0043899999999999</c:v>
                </c:pt>
                <c:pt idx="37">
                  <c:v>3.9718300000000002</c:v>
                </c:pt>
                <c:pt idx="38">
                  <c:v>3.9337400000000002</c:v>
                </c:pt>
                <c:pt idx="39">
                  <c:v>3.8957599999999997</c:v>
                </c:pt>
                <c:pt idx="40">
                  <c:v>3.8602799999999999</c:v>
                </c:pt>
                <c:pt idx="41">
                  <c:v>3.8262200000000002</c:v>
                </c:pt>
                <c:pt idx="42">
                  <c:v>3.7934000000000001</c:v>
                </c:pt>
                <c:pt idx="43">
                  <c:v>3.7611600000000003</c:v>
                </c:pt>
                <c:pt idx="44">
                  <c:v>3.7278199999999999</c:v>
                </c:pt>
                <c:pt idx="45">
                  <c:v>3.6908999999999996</c:v>
                </c:pt>
                <c:pt idx="46">
                  <c:v>3.6536600000000004</c:v>
                </c:pt>
                <c:pt idx="47">
                  <c:v>3.6145300000000002</c:v>
                </c:pt>
                <c:pt idx="48">
                  <c:v>3.5777700000000001</c:v>
                </c:pt>
                <c:pt idx="49">
                  <c:v>3.5445799999999998</c:v>
                </c:pt>
                <c:pt idx="50">
                  <c:v>3.5209800000000002</c:v>
                </c:pt>
                <c:pt idx="51">
                  <c:v>3.4944199999999999</c:v>
                </c:pt>
                <c:pt idx="52">
                  <c:v>3.4676900000000002</c:v>
                </c:pt>
                <c:pt idx="53">
                  <c:v>3.44584</c:v>
                </c:pt>
                <c:pt idx="54">
                  <c:v>3.4294599999999997</c:v>
                </c:pt>
                <c:pt idx="55">
                  <c:v>3.4135900000000001</c:v>
                </c:pt>
                <c:pt idx="56">
                  <c:v>3.4000000000000004</c:v>
                </c:pt>
                <c:pt idx="57">
                  <c:v>3.3858800000000002</c:v>
                </c:pt>
                <c:pt idx="58">
                  <c:v>3.3765400000000003</c:v>
                </c:pt>
                <c:pt idx="59">
                  <c:v>3.37568</c:v>
                </c:pt>
                <c:pt idx="60">
                  <c:v>3.3715299999999999</c:v>
                </c:pt>
                <c:pt idx="61">
                  <c:v>3.3755200000000003</c:v>
                </c:pt>
                <c:pt idx="62">
                  <c:v>3.3902799999999997</c:v>
                </c:pt>
                <c:pt idx="63">
                  <c:v>3.3960499999999998</c:v>
                </c:pt>
                <c:pt idx="64">
                  <c:v>3.4054600000000002</c:v>
                </c:pt>
                <c:pt idx="65">
                  <c:v>3.41323</c:v>
                </c:pt>
                <c:pt idx="66">
                  <c:v>3.4228999999999998</c:v>
                </c:pt>
                <c:pt idx="67">
                  <c:v>3.43919</c:v>
                </c:pt>
                <c:pt idx="68">
                  <c:v>3.4546700000000001</c:v>
                </c:pt>
                <c:pt idx="69">
                  <c:v>3.4708199999999998</c:v>
                </c:pt>
                <c:pt idx="70">
                  <c:v>3.4869400000000002</c:v>
                </c:pt>
                <c:pt idx="71">
                  <c:v>3.4993800000000004</c:v>
                </c:pt>
                <c:pt idx="72">
                  <c:v>3.5169199999999998</c:v>
                </c:pt>
                <c:pt idx="73">
                  <c:v>3.5306100000000002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53.555100000000003</c:v>
                </c:pt>
                <c:pt idx="1">
                  <c:v>52.590800000000002</c:v>
                </c:pt>
                <c:pt idx="2">
                  <c:v>51.531199999999998</c:v>
                </c:pt>
                <c:pt idx="3">
                  <c:v>50.400599999999997</c:v>
                </c:pt>
                <c:pt idx="4">
                  <c:v>49.002899999999997</c:v>
                </c:pt>
                <c:pt idx="5">
                  <c:v>47.527799999999999</c:v>
                </c:pt>
                <c:pt idx="6">
                  <c:v>46.278100000000002</c:v>
                </c:pt>
                <c:pt idx="7">
                  <c:v>45.352499999999999</c:v>
                </c:pt>
                <c:pt idx="8">
                  <c:v>44.569199999999995</c:v>
                </c:pt>
                <c:pt idx="9">
                  <c:v>43.568400000000004</c:v>
                </c:pt>
                <c:pt idx="10">
                  <c:v>42.424700000000001</c:v>
                </c:pt>
                <c:pt idx="11">
                  <c:v>41.241799999999998</c:v>
                </c:pt>
                <c:pt idx="12">
                  <c:v>39.806100000000001</c:v>
                </c:pt>
                <c:pt idx="13">
                  <c:v>38.336100000000002</c:v>
                </c:pt>
                <c:pt idx="14">
                  <c:v>37.148900000000005</c:v>
                </c:pt>
                <c:pt idx="15">
                  <c:v>36.149500000000003</c:v>
                </c:pt>
                <c:pt idx="16">
                  <c:v>35.406300000000002</c:v>
                </c:pt>
                <c:pt idx="17">
                  <c:v>34.809600000000003</c:v>
                </c:pt>
                <c:pt idx="18">
                  <c:v>34.372999999999998</c:v>
                </c:pt>
                <c:pt idx="19">
                  <c:v>33.928699999999999</c:v>
                </c:pt>
                <c:pt idx="20">
                  <c:v>33.3934</c:v>
                </c:pt>
                <c:pt idx="21">
                  <c:v>32.972099999999998</c:v>
                </c:pt>
                <c:pt idx="22">
                  <c:v>32.5608</c:v>
                </c:pt>
                <c:pt idx="23">
                  <c:v>32.316200000000002</c:v>
                </c:pt>
                <c:pt idx="24">
                  <c:v>32.157200000000003</c:v>
                </c:pt>
                <c:pt idx="25">
                  <c:v>32.1006</c:v>
                </c:pt>
                <c:pt idx="26">
                  <c:v>32.036799999999999</c:v>
                </c:pt>
                <c:pt idx="27">
                  <c:v>31.916099999999997</c:v>
                </c:pt>
                <c:pt idx="28">
                  <c:v>31.7942</c:v>
                </c:pt>
                <c:pt idx="29">
                  <c:v>31.668400000000002</c:v>
                </c:pt>
                <c:pt idx="30">
                  <c:v>31.521999999999998</c:v>
                </c:pt>
                <c:pt idx="31">
                  <c:v>31.3962</c:v>
                </c:pt>
                <c:pt idx="32">
                  <c:v>31.255800000000001</c:v>
                </c:pt>
                <c:pt idx="33">
                  <c:v>31.127300000000002</c:v>
                </c:pt>
                <c:pt idx="34">
                  <c:v>31.0183</c:v>
                </c:pt>
                <c:pt idx="35">
                  <c:v>30.862699999999997</c:v>
                </c:pt>
                <c:pt idx="36">
                  <c:v>30.704700000000003</c:v>
                </c:pt>
                <c:pt idx="37">
                  <c:v>30.612299999999998</c:v>
                </c:pt>
                <c:pt idx="38">
                  <c:v>30.688500000000001</c:v>
                </c:pt>
                <c:pt idx="39">
                  <c:v>30.970799999999997</c:v>
                </c:pt>
                <c:pt idx="40">
                  <c:v>31.341100000000001</c:v>
                </c:pt>
                <c:pt idx="41">
                  <c:v>31.685799999999997</c:v>
                </c:pt>
                <c:pt idx="42">
                  <c:v>31.977599999999999</c:v>
                </c:pt>
                <c:pt idx="43">
                  <c:v>32.210799999999999</c:v>
                </c:pt>
                <c:pt idx="44">
                  <c:v>32.486699999999999</c:v>
                </c:pt>
                <c:pt idx="45">
                  <c:v>32.918500000000002</c:v>
                </c:pt>
                <c:pt idx="46">
                  <c:v>33.42</c:v>
                </c:pt>
                <c:pt idx="47">
                  <c:v>34.0047</c:v>
                </c:pt>
                <c:pt idx="48">
                  <c:v>34.569899999999997</c:v>
                </c:pt>
                <c:pt idx="49">
                  <c:v>35.124300000000005</c:v>
                </c:pt>
                <c:pt idx="50">
                  <c:v>35.537199999999999</c:v>
                </c:pt>
                <c:pt idx="51">
                  <c:v>35.966099999999997</c:v>
                </c:pt>
                <c:pt idx="52">
                  <c:v>36.4589</c:v>
                </c:pt>
                <c:pt idx="53">
                  <c:v>36.801499999999997</c:v>
                </c:pt>
                <c:pt idx="54">
                  <c:v>37.054400000000001</c:v>
                </c:pt>
                <c:pt idx="55">
                  <c:v>37.3431</c:v>
                </c:pt>
                <c:pt idx="56">
                  <c:v>37.645400000000002</c:v>
                </c:pt>
                <c:pt idx="57">
                  <c:v>37.878499999999995</c:v>
                </c:pt>
                <c:pt idx="58">
                  <c:v>38.049399999999999</c:v>
                </c:pt>
                <c:pt idx="59">
                  <c:v>38.067799999999998</c:v>
                </c:pt>
                <c:pt idx="60">
                  <c:v>38.159100000000002</c:v>
                </c:pt>
                <c:pt idx="61">
                  <c:v>38.148700000000005</c:v>
                </c:pt>
                <c:pt idx="62">
                  <c:v>37.934200000000004</c:v>
                </c:pt>
                <c:pt idx="63">
                  <c:v>37.838699999999996</c:v>
                </c:pt>
                <c:pt idx="64">
                  <c:v>37.698700000000002</c:v>
                </c:pt>
                <c:pt idx="65">
                  <c:v>37.533000000000001</c:v>
                </c:pt>
                <c:pt idx="66">
                  <c:v>37.322699999999998</c:v>
                </c:pt>
                <c:pt idx="67">
                  <c:v>36.947899999999997</c:v>
                </c:pt>
                <c:pt idx="68">
                  <c:v>36.596200000000003</c:v>
                </c:pt>
                <c:pt idx="69">
                  <c:v>36.191099999999999</c:v>
                </c:pt>
                <c:pt idx="70">
                  <c:v>35.740699999999997</c:v>
                </c:pt>
                <c:pt idx="71">
                  <c:v>35.431200000000004</c:v>
                </c:pt>
                <c:pt idx="72">
                  <c:v>34.873699999999999</c:v>
                </c:pt>
                <c:pt idx="73">
                  <c:v>34.580599999999997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3.5306100000000002</c:v>
                </c:pt>
                <c:pt idx="1">
                  <c:v>3.5478900000000002</c:v>
                </c:pt>
                <c:pt idx="2">
                  <c:v>3.5623500000000003</c:v>
                </c:pt>
                <c:pt idx="3">
                  <c:v>3.5780499999999997</c:v>
                </c:pt>
                <c:pt idx="4">
                  <c:v>3.5937099999999997</c:v>
                </c:pt>
                <c:pt idx="5">
                  <c:v>3.6106799999999999</c:v>
                </c:pt>
                <c:pt idx="6">
                  <c:v>3.6272100000000003</c:v>
                </c:pt>
                <c:pt idx="7">
                  <c:v>3.6428400000000001</c:v>
                </c:pt>
                <c:pt idx="8">
                  <c:v>3.6572199999999997</c:v>
                </c:pt>
                <c:pt idx="9">
                  <c:v>3.6681300000000001</c:v>
                </c:pt>
                <c:pt idx="10">
                  <c:v>3.67896</c:v>
                </c:pt>
                <c:pt idx="11">
                  <c:v>3.69048</c:v>
                </c:pt>
                <c:pt idx="12">
                  <c:v>3.69956</c:v>
                </c:pt>
                <c:pt idx="13">
                  <c:v>3.7078600000000002</c:v>
                </c:pt>
                <c:pt idx="14">
                  <c:v>3.71549</c:v>
                </c:pt>
                <c:pt idx="15">
                  <c:v>3.72499</c:v>
                </c:pt>
                <c:pt idx="16">
                  <c:v>3.7378499999999999</c:v>
                </c:pt>
                <c:pt idx="17">
                  <c:v>3.7516100000000003</c:v>
                </c:pt>
                <c:pt idx="18">
                  <c:v>3.7640000000000002</c:v>
                </c:pt>
                <c:pt idx="19">
                  <c:v>3.7743500000000001</c:v>
                </c:pt>
                <c:pt idx="20">
                  <c:v>3.7811299999999997</c:v>
                </c:pt>
                <c:pt idx="21">
                  <c:v>3.7834600000000003</c:v>
                </c:pt>
                <c:pt idx="22">
                  <c:v>3.7856099999999997</c:v>
                </c:pt>
                <c:pt idx="23">
                  <c:v>3.7913599999999996</c:v>
                </c:pt>
                <c:pt idx="24">
                  <c:v>3.79705</c:v>
                </c:pt>
                <c:pt idx="25">
                  <c:v>3.8023400000000001</c:v>
                </c:pt>
                <c:pt idx="26">
                  <c:v>3.8053999999999997</c:v>
                </c:pt>
                <c:pt idx="27">
                  <c:v>3.8078499999999997</c:v>
                </c:pt>
                <c:pt idx="28">
                  <c:v>3.8125300000000002</c:v>
                </c:pt>
                <c:pt idx="29">
                  <c:v>3.81515</c:v>
                </c:pt>
                <c:pt idx="30">
                  <c:v>3.8171200000000001</c:v>
                </c:pt>
                <c:pt idx="31">
                  <c:v>3.8187199999999999</c:v>
                </c:pt>
                <c:pt idx="32">
                  <c:v>3.8229800000000003</c:v>
                </c:pt>
                <c:pt idx="33">
                  <c:v>3.8269199999999999</c:v>
                </c:pt>
                <c:pt idx="34">
                  <c:v>3.82884</c:v>
                </c:pt>
                <c:pt idx="35">
                  <c:v>3.82789</c:v>
                </c:pt>
                <c:pt idx="36">
                  <c:v>3.8270900000000001</c:v>
                </c:pt>
                <c:pt idx="37">
                  <c:v>3.82599</c:v>
                </c:pt>
                <c:pt idx="38">
                  <c:v>3.8244299999999996</c:v>
                </c:pt>
                <c:pt idx="39">
                  <c:v>3.8243899999999997</c:v>
                </c:pt>
                <c:pt idx="40">
                  <c:v>3.8277800000000002</c:v>
                </c:pt>
                <c:pt idx="41">
                  <c:v>3.8313100000000002</c:v>
                </c:pt>
                <c:pt idx="42">
                  <c:v>3.8331999999999997</c:v>
                </c:pt>
                <c:pt idx="43">
                  <c:v>3.8348300000000002</c:v>
                </c:pt>
                <c:pt idx="44">
                  <c:v>3.8390300000000002</c:v>
                </c:pt>
                <c:pt idx="45">
                  <c:v>3.8445800000000001</c:v>
                </c:pt>
                <c:pt idx="46">
                  <c:v>3.8506499999999999</c:v>
                </c:pt>
                <c:pt idx="47">
                  <c:v>3.8586</c:v>
                </c:pt>
                <c:pt idx="48">
                  <c:v>3.8701699999999999</c:v>
                </c:pt>
                <c:pt idx="49">
                  <c:v>3.8829099999999999</c:v>
                </c:pt>
                <c:pt idx="50">
                  <c:v>3.89364</c:v>
                </c:pt>
                <c:pt idx="51">
                  <c:v>3.8993499999999996</c:v>
                </c:pt>
                <c:pt idx="52">
                  <c:v>3.9040900000000001</c:v>
                </c:pt>
                <c:pt idx="53">
                  <c:v>3.9070800000000001</c:v>
                </c:pt>
                <c:pt idx="54">
                  <c:v>3.91133</c:v>
                </c:pt>
                <c:pt idx="55">
                  <c:v>3.91439</c:v>
                </c:pt>
                <c:pt idx="56">
                  <c:v>3.9175500000000003</c:v>
                </c:pt>
                <c:pt idx="57">
                  <c:v>3.9195200000000003</c:v>
                </c:pt>
                <c:pt idx="58">
                  <c:v>3.92361</c:v>
                </c:pt>
                <c:pt idx="59">
                  <c:v>3.9326499999999998</c:v>
                </c:pt>
                <c:pt idx="60">
                  <c:v>3.9434000000000005</c:v>
                </c:pt>
                <c:pt idx="61">
                  <c:v>3.9528000000000003</c:v>
                </c:pt>
                <c:pt idx="62">
                  <c:v>3.96428</c:v>
                </c:pt>
                <c:pt idx="63">
                  <c:v>3.97682</c:v>
                </c:pt>
                <c:pt idx="64">
                  <c:v>3.98759</c:v>
                </c:pt>
                <c:pt idx="65">
                  <c:v>3.99254</c:v>
                </c:pt>
                <c:pt idx="66">
                  <c:v>3.9991300000000001</c:v>
                </c:pt>
                <c:pt idx="67">
                  <c:v>4.00861</c:v>
                </c:pt>
                <c:pt idx="68">
                  <c:v>4.0190299999999999</c:v>
                </c:pt>
                <c:pt idx="69">
                  <c:v>4.0256400000000001</c:v>
                </c:pt>
                <c:pt idx="70">
                  <c:v>4.0328400000000002</c:v>
                </c:pt>
                <c:pt idx="71">
                  <c:v>4.0498799999999999</c:v>
                </c:pt>
                <c:pt idx="72">
                  <c:v>4.0660499999999997</c:v>
                </c:pt>
                <c:pt idx="73">
                  <c:v>4.0617599999999996</c:v>
                </c:pt>
                <c:pt idx="74">
                  <c:v>4.0329100000000002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34.580599999999997</c:v>
                </c:pt>
                <c:pt idx="1">
                  <c:v>34.098800000000004</c:v>
                </c:pt>
                <c:pt idx="2">
                  <c:v>33.701999999999998</c:v>
                </c:pt>
                <c:pt idx="3">
                  <c:v>33.307700000000004</c:v>
                </c:pt>
                <c:pt idx="4">
                  <c:v>32.933</c:v>
                </c:pt>
                <c:pt idx="5">
                  <c:v>32.522800000000004</c:v>
                </c:pt>
                <c:pt idx="6">
                  <c:v>32.040800000000004</c:v>
                </c:pt>
                <c:pt idx="7">
                  <c:v>31.5457</c:v>
                </c:pt>
                <c:pt idx="8">
                  <c:v>31.055</c:v>
                </c:pt>
                <c:pt idx="9">
                  <c:v>30.642500000000002</c:v>
                </c:pt>
                <c:pt idx="10">
                  <c:v>30.2529</c:v>
                </c:pt>
                <c:pt idx="11">
                  <c:v>29.817900000000002</c:v>
                </c:pt>
                <c:pt idx="12">
                  <c:v>29.408800000000003</c:v>
                </c:pt>
                <c:pt idx="13">
                  <c:v>29.035499999999999</c:v>
                </c:pt>
                <c:pt idx="14">
                  <c:v>28.693200000000001</c:v>
                </c:pt>
                <c:pt idx="15">
                  <c:v>28.307500000000001</c:v>
                </c:pt>
                <c:pt idx="16">
                  <c:v>27.999700000000001</c:v>
                </c:pt>
                <c:pt idx="17">
                  <c:v>27.757100000000001</c:v>
                </c:pt>
                <c:pt idx="18">
                  <c:v>27.539899999999999</c:v>
                </c:pt>
                <c:pt idx="19">
                  <c:v>27.481299999999997</c:v>
                </c:pt>
                <c:pt idx="20">
                  <c:v>27.508899999999997</c:v>
                </c:pt>
                <c:pt idx="21">
                  <c:v>27.6403</c:v>
                </c:pt>
                <c:pt idx="22">
                  <c:v>27.847100000000001</c:v>
                </c:pt>
                <c:pt idx="23">
                  <c:v>28.044400000000003</c:v>
                </c:pt>
                <c:pt idx="24">
                  <c:v>28.183200000000003</c:v>
                </c:pt>
                <c:pt idx="25">
                  <c:v>28.291300000000003</c:v>
                </c:pt>
                <c:pt idx="26">
                  <c:v>28.447600000000001</c:v>
                </c:pt>
                <c:pt idx="27">
                  <c:v>28.624699999999997</c:v>
                </c:pt>
                <c:pt idx="28">
                  <c:v>28.766500000000001</c:v>
                </c:pt>
                <c:pt idx="29">
                  <c:v>28.944300000000002</c:v>
                </c:pt>
                <c:pt idx="30">
                  <c:v>29.139799999999997</c:v>
                </c:pt>
                <c:pt idx="31">
                  <c:v>29.291699999999999</c:v>
                </c:pt>
                <c:pt idx="32">
                  <c:v>29.401699999999998</c:v>
                </c:pt>
                <c:pt idx="33">
                  <c:v>29.524499999999996</c:v>
                </c:pt>
                <c:pt idx="34">
                  <c:v>29.628900000000002</c:v>
                </c:pt>
                <c:pt idx="35">
                  <c:v>29.737599999999997</c:v>
                </c:pt>
                <c:pt idx="36">
                  <c:v>29.804199999999998</c:v>
                </c:pt>
                <c:pt idx="37">
                  <c:v>29.9145</c:v>
                </c:pt>
                <c:pt idx="38">
                  <c:v>30.062200000000001</c:v>
                </c:pt>
                <c:pt idx="39">
                  <c:v>30.1402</c:v>
                </c:pt>
                <c:pt idx="40">
                  <c:v>30.197800000000001</c:v>
                </c:pt>
                <c:pt idx="41">
                  <c:v>30.255900000000004</c:v>
                </c:pt>
                <c:pt idx="42">
                  <c:v>30.456100000000003</c:v>
                </c:pt>
                <c:pt idx="43">
                  <c:v>30.680499999999999</c:v>
                </c:pt>
                <c:pt idx="44">
                  <c:v>30.831299999999999</c:v>
                </c:pt>
                <c:pt idx="45">
                  <c:v>31.013300000000001</c:v>
                </c:pt>
                <c:pt idx="46">
                  <c:v>31.228899999999999</c:v>
                </c:pt>
                <c:pt idx="47">
                  <c:v>31.403700000000001</c:v>
                </c:pt>
                <c:pt idx="48">
                  <c:v>31.467600000000001</c:v>
                </c:pt>
                <c:pt idx="49">
                  <c:v>31.541799999999999</c:v>
                </c:pt>
                <c:pt idx="50">
                  <c:v>31.659399999999998</c:v>
                </c:pt>
                <c:pt idx="51">
                  <c:v>31.6647</c:v>
                </c:pt>
                <c:pt idx="52">
                  <c:v>31.676500000000001</c:v>
                </c:pt>
                <c:pt idx="53">
                  <c:v>31.695600000000002</c:v>
                </c:pt>
                <c:pt idx="54">
                  <c:v>31.675900000000002</c:v>
                </c:pt>
                <c:pt idx="55">
                  <c:v>31.682500000000001</c:v>
                </c:pt>
                <c:pt idx="56">
                  <c:v>31.736999999999998</c:v>
                </c:pt>
                <c:pt idx="57">
                  <c:v>31.8307</c:v>
                </c:pt>
                <c:pt idx="58">
                  <c:v>31.9133</c:v>
                </c:pt>
                <c:pt idx="59">
                  <c:v>31.988899999999997</c:v>
                </c:pt>
                <c:pt idx="60">
                  <c:v>32.057200000000002</c:v>
                </c:pt>
                <c:pt idx="61">
                  <c:v>32.238799999999998</c:v>
                </c:pt>
                <c:pt idx="62">
                  <c:v>32.367100000000001</c:v>
                </c:pt>
                <c:pt idx="63">
                  <c:v>32.461600000000004</c:v>
                </c:pt>
                <c:pt idx="64">
                  <c:v>32.684800000000003</c:v>
                </c:pt>
                <c:pt idx="65">
                  <c:v>32.971299999999999</c:v>
                </c:pt>
                <c:pt idx="66">
                  <c:v>33.301099999999998</c:v>
                </c:pt>
                <c:pt idx="67">
                  <c:v>33.414200000000001</c:v>
                </c:pt>
                <c:pt idx="68">
                  <c:v>33.470700000000001</c:v>
                </c:pt>
                <c:pt idx="69">
                  <c:v>33.607900000000001</c:v>
                </c:pt>
                <c:pt idx="70">
                  <c:v>33.612900000000003</c:v>
                </c:pt>
                <c:pt idx="71">
                  <c:v>33.393099999999997</c:v>
                </c:pt>
                <c:pt idx="72">
                  <c:v>33.148499999999999</c:v>
                </c:pt>
                <c:pt idx="73">
                  <c:v>33.403100000000002</c:v>
                </c:pt>
                <c:pt idx="74">
                  <c:v>33.903700000000001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2.22079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3.4936047297297304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36.575863513513504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3.8333652702702699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30.807068918918922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3.8333652702702699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30.807068918918922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0.18836027631478555</c:v>
                </c:pt>
                <c:pt idx="1">
                  <c:v>0.29435457265889037</c:v>
                </c:pt>
                <c:pt idx="2">
                  <c:v>0.51728515102632411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0.409663</c:v>
                </c:pt>
                <c:pt idx="2">
                  <c:v>0.81165600000000004</c:v>
                </c:pt>
                <c:pt idx="3">
                  <c:v>1.2193400000000001</c:v>
                </c:pt>
                <c:pt idx="4">
                  <c:v>1.6258699999999999</c:v>
                </c:pt>
                <c:pt idx="5">
                  <c:v>2.03159</c:v>
                </c:pt>
                <c:pt idx="6">
                  <c:v>2.4352499999999999</c:v>
                </c:pt>
                <c:pt idx="7">
                  <c:v>2.8431999999999999</c:v>
                </c:pt>
                <c:pt idx="8">
                  <c:v>3.25305</c:v>
                </c:pt>
                <c:pt idx="9">
                  <c:v>3.6558600000000001</c:v>
                </c:pt>
                <c:pt idx="10">
                  <c:v>4.0580100000000003</c:v>
                </c:pt>
                <c:pt idx="11">
                  <c:v>4.4687000000000001</c:v>
                </c:pt>
                <c:pt idx="12">
                  <c:v>4.8758100000000004</c:v>
                </c:pt>
                <c:pt idx="13">
                  <c:v>5.2805799999999996</c:v>
                </c:pt>
                <c:pt idx="14">
                  <c:v>5.6873800000000001</c:v>
                </c:pt>
                <c:pt idx="15">
                  <c:v>6.0907400000000003</c:v>
                </c:pt>
                <c:pt idx="16">
                  <c:v>6.5012600000000003</c:v>
                </c:pt>
                <c:pt idx="17">
                  <c:v>6.9074</c:v>
                </c:pt>
                <c:pt idx="18">
                  <c:v>7.3150899999999996</c:v>
                </c:pt>
                <c:pt idx="19">
                  <c:v>7.72004</c:v>
                </c:pt>
                <c:pt idx="20">
                  <c:v>8.1272599999999997</c:v>
                </c:pt>
                <c:pt idx="21">
                  <c:v>8.5290700000000008</c:v>
                </c:pt>
                <c:pt idx="22">
                  <c:v>8.9387699999999999</c:v>
                </c:pt>
                <c:pt idx="23">
                  <c:v>9.3448200000000003</c:v>
                </c:pt>
                <c:pt idx="24">
                  <c:v>9.7496299999999998</c:v>
                </c:pt>
                <c:pt idx="25">
                  <c:v>10.1554</c:v>
                </c:pt>
                <c:pt idx="26">
                  <c:v>10.5595</c:v>
                </c:pt>
                <c:pt idx="27">
                  <c:v>10.9648</c:v>
                </c:pt>
                <c:pt idx="28">
                  <c:v>11.375500000000001</c:v>
                </c:pt>
                <c:pt idx="29">
                  <c:v>11.7798</c:v>
                </c:pt>
                <c:pt idx="30">
                  <c:v>12.187099999999999</c:v>
                </c:pt>
                <c:pt idx="31">
                  <c:v>12.5928</c:v>
                </c:pt>
                <c:pt idx="32">
                  <c:v>13.0008</c:v>
                </c:pt>
                <c:pt idx="33">
                  <c:v>13.4056</c:v>
                </c:pt>
                <c:pt idx="34">
                  <c:v>13.8108</c:v>
                </c:pt>
                <c:pt idx="35">
                  <c:v>14.2186</c:v>
                </c:pt>
                <c:pt idx="36">
                  <c:v>14.6265</c:v>
                </c:pt>
                <c:pt idx="37">
                  <c:v>15.0334</c:v>
                </c:pt>
                <c:pt idx="38">
                  <c:v>15.436400000000001</c:v>
                </c:pt>
                <c:pt idx="39">
                  <c:v>15.839700000000001</c:v>
                </c:pt>
                <c:pt idx="40">
                  <c:v>16.251100000000001</c:v>
                </c:pt>
                <c:pt idx="41">
                  <c:v>16.658999999999999</c:v>
                </c:pt>
                <c:pt idx="42">
                  <c:v>17.061</c:v>
                </c:pt>
                <c:pt idx="43">
                  <c:v>17.468900000000001</c:v>
                </c:pt>
                <c:pt idx="44">
                  <c:v>17.8719</c:v>
                </c:pt>
                <c:pt idx="45">
                  <c:v>18.2789</c:v>
                </c:pt>
                <c:pt idx="46">
                  <c:v>18.685199999999998</c:v>
                </c:pt>
                <c:pt idx="47">
                  <c:v>19.090900000000001</c:v>
                </c:pt>
                <c:pt idx="48">
                  <c:v>19.4984</c:v>
                </c:pt>
                <c:pt idx="49">
                  <c:v>19.908000000000001</c:v>
                </c:pt>
                <c:pt idx="50">
                  <c:v>20.314299999999999</c:v>
                </c:pt>
                <c:pt idx="51">
                  <c:v>20.7212</c:v>
                </c:pt>
                <c:pt idx="52">
                  <c:v>21.124199999999998</c:v>
                </c:pt>
                <c:pt idx="53">
                  <c:v>21.529</c:v>
                </c:pt>
                <c:pt idx="54">
                  <c:v>21.9361</c:v>
                </c:pt>
                <c:pt idx="55">
                  <c:v>22.342099999999999</c:v>
                </c:pt>
                <c:pt idx="56">
                  <c:v>22.7498</c:v>
                </c:pt>
                <c:pt idx="57">
                  <c:v>23.1556</c:v>
                </c:pt>
                <c:pt idx="58">
                  <c:v>23.558499999999999</c:v>
                </c:pt>
                <c:pt idx="59">
                  <c:v>23.9678</c:v>
                </c:pt>
                <c:pt idx="60">
                  <c:v>24.374600000000001</c:v>
                </c:pt>
                <c:pt idx="61">
                  <c:v>24.778199999999998</c:v>
                </c:pt>
                <c:pt idx="62">
                  <c:v>25.187200000000001</c:v>
                </c:pt>
                <c:pt idx="63">
                  <c:v>25.59</c:v>
                </c:pt>
                <c:pt idx="64">
                  <c:v>25.997</c:v>
                </c:pt>
                <c:pt idx="65">
                  <c:v>26.407399999999999</c:v>
                </c:pt>
                <c:pt idx="66">
                  <c:v>26.812000000000001</c:v>
                </c:pt>
                <c:pt idx="67">
                  <c:v>27.218900000000001</c:v>
                </c:pt>
                <c:pt idx="68">
                  <c:v>27.622699999999998</c:v>
                </c:pt>
                <c:pt idx="69">
                  <c:v>28.029699999999998</c:v>
                </c:pt>
                <c:pt idx="70">
                  <c:v>28.4376</c:v>
                </c:pt>
                <c:pt idx="71">
                  <c:v>28.843399999999999</c:v>
                </c:pt>
                <c:pt idx="72">
                  <c:v>29.249400000000001</c:v>
                </c:pt>
                <c:pt idx="73">
                  <c:v>29.654399999999999</c:v>
                </c:pt>
                <c:pt idx="74">
                  <c:v>30.061199999999999</c:v>
                </c:pt>
                <c:pt idx="75">
                  <c:v>30.528199999999998</c:v>
                </c:pt>
                <c:pt idx="76">
                  <c:v>30.921399999999998</c:v>
                </c:pt>
                <c:pt idx="77">
                  <c:v>31.323</c:v>
                </c:pt>
                <c:pt idx="78">
                  <c:v>31.735199999999999</c:v>
                </c:pt>
                <c:pt idx="79">
                  <c:v>32.138199999999998</c:v>
                </c:pt>
                <c:pt idx="80">
                  <c:v>32.548099999999998</c:v>
                </c:pt>
                <c:pt idx="81">
                  <c:v>32.950299999999999</c:v>
                </c:pt>
                <c:pt idx="82">
                  <c:v>33.354599999999998</c:v>
                </c:pt>
                <c:pt idx="83">
                  <c:v>33.762799999999999</c:v>
                </c:pt>
                <c:pt idx="84">
                  <c:v>34.174100000000003</c:v>
                </c:pt>
                <c:pt idx="85">
                  <c:v>34.576700000000002</c:v>
                </c:pt>
                <c:pt idx="86">
                  <c:v>34.9803</c:v>
                </c:pt>
                <c:pt idx="87">
                  <c:v>35.391500000000001</c:v>
                </c:pt>
                <c:pt idx="88">
                  <c:v>35.796700000000001</c:v>
                </c:pt>
                <c:pt idx="89">
                  <c:v>36.200200000000002</c:v>
                </c:pt>
                <c:pt idx="90">
                  <c:v>36.610300000000002</c:v>
                </c:pt>
                <c:pt idx="91">
                  <c:v>37.011899999999997</c:v>
                </c:pt>
                <c:pt idx="92">
                  <c:v>37.418999999999997</c:v>
                </c:pt>
                <c:pt idx="93">
                  <c:v>37.8292</c:v>
                </c:pt>
                <c:pt idx="94">
                  <c:v>38.232199999999999</c:v>
                </c:pt>
                <c:pt idx="95">
                  <c:v>38.637500000000003</c:v>
                </c:pt>
                <c:pt idx="96">
                  <c:v>39.044800000000002</c:v>
                </c:pt>
                <c:pt idx="97">
                  <c:v>39.453600000000002</c:v>
                </c:pt>
                <c:pt idx="98">
                  <c:v>39.859499999999997</c:v>
                </c:pt>
                <c:pt idx="99">
                  <c:v>40.263100000000001</c:v>
                </c:pt>
                <c:pt idx="100">
                  <c:v>40.669400000000003</c:v>
                </c:pt>
                <c:pt idx="101">
                  <c:v>41.075200000000002</c:v>
                </c:pt>
                <c:pt idx="102">
                  <c:v>41.487299999999998</c:v>
                </c:pt>
                <c:pt idx="103">
                  <c:v>41.889200000000002</c:v>
                </c:pt>
                <c:pt idx="104">
                  <c:v>42.294899999999998</c:v>
                </c:pt>
                <c:pt idx="105">
                  <c:v>42.7</c:v>
                </c:pt>
                <c:pt idx="106">
                  <c:v>43.1053</c:v>
                </c:pt>
                <c:pt idx="107">
                  <c:v>43.514000000000003</c:v>
                </c:pt>
                <c:pt idx="108">
                  <c:v>43.920499999999997</c:v>
                </c:pt>
                <c:pt idx="109">
                  <c:v>44.326500000000003</c:v>
                </c:pt>
                <c:pt idx="110">
                  <c:v>44.734499999999997</c:v>
                </c:pt>
                <c:pt idx="111">
                  <c:v>45.141399999999997</c:v>
                </c:pt>
                <c:pt idx="112">
                  <c:v>45.549199999999999</c:v>
                </c:pt>
                <c:pt idx="113">
                  <c:v>45.949199999999998</c:v>
                </c:pt>
                <c:pt idx="114">
                  <c:v>46.359099999999998</c:v>
                </c:pt>
                <c:pt idx="115">
                  <c:v>46.7624</c:v>
                </c:pt>
                <c:pt idx="116">
                  <c:v>47.169199999999996</c:v>
                </c:pt>
                <c:pt idx="117">
                  <c:v>47.579799999999999</c:v>
                </c:pt>
                <c:pt idx="118">
                  <c:v>47.985799999999998</c:v>
                </c:pt>
                <c:pt idx="119">
                  <c:v>48.392699999999998</c:v>
                </c:pt>
                <c:pt idx="120">
                  <c:v>48.794600000000003</c:v>
                </c:pt>
                <c:pt idx="121">
                  <c:v>49.201700000000002</c:v>
                </c:pt>
                <c:pt idx="122">
                  <c:v>49.609400000000001</c:v>
                </c:pt>
                <c:pt idx="123">
                  <c:v>50.016300000000001</c:v>
                </c:pt>
                <c:pt idx="124">
                  <c:v>50.421199999999999</c:v>
                </c:pt>
                <c:pt idx="125">
                  <c:v>50.826099999999997</c:v>
                </c:pt>
                <c:pt idx="126">
                  <c:v>51.232300000000002</c:v>
                </c:pt>
                <c:pt idx="127">
                  <c:v>51.641800000000003</c:v>
                </c:pt>
                <c:pt idx="128">
                  <c:v>52.046999999999997</c:v>
                </c:pt>
                <c:pt idx="129">
                  <c:v>52.451799999999999</c:v>
                </c:pt>
                <c:pt idx="130">
                  <c:v>52.856900000000003</c:v>
                </c:pt>
                <c:pt idx="131">
                  <c:v>53.263500000000001</c:v>
                </c:pt>
                <c:pt idx="132">
                  <c:v>53.669699999999999</c:v>
                </c:pt>
                <c:pt idx="133">
                  <c:v>54.078400000000002</c:v>
                </c:pt>
                <c:pt idx="134">
                  <c:v>54.485300000000002</c:v>
                </c:pt>
                <c:pt idx="135">
                  <c:v>54.887700000000002</c:v>
                </c:pt>
                <c:pt idx="136">
                  <c:v>55.294199999999996</c:v>
                </c:pt>
                <c:pt idx="137">
                  <c:v>55.701099999999997</c:v>
                </c:pt>
                <c:pt idx="138">
                  <c:v>56.112200000000001</c:v>
                </c:pt>
                <c:pt idx="139">
                  <c:v>56.5199</c:v>
                </c:pt>
                <c:pt idx="140">
                  <c:v>56.921900000000001</c:v>
                </c:pt>
                <c:pt idx="141">
                  <c:v>57.326900000000002</c:v>
                </c:pt>
                <c:pt idx="142">
                  <c:v>57.734699999999997</c:v>
                </c:pt>
                <c:pt idx="143">
                  <c:v>58.142600000000002</c:v>
                </c:pt>
                <c:pt idx="144">
                  <c:v>58.548400000000001</c:v>
                </c:pt>
                <c:pt idx="145">
                  <c:v>58.952599999999997</c:v>
                </c:pt>
                <c:pt idx="146">
                  <c:v>59.3583</c:v>
                </c:pt>
                <c:pt idx="147">
                  <c:v>59.762599999999999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2.22079</c:v>
                </c:pt>
                <c:pt idx="1">
                  <c:v>2.2955100000000002</c:v>
                </c:pt>
                <c:pt idx="2">
                  <c:v>2.3728799999999999</c:v>
                </c:pt>
                <c:pt idx="3">
                  <c:v>2.4516499999999999</c:v>
                </c:pt>
                <c:pt idx="4">
                  <c:v>2.5338799999999999</c:v>
                </c:pt>
                <c:pt idx="5">
                  <c:v>2.6192599999999997</c:v>
                </c:pt>
                <c:pt idx="6">
                  <c:v>2.70248</c:v>
                </c:pt>
                <c:pt idx="7">
                  <c:v>2.7824900000000001</c:v>
                </c:pt>
                <c:pt idx="8">
                  <c:v>2.8613200000000001</c:v>
                </c:pt>
                <c:pt idx="9">
                  <c:v>2.94394</c:v>
                </c:pt>
                <c:pt idx="10">
                  <c:v>3.02678</c:v>
                </c:pt>
                <c:pt idx="11">
                  <c:v>3.1094599999999999</c:v>
                </c:pt>
                <c:pt idx="12">
                  <c:v>3.1948400000000001</c:v>
                </c:pt>
                <c:pt idx="13">
                  <c:v>3.2812400000000004</c:v>
                </c:pt>
                <c:pt idx="14">
                  <c:v>3.3552200000000001</c:v>
                </c:pt>
                <c:pt idx="15">
                  <c:v>3.4249900000000002</c:v>
                </c:pt>
                <c:pt idx="16">
                  <c:v>3.4935999999999998</c:v>
                </c:pt>
                <c:pt idx="17">
                  <c:v>3.5563099999999999</c:v>
                </c:pt>
                <c:pt idx="18">
                  <c:v>3.6154299999999999</c:v>
                </c:pt>
                <c:pt idx="19">
                  <c:v>3.6761300000000001</c:v>
                </c:pt>
                <c:pt idx="20">
                  <c:v>3.7384499999999998</c:v>
                </c:pt>
                <c:pt idx="21">
                  <c:v>3.7962600000000002</c:v>
                </c:pt>
                <c:pt idx="22">
                  <c:v>3.8504</c:v>
                </c:pt>
                <c:pt idx="23">
                  <c:v>3.8989600000000002</c:v>
                </c:pt>
                <c:pt idx="24">
                  <c:v>3.9422099999999998</c:v>
                </c:pt>
                <c:pt idx="25">
                  <c:v>3.9779399999999998</c:v>
                </c:pt>
                <c:pt idx="26">
                  <c:v>4.0075500000000002</c:v>
                </c:pt>
                <c:pt idx="27">
                  <c:v>4.0327600000000006</c:v>
                </c:pt>
                <c:pt idx="28">
                  <c:v>4.0496400000000001</c:v>
                </c:pt>
                <c:pt idx="29">
                  <c:v>4.0584600000000002</c:v>
                </c:pt>
                <c:pt idx="30">
                  <c:v>4.0616099999999999</c:v>
                </c:pt>
                <c:pt idx="31">
                  <c:v>4.0618100000000004</c:v>
                </c:pt>
                <c:pt idx="32">
                  <c:v>4.0614099999999995</c:v>
                </c:pt>
                <c:pt idx="33">
                  <c:v>4.05802</c:v>
                </c:pt>
                <c:pt idx="34">
                  <c:v>4.0460600000000007</c:v>
                </c:pt>
                <c:pt idx="35">
                  <c:v>4.0273900000000005</c:v>
                </c:pt>
                <c:pt idx="36">
                  <c:v>4.0043899999999999</c:v>
                </c:pt>
                <c:pt idx="37">
                  <c:v>3.9718300000000002</c:v>
                </c:pt>
                <c:pt idx="38">
                  <c:v>3.9337400000000002</c:v>
                </c:pt>
                <c:pt idx="39">
                  <c:v>3.8957599999999997</c:v>
                </c:pt>
                <c:pt idx="40">
                  <c:v>3.8602799999999999</c:v>
                </c:pt>
                <c:pt idx="41">
                  <c:v>3.8262200000000002</c:v>
                </c:pt>
                <c:pt idx="42">
                  <c:v>3.7934000000000001</c:v>
                </c:pt>
                <c:pt idx="43">
                  <c:v>3.7611600000000003</c:v>
                </c:pt>
                <c:pt idx="44">
                  <c:v>3.7278199999999999</c:v>
                </c:pt>
                <c:pt idx="45">
                  <c:v>3.6908999999999996</c:v>
                </c:pt>
                <c:pt idx="46">
                  <c:v>3.6536600000000004</c:v>
                </c:pt>
                <c:pt idx="47">
                  <c:v>3.6145300000000002</c:v>
                </c:pt>
                <c:pt idx="48">
                  <c:v>3.5777700000000001</c:v>
                </c:pt>
                <c:pt idx="49">
                  <c:v>3.5445799999999998</c:v>
                </c:pt>
                <c:pt idx="50">
                  <c:v>3.5209800000000002</c:v>
                </c:pt>
                <c:pt idx="51">
                  <c:v>3.4944199999999999</c:v>
                </c:pt>
                <c:pt idx="52">
                  <c:v>3.4676900000000002</c:v>
                </c:pt>
                <c:pt idx="53">
                  <c:v>3.44584</c:v>
                </c:pt>
                <c:pt idx="54">
                  <c:v>3.4294599999999997</c:v>
                </c:pt>
                <c:pt idx="55">
                  <c:v>3.4135900000000001</c:v>
                </c:pt>
                <c:pt idx="56">
                  <c:v>3.4000000000000004</c:v>
                </c:pt>
                <c:pt idx="57">
                  <c:v>3.3858800000000002</c:v>
                </c:pt>
                <c:pt idx="58">
                  <c:v>3.3765400000000003</c:v>
                </c:pt>
                <c:pt idx="59">
                  <c:v>3.37568</c:v>
                </c:pt>
                <c:pt idx="60">
                  <c:v>3.3715299999999999</c:v>
                </c:pt>
                <c:pt idx="61">
                  <c:v>3.3755200000000003</c:v>
                </c:pt>
                <c:pt idx="62">
                  <c:v>3.3902799999999997</c:v>
                </c:pt>
                <c:pt idx="63">
                  <c:v>3.3960499999999998</c:v>
                </c:pt>
                <c:pt idx="64">
                  <c:v>3.4054600000000002</c:v>
                </c:pt>
                <c:pt idx="65">
                  <c:v>3.41323</c:v>
                </c:pt>
                <c:pt idx="66">
                  <c:v>3.4228999999999998</c:v>
                </c:pt>
                <c:pt idx="67">
                  <c:v>3.43919</c:v>
                </c:pt>
                <c:pt idx="68">
                  <c:v>3.4546700000000001</c:v>
                </c:pt>
                <c:pt idx="69">
                  <c:v>3.4708199999999998</c:v>
                </c:pt>
                <c:pt idx="70">
                  <c:v>3.4869400000000002</c:v>
                </c:pt>
                <c:pt idx="71">
                  <c:v>3.4993800000000004</c:v>
                </c:pt>
                <c:pt idx="72">
                  <c:v>3.5169199999999998</c:v>
                </c:pt>
                <c:pt idx="73">
                  <c:v>3.5306100000000002</c:v>
                </c:pt>
                <c:pt idx="74">
                  <c:v>3.5478900000000002</c:v>
                </c:pt>
                <c:pt idx="75">
                  <c:v>3.5623500000000003</c:v>
                </c:pt>
                <c:pt idx="76">
                  <c:v>3.5780499999999997</c:v>
                </c:pt>
                <c:pt idx="77">
                  <c:v>3.5937099999999997</c:v>
                </c:pt>
                <c:pt idx="78">
                  <c:v>3.6106799999999999</c:v>
                </c:pt>
                <c:pt idx="79">
                  <c:v>3.6272100000000003</c:v>
                </c:pt>
                <c:pt idx="80">
                  <c:v>3.6428400000000001</c:v>
                </c:pt>
                <c:pt idx="81">
                  <c:v>3.6572199999999997</c:v>
                </c:pt>
                <c:pt idx="82">
                  <c:v>3.6681300000000001</c:v>
                </c:pt>
                <c:pt idx="83">
                  <c:v>3.67896</c:v>
                </c:pt>
                <c:pt idx="84">
                  <c:v>3.69048</c:v>
                </c:pt>
                <c:pt idx="85">
                  <c:v>3.69956</c:v>
                </c:pt>
                <c:pt idx="86">
                  <c:v>3.7078600000000002</c:v>
                </c:pt>
                <c:pt idx="87">
                  <c:v>3.71549</c:v>
                </c:pt>
                <c:pt idx="88">
                  <c:v>3.72499</c:v>
                </c:pt>
                <c:pt idx="89">
                  <c:v>3.7378499999999999</c:v>
                </c:pt>
                <c:pt idx="90">
                  <c:v>3.7516100000000003</c:v>
                </c:pt>
                <c:pt idx="91">
                  <c:v>3.7640000000000002</c:v>
                </c:pt>
                <c:pt idx="92">
                  <c:v>3.7743500000000001</c:v>
                </c:pt>
                <c:pt idx="93">
                  <c:v>3.7811299999999997</c:v>
                </c:pt>
                <c:pt idx="94">
                  <c:v>3.7834600000000003</c:v>
                </c:pt>
                <c:pt idx="95">
                  <c:v>3.7856099999999997</c:v>
                </c:pt>
                <c:pt idx="96">
                  <c:v>3.7913599999999996</c:v>
                </c:pt>
                <c:pt idx="97">
                  <c:v>3.79705</c:v>
                </c:pt>
                <c:pt idx="98">
                  <c:v>3.8023400000000001</c:v>
                </c:pt>
                <c:pt idx="99">
                  <c:v>3.8053999999999997</c:v>
                </c:pt>
                <c:pt idx="100">
                  <c:v>3.8078499999999997</c:v>
                </c:pt>
                <c:pt idx="101">
                  <c:v>3.8125300000000002</c:v>
                </c:pt>
                <c:pt idx="102">
                  <c:v>3.81515</c:v>
                </c:pt>
                <c:pt idx="103">
                  <c:v>3.8171200000000001</c:v>
                </c:pt>
                <c:pt idx="104">
                  <c:v>3.8187199999999999</c:v>
                </c:pt>
                <c:pt idx="105">
                  <c:v>3.8229800000000003</c:v>
                </c:pt>
                <c:pt idx="106">
                  <c:v>3.8269199999999999</c:v>
                </c:pt>
                <c:pt idx="107">
                  <c:v>3.82884</c:v>
                </c:pt>
                <c:pt idx="108">
                  <c:v>3.82789</c:v>
                </c:pt>
                <c:pt idx="109">
                  <c:v>3.8270900000000001</c:v>
                </c:pt>
                <c:pt idx="110">
                  <c:v>3.82599</c:v>
                </c:pt>
                <c:pt idx="111">
                  <c:v>3.8244299999999996</c:v>
                </c:pt>
                <c:pt idx="112">
                  <c:v>3.8243899999999997</c:v>
                </c:pt>
                <c:pt idx="113">
                  <c:v>3.8277800000000002</c:v>
                </c:pt>
                <c:pt idx="114">
                  <c:v>3.8313100000000002</c:v>
                </c:pt>
                <c:pt idx="115">
                  <c:v>3.8331999999999997</c:v>
                </c:pt>
                <c:pt idx="116">
                  <c:v>3.8348300000000002</c:v>
                </c:pt>
                <c:pt idx="117">
                  <c:v>3.8390300000000002</c:v>
                </c:pt>
                <c:pt idx="118">
                  <c:v>3.8445800000000001</c:v>
                </c:pt>
                <c:pt idx="119">
                  <c:v>3.8506499999999999</c:v>
                </c:pt>
                <c:pt idx="120">
                  <c:v>3.8586</c:v>
                </c:pt>
                <c:pt idx="121">
                  <c:v>3.8701699999999999</c:v>
                </c:pt>
                <c:pt idx="122">
                  <c:v>3.8829099999999999</c:v>
                </c:pt>
                <c:pt idx="123">
                  <c:v>3.89364</c:v>
                </c:pt>
                <c:pt idx="124">
                  <c:v>3.8993499999999996</c:v>
                </c:pt>
                <c:pt idx="125">
                  <c:v>3.9040900000000001</c:v>
                </c:pt>
                <c:pt idx="126">
                  <c:v>3.9070800000000001</c:v>
                </c:pt>
                <c:pt idx="127">
                  <c:v>3.91133</c:v>
                </c:pt>
                <c:pt idx="128">
                  <c:v>3.91439</c:v>
                </c:pt>
                <c:pt idx="129">
                  <c:v>3.9175500000000003</c:v>
                </c:pt>
                <c:pt idx="130">
                  <c:v>3.9195200000000003</c:v>
                </c:pt>
                <c:pt idx="131">
                  <c:v>3.92361</c:v>
                </c:pt>
                <c:pt idx="132">
                  <c:v>3.9326499999999998</c:v>
                </c:pt>
                <c:pt idx="133">
                  <c:v>3.9434000000000005</c:v>
                </c:pt>
                <c:pt idx="134">
                  <c:v>3.9528000000000003</c:v>
                </c:pt>
                <c:pt idx="135">
                  <c:v>3.96428</c:v>
                </c:pt>
                <c:pt idx="136">
                  <c:v>3.97682</c:v>
                </c:pt>
                <c:pt idx="137">
                  <c:v>3.98759</c:v>
                </c:pt>
                <c:pt idx="138">
                  <c:v>3.99254</c:v>
                </c:pt>
                <c:pt idx="139">
                  <c:v>3.9991300000000001</c:v>
                </c:pt>
                <c:pt idx="140">
                  <c:v>4.00861</c:v>
                </c:pt>
                <c:pt idx="141">
                  <c:v>4.0190299999999999</c:v>
                </c:pt>
                <c:pt idx="142">
                  <c:v>4.0256400000000001</c:v>
                </c:pt>
                <c:pt idx="143">
                  <c:v>4.0328400000000002</c:v>
                </c:pt>
                <c:pt idx="144">
                  <c:v>4.0498799999999999</c:v>
                </c:pt>
                <c:pt idx="145">
                  <c:v>4.0660499999999997</c:v>
                </c:pt>
                <c:pt idx="146">
                  <c:v>4.0617599999999996</c:v>
                </c:pt>
                <c:pt idx="147">
                  <c:v>4.0329100000000002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0.409663</c:v>
                </c:pt>
                <c:pt idx="2">
                  <c:v>0.81165600000000004</c:v>
                </c:pt>
                <c:pt idx="3">
                  <c:v>1.2193400000000001</c:v>
                </c:pt>
                <c:pt idx="4">
                  <c:v>1.6258699999999999</c:v>
                </c:pt>
                <c:pt idx="5">
                  <c:v>2.03159</c:v>
                </c:pt>
                <c:pt idx="6">
                  <c:v>2.4352499999999999</c:v>
                </c:pt>
                <c:pt idx="7">
                  <c:v>2.8431999999999999</c:v>
                </c:pt>
                <c:pt idx="8">
                  <c:v>3.25305</c:v>
                </c:pt>
                <c:pt idx="9">
                  <c:v>3.6558600000000001</c:v>
                </c:pt>
                <c:pt idx="10">
                  <c:v>4.0580100000000003</c:v>
                </c:pt>
                <c:pt idx="11">
                  <c:v>4.4687000000000001</c:v>
                </c:pt>
                <c:pt idx="12">
                  <c:v>4.8758100000000004</c:v>
                </c:pt>
                <c:pt idx="13">
                  <c:v>5.2805799999999996</c:v>
                </c:pt>
                <c:pt idx="14">
                  <c:v>5.6873800000000001</c:v>
                </c:pt>
                <c:pt idx="15">
                  <c:v>6.0907400000000003</c:v>
                </c:pt>
                <c:pt idx="16">
                  <c:v>6.5012600000000003</c:v>
                </c:pt>
                <c:pt idx="17">
                  <c:v>6.9074</c:v>
                </c:pt>
                <c:pt idx="18">
                  <c:v>7.3150899999999996</c:v>
                </c:pt>
                <c:pt idx="19">
                  <c:v>7.72004</c:v>
                </c:pt>
                <c:pt idx="20">
                  <c:v>8.1272599999999997</c:v>
                </c:pt>
                <c:pt idx="21">
                  <c:v>8.5290700000000008</c:v>
                </c:pt>
                <c:pt idx="22">
                  <c:v>8.9387699999999999</c:v>
                </c:pt>
                <c:pt idx="23">
                  <c:v>9.3448200000000003</c:v>
                </c:pt>
                <c:pt idx="24">
                  <c:v>9.7496299999999998</c:v>
                </c:pt>
                <c:pt idx="25">
                  <c:v>10.1554</c:v>
                </c:pt>
                <c:pt idx="26">
                  <c:v>10.5595</c:v>
                </c:pt>
                <c:pt idx="27">
                  <c:v>10.9648</c:v>
                </c:pt>
                <c:pt idx="28">
                  <c:v>11.375500000000001</c:v>
                </c:pt>
                <c:pt idx="29">
                  <c:v>11.7798</c:v>
                </c:pt>
                <c:pt idx="30">
                  <c:v>12.187099999999999</c:v>
                </c:pt>
                <c:pt idx="31">
                  <c:v>12.5928</c:v>
                </c:pt>
                <c:pt idx="32">
                  <c:v>13.0008</c:v>
                </c:pt>
                <c:pt idx="33">
                  <c:v>13.4056</c:v>
                </c:pt>
                <c:pt idx="34">
                  <c:v>13.8108</c:v>
                </c:pt>
                <c:pt idx="35">
                  <c:v>14.2186</c:v>
                </c:pt>
                <c:pt idx="36">
                  <c:v>14.6265</c:v>
                </c:pt>
                <c:pt idx="37">
                  <c:v>15.0334</c:v>
                </c:pt>
                <c:pt idx="38">
                  <c:v>15.436400000000001</c:v>
                </c:pt>
                <c:pt idx="39">
                  <c:v>15.839700000000001</c:v>
                </c:pt>
                <c:pt idx="40">
                  <c:v>16.251100000000001</c:v>
                </c:pt>
                <c:pt idx="41">
                  <c:v>16.658999999999999</c:v>
                </c:pt>
                <c:pt idx="42">
                  <c:v>17.061</c:v>
                </c:pt>
                <c:pt idx="43">
                  <c:v>17.468900000000001</c:v>
                </c:pt>
                <c:pt idx="44">
                  <c:v>17.8719</c:v>
                </c:pt>
                <c:pt idx="45">
                  <c:v>18.2789</c:v>
                </c:pt>
                <c:pt idx="46">
                  <c:v>18.685199999999998</c:v>
                </c:pt>
                <c:pt idx="47">
                  <c:v>19.090900000000001</c:v>
                </c:pt>
                <c:pt idx="48">
                  <c:v>19.4984</c:v>
                </c:pt>
                <c:pt idx="49">
                  <c:v>19.908000000000001</c:v>
                </c:pt>
                <c:pt idx="50">
                  <c:v>20.314299999999999</c:v>
                </c:pt>
                <c:pt idx="51">
                  <c:v>20.7212</c:v>
                </c:pt>
                <c:pt idx="52">
                  <c:v>21.124199999999998</c:v>
                </c:pt>
                <c:pt idx="53">
                  <c:v>21.529</c:v>
                </c:pt>
                <c:pt idx="54">
                  <c:v>21.9361</c:v>
                </c:pt>
                <c:pt idx="55">
                  <c:v>22.342099999999999</c:v>
                </c:pt>
                <c:pt idx="56">
                  <c:v>22.7498</c:v>
                </c:pt>
                <c:pt idx="57">
                  <c:v>23.1556</c:v>
                </c:pt>
                <c:pt idx="58">
                  <c:v>23.558499999999999</c:v>
                </c:pt>
                <c:pt idx="59">
                  <c:v>23.9678</c:v>
                </c:pt>
                <c:pt idx="60">
                  <c:v>24.374600000000001</c:v>
                </c:pt>
                <c:pt idx="61">
                  <c:v>24.778199999999998</c:v>
                </c:pt>
                <c:pt idx="62">
                  <c:v>25.187200000000001</c:v>
                </c:pt>
                <c:pt idx="63">
                  <c:v>25.59</c:v>
                </c:pt>
                <c:pt idx="64">
                  <c:v>25.997</c:v>
                </c:pt>
                <c:pt idx="65">
                  <c:v>26.407399999999999</c:v>
                </c:pt>
                <c:pt idx="66">
                  <c:v>26.812000000000001</c:v>
                </c:pt>
                <c:pt idx="67">
                  <c:v>27.218900000000001</c:v>
                </c:pt>
                <c:pt idx="68">
                  <c:v>27.622699999999998</c:v>
                </c:pt>
                <c:pt idx="69">
                  <c:v>28.029699999999998</c:v>
                </c:pt>
                <c:pt idx="70">
                  <c:v>28.4376</c:v>
                </c:pt>
                <c:pt idx="71">
                  <c:v>28.843399999999999</c:v>
                </c:pt>
                <c:pt idx="72">
                  <c:v>29.249400000000001</c:v>
                </c:pt>
                <c:pt idx="73">
                  <c:v>29.654399999999999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2.22079</c:v>
                </c:pt>
                <c:pt idx="1">
                  <c:v>2.2955100000000002</c:v>
                </c:pt>
                <c:pt idx="2">
                  <c:v>2.3728799999999999</c:v>
                </c:pt>
                <c:pt idx="3">
                  <c:v>2.4516499999999999</c:v>
                </c:pt>
                <c:pt idx="4">
                  <c:v>2.5338799999999999</c:v>
                </c:pt>
                <c:pt idx="5">
                  <c:v>2.6192599999999997</c:v>
                </c:pt>
                <c:pt idx="6">
                  <c:v>2.70248</c:v>
                </c:pt>
                <c:pt idx="7">
                  <c:v>2.7824900000000001</c:v>
                </c:pt>
                <c:pt idx="8">
                  <c:v>2.8613200000000001</c:v>
                </c:pt>
                <c:pt idx="9">
                  <c:v>2.94394</c:v>
                </c:pt>
                <c:pt idx="10">
                  <c:v>3.02678</c:v>
                </c:pt>
                <c:pt idx="11">
                  <c:v>3.1094599999999999</c:v>
                </c:pt>
                <c:pt idx="12">
                  <c:v>3.1948400000000001</c:v>
                </c:pt>
                <c:pt idx="13">
                  <c:v>3.2812400000000004</c:v>
                </c:pt>
                <c:pt idx="14">
                  <c:v>3.3552200000000001</c:v>
                </c:pt>
                <c:pt idx="15">
                  <c:v>3.4249900000000002</c:v>
                </c:pt>
                <c:pt idx="16">
                  <c:v>3.4935999999999998</c:v>
                </c:pt>
                <c:pt idx="17">
                  <c:v>3.5563099999999999</c:v>
                </c:pt>
                <c:pt idx="18">
                  <c:v>3.6154299999999999</c:v>
                </c:pt>
                <c:pt idx="19">
                  <c:v>3.6761300000000001</c:v>
                </c:pt>
                <c:pt idx="20">
                  <c:v>3.7384499999999998</c:v>
                </c:pt>
                <c:pt idx="21">
                  <c:v>3.7962600000000002</c:v>
                </c:pt>
                <c:pt idx="22">
                  <c:v>3.8504</c:v>
                </c:pt>
                <c:pt idx="23">
                  <c:v>3.8989600000000002</c:v>
                </c:pt>
                <c:pt idx="24">
                  <c:v>3.9422099999999998</c:v>
                </c:pt>
                <c:pt idx="25">
                  <c:v>3.9779399999999998</c:v>
                </c:pt>
                <c:pt idx="26">
                  <c:v>4.0075500000000002</c:v>
                </c:pt>
                <c:pt idx="27">
                  <c:v>4.0327600000000006</c:v>
                </c:pt>
                <c:pt idx="28">
                  <c:v>4.0496400000000001</c:v>
                </c:pt>
                <c:pt idx="29">
                  <c:v>4.0584600000000002</c:v>
                </c:pt>
                <c:pt idx="30">
                  <c:v>4.0616099999999999</c:v>
                </c:pt>
                <c:pt idx="31">
                  <c:v>4.0618100000000004</c:v>
                </c:pt>
                <c:pt idx="32">
                  <c:v>4.0614099999999995</c:v>
                </c:pt>
                <c:pt idx="33">
                  <c:v>4.05802</c:v>
                </c:pt>
                <c:pt idx="34">
                  <c:v>4.0460600000000007</c:v>
                </c:pt>
                <c:pt idx="35">
                  <c:v>4.0273900000000005</c:v>
                </c:pt>
                <c:pt idx="36">
                  <c:v>4.0043899999999999</c:v>
                </c:pt>
                <c:pt idx="37">
                  <c:v>3.9718300000000002</c:v>
                </c:pt>
                <c:pt idx="38">
                  <c:v>3.9337400000000002</c:v>
                </c:pt>
                <c:pt idx="39">
                  <c:v>3.8957599999999997</c:v>
                </c:pt>
                <c:pt idx="40">
                  <c:v>3.8602799999999999</c:v>
                </c:pt>
                <c:pt idx="41">
                  <c:v>3.8262200000000002</c:v>
                </c:pt>
                <c:pt idx="42">
                  <c:v>3.7934000000000001</c:v>
                </c:pt>
                <c:pt idx="43">
                  <c:v>3.7611600000000003</c:v>
                </c:pt>
                <c:pt idx="44">
                  <c:v>3.7278199999999999</c:v>
                </c:pt>
                <c:pt idx="45">
                  <c:v>3.6908999999999996</c:v>
                </c:pt>
                <c:pt idx="46">
                  <c:v>3.6536600000000004</c:v>
                </c:pt>
                <c:pt idx="47">
                  <c:v>3.6145300000000002</c:v>
                </c:pt>
                <c:pt idx="48">
                  <c:v>3.5777700000000001</c:v>
                </c:pt>
                <c:pt idx="49">
                  <c:v>3.5445799999999998</c:v>
                </c:pt>
                <c:pt idx="50">
                  <c:v>3.5209800000000002</c:v>
                </c:pt>
                <c:pt idx="51">
                  <c:v>3.4944199999999999</c:v>
                </c:pt>
                <c:pt idx="52">
                  <c:v>3.4676900000000002</c:v>
                </c:pt>
                <c:pt idx="53">
                  <c:v>3.44584</c:v>
                </c:pt>
                <c:pt idx="54">
                  <c:v>3.4294599999999997</c:v>
                </c:pt>
                <c:pt idx="55">
                  <c:v>3.4135900000000001</c:v>
                </c:pt>
                <c:pt idx="56">
                  <c:v>3.4000000000000004</c:v>
                </c:pt>
                <c:pt idx="57">
                  <c:v>3.3858800000000002</c:v>
                </c:pt>
                <c:pt idx="58">
                  <c:v>3.3765400000000003</c:v>
                </c:pt>
                <c:pt idx="59">
                  <c:v>3.37568</c:v>
                </c:pt>
                <c:pt idx="60">
                  <c:v>3.3715299999999999</c:v>
                </c:pt>
                <c:pt idx="61">
                  <c:v>3.3755200000000003</c:v>
                </c:pt>
                <c:pt idx="62">
                  <c:v>3.3902799999999997</c:v>
                </c:pt>
                <c:pt idx="63">
                  <c:v>3.3960499999999998</c:v>
                </c:pt>
                <c:pt idx="64">
                  <c:v>3.4054600000000002</c:v>
                </c:pt>
                <c:pt idx="65">
                  <c:v>3.41323</c:v>
                </c:pt>
                <c:pt idx="66">
                  <c:v>3.4228999999999998</c:v>
                </c:pt>
                <c:pt idx="67">
                  <c:v>3.43919</c:v>
                </c:pt>
                <c:pt idx="68">
                  <c:v>3.4546700000000001</c:v>
                </c:pt>
                <c:pt idx="69">
                  <c:v>3.4708199999999998</c:v>
                </c:pt>
                <c:pt idx="70">
                  <c:v>3.4869400000000002</c:v>
                </c:pt>
                <c:pt idx="71">
                  <c:v>3.4993800000000004</c:v>
                </c:pt>
                <c:pt idx="72">
                  <c:v>3.5169199999999998</c:v>
                </c:pt>
                <c:pt idx="73">
                  <c:v>3.5306100000000002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29.654399999999999</c:v>
                </c:pt>
                <c:pt idx="1">
                  <c:v>30.061199999999999</c:v>
                </c:pt>
                <c:pt idx="2">
                  <c:v>30.528199999999998</c:v>
                </c:pt>
                <c:pt idx="3">
                  <c:v>30.921399999999998</c:v>
                </c:pt>
                <c:pt idx="4">
                  <c:v>31.323</c:v>
                </c:pt>
                <c:pt idx="5">
                  <c:v>31.735199999999999</c:v>
                </c:pt>
                <c:pt idx="6">
                  <c:v>32.138199999999998</c:v>
                </c:pt>
                <c:pt idx="7">
                  <c:v>32.548099999999998</c:v>
                </c:pt>
                <c:pt idx="8">
                  <c:v>32.950299999999999</c:v>
                </c:pt>
                <c:pt idx="9">
                  <c:v>33.354599999999998</c:v>
                </c:pt>
                <c:pt idx="10">
                  <c:v>33.762799999999999</c:v>
                </c:pt>
                <c:pt idx="11">
                  <c:v>34.174100000000003</c:v>
                </c:pt>
                <c:pt idx="12">
                  <c:v>34.576700000000002</c:v>
                </c:pt>
                <c:pt idx="13">
                  <c:v>34.9803</c:v>
                </c:pt>
                <c:pt idx="14">
                  <c:v>35.391500000000001</c:v>
                </c:pt>
                <c:pt idx="15">
                  <c:v>35.796700000000001</c:v>
                </c:pt>
                <c:pt idx="16">
                  <c:v>36.200200000000002</c:v>
                </c:pt>
                <c:pt idx="17">
                  <c:v>36.610300000000002</c:v>
                </c:pt>
                <c:pt idx="18">
                  <c:v>37.011899999999997</c:v>
                </c:pt>
                <c:pt idx="19">
                  <c:v>37.418999999999997</c:v>
                </c:pt>
                <c:pt idx="20">
                  <c:v>37.8292</c:v>
                </c:pt>
                <c:pt idx="21">
                  <c:v>38.232199999999999</c:v>
                </c:pt>
                <c:pt idx="22">
                  <c:v>38.637500000000003</c:v>
                </c:pt>
                <c:pt idx="23">
                  <c:v>39.044800000000002</c:v>
                </c:pt>
                <c:pt idx="24">
                  <c:v>39.453600000000002</c:v>
                </c:pt>
                <c:pt idx="25">
                  <c:v>39.859499999999997</c:v>
                </c:pt>
                <c:pt idx="26">
                  <c:v>40.263100000000001</c:v>
                </c:pt>
                <c:pt idx="27">
                  <c:v>40.669400000000003</c:v>
                </c:pt>
                <c:pt idx="28">
                  <c:v>41.075200000000002</c:v>
                </c:pt>
                <c:pt idx="29">
                  <c:v>41.487299999999998</c:v>
                </c:pt>
                <c:pt idx="30">
                  <c:v>41.889200000000002</c:v>
                </c:pt>
                <c:pt idx="31">
                  <c:v>42.294899999999998</c:v>
                </c:pt>
                <c:pt idx="32">
                  <c:v>42.7</c:v>
                </c:pt>
                <c:pt idx="33">
                  <c:v>43.1053</c:v>
                </c:pt>
                <c:pt idx="34">
                  <c:v>43.514000000000003</c:v>
                </c:pt>
                <c:pt idx="35">
                  <c:v>43.920499999999997</c:v>
                </c:pt>
                <c:pt idx="36">
                  <c:v>44.326500000000003</c:v>
                </c:pt>
                <c:pt idx="37">
                  <c:v>44.734499999999997</c:v>
                </c:pt>
                <c:pt idx="38">
                  <c:v>45.141399999999997</c:v>
                </c:pt>
                <c:pt idx="39">
                  <c:v>45.549199999999999</c:v>
                </c:pt>
                <c:pt idx="40">
                  <c:v>45.949199999999998</c:v>
                </c:pt>
                <c:pt idx="41">
                  <c:v>46.359099999999998</c:v>
                </c:pt>
                <c:pt idx="42">
                  <c:v>46.7624</c:v>
                </c:pt>
                <c:pt idx="43">
                  <c:v>47.169199999999996</c:v>
                </c:pt>
                <c:pt idx="44">
                  <c:v>47.579799999999999</c:v>
                </c:pt>
                <c:pt idx="45">
                  <c:v>47.985799999999998</c:v>
                </c:pt>
                <c:pt idx="46">
                  <c:v>48.392699999999998</c:v>
                </c:pt>
                <c:pt idx="47">
                  <c:v>48.794600000000003</c:v>
                </c:pt>
                <c:pt idx="48">
                  <c:v>49.201700000000002</c:v>
                </c:pt>
                <c:pt idx="49">
                  <c:v>49.609400000000001</c:v>
                </c:pt>
                <c:pt idx="50">
                  <c:v>50.016300000000001</c:v>
                </c:pt>
                <c:pt idx="51">
                  <c:v>50.421199999999999</c:v>
                </c:pt>
                <c:pt idx="52">
                  <c:v>50.826099999999997</c:v>
                </c:pt>
                <c:pt idx="53">
                  <c:v>51.232300000000002</c:v>
                </c:pt>
                <c:pt idx="54">
                  <c:v>51.641800000000003</c:v>
                </c:pt>
                <c:pt idx="55">
                  <c:v>52.046999999999997</c:v>
                </c:pt>
                <c:pt idx="56">
                  <c:v>52.451799999999999</c:v>
                </c:pt>
                <c:pt idx="57">
                  <c:v>52.856900000000003</c:v>
                </c:pt>
                <c:pt idx="58">
                  <c:v>53.263500000000001</c:v>
                </c:pt>
                <c:pt idx="59">
                  <c:v>53.669699999999999</c:v>
                </c:pt>
                <c:pt idx="60">
                  <c:v>54.078400000000002</c:v>
                </c:pt>
                <c:pt idx="61">
                  <c:v>54.485300000000002</c:v>
                </c:pt>
                <c:pt idx="62">
                  <c:v>54.887700000000002</c:v>
                </c:pt>
                <c:pt idx="63">
                  <c:v>55.294199999999996</c:v>
                </c:pt>
                <c:pt idx="64">
                  <c:v>55.701099999999997</c:v>
                </c:pt>
                <c:pt idx="65">
                  <c:v>56.112200000000001</c:v>
                </c:pt>
                <c:pt idx="66">
                  <c:v>56.5199</c:v>
                </c:pt>
                <c:pt idx="67">
                  <c:v>56.921900000000001</c:v>
                </c:pt>
                <c:pt idx="68">
                  <c:v>57.326900000000002</c:v>
                </c:pt>
                <c:pt idx="69">
                  <c:v>57.734699999999997</c:v>
                </c:pt>
                <c:pt idx="70">
                  <c:v>58.142600000000002</c:v>
                </c:pt>
                <c:pt idx="71">
                  <c:v>58.548400000000001</c:v>
                </c:pt>
                <c:pt idx="72">
                  <c:v>58.952599999999997</c:v>
                </c:pt>
                <c:pt idx="73">
                  <c:v>59.3583</c:v>
                </c:pt>
                <c:pt idx="74">
                  <c:v>59.762599999999999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3.5306100000000002</c:v>
                </c:pt>
                <c:pt idx="1">
                  <c:v>3.5478900000000002</c:v>
                </c:pt>
                <c:pt idx="2">
                  <c:v>3.5623500000000003</c:v>
                </c:pt>
                <c:pt idx="3">
                  <c:v>3.5780499999999997</c:v>
                </c:pt>
                <c:pt idx="4">
                  <c:v>3.5937099999999997</c:v>
                </c:pt>
                <c:pt idx="5">
                  <c:v>3.6106799999999999</c:v>
                </c:pt>
                <c:pt idx="6">
                  <c:v>3.6272100000000003</c:v>
                </c:pt>
                <c:pt idx="7">
                  <c:v>3.6428400000000001</c:v>
                </c:pt>
                <c:pt idx="8">
                  <c:v>3.6572199999999997</c:v>
                </c:pt>
                <c:pt idx="9">
                  <c:v>3.6681300000000001</c:v>
                </c:pt>
                <c:pt idx="10">
                  <c:v>3.67896</c:v>
                </c:pt>
                <c:pt idx="11">
                  <c:v>3.69048</c:v>
                </c:pt>
                <c:pt idx="12">
                  <c:v>3.69956</c:v>
                </c:pt>
                <c:pt idx="13">
                  <c:v>3.7078600000000002</c:v>
                </c:pt>
                <c:pt idx="14">
                  <c:v>3.71549</c:v>
                </c:pt>
                <c:pt idx="15">
                  <c:v>3.72499</c:v>
                </c:pt>
                <c:pt idx="16">
                  <c:v>3.7378499999999999</c:v>
                </c:pt>
                <c:pt idx="17">
                  <c:v>3.7516100000000003</c:v>
                </c:pt>
                <c:pt idx="18">
                  <c:v>3.7640000000000002</c:v>
                </c:pt>
                <c:pt idx="19">
                  <c:v>3.7743500000000001</c:v>
                </c:pt>
                <c:pt idx="20">
                  <c:v>3.7811299999999997</c:v>
                </c:pt>
                <c:pt idx="21">
                  <c:v>3.7834600000000003</c:v>
                </c:pt>
                <c:pt idx="22">
                  <c:v>3.7856099999999997</c:v>
                </c:pt>
                <c:pt idx="23">
                  <c:v>3.7913599999999996</c:v>
                </c:pt>
                <c:pt idx="24">
                  <c:v>3.79705</c:v>
                </c:pt>
                <c:pt idx="25">
                  <c:v>3.8023400000000001</c:v>
                </c:pt>
                <c:pt idx="26">
                  <c:v>3.8053999999999997</c:v>
                </c:pt>
                <c:pt idx="27">
                  <c:v>3.8078499999999997</c:v>
                </c:pt>
                <c:pt idx="28">
                  <c:v>3.8125300000000002</c:v>
                </c:pt>
                <c:pt idx="29">
                  <c:v>3.81515</c:v>
                </c:pt>
                <c:pt idx="30">
                  <c:v>3.8171200000000001</c:v>
                </c:pt>
                <c:pt idx="31">
                  <c:v>3.8187199999999999</c:v>
                </c:pt>
                <c:pt idx="32">
                  <c:v>3.8229800000000003</c:v>
                </c:pt>
                <c:pt idx="33">
                  <c:v>3.8269199999999999</c:v>
                </c:pt>
                <c:pt idx="34">
                  <c:v>3.82884</c:v>
                </c:pt>
                <c:pt idx="35">
                  <c:v>3.82789</c:v>
                </c:pt>
                <c:pt idx="36">
                  <c:v>3.8270900000000001</c:v>
                </c:pt>
                <c:pt idx="37">
                  <c:v>3.82599</c:v>
                </c:pt>
                <c:pt idx="38">
                  <c:v>3.8244299999999996</c:v>
                </c:pt>
                <c:pt idx="39">
                  <c:v>3.8243899999999997</c:v>
                </c:pt>
                <c:pt idx="40">
                  <c:v>3.8277800000000002</c:v>
                </c:pt>
                <c:pt idx="41">
                  <c:v>3.8313100000000002</c:v>
                </c:pt>
                <c:pt idx="42">
                  <c:v>3.8331999999999997</c:v>
                </c:pt>
                <c:pt idx="43">
                  <c:v>3.8348300000000002</c:v>
                </c:pt>
                <c:pt idx="44">
                  <c:v>3.8390300000000002</c:v>
                </c:pt>
                <c:pt idx="45">
                  <c:v>3.8445800000000001</c:v>
                </c:pt>
                <c:pt idx="46">
                  <c:v>3.8506499999999999</c:v>
                </c:pt>
                <c:pt idx="47">
                  <c:v>3.8586</c:v>
                </c:pt>
                <c:pt idx="48">
                  <c:v>3.8701699999999999</c:v>
                </c:pt>
                <c:pt idx="49">
                  <c:v>3.8829099999999999</c:v>
                </c:pt>
                <c:pt idx="50">
                  <c:v>3.89364</c:v>
                </c:pt>
                <c:pt idx="51">
                  <c:v>3.8993499999999996</c:v>
                </c:pt>
                <c:pt idx="52">
                  <c:v>3.9040900000000001</c:v>
                </c:pt>
                <c:pt idx="53">
                  <c:v>3.9070800000000001</c:v>
                </c:pt>
                <c:pt idx="54">
                  <c:v>3.91133</c:v>
                </c:pt>
                <c:pt idx="55">
                  <c:v>3.91439</c:v>
                </c:pt>
                <c:pt idx="56">
                  <c:v>3.9175500000000003</c:v>
                </c:pt>
                <c:pt idx="57">
                  <c:v>3.9195200000000003</c:v>
                </c:pt>
                <c:pt idx="58">
                  <c:v>3.92361</c:v>
                </c:pt>
                <c:pt idx="59">
                  <c:v>3.9326499999999998</c:v>
                </c:pt>
                <c:pt idx="60">
                  <c:v>3.9434000000000005</c:v>
                </c:pt>
                <c:pt idx="61">
                  <c:v>3.9528000000000003</c:v>
                </c:pt>
                <c:pt idx="62">
                  <c:v>3.96428</c:v>
                </c:pt>
                <c:pt idx="63">
                  <c:v>3.97682</c:v>
                </c:pt>
                <c:pt idx="64">
                  <c:v>3.98759</c:v>
                </c:pt>
                <c:pt idx="65">
                  <c:v>3.99254</c:v>
                </c:pt>
                <c:pt idx="66">
                  <c:v>3.9991300000000001</c:v>
                </c:pt>
                <c:pt idx="67">
                  <c:v>4.00861</c:v>
                </c:pt>
                <c:pt idx="68">
                  <c:v>4.0190299999999999</c:v>
                </c:pt>
                <c:pt idx="69">
                  <c:v>4.0256400000000001</c:v>
                </c:pt>
                <c:pt idx="70">
                  <c:v>4.0328400000000002</c:v>
                </c:pt>
                <c:pt idx="71">
                  <c:v>4.0498799999999999</c:v>
                </c:pt>
                <c:pt idx="72">
                  <c:v>4.0660499999999997</c:v>
                </c:pt>
                <c:pt idx="73">
                  <c:v>4.0617599999999996</c:v>
                </c:pt>
                <c:pt idx="74">
                  <c:v>4.0329100000000002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14.94065</c:v>
                </c:pt>
                <c:pt idx="1">
                  <c:v>44.821950000000001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3.4936047297297304</c:v>
                </c:pt>
                <c:pt idx="1">
                  <c:v>3.8333652702702699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0.409663</c:v>
                </c:pt>
                <c:pt idx="2">
                  <c:v>0.81165600000000004</c:v>
                </c:pt>
                <c:pt idx="3">
                  <c:v>1.2193400000000001</c:v>
                </c:pt>
                <c:pt idx="4">
                  <c:v>1.6258699999999999</c:v>
                </c:pt>
                <c:pt idx="5">
                  <c:v>2.03159</c:v>
                </c:pt>
                <c:pt idx="6">
                  <c:v>2.4352499999999999</c:v>
                </c:pt>
                <c:pt idx="7">
                  <c:v>2.8431999999999999</c:v>
                </c:pt>
                <c:pt idx="8">
                  <c:v>3.25305</c:v>
                </c:pt>
                <c:pt idx="9">
                  <c:v>3.6558600000000001</c:v>
                </c:pt>
                <c:pt idx="10">
                  <c:v>4.0580100000000003</c:v>
                </c:pt>
                <c:pt idx="11">
                  <c:v>4.4687000000000001</c:v>
                </c:pt>
                <c:pt idx="12">
                  <c:v>4.8758100000000004</c:v>
                </c:pt>
                <c:pt idx="13">
                  <c:v>5.2805799999999996</c:v>
                </c:pt>
                <c:pt idx="14">
                  <c:v>5.6873800000000001</c:v>
                </c:pt>
                <c:pt idx="15">
                  <c:v>6.0907400000000003</c:v>
                </c:pt>
                <c:pt idx="16">
                  <c:v>6.5012600000000003</c:v>
                </c:pt>
                <c:pt idx="17">
                  <c:v>6.9074</c:v>
                </c:pt>
                <c:pt idx="18">
                  <c:v>7.3150899999999996</c:v>
                </c:pt>
                <c:pt idx="19">
                  <c:v>7.72004</c:v>
                </c:pt>
                <c:pt idx="20">
                  <c:v>8.1272599999999997</c:v>
                </c:pt>
                <c:pt idx="21">
                  <c:v>8.5290700000000008</c:v>
                </c:pt>
                <c:pt idx="22">
                  <c:v>8.9387699999999999</c:v>
                </c:pt>
                <c:pt idx="23">
                  <c:v>9.3448200000000003</c:v>
                </c:pt>
                <c:pt idx="24">
                  <c:v>9.7496299999999998</c:v>
                </c:pt>
                <c:pt idx="25">
                  <c:v>10.1554</c:v>
                </c:pt>
                <c:pt idx="26">
                  <c:v>10.5595</c:v>
                </c:pt>
                <c:pt idx="27">
                  <c:v>10.9648</c:v>
                </c:pt>
                <c:pt idx="28">
                  <c:v>11.375500000000001</c:v>
                </c:pt>
                <c:pt idx="29">
                  <c:v>11.7798</c:v>
                </c:pt>
                <c:pt idx="30">
                  <c:v>12.187099999999999</c:v>
                </c:pt>
                <c:pt idx="31">
                  <c:v>12.5928</c:v>
                </c:pt>
                <c:pt idx="32">
                  <c:v>13.0008</c:v>
                </c:pt>
                <c:pt idx="33">
                  <c:v>13.4056</c:v>
                </c:pt>
                <c:pt idx="34">
                  <c:v>13.8108</c:v>
                </c:pt>
                <c:pt idx="35">
                  <c:v>14.2186</c:v>
                </c:pt>
                <c:pt idx="36">
                  <c:v>14.6265</c:v>
                </c:pt>
                <c:pt idx="37">
                  <c:v>15.0334</c:v>
                </c:pt>
                <c:pt idx="38">
                  <c:v>15.436400000000001</c:v>
                </c:pt>
                <c:pt idx="39">
                  <c:v>15.839700000000001</c:v>
                </c:pt>
                <c:pt idx="40">
                  <c:v>16.251100000000001</c:v>
                </c:pt>
                <c:pt idx="41">
                  <c:v>16.658999999999999</c:v>
                </c:pt>
                <c:pt idx="42">
                  <c:v>17.061</c:v>
                </c:pt>
                <c:pt idx="43">
                  <c:v>17.468900000000001</c:v>
                </c:pt>
                <c:pt idx="44">
                  <c:v>17.8719</c:v>
                </c:pt>
                <c:pt idx="45">
                  <c:v>18.2789</c:v>
                </c:pt>
                <c:pt idx="46">
                  <c:v>18.685199999999998</c:v>
                </c:pt>
                <c:pt idx="47">
                  <c:v>19.090900000000001</c:v>
                </c:pt>
                <c:pt idx="48">
                  <c:v>19.4984</c:v>
                </c:pt>
                <c:pt idx="49">
                  <c:v>19.908000000000001</c:v>
                </c:pt>
                <c:pt idx="50">
                  <c:v>20.314299999999999</c:v>
                </c:pt>
                <c:pt idx="51">
                  <c:v>20.7212</c:v>
                </c:pt>
                <c:pt idx="52">
                  <c:v>21.124199999999998</c:v>
                </c:pt>
                <c:pt idx="53">
                  <c:v>21.529</c:v>
                </c:pt>
                <c:pt idx="54">
                  <c:v>21.9361</c:v>
                </c:pt>
                <c:pt idx="55">
                  <c:v>22.342099999999999</c:v>
                </c:pt>
                <c:pt idx="56">
                  <c:v>22.7498</c:v>
                </c:pt>
                <c:pt idx="57">
                  <c:v>23.1556</c:v>
                </c:pt>
                <c:pt idx="58">
                  <c:v>23.558499999999999</c:v>
                </c:pt>
                <c:pt idx="59">
                  <c:v>23.9678</c:v>
                </c:pt>
                <c:pt idx="60">
                  <c:v>24.374600000000001</c:v>
                </c:pt>
                <c:pt idx="61">
                  <c:v>24.778199999999998</c:v>
                </c:pt>
                <c:pt idx="62">
                  <c:v>25.187200000000001</c:v>
                </c:pt>
                <c:pt idx="63">
                  <c:v>25.59</c:v>
                </c:pt>
                <c:pt idx="64">
                  <c:v>25.997</c:v>
                </c:pt>
                <c:pt idx="65">
                  <c:v>26.407399999999999</c:v>
                </c:pt>
                <c:pt idx="66">
                  <c:v>26.812000000000001</c:v>
                </c:pt>
                <c:pt idx="67">
                  <c:v>27.218900000000001</c:v>
                </c:pt>
                <c:pt idx="68">
                  <c:v>27.622699999999998</c:v>
                </c:pt>
                <c:pt idx="69">
                  <c:v>28.029699999999998</c:v>
                </c:pt>
                <c:pt idx="70">
                  <c:v>28.4376</c:v>
                </c:pt>
                <c:pt idx="71">
                  <c:v>28.843399999999999</c:v>
                </c:pt>
                <c:pt idx="72">
                  <c:v>29.249400000000001</c:v>
                </c:pt>
                <c:pt idx="73">
                  <c:v>29.654399999999999</c:v>
                </c:pt>
                <c:pt idx="74">
                  <c:v>30.061199999999999</c:v>
                </c:pt>
                <c:pt idx="75">
                  <c:v>30.528199999999998</c:v>
                </c:pt>
                <c:pt idx="76">
                  <c:v>30.921399999999998</c:v>
                </c:pt>
                <c:pt idx="77">
                  <c:v>31.323</c:v>
                </c:pt>
                <c:pt idx="78">
                  <c:v>31.735199999999999</c:v>
                </c:pt>
                <c:pt idx="79">
                  <c:v>32.138199999999998</c:v>
                </c:pt>
                <c:pt idx="80">
                  <c:v>32.548099999999998</c:v>
                </c:pt>
                <c:pt idx="81">
                  <c:v>32.950299999999999</c:v>
                </c:pt>
                <c:pt idx="82">
                  <c:v>33.354599999999998</c:v>
                </c:pt>
                <c:pt idx="83">
                  <c:v>33.762799999999999</c:v>
                </c:pt>
                <c:pt idx="84">
                  <c:v>34.174100000000003</c:v>
                </c:pt>
                <c:pt idx="85">
                  <c:v>34.576700000000002</c:v>
                </c:pt>
                <c:pt idx="86">
                  <c:v>34.9803</c:v>
                </c:pt>
                <c:pt idx="87">
                  <c:v>35.391500000000001</c:v>
                </c:pt>
                <c:pt idx="88">
                  <c:v>35.796700000000001</c:v>
                </c:pt>
                <c:pt idx="89">
                  <c:v>36.200200000000002</c:v>
                </c:pt>
                <c:pt idx="90">
                  <c:v>36.610300000000002</c:v>
                </c:pt>
                <c:pt idx="91">
                  <c:v>37.011899999999997</c:v>
                </c:pt>
                <c:pt idx="92">
                  <c:v>37.418999999999997</c:v>
                </c:pt>
                <c:pt idx="93">
                  <c:v>37.8292</c:v>
                </c:pt>
                <c:pt idx="94">
                  <c:v>38.232199999999999</c:v>
                </c:pt>
                <c:pt idx="95">
                  <c:v>38.637500000000003</c:v>
                </c:pt>
                <c:pt idx="96">
                  <c:v>39.044800000000002</c:v>
                </c:pt>
                <c:pt idx="97">
                  <c:v>39.453600000000002</c:v>
                </c:pt>
                <c:pt idx="98">
                  <c:v>39.859499999999997</c:v>
                </c:pt>
                <c:pt idx="99">
                  <c:v>40.263100000000001</c:v>
                </c:pt>
                <c:pt idx="100">
                  <c:v>40.669400000000003</c:v>
                </c:pt>
                <c:pt idx="101">
                  <c:v>41.075200000000002</c:v>
                </c:pt>
                <c:pt idx="102">
                  <c:v>41.487299999999998</c:v>
                </c:pt>
                <c:pt idx="103">
                  <c:v>41.889200000000002</c:v>
                </c:pt>
                <c:pt idx="104">
                  <c:v>42.294899999999998</c:v>
                </c:pt>
                <c:pt idx="105">
                  <c:v>42.7</c:v>
                </c:pt>
                <c:pt idx="106">
                  <c:v>43.1053</c:v>
                </c:pt>
                <c:pt idx="107">
                  <c:v>43.514000000000003</c:v>
                </c:pt>
                <c:pt idx="108">
                  <c:v>43.920499999999997</c:v>
                </c:pt>
                <c:pt idx="109">
                  <c:v>44.326500000000003</c:v>
                </c:pt>
                <c:pt idx="110">
                  <c:v>44.734499999999997</c:v>
                </c:pt>
                <c:pt idx="111">
                  <c:v>45.141399999999997</c:v>
                </c:pt>
                <c:pt idx="112">
                  <c:v>45.549199999999999</c:v>
                </c:pt>
                <c:pt idx="113">
                  <c:v>45.949199999999998</c:v>
                </c:pt>
                <c:pt idx="114">
                  <c:v>46.359099999999998</c:v>
                </c:pt>
                <c:pt idx="115">
                  <c:v>46.7624</c:v>
                </c:pt>
                <c:pt idx="116">
                  <c:v>47.169199999999996</c:v>
                </c:pt>
                <c:pt idx="117">
                  <c:v>47.579799999999999</c:v>
                </c:pt>
                <c:pt idx="118">
                  <c:v>47.985799999999998</c:v>
                </c:pt>
                <c:pt idx="119">
                  <c:v>48.392699999999998</c:v>
                </c:pt>
                <c:pt idx="120">
                  <c:v>48.794600000000003</c:v>
                </c:pt>
                <c:pt idx="121">
                  <c:v>49.201700000000002</c:v>
                </c:pt>
                <c:pt idx="122">
                  <c:v>49.609400000000001</c:v>
                </c:pt>
                <c:pt idx="123">
                  <c:v>50.016300000000001</c:v>
                </c:pt>
                <c:pt idx="124">
                  <c:v>50.421199999999999</c:v>
                </c:pt>
                <c:pt idx="125">
                  <c:v>50.826099999999997</c:v>
                </c:pt>
                <c:pt idx="126">
                  <c:v>51.232300000000002</c:v>
                </c:pt>
                <c:pt idx="127">
                  <c:v>51.641800000000003</c:v>
                </c:pt>
                <c:pt idx="128">
                  <c:v>52.046999999999997</c:v>
                </c:pt>
                <c:pt idx="129">
                  <c:v>52.451799999999999</c:v>
                </c:pt>
                <c:pt idx="130">
                  <c:v>52.856900000000003</c:v>
                </c:pt>
                <c:pt idx="131">
                  <c:v>53.263500000000001</c:v>
                </c:pt>
                <c:pt idx="132">
                  <c:v>53.669699999999999</c:v>
                </c:pt>
                <c:pt idx="133">
                  <c:v>54.078400000000002</c:v>
                </c:pt>
                <c:pt idx="134">
                  <c:v>54.485300000000002</c:v>
                </c:pt>
                <c:pt idx="135">
                  <c:v>54.887700000000002</c:v>
                </c:pt>
                <c:pt idx="136">
                  <c:v>55.294199999999996</c:v>
                </c:pt>
                <c:pt idx="137">
                  <c:v>55.701099999999997</c:v>
                </c:pt>
                <c:pt idx="138">
                  <c:v>56.112200000000001</c:v>
                </c:pt>
                <c:pt idx="139">
                  <c:v>56.5199</c:v>
                </c:pt>
                <c:pt idx="140">
                  <c:v>56.921900000000001</c:v>
                </c:pt>
                <c:pt idx="141">
                  <c:v>57.326900000000002</c:v>
                </c:pt>
                <c:pt idx="142">
                  <c:v>57.734699999999997</c:v>
                </c:pt>
                <c:pt idx="143">
                  <c:v>58.142600000000002</c:v>
                </c:pt>
                <c:pt idx="144">
                  <c:v>58.548400000000001</c:v>
                </c:pt>
                <c:pt idx="145">
                  <c:v>58.952599999999997</c:v>
                </c:pt>
                <c:pt idx="146">
                  <c:v>59.3583</c:v>
                </c:pt>
                <c:pt idx="147">
                  <c:v>59.762599999999999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53.555100000000003</c:v>
                </c:pt>
                <c:pt idx="1">
                  <c:v>52.590800000000002</c:v>
                </c:pt>
                <c:pt idx="2">
                  <c:v>51.531199999999998</c:v>
                </c:pt>
                <c:pt idx="3">
                  <c:v>50.400599999999997</c:v>
                </c:pt>
                <c:pt idx="4">
                  <c:v>49.002899999999997</c:v>
                </c:pt>
                <c:pt idx="5">
                  <c:v>47.527799999999999</c:v>
                </c:pt>
                <c:pt idx="6">
                  <c:v>46.278100000000002</c:v>
                </c:pt>
                <c:pt idx="7">
                  <c:v>45.352499999999999</c:v>
                </c:pt>
                <c:pt idx="8">
                  <c:v>44.569199999999995</c:v>
                </c:pt>
                <c:pt idx="9">
                  <c:v>43.568400000000004</c:v>
                </c:pt>
                <c:pt idx="10">
                  <c:v>42.424700000000001</c:v>
                </c:pt>
                <c:pt idx="11">
                  <c:v>41.241799999999998</c:v>
                </c:pt>
                <c:pt idx="12">
                  <c:v>39.806100000000001</c:v>
                </c:pt>
                <c:pt idx="13">
                  <c:v>38.336100000000002</c:v>
                </c:pt>
                <c:pt idx="14">
                  <c:v>37.148900000000005</c:v>
                </c:pt>
                <c:pt idx="15">
                  <c:v>36.149500000000003</c:v>
                </c:pt>
                <c:pt idx="16">
                  <c:v>35.406300000000002</c:v>
                </c:pt>
                <c:pt idx="17">
                  <c:v>34.809600000000003</c:v>
                </c:pt>
                <c:pt idx="18">
                  <c:v>34.372999999999998</c:v>
                </c:pt>
                <c:pt idx="19">
                  <c:v>33.928699999999999</c:v>
                </c:pt>
                <c:pt idx="20">
                  <c:v>33.3934</c:v>
                </c:pt>
                <c:pt idx="21">
                  <c:v>32.972099999999998</c:v>
                </c:pt>
                <c:pt idx="22">
                  <c:v>32.5608</c:v>
                </c:pt>
                <c:pt idx="23">
                  <c:v>32.316200000000002</c:v>
                </c:pt>
                <c:pt idx="24">
                  <c:v>32.157200000000003</c:v>
                </c:pt>
                <c:pt idx="25">
                  <c:v>32.1006</c:v>
                </c:pt>
                <c:pt idx="26">
                  <c:v>32.036799999999999</c:v>
                </c:pt>
                <c:pt idx="27">
                  <c:v>31.916099999999997</c:v>
                </c:pt>
                <c:pt idx="28">
                  <c:v>31.7942</c:v>
                </c:pt>
                <c:pt idx="29">
                  <c:v>31.668400000000002</c:v>
                </c:pt>
                <c:pt idx="30">
                  <c:v>31.521999999999998</c:v>
                </c:pt>
                <c:pt idx="31">
                  <c:v>31.3962</c:v>
                </c:pt>
                <c:pt idx="32">
                  <c:v>31.255800000000001</c:v>
                </c:pt>
                <c:pt idx="33">
                  <c:v>31.127300000000002</c:v>
                </c:pt>
                <c:pt idx="34">
                  <c:v>31.0183</c:v>
                </c:pt>
                <c:pt idx="35">
                  <c:v>30.862699999999997</c:v>
                </c:pt>
                <c:pt idx="36">
                  <c:v>30.704700000000003</c:v>
                </c:pt>
                <c:pt idx="37">
                  <c:v>30.612299999999998</c:v>
                </c:pt>
                <c:pt idx="38">
                  <c:v>30.688500000000001</c:v>
                </c:pt>
                <c:pt idx="39">
                  <c:v>30.970799999999997</c:v>
                </c:pt>
                <c:pt idx="40">
                  <c:v>31.341100000000001</c:v>
                </c:pt>
                <c:pt idx="41">
                  <c:v>31.685799999999997</c:v>
                </c:pt>
                <c:pt idx="42">
                  <c:v>31.977599999999999</c:v>
                </c:pt>
                <c:pt idx="43">
                  <c:v>32.210799999999999</c:v>
                </c:pt>
                <c:pt idx="44">
                  <c:v>32.486699999999999</c:v>
                </c:pt>
                <c:pt idx="45">
                  <c:v>32.918500000000002</c:v>
                </c:pt>
                <c:pt idx="46">
                  <c:v>33.42</c:v>
                </c:pt>
                <c:pt idx="47">
                  <c:v>34.0047</c:v>
                </c:pt>
                <c:pt idx="48">
                  <c:v>34.569899999999997</c:v>
                </c:pt>
                <c:pt idx="49">
                  <c:v>35.124300000000005</c:v>
                </c:pt>
                <c:pt idx="50">
                  <c:v>35.537199999999999</c:v>
                </c:pt>
                <c:pt idx="51">
                  <c:v>35.966099999999997</c:v>
                </c:pt>
                <c:pt idx="52">
                  <c:v>36.4589</c:v>
                </c:pt>
                <c:pt idx="53">
                  <c:v>36.801499999999997</c:v>
                </c:pt>
                <c:pt idx="54">
                  <c:v>37.054400000000001</c:v>
                </c:pt>
                <c:pt idx="55">
                  <c:v>37.3431</c:v>
                </c:pt>
                <c:pt idx="56">
                  <c:v>37.645400000000002</c:v>
                </c:pt>
                <c:pt idx="57">
                  <c:v>37.878499999999995</c:v>
                </c:pt>
                <c:pt idx="58">
                  <c:v>38.049399999999999</c:v>
                </c:pt>
                <c:pt idx="59">
                  <c:v>38.067799999999998</c:v>
                </c:pt>
                <c:pt idx="60">
                  <c:v>38.159100000000002</c:v>
                </c:pt>
                <c:pt idx="61">
                  <c:v>38.148700000000005</c:v>
                </c:pt>
                <c:pt idx="62">
                  <c:v>37.934200000000004</c:v>
                </c:pt>
                <c:pt idx="63">
                  <c:v>37.838699999999996</c:v>
                </c:pt>
                <c:pt idx="64">
                  <c:v>37.698700000000002</c:v>
                </c:pt>
                <c:pt idx="65">
                  <c:v>37.533000000000001</c:v>
                </c:pt>
                <c:pt idx="66">
                  <c:v>37.322699999999998</c:v>
                </c:pt>
                <c:pt idx="67">
                  <c:v>36.947899999999997</c:v>
                </c:pt>
                <c:pt idx="68">
                  <c:v>36.596200000000003</c:v>
                </c:pt>
                <c:pt idx="69">
                  <c:v>36.191099999999999</c:v>
                </c:pt>
                <c:pt idx="70">
                  <c:v>35.740699999999997</c:v>
                </c:pt>
                <c:pt idx="71">
                  <c:v>35.431200000000004</c:v>
                </c:pt>
                <c:pt idx="72">
                  <c:v>34.873699999999999</c:v>
                </c:pt>
                <c:pt idx="73">
                  <c:v>34.580599999999997</c:v>
                </c:pt>
                <c:pt idx="74">
                  <c:v>34.098800000000004</c:v>
                </c:pt>
                <c:pt idx="75">
                  <c:v>33.701999999999998</c:v>
                </c:pt>
                <c:pt idx="76">
                  <c:v>33.307700000000004</c:v>
                </c:pt>
                <c:pt idx="77">
                  <c:v>32.933</c:v>
                </c:pt>
                <c:pt idx="78">
                  <c:v>32.522800000000004</c:v>
                </c:pt>
                <c:pt idx="79">
                  <c:v>32.040800000000004</c:v>
                </c:pt>
                <c:pt idx="80">
                  <c:v>31.5457</c:v>
                </c:pt>
                <c:pt idx="81">
                  <c:v>31.055</c:v>
                </c:pt>
                <c:pt idx="82">
                  <c:v>30.642500000000002</c:v>
                </c:pt>
                <c:pt idx="83">
                  <c:v>30.2529</c:v>
                </c:pt>
                <c:pt idx="84">
                  <c:v>29.817900000000002</c:v>
                </c:pt>
                <c:pt idx="85">
                  <c:v>29.408800000000003</c:v>
                </c:pt>
                <c:pt idx="86">
                  <c:v>29.035499999999999</c:v>
                </c:pt>
                <c:pt idx="87">
                  <c:v>28.693200000000001</c:v>
                </c:pt>
                <c:pt idx="88">
                  <c:v>28.307500000000001</c:v>
                </c:pt>
                <c:pt idx="89">
                  <c:v>27.999700000000001</c:v>
                </c:pt>
                <c:pt idx="90">
                  <c:v>27.757100000000001</c:v>
                </c:pt>
                <c:pt idx="91">
                  <c:v>27.539899999999999</c:v>
                </c:pt>
                <c:pt idx="92">
                  <c:v>27.481299999999997</c:v>
                </c:pt>
                <c:pt idx="93">
                  <c:v>27.508899999999997</c:v>
                </c:pt>
                <c:pt idx="94">
                  <c:v>27.6403</c:v>
                </c:pt>
                <c:pt idx="95">
                  <c:v>27.847100000000001</c:v>
                </c:pt>
                <c:pt idx="96">
                  <c:v>28.044400000000003</c:v>
                </c:pt>
                <c:pt idx="97">
                  <c:v>28.183200000000003</c:v>
                </c:pt>
                <c:pt idx="98">
                  <c:v>28.291300000000003</c:v>
                </c:pt>
                <c:pt idx="99">
                  <c:v>28.447600000000001</c:v>
                </c:pt>
                <c:pt idx="100">
                  <c:v>28.624699999999997</c:v>
                </c:pt>
                <c:pt idx="101">
                  <c:v>28.766500000000001</c:v>
                </c:pt>
                <c:pt idx="102">
                  <c:v>28.944300000000002</c:v>
                </c:pt>
                <c:pt idx="103">
                  <c:v>29.139799999999997</c:v>
                </c:pt>
                <c:pt idx="104">
                  <c:v>29.291699999999999</c:v>
                </c:pt>
                <c:pt idx="105">
                  <c:v>29.401699999999998</c:v>
                </c:pt>
                <c:pt idx="106">
                  <c:v>29.524499999999996</c:v>
                </c:pt>
                <c:pt idx="107">
                  <c:v>29.628900000000002</c:v>
                </c:pt>
                <c:pt idx="108">
                  <c:v>29.737599999999997</c:v>
                </c:pt>
                <c:pt idx="109">
                  <c:v>29.804199999999998</c:v>
                </c:pt>
                <c:pt idx="110">
                  <c:v>29.9145</c:v>
                </c:pt>
                <c:pt idx="111">
                  <c:v>30.062200000000001</c:v>
                </c:pt>
                <c:pt idx="112">
                  <c:v>30.1402</c:v>
                </c:pt>
                <c:pt idx="113">
                  <c:v>30.197800000000001</c:v>
                </c:pt>
                <c:pt idx="114">
                  <c:v>30.255900000000004</c:v>
                </c:pt>
                <c:pt idx="115">
                  <c:v>30.456100000000003</c:v>
                </c:pt>
                <c:pt idx="116">
                  <c:v>30.680499999999999</c:v>
                </c:pt>
                <c:pt idx="117">
                  <c:v>30.831299999999999</c:v>
                </c:pt>
                <c:pt idx="118">
                  <c:v>31.013300000000001</c:v>
                </c:pt>
                <c:pt idx="119">
                  <c:v>31.228899999999999</c:v>
                </c:pt>
                <c:pt idx="120">
                  <c:v>31.403700000000001</c:v>
                </c:pt>
                <c:pt idx="121">
                  <c:v>31.467600000000001</c:v>
                </c:pt>
                <c:pt idx="122">
                  <c:v>31.541799999999999</c:v>
                </c:pt>
                <c:pt idx="123">
                  <c:v>31.659399999999998</c:v>
                </c:pt>
                <c:pt idx="124">
                  <c:v>31.6647</c:v>
                </c:pt>
                <c:pt idx="125">
                  <c:v>31.676500000000001</c:v>
                </c:pt>
                <c:pt idx="126">
                  <c:v>31.695600000000002</c:v>
                </c:pt>
                <c:pt idx="127">
                  <c:v>31.675900000000002</c:v>
                </c:pt>
                <c:pt idx="128">
                  <c:v>31.682500000000001</c:v>
                </c:pt>
                <c:pt idx="129">
                  <c:v>31.736999999999998</c:v>
                </c:pt>
                <c:pt idx="130">
                  <c:v>31.8307</c:v>
                </c:pt>
                <c:pt idx="131">
                  <c:v>31.9133</c:v>
                </c:pt>
                <c:pt idx="132">
                  <c:v>31.988899999999997</c:v>
                </c:pt>
                <c:pt idx="133">
                  <c:v>32.057200000000002</c:v>
                </c:pt>
                <c:pt idx="134">
                  <c:v>32.238799999999998</c:v>
                </c:pt>
                <c:pt idx="135">
                  <c:v>32.367100000000001</c:v>
                </c:pt>
                <c:pt idx="136">
                  <c:v>32.461600000000004</c:v>
                </c:pt>
                <c:pt idx="137">
                  <c:v>32.684800000000003</c:v>
                </c:pt>
                <c:pt idx="138">
                  <c:v>32.971299999999999</c:v>
                </c:pt>
                <c:pt idx="139">
                  <c:v>33.301099999999998</c:v>
                </c:pt>
                <c:pt idx="140">
                  <c:v>33.414200000000001</c:v>
                </c:pt>
                <c:pt idx="141">
                  <c:v>33.470700000000001</c:v>
                </c:pt>
                <c:pt idx="142">
                  <c:v>33.607900000000001</c:v>
                </c:pt>
                <c:pt idx="143">
                  <c:v>33.612900000000003</c:v>
                </c:pt>
                <c:pt idx="144">
                  <c:v>33.393099999999997</c:v>
                </c:pt>
                <c:pt idx="145">
                  <c:v>33.148499999999999</c:v>
                </c:pt>
                <c:pt idx="146">
                  <c:v>33.403100000000002</c:v>
                </c:pt>
                <c:pt idx="147">
                  <c:v>33.903700000000001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0.409663</c:v>
                </c:pt>
                <c:pt idx="2">
                  <c:v>0.81165600000000004</c:v>
                </c:pt>
                <c:pt idx="3">
                  <c:v>1.2193400000000001</c:v>
                </c:pt>
                <c:pt idx="4">
                  <c:v>1.6258699999999999</c:v>
                </c:pt>
                <c:pt idx="5">
                  <c:v>2.03159</c:v>
                </c:pt>
                <c:pt idx="6">
                  <c:v>2.4352499999999999</c:v>
                </c:pt>
                <c:pt idx="7">
                  <c:v>2.8431999999999999</c:v>
                </c:pt>
                <c:pt idx="8">
                  <c:v>3.25305</c:v>
                </c:pt>
                <c:pt idx="9">
                  <c:v>3.6558600000000001</c:v>
                </c:pt>
                <c:pt idx="10">
                  <c:v>4.0580100000000003</c:v>
                </c:pt>
                <c:pt idx="11">
                  <c:v>4.4687000000000001</c:v>
                </c:pt>
                <c:pt idx="12">
                  <c:v>4.8758100000000004</c:v>
                </c:pt>
                <c:pt idx="13">
                  <c:v>5.2805799999999996</c:v>
                </c:pt>
                <c:pt idx="14">
                  <c:v>5.6873800000000001</c:v>
                </c:pt>
                <c:pt idx="15">
                  <c:v>6.0907400000000003</c:v>
                </c:pt>
                <c:pt idx="16">
                  <c:v>6.5012600000000003</c:v>
                </c:pt>
                <c:pt idx="17">
                  <c:v>6.9074</c:v>
                </c:pt>
                <c:pt idx="18">
                  <c:v>7.3150899999999996</c:v>
                </c:pt>
                <c:pt idx="19">
                  <c:v>7.72004</c:v>
                </c:pt>
                <c:pt idx="20">
                  <c:v>8.1272599999999997</c:v>
                </c:pt>
                <c:pt idx="21">
                  <c:v>8.5290700000000008</c:v>
                </c:pt>
                <c:pt idx="22">
                  <c:v>8.9387699999999999</c:v>
                </c:pt>
                <c:pt idx="23">
                  <c:v>9.3448200000000003</c:v>
                </c:pt>
                <c:pt idx="24">
                  <c:v>9.7496299999999998</c:v>
                </c:pt>
                <c:pt idx="25">
                  <c:v>10.1554</c:v>
                </c:pt>
                <c:pt idx="26">
                  <c:v>10.5595</c:v>
                </c:pt>
                <c:pt idx="27">
                  <c:v>10.9648</c:v>
                </c:pt>
                <c:pt idx="28">
                  <c:v>11.375500000000001</c:v>
                </c:pt>
                <c:pt idx="29">
                  <c:v>11.7798</c:v>
                </c:pt>
                <c:pt idx="30">
                  <c:v>12.187099999999999</c:v>
                </c:pt>
                <c:pt idx="31">
                  <c:v>12.5928</c:v>
                </c:pt>
                <c:pt idx="32">
                  <c:v>13.0008</c:v>
                </c:pt>
                <c:pt idx="33">
                  <c:v>13.4056</c:v>
                </c:pt>
                <c:pt idx="34">
                  <c:v>13.8108</c:v>
                </c:pt>
                <c:pt idx="35">
                  <c:v>14.2186</c:v>
                </c:pt>
                <c:pt idx="36">
                  <c:v>14.6265</c:v>
                </c:pt>
                <c:pt idx="37">
                  <c:v>15.0334</c:v>
                </c:pt>
                <c:pt idx="38">
                  <c:v>15.436400000000001</c:v>
                </c:pt>
                <c:pt idx="39">
                  <c:v>15.839700000000001</c:v>
                </c:pt>
                <c:pt idx="40">
                  <c:v>16.251100000000001</c:v>
                </c:pt>
                <c:pt idx="41">
                  <c:v>16.658999999999999</c:v>
                </c:pt>
                <c:pt idx="42">
                  <c:v>17.061</c:v>
                </c:pt>
                <c:pt idx="43">
                  <c:v>17.468900000000001</c:v>
                </c:pt>
                <c:pt idx="44">
                  <c:v>17.8719</c:v>
                </c:pt>
                <c:pt idx="45">
                  <c:v>18.2789</c:v>
                </c:pt>
                <c:pt idx="46">
                  <c:v>18.685199999999998</c:v>
                </c:pt>
                <c:pt idx="47">
                  <c:v>19.090900000000001</c:v>
                </c:pt>
                <c:pt idx="48">
                  <c:v>19.4984</c:v>
                </c:pt>
                <c:pt idx="49">
                  <c:v>19.908000000000001</c:v>
                </c:pt>
                <c:pt idx="50">
                  <c:v>20.314299999999999</c:v>
                </c:pt>
                <c:pt idx="51">
                  <c:v>20.7212</c:v>
                </c:pt>
                <c:pt idx="52">
                  <c:v>21.124199999999998</c:v>
                </c:pt>
                <c:pt idx="53">
                  <c:v>21.529</c:v>
                </c:pt>
                <c:pt idx="54">
                  <c:v>21.9361</c:v>
                </c:pt>
                <c:pt idx="55">
                  <c:v>22.342099999999999</c:v>
                </c:pt>
                <c:pt idx="56">
                  <c:v>22.7498</c:v>
                </c:pt>
                <c:pt idx="57">
                  <c:v>23.1556</c:v>
                </c:pt>
                <c:pt idx="58">
                  <c:v>23.558499999999999</c:v>
                </c:pt>
                <c:pt idx="59">
                  <c:v>23.9678</c:v>
                </c:pt>
                <c:pt idx="60">
                  <c:v>24.374600000000001</c:v>
                </c:pt>
                <c:pt idx="61">
                  <c:v>24.778199999999998</c:v>
                </c:pt>
                <c:pt idx="62">
                  <c:v>25.187200000000001</c:v>
                </c:pt>
                <c:pt idx="63">
                  <c:v>25.59</c:v>
                </c:pt>
                <c:pt idx="64">
                  <c:v>25.997</c:v>
                </c:pt>
                <c:pt idx="65">
                  <c:v>26.407399999999999</c:v>
                </c:pt>
                <c:pt idx="66">
                  <c:v>26.812000000000001</c:v>
                </c:pt>
                <c:pt idx="67">
                  <c:v>27.218900000000001</c:v>
                </c:pt>
                <c:pt idx="68">
                  <c:v>27.622699999999998</c:v>
                </c:pt>
                <c:pt idx="69">
                  <c:v>28.029699999999998</c:v>
                </c:pt>
                <c:pt idx="70">
                  <c:v>28.4376</c:v>
                </c:pt>
                <c:pt idx="71">
                  <c:v>28.843399999999999</c:v>
                </c:pt>
                <c:pt idx="72">
                  <c:v>29.249400000000001</c:v>
                </c:pt>
                <c:pt idx="73">
                  <c:v>29.654399999999999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53.555100000000003</c:v>
                </c:pt>
                <c:pt idx="1">
                  <c:v>52.590800000000002</c:v>
                </c:pt>
                <c:pt idx="2">
                  <c:v>51.531199999999998</c:v>
                </c:pt>
                <c:pt idx="3">
                  <c:v>50.400599999999997</c:v>
                </c:pt>
                <c:pt idx="4">
                  <c:v>49.002899999999997</c:v>
                </c:pt>
                <c:pt idx="5">
                  <c:v>47.527799999999999</c:v>
                </c:pt>
                <c:pt idx="6">
                  <c:v>46.278100000000002</c:v>
                </c:pt>
                <c:pt idx="7">
                  <c:v>45.352499999999999</c:v>
                </c:pt>
                <c:pt idx="8">
                  <c:v>44.569199999999995</c:v>
                </c:pt>
                <c:pt idx="9">
                  <c:v>43.568400000000004</c:v>
                </c:pt>
                <c:pt idx="10">
                  <c:v>42.424700000000001</c:v>
                </c:pt>
                <c:pt idx="11">
                  <c:v>41.241799999999998</c:v>
                </c:pt>
                <c:pt idx="12">
                  <c:v>39.806100000000001</c:v>
                </c:pt>
                <c:pt idx="13">
                  <c:v>38.336100000000002</c:v>
                </c:pt>
                <c:pt idx="14">
                  <c:v>37.148900000000005</c:v>
                </c:pt>
                <c:pt idx="15">
                  <c:v>36.149500000000003</c:v>
                </c:pt>
                <c:pt idx="16">
                  <c:v>35.406300000000002</c:v>
                </c:pt>
                <c:pt idx="17">
                  <c:v>34.809600000000003</c:v>
                </c:pt>
                <c:pt idx="18">
                  <c:v>34.372999999999998</c:v>
                </c:pt>
                <c:pt idx="19">
                  <c:v>33.928699999999999</c:v>
                </c:pt>
                <c:pt idx="20">
                  <c:v>33.3934</c:v>
                </c:pt>
                <c:pt idx="21">
                  <c:v>32.972099999999998</c:v>
                </c:pt>
                <c:pt idx="22">
                  <c:v>32.5608</c:v>
                </c:pt>
                <c:pt idx="23">
                  <c:v>32.316200000000002</c:v>
                </c:pt>
                <c:pt idx="24">
                  <c:v>32.157200000000003</c:v>
                </c:pt>
                <c:pt idx="25">
                  <c:v>32.1006</c:v>
                </c:pt>
                <c:pt idx="26">
                  <c:v>32.036799999999999</c:v>
                </c:pt>
                <c:pt idx="27">
                  <c:v>31.916099999999997</c:v>
                </c:pt>
                <c:pt idx="28">
                  <c:v>31.7942</c:v>
                </c:pt>
                <c:pt idx="29">
                  <c:v>31.668400000000002</c:v>
                </c:pt>
                <c:pt idx="30">
                  <c:v>31.521999999999998</c:v>
                </c:pt>
                <c:pt idx="31">
                  <c:v>31.3962</c:v>
                </c:pt>
                <c:pt idx="32">
                  <c:v>31.255800000000001</c:v>
                </c:pt>
                <c:pt idx="33">
                  <c:v>31.127300000000002</c:v>
                </c:pt>
                <c:pt idx="34">
                  <c:v>31.0183</c:v>
                </c:pt>
                <c:pt idx="35">
                  <c:v>30.862699999999997</c:v>
                </c:pt>
                <c:pt idx="36">
                  <c:v>30.704700000000003</c:v>
                </c:pt>
                <c:pt idx="37">
                  <c:v>30.612299999999998</c:v>
                </c:pt>
                <c:pt idx="38">
                  <c:v>30.688500000000001</c:v>
                </c:pt>
                <c:pt idx="39">
                  <c:v>30.970799999999997</c:v>
                </c:pt>
                <c:pt idx="40">
                  <c:v>31.341100000000001</c:v>
                </c:pt>
                <c:pt idx="41">
                  <c:v>31.685799999999997</c:v>
                </c:pt>
                <c:pt idx="42">
                  <c:v>31.977599999999999</c:v>
                </c:pt>
                <c:pt idx="43">
                  <c:v>32.210799999999999</c:v>
                </c:pt>
                <c:pt idx="44">
                  <c:v>32.486699999999999</c:v>
                </c:pt>
                <c:pt idx="45">
                  <c:v>32.918500000000002</c:v>
                </c:pt>
                <c:pt idx="46">
                  <c:v>33.42</c:v>
                </c:pt>
                <c:pt idx="47">
                  <c:v>34.0047</c:v>
                </c:pt>
                <c:pt idx="48">
                  <c:v>34.569899999999997</c:v>
                </c:pt>
                <c:pt idx="49">
                  <c:v>35.124300000000005</c:v>
                </c:pt>
                <c:pt idx="50">
                  <c:v>35.537199999999999</c:v>
                </c:pt>
                <c:pt idx="51">
                  <c:v>35.966099999999997</c:v>
                </c:pt>
                <c:pt idx="52">
                  <c:v>36.4589</c:v>
                </c:pt>
                <c:pt idx="53">
                  <c:v>36.801499999999997</c:v>
                </c:pt>
                <c:pt idx="54">
                  <c:v>37.054400000000001</c:v>
                </c:pt>
                <c:pt idx="55">
                  <c:v>37.3431</c:v>
                </c:pt>
                <c:pt idx="56">
                  <c:v>37.645400000000002</c:v>
                </c:pt>
                <c:pt idx="57">
                  <c:v>37.878499999999995</c:v>
                </c:pt>
                <c:pt idx="58">
                  <c:v>38.049399999999999</c:v>
                </c:pt>
                <c:pt idx="59">
                  <c:v>38.067799999999998</c:v>
                </c:pt>
                <c:pt idx="60">
                  <c:v>38.159100000000002</c:v>
                </c:pt>
                <c:pt idx="61">
                  <c:v>38.148700000000005</c:v>
                </c:pt>
                <c:pt idx="62">
                  <c:v>37.934200000000004</c:v>
                </c:pt>
                <c:pt idx="63">
                  <c:v>37.838699999999996</c:v>
                </c:pt>
                <c:pt idx="64">
                  <c:v>37.698700000000002</c:v>
                </c:pt>
                <c:pt idx="65">
                  <c:v>37.533000000000001</c:v>
                </c:pt>
                <c:pt idx="66">
                  <c:v>37.322699999999998</c:v>
                </c:pt>
                <c:pt idx="67">
                  <c:v>36.947899999999997</c:v>
                </c:pt>
                <c:pt idx="68">
                  <c:v>36.596200000000003</c:v>
                </c:pt>
                <c:pt idx="69">
                  <c:v>36.191099999999999</c:v>
                </c:pt>
                <c:pt idx="70">
                  <c:v>35.740699999999997</c:v>
                </c:pt>
                <c:pt idx="71">
                  <c:v>35.431200000000004</c:v>
                </c:pt>
                <c:pt idx="72">
                  <c:v>34.873699999999999</c:v>
                </c:pt>
                <c:pt idx="73">
                  <c:v>34.580599999999997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29.654399999999999</c:v>
                </c:pt>
                <c:pt idx="1">
                  <c:v>30.061199999999999</c:v>
                </c:pt>
                <c:pt idx="2">
                  <c:v>30.528199999999998</c:v>
                </c:pt>
                <c:pt idx="3">
                  <c:v>30.921399999999998</c:v>
                </c:pt>
                <c:pt idx="4">
                  <c:v>31.323</c:v>
                </c:pt>
                <c:pt idx="5">
                  <c:v>31.735199999999999</c:v>
                </c:pt>
                <c:pt idx="6">
                  <c:v>32.138199999999998</c:v>
                </c:pt>
                <c:pt idx="7">
                  <c:v>32.548099999999998</c:v>
                </c:pt>
                <c:pt idx="8">
                  <c:v>32.950299999999999</c:v>
                </c:pt>
                <c:pt idx="9">
                  <c:v>33.354599999999998</c:v>
                </c:pt>
                <c:pt idx="10">
                  <c:v>33.762799999999999</c:v>
                </c:pt>
                <c:pt idx="11">
                  <c:v>34.174100000000003</c:v>
                </c:pt>
                <c:pt idx="12">
                  <c:v>34.576700000000002</c:v>
                </c:pt>
                <c:pt idx="13">
                  <c:v>34.9803</c:v>
                </c:pt>
                <c:pt idx="14">
                  <c:v>35.391500000000001</c:v>
                </c:pt>
                <c:pt idx="15">
                  <c:v>35.796700000000001</c:v>
                </c:pt>
                <c:pt idx="16">
                  <c:v>36.200200000000002</c:v>
                </c:pt>
                <c:pt idx="17">
                  <c:v>36.610300000000002</c:v>
                </c:pt>
                <c:pt idx="18">
                  <c:v>37.011899999999997</c:v>
                </c:pt>
                <c:pt idx="19">
                  <c:v>37.418999999999997</c:v>
                </c:pt>
                <c:pt idx="20">
                  <c:v>37.8292</c:v>
                </c:pt>
                <c:pt idx="21">
                  <c:v>38.232199999999999</c:v>
                </c:pt>
                <c:pt idx="22">
                  <c:v>38.637500000000003</c:v>
                </c:pt>
                <c:pt idx="23">
                  <c:v>39.044800000000002</c:v>
                </c:pt>
                <c:pt idx="24">
                  <c:v>39.453600000000002</c:v>
                </c:pt>
                <c:pt idx="25">
                  <c:v>39.859499999999997</c:v>
                </c:pt>
                <c:pt idx="26">
                  <c:v>40.263100000000001</c:v>
                </c:pt>
                <c:pt idx="27">
                  <c:v>40.669400000000003</c:v>
                </c:pt>
                <c:pt idx="28">
                  <c:v>41.075200000000002</c:v>
                </c:pt>
                <c:pt idx="29">
                  <c:v>41.487299999999998</c:v>
                </c:pt>
                <c:pt idx="30">
                  <c:v>41.889200000000002</c:v>
                </c:pt>
                <c:pt idx="31">
                  <c:v>42.294899999999998</c:v>
                </c:pt>
                <c:pt idx="32">
                  <c:v>42.7</c:v>
                </c:pt>
                <c:pt idx="33">
                  <c:v>43.1053</c:v>
                </c:pt>
                <c:pt idx="34">
                  <c:v>43.514000000000003</c:v>
                </c:pt>
                <c:pt idx="35">
                  <c:v>43.920499999999997</c:v>
                </c:pt>
                <c:pt idx="36">
                  <c:v>44.326500000000003</c:v>
                </c:pt>
                <c:pt idx="37">
                  <c:v>44.734499999999997</c:v>
                </c:pt>
                <c:pt idx="38">
                  <c:v>45.141399999999997</c:v>
                </c:pt>
                <c:pt idx="39">
                  <c:v>45.549199999999999</c:v>
                </c:pt>
                <c:pt idx="40">
                  <c:v>45.949199999999998</c:v>
                </c:pt>
                <c:pt idx="41">
                  <c:v>46.359099999999998</c:v>
                </c:pt>
                <c:pt idx="42">
                  <c:v>46.7624</c:v>
                </c:pt>
                <c:pt idx="43">
                  <c:v>47.169199999999996</c:v>
                </c:pt>
                <c:pt idx="44">
                  <c:v>47.579799999999999</c:v>
                </c:pt>
                <c:pt idx="45">
                  <c:v>47.985799999999998</c:v>
                </c:pt>
                <c:pt idx="46">
                  <c:v>48.392699999999998</c:v>
                </c:pt>
                <c:pt idx="47">
                  <c:v>48.794600000000003</c:v>
                </c:pt>
                <c:pt idx="48">
                  <c:v>49.201700000000002</c:v>
                </c:pt>
                <c:pt idx="49">
                  <c:v>49.609400000000001</c:v>
                </c:pt>
                <c:pt idx="50">
                  <c:v>50.016300000000001</c:v>
                </c:pt>
                <c:pt idx="51">
                  <c:v>50.421199999999999</c:v>
                </c:pt>
                <c:pt idx="52">
                  <c:v>50.826099999999997</c:v>
                </c:pt>
                <c:pt idx="53">
                  <c:v>51.232300000000002</c:v>
                </c:pt>
                <c:pt idx="54">
                  <c:v>51.641800000000003</c:v>
                </c:pt>
                <c:pt idx="55">
                  <c:v>52.046999999999997</c:v>
                </c:pt>
                <c:pt idx="56">
                  <c:v>52.451799999999999</c:v>
                </c:pt>
                <c:pt idx="57">
                  <c:v>52.856900000000003</c:v>
                </c:pt>
                <c:pt idx="58">
                  <c:v>53.263500000000001</c:v>
                </c:pt>
                <c:pt idx="59">
                  <c:v>53.669699999999999</c:v>
                </c:pt>
                <c:pt idx="60">
                  <c:v>54.078400000000002</c:v>
                </c:pt>
                <c:pt idx="61">
                  <c:v>54.485300000000002</c:v>
                </c:pt>
                <c:pt idx="62">
                  <c:v>54.887700000000002</c:v>
                </c:pt>
                <c:pt idx="63">
                  <c:v>55.294199999999996</c:v>
                </c:pt>
                <c:pt idx="64">
                  <c:v>55.701099999999997</c:v>
                </c:pt>
                <c:pt idx="65">
                  <c:v>56.112200000000001</c:v>
                </c:pt>
                <c:pt idx="66">
                  <c:v>56.5199</c:v>
                </c:pt>
                <c:pt idx="67">
                  <c:v>56.921900000000001</c:v>
                </c:pt>
                <c:pt idx="68">
                  <c:v>57.326900000000002</c:v>
                </c:pt>
                <c:pt idx="69">
                  <c:v>57.734699999999997</c:v>
                </c:pt>
                <c:pt idx="70">
                  <c:v>58.142600000000002</c:v>
                </c:pt>
                <c:pt idx="71">
                  <c:v>58.548400000000001</c:v>
                </c:pt>
                <c:pt idx="72">
                  <c:v>58.952599999999997</c:v>
                </c:pt>
                <c:pt idx="73">
                  <c:v>59.3583</c:v>
                </c:pt>
                <c:pt idx="74">
                  <c:v>59.762599999999999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34.580599999999997</c:v>
                </c:pt>
                <c:pt idx="1">
                  <c:v>34.098800000000004</c:v>
                </c:pt>
                <c:pt idx="2">
                  <c:v>33.701999999999998</c:v>
                </c:pt>
                <c:pt idx="3">
                  <c:v>33.307700000000004</c:v>
                </c:pt>
                <c:pt idx="4">
                  <c:v>32.933</c:v>
                </c:pt>
                <c:pt idx="5">
                  <c:v>32.522800000000004</c:v>
                </c:pt>
                <c:pt idx="6">
                  <c:v>32.040800000000004</c:v>
                </c:pt>
                <c:pt idx="7">
                  <c:v>31.5457</c:v>
                </c:pt>
                <c:pt idx="8">
                  <c:v>31.055</c:v>
                </c:pt>
                <c:pt idx="9">
                  <c:v>30.642500000000002</c:v>
                </c:pt>
                <c:pt idx="10">
                  <c:v>30.2529</c:v>
                </c:pt>
                <c:pt idx="11">
                  <c:v>29.817900000000002</c:v>
                </c:pt>
                <c:pt idx="12">
                  <c:v>29.408800000000003</c:v>
                </c:pt>
                <c:pt idx="13">
                  <c:v>29.035499999999999</c:v>
                </c:pt>
                <c:pt idx="14">
                  <c:v>28.693200000000001</c:v>
                </c:pt>
                <c:pt idx="15">
                  <c:v>28.307500000000001</c:v>
                </c:pt>
                <c:pt idx="16">
                  <c:v>27.999700000000001</c:v>
                </c:pt>
                <c:pt idx="17">
                  <c:v>27.757100000000001</c:v>
                </c:pt>
                <c:pt idx="18">
                  <c:v>27.539899999999999</c:v>
                </c:pt>
                <c:pt idx="19">
                  <c:v>27.481299999999997</c:v>
                </c:pt>
                <c:pt idx="20">
                  <c:v>27.508899999999997</c:v>
                </c:pt>
                <c:pt idx="21">
                  <c:v>27.6403</c:v>
                </c:pt>
                <c:pt idx="22">
                  <c:v>27.847100000000001</c:v>
                </c:pt>
                <c:pt idx="23">
                  <c:v>28.044400000000003</c:v>
                </c:pt>
                <c:pt idx="24">
                  <c:v>28.183200000000003</c:v>
                </c:pt>
                <c:pt idx="25">
                  <c:v>28.291300000000003</c:v>
                </c:pt>
                <c:pt idx="26">
                  <c:v>28.447600000000001</c:v>
                </c:pt>
                <c:pt idx="27">
                  <c:v>28.624699999999997</c:v>
                </c:pt>
                <c:pt idx="28">
                  <c:v>28.766500000000001</c:v>
                </c:pt>
                <c:pt idx="29">
                  <c:v>28.944300000000002</c:v>
                </c:pt>
                <c:pt idx="30">
                  <c:v>29.139799999999997</c:v>
                </c:pt>
                <c:pt idx="31">
                  <c:v>29.291699999999999</c:v>
                </c:pt>
                <c:pt idx="32">
                  <c:v>29.401699999999998</c:v>
                </c:pt>
                <c:pt idx="33">
                  <c:v>29.524499999999996</c:v>
                </c:pt>
                <c:pt idx="34">
                  <c:v>29.628900000000002</c:v>
                </c:pt>
                <c:pt idx="35">
                  <c:v>29.737599999999997</c:v>
                </c:pt>
                <c:pt idx="36">
                  <c:v>29.804199999999998</c:v>
                </c:pt>
                <c:pt idx="37">
                  <c:v>29.9145</c:v>
                </c:pt>
                <c:pt idx="38">
                  <c:v>30.062200000000001</c:v>
                </c:pt>
                <c:pt idx="39">
                  <c:v>30.1402</c:v>
                </c:pt>
                <c:pt idx="40">
                  <c:v>30.197800000000001</c:v>
                </c:pt>
                <c:pt idx="41">
                  <c:v>30.255900000000004</c:v>
                </c:pt>
                <c:pt idx="42">
                  <c:v>30.456100000000003</c:v>
                </c:pt>
                <c:pt idx="43">
                  <c:v>30.680499999999999</c:v>
                </c:pt>
                <c:pt idx="44">
                  <c:v>30.831299999999999</c:v>
                </c:pt>
                <c:pt idx="45">
                  <c:v>31.013300000000001</c:v>
                </c:pt>
                <c:pt idx="46">
                  <c:v>31.228899999999999</c:v>
                </c:pt>
                <c:pt idx="47">
                  <c:v>31.403700000000001</c:v>
                </c:pt>
                <c:pt idx="48">
                  <c:v>31.467600000000001</c:v>
                </c:pt>
                <c:pt idx="49">
                  <c:v>31.541799999999999</c:v>
                </c:pt>
                <c:pt idx="50">
                  <c:v>31.659399999999998</c:v>
                </c:pt>
                <c:pt idx="51">
                  <c:v>31.6647</c:v>
                </c:pt>
                <c:pt idx="52">
                  <c:v>31.676500000000001</c:v>
                </c:pt>
                <c:pt idx="53">
                  <c:v>31.695600000000002</c:v>
                </c:pt>
                <c:pt idx="54">
                  <c:v>31.675900000000002</c:v>
                </c:pt>
                <c:pt idx="55">
                  <c:v>31.682500000000001</c:v>
                </c:pt>
                <c:pt idx="56">
                  <c:v>31.736999999999998</c:v>
                </c:pt>
                <c:pt idx="57">
                  <c:v>31.8307</c:v>
                </c:pt>
                <c:pt idx="58">
                  <c:v>31.9133</c:v>
                </c:pt>
                <c:pt idx="59">
                  <c:v>31.988899999999997</c:v>
                </c:pt>
                <c:pt idx="60">
                  <c:v>32.057200000000002</c:v>
                </c:pt>
                <c:pt idx="61">
                  <c:v>32.238799999999998</c:v>
                </c:pt>
                <c:pt idx="62">
                  <c:v>32.367100000000001</c:v>
                </c:pt>
                <c:pt idx="63">
                  <c:v>32.461600000000004</c:v>
                </c:pt>
                <c:pt idx="64">
                  <c:v>32.684800000000003</c:v>
                </c:pt>
                <c:pt idx="65">
                  <c:v>32.971299999999999</c:v>
                </c:pt>
                <c:pt idx="66">
                  <c:v>33.301099999999998</c:v>
                </c:pt>
                <c:pt idx="67">
                  <c:v>33.414200000000001</c:v>
                </c:pt>
                <c:pt idx="68">
                  <c:v>33.470700000000001</c:v>
                </c:pt>
                <c:pt idx="69">
                  <c:v>33.607900000000001</c:v>
                </c:pt>
                <c:pt idx="70">
                  <c:v>33.612900000000003</c:v>
                </c:pt>
                <c:pt idx="71">
                  <c:v>33.393099999999997</c:v>
                </c:pt>
                <c:pt idx="72">
                  <c:v>33.148499999999999</c:v>
                </c:pt>
                <c:pt idx="73">
                  <c:v>33.403100000000002</c:v>
                </c:pt>
                <c:pt idx="74">
                  <c:v>33.903700000000001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14.94065</c:v>
                </c:pt>
                <c:pt idx="1">
                  <c:v>44.821950000000001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36.575863513513504</c:v>
                </c:pt>
                <c:pt idx="1">
                  <c:v>30.807068918918922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36.748100000000001</c:v>
                </c:pt>
                <c:pt idx="1">
                  <c:v>31.215299999999999</c:v>
                </c:pt>
                <c:pt idx="2">
                  <c:v>22.843399999999999</c:v>
                </c:pt>
                <c:pt idx="3">
                  <c:v>29.540500000000002</c:v>
                </c:pt>
                <c:pt idx="4">
                  <c:v>56.753999999999998</c:v>
                </c:pt>
                <c:pt idx="5">
                  <c:v>67.113900000000001</c:v>
                </c:pt>
                <c:pt idx="6">
                  <c:v>21.3399</c:v>
                </c:pt>
                <c:pt idx="7">
                  <c:v>64.227000000000004</c:v>
                </c:pt>
                <c:pt idx="8">
                  <c:v>14.8939</c:v>
                </c:pt>
                <c:pt idx="9">
                  <c:v>49.359000000000002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50.616599999999998</c:v>
                </c:pt>
                <c:pt idx="1">
                  <c:v>41.931600000000003</c:v>
                </c:pt>
                <c:pt idx="2">
                  <c:v>24.622800000000002</c:v>
                </c:pt>
                <c:pt idx="3">
                  <c:v>38.002099999999999</c:v>
                </c:pt>
                <c:pt idx="4">
                  <c:v>55.888399999999997</c:v>
                </c:pt>
                <c:pt idx="5">
                  <c:v>57.1935</c:v>
                </c:pt>
                <c:pt idx="6">
                  <c:v>23.694500000000001</c:v>
                </c:pt>
                <c:pt idx="7">
                  <c:v>56.702500000000001</c:v>
                </c:pt>
                <c:pt idx="8">
                  <c:v>14.3744</c:v>
                </c:pt>
                <c:pt idx="9">
                  <c:v>13.8348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0.45699395510987739</c:v>
                </c:pt>
                <c:pt idx="1">
                  <c:v>0.26260195828866528</c:v>
                </c:pt>
                <c:pt idx="2">
                  <c:v>0.28040408660145727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4482</c:v>
                </c:pt>
                <c:pt idx="7">
                  <c:v>0</c:v>
                </c:pt>
                <c:pt idx="8">
                  <c:v>3017</c:v>
                </c:pt>
                <c:pt idx="9">
                  <c:v>0</c:v>
                </c:pt>
                <c:pt idx="10">
                  <c:v>0</c:v>
                </c:pt>
                <c:pt idx="11">
                  <c:v>4704</c:v>
                </c:pt>
                <c:pt idx="12">
                  <c:v>0</c:v>
                </c:pt>
                <c:pt idx="13">
                  <c:v>6607</c:v>
                </c:pt>
                <c:pt idx="14">
                  <c:v>0</c:v>
                </c:pt>
                <c:pt idx="15">
                  <c:v>0</c:v>
                </c:pt>
                <c:pt idx="16">
                  <c:v>8861</c:v>
                </c:pt>
                <c:pt idx="17">
                  <c:v>0</c:v>
                </c:pt>
                <c:pt idx="18">
                  <c:v>0</c:v>
                </c:pt>
                <c:pt idx="19">
                  <c:v>12935</c:v>
                </c:pt>
                <c:pt idx="20">
                  <c:v>0</c:v>
                </c:pt>
                <c:pt idx="21">
                  <c:v>15301</c:v>
                </c:pt>
                <c:pt idx="22">
                  <c:v>0</c:v>
                </c:pt>
                <c:pt idx="23">
                  <c:v>0</c:v>
                </c:pt>
                <c:pt idx="24">
                  <c:v>18438</c:v>
                </c:pt>
                <c:pt idx="25">
                  <c:v>0</c:v>
                </c:pt>
                <c:pt idx="26">
                  <c:v>23196</c:v>
                </c:pt>
                <c:pt idx="27">
                  <c:v>0</c:v>
                </c:pt>
                <c:pt idx="28">
                  <c:v>0</c:v>
                </c:pt>
                <c:pt idx="29">
                  <c:v>24618</c:v>
                </c:pt>
                <c:pt idx="30">
                  <c:v>0</c:v>
                </c:pt>
                <c:pt idx="31">
                  <c:v>26347</c:v>
                </c:pt>
                <c:pt idx="32">
                  <c:v>0</c:v>
                </c:pt>
                <c:pt idx="33">
                  <c:v>0</c:v>
                </c:pt>
                <c:pt idx="34">
                  <c:v>31081</c:v>
                </c:pt>
                <c:pt idx="35">
                  <c:v>0</c:v>
                </c:pt>
                <c:pt idx="36">
                  <c:v>0</c:v>
                </c:pt>
                <c:pt idx="37">
                  <c:v>37806</c:v>
                </c:pt>
                <c:pt idx="38">
                  <c:v>0</c:v>
                </c:pt>
                <c:pt idx="39">
                  <c:v>49259</c:v>
                </c:pt>
                <c:pt idx="40">
                  <c:v>0</c:v>
                </c:pt>
                <c:pt idx="41">
                  <c:v>0</c:v>
                </c:pt>
                <c:pt idx="42">
                  <c:v>67814</c:v>
                </c:pt>
                <c:pt idx="43">
                  <c:v>0</c:v>
                </c:pt>
                <c:pt idx="44">
                  <c:v>74415</c:v>
                </c:pt>
                <c:pt idx="45">
                  <c:v>0</c:v>
                </c:pt>
                <c:pt idx="46">
                  <c:v>0</c:v>
                </c:pt>
                <c:pt idx="47">
                  <c:v>78641</c:v>
                </c:pt>
                <c:pt idx="48">
                  <c:v>0</c:v>
                </c:pt>
                <c:pt idx="49">
                  <c:v>78840</c:v>
                </c:pt>
                <c:pt idx="50">
                  <c:v>0</c:v>
                </c:pt>
                <c:pt idx="51">
                  <c:v>0</c:v>
                </c:pt>
                <c:pt idx="52">
                  <c:v>87586</c:v>
                </c:pt>
                <c:pt idx="53">
                  <c:v>0</c:v>
                </c:pt>
                <c:pt idx="54">
                  <c:v>0</c:v>
                </c:pt>
                <c:pt idx="55">
                  <c:v>87057</c:v>
                </c:pt>
                <c:pt idx="56">
                  <c:v>0</c:v>
                </c:pt>
                <c:pt idx="57">
                  <c:v>88276</c:v>
                </c:pt>
                <c:pt idx="58">
                  <c:v>0</c:v>
                </c:pt>
                <c:pt idx="59">
                  <c:v>0</c:v>
                </c:pt>
                <c:pt idx="60">
                  <c:v>80405</c:v>
                </c:pt>
                <c:pt idx="61">
                  <c:v>0</c:v>
                </c:pt>
                <c:pt idx="62">
                  <c:v>79902</c:v>
                </c:pt>
                <c:pt idx="63">
                  <c:v>0</c:v>
                </c:pt>
                <c:pt idx="64">
                  <c:v>0</c:v>
                </c:pt>
                <c:pt idx="65">
                  <c:v>81404</c:v>
                </c:pt>
                <c:pt idx="66">
                  <c:v>0</c:v>
                </c:pt>
                <c:pt idx="67">
                  <c:v>76811</c:v>
                </c:pt>
                <c:pt idx="68">
                  <c:v>0</c:v>
                </c:pt>
                <c:pt idx="69">
                  <c:v>0</c:v>
                </c:pt>
                <c:pt idx="70">
                  <c:v>77009</c:v>
                </c:pt>
                <c:pt idx="71">
                  <c:v>0</c:v>
                </c:pt>
                <c:pt idx="72">
                  <c:v>0</c:v>
                </c:pt>
                <c:pt idx="73">
                  <c:v>79449</c:v>
                </c:pt>
                <c:pt idx="74">
                  <c:v>0</c:v>
                </c:pt>
                <c:pt idx="75">
                  <c:v>82379</c:v>
                </c:pt>
                <c:pt idx="76">
                  <c:v>0</c:v>
                </c:pt>
                <c:pt idx="77">
                  <c:v>0</c:v>
                </c:pt>
                <c:pt idx="78">
                  <c:v>74448</c:v>
                </c:pt>
                <c:pt idx="79">
                  <c:v>0</c:v>
                </c:pt>
                <c:pt idx="80">
                  <c:v>71790</c:v>
                </c:pt>
                <c:pt idx="81">
                  <c:v>0</c:v>
                </c:pt>
                <c:pt idx="82">
                  <c:v>0</c:v>
                </c:pt>
                <c:pt idx="83">
                  <c:v>72695</c:v>
                </c:pt>
                <c:pt idx="84">
                  <c:v>0</c:v>
                </c:pt>
                <c:pt idx="85">
                  <c:v>0</c:v>
                </c:pt>
                <c:pt idx="86">
                  <c:v>71853</c:v>
                </c:pt>
                <c:pt idx="87">
                  <c:v>0</c:v>
                </c:pt>
                <c:pt idx="88">
                  <c:v>68940</c:v>
                </c:pt>
                <c:pt idx="89">
                  <c:v>0</c:v>
                </c:pt>
                <c:pt idx="90">
                  <c:v>0</c:v>
                </c:pt>
                <c:pt idx="91">
                  <c:v>61238</c:v>
                </c:pt>
                <c:pt idx="92">
                  <c:v>0</c:v>
                </c:pt>
                <c:pt idx="93">
                  <c:v>62066</c:v>
                </c:pt>
                <c:pt idx="94">
                  <c:v>0</c:v>
                </c:pt>
                <c:pt idx="95">
                  <c:v>0</c:v>
                </c:pt>
                <c:pt idx="96">
                  <c:v>58484</c:v>
                </c:pt>
                <c:pt idx="97">
                  <c:v>0</c:v>
                </c:pt>
                <c:pt idx="98">
                  <c:v>59192</c:v>
                </c:pt>
                <c:pt idx="99">
                  <c:v>0</c:v>
                </c:pt>
                <c:pt idx="100">
                  <c:v>0</c:v>
                </c:pt>
                <c:pt idx="101">
                  <c:v>57534</c:v>
                </c:pt>
                <c:pt idx="102">
                  <c:v>0</c:v>
                </c:pt>
                <c:pt idx="103">
                  <c:v>0</c:v>
                </c:pt>
                <c:pt idx="104">
                  <c:v>61321</c:v>
                </c:pt>
                <c:pt idx="105">
                  <c:v>0</c:v>
                </c:pt>
                <c:pt idx="106">
                  <c:v>62810</c:v>
                </c:pt>
                <c:pt idx="107">
                  <c:v>0</c:v>
                </c:pt>
                <c:pt idx="108">
                  <c:v>0</c:v>
                </c:pt>
                <c:pt idx="109">
                  <c:v>57680</c:v>
                </c:pt>
                <c:pt idx="110">
                  <c:v>0</c:v>
                </c:pt>
                <c:pt idx="111">
                  <c:v>57946</c:v>
                </c:pt>
                <c:pt idx="112">
                  <c:v>0</c:v>
                </c:pt>
                <c:pt idx="113">
                  <c:v>0</c:v>
                </c:pt>
                <c:pt idx="114">
                  <c:v>56910</c:v>
                </c:pt>
                <c:pt idx="115">
                  <c:v>0</c:v>
                </c:pt>
                <c:pt idx="116">
                  <c:v>59580</c:v>
                </c:pt>
                <c:pt idx="117">
                  <c:v>0</c:v>
                </c:pt>
                <c:pt idx="118">
                  <c:v>0</c:v>
                </c:pt>
                <c:pt idx="119">
                  <c:v>63087</c:v>
                </c:pt>
                <c:pt idx="120">
                  <c:v>0</c:v>
                </c:pt>
                <c:pt idx="121">
                  <c:v>0</c:v>
                </c:pt>
                <c:pt idx="122">
                  <c:v>63829</c:v>
                </c:pt>
                <c:pt idx="123">
                  <c:v>0</c:v>
                </c:pt>
                <c:pt idx="124">
                  <c:v>63250</c:v>
                </c:pt>
                <c:pt idx="125">
                  <c:v>0</c:v>
                </c:pt>
                <c:pt idx="126">
                  <c:v>0</c:v>
                </c:pt>
                <c:pt idx="127">
                  <c:v>64141</c:v>
                </c:pt>
                <c:pt idx="128">
                  <c:v>0</c:v>
                </c:pt>
                <c:pt idx="129">
                  <c:v>57993</c:v>
                </c:pt>
                <c:pt idx="130">
                  <c:v>0</c:v>
                </c:pt>
                <c:pt idx="131">
                  <c:v>0</c:v>
                </c:pt>
                <c:pt idx="132">
                  <c:v>53070</c:v>
                </c:pt>
                <c:pt idx="133">
                  <c:v>0</c:v>
                </c:pt>
                <c:pt idx="134">
                  <c:v>49917</c:v>
                </c:pt>
                <c:pt idx="135">
                  <c:v>0</c:v>
                </c:pt>
                <c:pt idx="136">
                  <c:v>0</c:v>
                </c:pt>
                <c:pt idx="137">
                  <c:v>46058</c:v>
                </c:pt>
                <c:pt idx="138">
                  <c:v>0</c:v>
                </c:pt>
                <c:pt idx="139">
                  <c:v>0</c:v>
                </c:pt>
                <c:pt idx="140">
                  <c:v>40790</c:v>
                </c:pt>
                <c:pt idx="141">
                  <c:v>0</c:v>
                </c:pt>
                <c:pt idx="142">
                  <c:v>34476</c:v>
                </c:pt>
                <c:pt idx="143">
                  <c:v>0</c:v>
                </c:pt>
                <c:pt idx="144">
                  <c:v>0</c:v>
                </c:pt>
                <c:pt idx="145">
                  <c:v>31691</c:v>
                </c:pt>
                <c:pt idx="146">
                  <c:v>0</c:v>
                </c:pt>
                <c:pt idx="147">
                  <c:v>29359</c:v>
                </c:pt>
                <c:pt idx="148">
                  <c:v>0</c:v>
                </c:pt>
                <c:pt idx="149">
                  <c:v>0</c:v>
                </c:pt>
                <c:pt idx="150">
                  <c:v>27157</c:v>
                </c:pt>
                <c:pt idx="151">
                  <c:v>0</c:v>
                </c:pt>
                <c:pt idx="152">
                  <c:v>20329</c:v>
                </c:pt>
                <c:pt idx="153">
                  <c:v>0</c:v>
                </c:pt>
                <c:pt idx="154">
                  <c:v>0</c:v>
                </c:pt>
                <c:pt idx="155">
                  <c:v>15915</c:v>
                </c:pt>
                <c:pt idx="156">
                  <c:v>0</c:v>
                </c:pt>
                <c:pt idx="157">
                  <c:v>0</c:v>
                </c:pt>
                <c:pt idx="158">
                  <c:v>11419</c:v>
                </c:pt>
                <c:pt idx="159">
                  <c:v>0</c:v>
                </c:pt>
                <c:pt idx="160">
                  <c:v>6641</c:v>
                </c:pt>
                <c:pt idx="161">
                  <c:v>0</c:v>
                </c:pt>
                <c:pt idx="162">
                  <c:v>0</c:v>
                </c:pt>
                <c:pt idx="163">
                  <c:v>5198</c:v>
                </c:pt>
                <c:pt idx="164">
                  <c:v>0</c:v>
                </c:pt>
                <c:pt idx="165">
                  <c:v>5343</c:v>
                </c:pt>
                <c:pt idx="166">
                  <c:v>0</c:v>
                </c:pt>
                <c:pt idx="167">
                  <c:v>0</c:v>
                </c:pt>
                <c:pt idx="168">
                  <c:v>5161</c:v>
                </c:pt>
                <c:pt idx="169">
                  <c:v>0</c:v>
                </c:pt>
                <c:pt idx="170">
                  <c:v>0</c:v>
                </c:pt>
                <c:pt idx="171">
                  <c:v>6330</c:v>
                </c:pt>
                <c:pt idx="172">
                  <c:v>0</c:v>
                </c:pt>
                <c:pt idx="173">
                  <c:v>3433</c:v>
                </c:pt>
                <c:pt idx="174">
                  <c:v>0</c:v>
                </c:pt>
                <c:pt idx="175">
                  <c:v>0</c:v>
                </c:pt>
                <c:pt idx="176">
                  <c:v>5549</c:v>
                </c:pt>
                <c:pt idx="177">
                  <c:v>0</c:v>
                </c:pt>
                <c:pt idx="178">
                  <c:v>4261</c:v>
                </c:pt>
                <c:pt idx="179">
                  <c:v>0</c:v>
                </c:pt>
                <c:pt idx="180">
                  <c:v>0</c:v>
                </c:pt>
                <c:pt idx="181">
                  <c:v>2683</c:v>
                </c:pt>
                <c:pt idx="182">
                  <c:v>0</c:v>
                </c:pt>
                <c:pt idx="183">
                  <c:v>1187</c:v>
                </c:pt>
                <c:pt idx="184">
                  <c:v>0</c:v>
                </c:pt>
                <c:pt idx="185">
                  <c:v>0</c:v>
                </c:pt>
                <c:pt idx="186">
                  <c:v>1406</c:v>
                </c:pt>
                <c:pt idx="187">
                  <c:v>0</c:v>
                </c:pt>
                <c:pt idx="188">
                  <c:v>0</c:v>
                </c:pt>
                <c:pt idx="189">
                  <c:v>926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6833</c:v>
                </c:pt>
                <c:pt idx="7">
                  <c:v>0</c:v>
                </c:pt>
                <c:pt idx="8">
                  <c:v>7605</c:v>
                </c:pt>
                <c:pt idx="9">
                  <c:v>0</c:v>
                </c:pt>
                <c:pt idx="10">
                  <c:v>0</c:v>
                </c:pt>
                <c:pt idx="11">
                  <c:v>5422</c:v>
                </c:pt>
                <c:pt idx="12">
                  <c:v>0</c:v>
                </c:pt>
                <c:pt idx="13">
                  <c:v>6600</c:v>
                </c:pt>
                <c:pt idx="14">
                  <c:v>0</c:v>
                </c:pt>
                <c:pt idx="15">
                  <c:v>0</c:v>
                </c:pt>
                <c:pt idx="16">
                  <c:v>9417</c:v>
                </c:pt>
                <c:pt idx="17">
                  <c:v>0</c:v>
                </c:pt>
                <c:pt idx="18">
                  <c:v>0</c:v>
                </c:pt>
                <c:pt idx="19">
                  <c:v>11190</c:v>
                </c:pt>
                <c:pt idx="20">
                  <c:v>0</c:v>
                </c:pt>
                <c:pt idx="21">
                  <c:v>12205</c:v>
                </c:pt>
                <c:pt idx="22">
                  <c:v>0</c:v>
                </c:pt>
                <c:pt idx="23">
                  <c:v>0</c:v>
                </c:pt>
                <c:pt idx="24">
                  <c:v>14799</c:v>
                </c:pt>
                <c:pt idx="25">
                  <c:v>0</c:v>
                </c:pt>
                <c:pt idx="26">
                  <c:v>15546</c:v>
                </c:pt>
                <c:pt idx="27">
                  <c:v>0</c:v>
                </c:pt>
                <c:pt idx="28">
                  <c:v>0</c:v>
                </c:pt>
                <c:pt idx="29">
                  <c:v>16739</c:v>
                </c:pt>
                <c:pt idx="30">
                  <c:v>0</c:v>
                </c:pt>
                <c:pt idx="31">
                  <c:v>17268</c:v>
                </c:pt>
                <c:pt idx="32">
                  <c:v>0</c:v>
                </c:pt>
                <c:pt idx="33">
                  <c:v>0</c:v>
                </c:pt>
                <c:pt idx="34">
                  <c:v>19521</c:v>
                </c:pt>
                <c:pt idx="35">
                  <c:v>0</c:v>
                </c:pt>
                <c:pt idx="36">
                  <c:v>0</c:v>
                </c:pt>
                <c:pt idx="37">
                  <c:v>26845</c:v>
                </c:pt>
                <c:pt idx="38">
                  <c:v>0</c:v>
                </c:pt>
                <c:pt idx="39">
                  <c:v>26804</c:v>
                </c:pt>
                <c:pt idx="40">
                  <c:v>0</c:v>
                </c:pt>
                <c:pt idx="41">
                  <c:v>0</c:v>
                </c:pt>
                <c:pt idx="42">
                  <c:v>35225</c:v>
                </c:pt>
                <c:pt idx="43">
                  <c:v>0</c:v>
                </c:pt>
                <c:pt idx="44">
                  <c:v>39006</c:v>
                </c:pt>
                <c:pt idx="45">
                  <c:v>0</c:v>
                </c:pt>
                <c:pt idx="46">
                  <c:v>0</c:v>
                </c:pt>
                <c:pt idx="47">
                  <c:v>39064</c:v>
                </c:pt>
                <c:pt idx="48">
                  <c:v>0</c:v>
                </c:pt>
                <c:pt idx="49">
                  <c:v>49665</c:v>
                </c:pt>
                <c:pt idx="50">
                  <c:v>0</c:v>
                </c:pt>
                <c:pt idx="51">
                  <c:v>0</c:v>
                </c:pt>
                <c:pt idx="52">
                  <c:v>54422</c:v>
                </c:pt>
                <c:pt idx="53">
                  <c:v>0</c:v>
                </c:pt>
                <c:pt idx="54">
                  <c:v>0</c:v>
                </c:pt>
                <c:pt idx="55">
                  <c:v>65213</c:v>
                </c:pt>
                <c:pt idx="56">
                  <c:v>0</c:v>
                </c:pt>
                <c:pt idx="57">
                  <c:v>59583</c:v>
                </c:pt>
                <c:pt idx="58">
                  <c:v>0</c:v>
                </c:pt>
                <c:pt idx="59">
                  <c:v>0</c:v>
                </c:pt>
                <c:pt idx="60">
                  <c:v>62935</c:v>
                </c:pt>
                <c:pt idx="61">
                  <c:v>0</c:v>
                </c:pt>
                <c:pt idx="62">
                  <c:v>61166</c:v>
                </c:pt>
                <c:pt idx="63">
                  <c:v>0</c:v>
                </c:pt>
                <c:pt idx="64">
                  <c:v>0</c:v>
                </c:pt>
                <c:pt idx="65">
                  <c:v>63600</c:v>
                </c:pt>
                <c:pt idx="66">
                  <c:v>0</c:v>
                </c:pt>
                <c:pt idx="67">
                  <c:v>60333</c:v>
                </c:pt>
                <c:pt idx="68">
                  <c:v>0</c:v>
                </c:pt>
                <c:pt idx="69">
                  <c:v>0</c:v>
                </c:pt>
                <c:pt idx="70">
                  <c:v>54201</c:v>
                </c:pt>
                <c:pt idx="71">
                  <c:v>0</c:v>
                </c:pt>
                <c:pt idx="72">
                  <c:v>0</c:v>
                </c:pt>
                <c:pt idx="73">
                  <c:v>52070</c:v>
                </c:pt>
                <c:pt idx="74">
                  <c:v>0</c:v>
                </c:pt>
                <c:pt idx="75">
                  <c:v>55842</c:v>
                </c:pt>
                <c:pt idx="76">
                  <c:v>0</c:v>
                </c:pt>
                <c:pt idx="77">
                  <c:v>0</c:v>
                </c:pt>
                <c:pt idx="78">
                  <c:v>63467</c:v>
                </c:pt>
                <c:pt idx="79">
                  <c:v>0</c:v>
                </c:pt>
                <c:pt idx="80">
                  <c:v>68270</c:v>
                </c:pt>
                <c:pt idx="81">
                  <c:v>0</c:v>
                </c:pt>
                <c:pt idx="82">
                  <c:v>0</c:v>
                </c:pt>
                <c:pt idx="83">
                  <c:v>66781</c:v>
                </c:pt>
                <c:pt idx="84">
                  <c:v>0</c:v>
                </c:pt>
                <c:pt idx="85">
                  <c:v>0</c:v>
                </c:pt>
                <c:pt idx="86">
                  <c:v>68243</c:v>
                </c:pt>
                <c:pt idx="87">
                  <c:v>0</c:v>
                </c:pt>
                <c:pt idx="88">
                  <c:v>64408</c:v>
                </c:pt>
                <c:pt idx="89">
                  <c:v>0</c:v>
                </c:pt>
                <c:pt idx="90">
                  <c:v>0</c:v>
                </c:pt>
                <c:pt idx="91">
                  <c:v>59696</c:v>
                </c:pt>
                <c:pt idx="92">
                  <c:v>0</c:v>
                </c:pt>
                <c:pt idx="93">
                  <c:v>58218</c:v>
                </c:pt>
                <c:pt idx="94">
                  <c:v>0</c:v>
                </c:pt>
                <c:pt idx="95">
                  <c:v>0</c:v>
                </c:pt>
                <c:pt idx="96">
                  <c:v>53757</c:v>
                </c:pt>
                <c:pt idx="97">
                  <c:v>0</c:v>
                </c:pt>
                <c:pt idx="98">
                  <c:v>57178</c:v>
                </c:pt>
                <c:pt idx="99">
                  <c:v>0</c:v>
                </c:pt>
                <c:pt idx="100">
                  <c:v>0</c:v>
                </c:pt>
                <c:pt idx="101">
                  <c:v>60074</c:v>
                </c:pt>
                <c:pt idx="102">
                  <c:v>0</c:v>
                </c:pt>
                <c:pt idx="103">
                  <c:v>0</c:v>
                </c:pt>
                <c:pt idx="104">
                  <c:v>68661</c:v>
                </c:pt>
                <c:pt idx="105">
                  <c:v>0</c:v>
                </c:pt>
                <c:pt idx="106">
                  <c:v>74437</c:v>
                </c:pt>
                <c:pt idx="107">
                  <c:v>0</c:v>
                </c:pt>
                <c:pt idx="108">
                  <c:v>0</c:v>
                </c:pt>
                <c:pt idx="109">
                  <c:v>76647</c:v>
                </c:pt>
                <c:pt idx="110">
                  <c:v>0</c:v>
                </c:pt>
                <c:pt idx="111">
                  <c:v>85491</c:v>
                </c:pt>
                <c:pt idx="112">
                  <c:v>0</c:v>
                </c:pt>
                <c:pt idx="113">
                  <c:v>0</c:v>
                </c:pt>
                <c:pt idx="114">
                  <c:v>105012</c:v>
                </c:pt>
                <c:pt idx="115">
                  <c:v>0</c:v>
                </c:pt>
                <c:pt idx="116">
                  <c:v>109411</c:v>
                </c:pt>
                <c:pt idx="117">
                  <c:v>0</c:v>
                </c:pt>
                <c:pt idx="118">
                  <c:v>0</c:v>
                </c:pt>
                <c:pt idx="119">
                  <c:v>111412</c:v>
                </c:pt>
                <c:pt idx="120">
                  <c:v>0</c:v>
                </c:pt>
                <c:pt idx="121">
                  <c:v>0</c:v>
                </c:pt>
                <c:pt idx="122">
                  <c:v>101824</c:v>
                </c:pt>
                <c:pt idx="123">
                  <c:v>0</c:v>
                </c:pt>
                <c:pt idx="124">
                  <c:v>96790</c:v>
                </c:pt>
                <c:pt idx="125">
                  <c:v>0</c:v>
                </c:pt>
                <c:pt idx="126">
                  <c:v>0</c:v>
                </c:pt>
                <c:pt idx="127">
                  <c:v>83833</c:v>
                </c:pt>
                <c:pt idx="128">
                  <c:v>0</c:v>
                </c:pt>
                <c:pt idx="129">
                  <c:v>81571</c:v>
                </c:pt>
                <c:pt idx="130">
                  <c:v>0</c:v>
                </c:pt>
                <c:pt idx="131">
                  <c:v>0</c:v>
                </c:pt>
                <c:pt idx="132">
                  <c:v>75449</c:v>
                </c:pt>
                <c:pt idx="133">
                  <c:v>0</c:v>
                </c:pt>
                <c:pt idx="134">
                  <c:v>67290</c:v>
                </c:pt>
                <c:pt idx="135">
                  <c:v>0</c:v>
                </c:pt>
                <c:pt idx="136">
                  <c:v>0</c:v>
                </c:pt>
                <c:pt idx="137">
                  <c:v>61910</c:v>
                </c:pt>
                <c:pt idx="138">
                  <c:v>0</c:v>
                </c:pt>
                <c:pt idx="139">
                  <c:v>0</c:v>
                </c:pt>
                <c:pt idx="140">
                  <c:v>51998</c:v>
                </c:pt>
                <c:pt idx="141">
                  <c:v>0</c:v>
                </c:pt>
                <c:pt idx="142">
                  <c:v>45446</c:v>
                </c:pt>
                <c:pt idx="143">
                  <c:v>0</c:v>
                </c:pt>
                <c:pt idx="144">
                  <c:v>0</c:v>
                </c:pt>
                <c:pt idx="145">
                  <c:v>36232</c:v>
                </c:pt>
                <c:pt idx="146">
                  <c:v>0</c:v>
                </c:pt>
                <c:pt idx="147">
                  <c:v>21732</c:v>
                </c:pt>
                <c:pt idx="148">
                  <c:v>0</c:v>
                </c:pt>
                <c:pt idx="149">
                  <c:v>0</c:v>
                </c:pt>
                <c:pt idx="150">
                  <c:v>13587</c:v>
                </c:pt>
                <c:pt idx="151">
                  <c:v>0</c:v>
                </c:pt>
                <c:pt idx="152">
                  <c:v>12374</c:v>
                </c:pt>
                <c:pt idx="153">
                  <c:v>0</c:v>
                </c:pt>
                <c:pt idx="154">
                  <c:v>0</c:v>
                </c:pt>
                <c:pt idx="155">
                  <c:v>11343</c:v>
                </c:pt>
                <c:pt idx="156">
                  <c:v>0</c:v>
                </c:pt>
                <c:pt idx="157">
                  <c:v>0</c:v>
                </c:pt>
                <c:pt idx="158">
                  <c:v>7690</c:v>
                </c:pt>
                <c:pt idx="159">
                  <c:v>0</c:v>
                </c:pt>
                <c:pt idx="160">
                  <c:v>8823</c:v>
                </c:pt>
                <c:pt idx="161">
                  <c:v>0</c:v>
                </c:pt>
                <c:pt idx="162">
                  <c:v>0</c:v>
                </c:pt>
                <c:pt idx="163">
                  <c:v>8353</c:v>
                </c:pt>
                <c:pt idx="164">
                  <c:v>0</c:v>
                </c:pt>
                <c:pt idx="165">
                  <c:v>6141</c:v>
                </c:pt>
                <c:pt idx="166">
                  <c:v>0</c:v>
                </c:pt>
                <c:pt idx="167">
                  <c:v>0</c:v>
                </c:pt>
                <c:pt idx="168">
                  <c:v>6959</c:v>
                </c:pt>
                <c:pt idx="169">
                  <c:v>0</c:v>
                </c:pt>
                <c:pt idx="170">
                  <c:v>0</c:v>
                </c:pt>
                <c:pt idx="171">
                  <c:v>4986</c:v>
                </c:pt>
                <c:pt idx="172">
                  <c:v>0</c:v>
                </c:pt>
                <c:pt idx="173">
                  <c:v>6437</c:v>
                </c:pt>
                <c:pt idx="174">
                  <c:v>0</c:v>
                </c:pt>
                <c:pt idx="175">
                  <c:v>0</c:v>
                </c:pt>
                <c:pt idx="176">
                  <c:v>7694</c:v>
                </c:pt>
                <c:pt idx="177">
                  <c:v>0</c:v>
                </c:pt>
                <c:pt idx="178">
                  <c:v>3661</c:v>
                </c:pt>
                <c:pt idx="179">
                  <c:v>0</c:v>
                </c:pt>
                <c:pt idx="180">
                  <c:v>0</c:v>
                </c:pt>
                <c:pt idx="181">
                  <c:v>3048</c:v>
                </c:pt>
                <c:pt idx="182">
                  <c:v>0</c:v>
                </c:pt>
                <c:pt idx="183">
                  <c:v>2319</c:v>
                </c:pt>
                <c:pt idx="184">
                  <c:v>0</c:v>
                </c:pt>
                <c:pt idx="185">
                  <c:v>0</c:v>
                </c:pt>
                <c:pt idx="186">
                  <c:v>2129</c:v>
                </c:pt>
                <c:pt idx="187">
                  <c:v>0</c:v>
                </c:pt>
                <c:pt idx="188">
                  <c:v>0</c:v>
                </c:pt>
                <c:pt idx="189">
                  <c:v>748</c:v>
                </c:pt>
                <c:pt idx="190">
                  <c:v>0</c:v>
                </c:pt>
                <c:pt idx="191">
                  <c:v>107</c:v>
                </c:pt>
                <c:pt idx="192">
                  <c:v>0</c:v>
                </c:pt>
                <c:pt idx="193">
                  <c:v>0</c:v>
                </c:pt>
                <c:pt idx="194">
                  <c:v>411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0.19124919857484107</c:v>
                </c:pt>
                <c:pt idx="1">
                  <c:v>0.33074317273106119</c:v>
                </c:pt>
                <c:pt idx="2">
                  <c:v>0.47800762869409769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0.47764265174646181</c:v>
                </c:pt>
                <c:pt idx="1">
                  <c:v>0.38307686762597309</c:v>
                </c:pt>
                <c:pt idx="2">
                  <c:v>0.13928048062756496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11.8410925</c:v>
                </c:pt>
                <c:pt idx="1">
                  <c:v>13.830275</c:v>
                </c:pt>
                <c:pt idx="2">
                  <c:v>72.14479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0.409663</c:v>
                </c:pt>
                <c:pt idx="2">
                  <c:v>0.81165600000000004</c:v>
                </c:pt>
                <c:pt idx="3">
                  <c:v>1.2193400000000001</c:v>
                </c:pt>
                <c:pt idx="4">
                  <c:v>1.6258699999999999</c:v>
                </c:pt>
                <c:pt idx="5">
                  <c:v>2.03159</c:v>
                </c:pt>
                <c:pt idx="6">
                  <c:v>2.4352499999999999</c:v>
                </c:pt>
                <c:pt idx="7">
                  <c:v>2.8431999999999999</c:v>
                </c:pt>
                <c:pt idx="8">
                  <c:v>3.25305</c:v>
                </c:pt>
                <c:pt idx="9">
                  <c:v>3.6558600000000001</c:v>
                </c:pt>
                <c:pt idx="10">
                  <c:v>4.0580100000000003</c:v>
                </c:pt>
                <c:pt idx="11">
                  <c:v>4.4687000000000001</c:v>
                </c:pt>
                <c:pt idx="12">
                  <c:v>4.8758100000000004</c:v>
                </c:pt>
                <c:pt idx="13">
                  <c:v>5.2805799999999996</c:v>
                </c:pt>
                <c:pt idx="14">
                  <c:v>5.6873800000000001</c:v>
                </c:pt>
                <c:pt idx="15">
                  <c:v>6.0907400000000003</c:v>
                </c:pt>
                <c:pt idx="16">
                  <c:v>6.5012600000000003</c:v>
                </c:pt>
                <c:pt idx="17">
                  <c:v>6.9074</c:v>
                </c:pt>
                <c:pt idx="18">
                  <c:v>7.3150899999999996</c:v>
                </c:pt>
                <c:pt idx="19">
                  <c:v>7.72004</c:v>
                </c:pt>
                <c:pt idx="20">
                  <c:v>8.1272599999999997</c:v>
                </c:pt>
                <c:pt idx="21">
                  <c:v>8.5290700000000008</c:v>
                </c:pt>
                <c:pt idx="22">
                  <c:v>8.9387699999999999</c:v>
                </c:pt>
                <c:pt idx="23">
                  <c:v>9.3448200000000003</c:v>
                </c:pt>
                <c:pt idx="24">
                  <c:v>9.7496299999999998</c:v>
                </c:pt>
                <c:pt idx="25">
                  <c:v>10.1554</c:v>
                </c:pt>
                <c:pt idx="26">
                  <c:v>10.5595</c:v>
                </c:pt>
                <c:pt idx="27">
                  <c:v>10.9648</c:v>
                </c:pt>
                <c:pt idx="28">
                  <c:v>11.375500000000001</c:v>
                </c:pt>
                <c:pt idx="29">
                  <c:v>11.7798</c:v>
                </c:pt>
                <c:pt idx="30">
                  <c:v>12.187099999999999</c:v>
                </c:pt>
                <c:pt idx="31">
                  <c:v>12.5928</c:v>
                </c:pt>
                <c:pt idx="32">
                  <c:v>13.0008</c:v>
                </c:pt>
                <c:pt idx="33">
                  <c:v>13.4056</c:v>
                </c:pt>
                <c:pt idx="34">
                  <c:v>13.8108</c:v>
                </c:pt>
                <c:pt idx="35">
                  <c:v>14.2186</c:v>
                </c:pt>
                <c:pt idx="36">
                  <c:v>14.6265</c:v>
                </c:pt>
                <c:pt idx="37">
                  <c:v>15.0334</c:v>
                </c:pt>
                <c:pt idx="38">
                  <c:v>15.436400000000001</c:v>
                </c:pt>
                <c:pt idx="39">
                  <c:v>15.839700000000001</c:v>
                </c:pt>
                <c:pt idx="40">
                  <c:v>16.251100000000001</c:v>
                </c:pt>
                <c:pt idx="41">
                  <c:v>16.658999999999999</c:v>
                </c:pt>
                <c:pt idx="42">
                  <c:v>17.061</c:v>
                </c:pt>
                <c:pt idx="43">
                  <c:v>17.468900000000001</c:v>
                </c:pt>
                <c:pt idx="44">
                  <c:v>17.8719</c:v>
                </c:pt>
                <c:pt idx="45">
                  <c:v>18.2789</c:v>
                </c:pt>
                <c:pt idx="46">
                  <c:v>18.685199999999998</c:v>
                </c:pt>
                <c:pt idx="47">
                  <c:v>19.090900000000001</c:v>
                </c:pt>
                <c:pt idx="48">
                  <c:v>19.4984</c:v>
                </c:pt>
                <c:pt idx="49">
                  <c:v>19.908000000000001</c:v>
                </c:pt>
                <c:pt idx="50">
                  <c:v>20.314299999999999</c:v>
                </c:pt>
                <c:pt idx="51">
                  <c:v>20.7212</c:v>
                </c:pt>
                <c:pt idx="52">
                  <c:v>21.124199999999998</c:v>
                </c:pt>
                <c:pt idx="53">
                  <c:v>21.529</c:v>
                </c:pt>
                <c:pt idx="54">
                  <c:v>21.9361</c:v>
                </c:pt>
                <c:pt idx="55">
                  <c:v>22.342099999999999</c:v>
                </c:pt>
                <c:pt idx="56">
                  <c:v>22.7498</c:v>
                </c:pt>
                <c:pt idx="57">
                  <c:v>23.1556</c:v>
                </c:pt>
                <c:pt idx="58">
                  <c:v>23.558499999999999</c:v>
                </c:pt>
                <c:pt idx="59">
                  <c:v>23.9678</c:v>
                </c:pt>
                <c:pt idx="60">
                  <c:v>24.374600000000001</c:v>
                </c:pt>
                <c:pt idx="61">
                  <c:v>24.778199999999998</c:v>
                </c:pt>
                <c:pt idx="62">
                  <c:v>25.187200000000001</c:v>
                </c:pt>
                <c:pt idx="63">
                  <c:v>25.59</c:v>
                </c:pt>
                <c:pt idx="64">
                  <c:v>25.997</c:v>
                </c:pt>
                <c:pt idx="65">
                  <c:v>26.407399999999999</c:v>
                </c:pt>
                <c:pt idx="66">
                  <c:v>26.812000000000001</c:v>
                </c:pt>
                <c:pt idx="67">
                  <c:v>27.218900000000001</c:v>
                </c:pt>
                <c:pt idx="68">
                  <c:v>27.622699999999998</c:v>
                </c:pt>
                <c:pt idx="69">
                  <c:v>28.029699999999998</c:v>
                </c:pt>
                <c:pt idx="70">
                  <c:v>28.4376</c:v>
                </c:pt>
                <c:pt idx="71">
                  <c:v>28.843399999999999</c:v>
                </c:pt>
                <c:pt idx="72">
                  <c:v>29.249400000000001</c:v>
                </c:pt>
                <c:pt idx="73">
                  <c:v>29.654399999999999</c:v>
                </c:pt>
                <c:pt idx="74">
                  <c:v>30.061199999999999</c:v>
                </c:pt>
                <c:pt idx="75">
                  <c:v>30.528199999999998</c:v>
                </c:pt>
                <c:pt idx="76">
                  <c:v>30.921399999999998</c:v>
                </c:pt>
                <c:pt idx="77">
                  <c:v>31.323</c:v>
                </c:pt>
                <c:pt idx="78">
                  <c:v>31.735199999999999</c:v>
                </c:pt>
                <c:pt idx="79">
                  <c:v>32.138199999999998</c:v>
                </c:pt>
                <c:pt idx="80">
                  <c:v>32.548099999999998</c:v>
                </c:pt>
                <c:pt idx="81">
                  <c:v>32.950299999999999</c:v>
                </c:pt>
                <c:pt idx="82">
                  <c:v>33.354599999999998</c:v>
                </c:pt>
                <c:pt idx="83">
                  <c:v>33.762799999999999</c:v>
                </c:pt>
                <c:pt idx="84">
                  <c:v>34.174100000000003</c:v>
                </c:pt>
                <c:pt idx="85">
                  <c:v>34.576700000000002</c:v>
                </c:pt>
                <c:pt idx="86">
                  <c:v>34.9803</c:v>
                </c:pt>
                <c:pt idx="87">
                  <c:v>35.391500000000001</c:v>
                </c:pt>
                <c:pt idx="88">
                  <c:v>35.796700000000001</c:v>
                </c:pt>
                <c:pt idx="89">
                  <c:v>36.200200000000002</c:v>
                </c:pt>
                <c:pt idx="90">
                  <c:v>36.610300000000002</c:v>
                </c:pt>
                <c:pt idx="91">
                  <c:v>37.011899999999997</c:v>
                </c:pt>
                <c:pt idx="92">
                  <c:v>37.418999999999997</c:v>
                </c:pt>
                <c:pt idx="93">
                  <c:v>37.8292</c:v>
                </c:pt>
                <c:pt idx="94">
                  <c:v>38.232199999999999</c:v>
                </c:pt>
                <c:pt idx="95">
                  <c:v>38.637500000000003</c:v>
                </c:pt>
                <c:pt idx="96">
                  <c:v>39.044800000000002</c:v>
                </c:pt>
                <c:pt idx="97">
                  <c:v>39.453600000000002</c:v>
                </c:pt>
                <c:pt idx="98">
                  <c:v>39.859499999999997</c:v>
                </c:pt>
                <c:pt idx="99">
                  <c:v>40.263100000000001</c:v>
                </c:pt>
                <c:pt idx="100">
                  <c:v>40.669400000000003</c:v>
                </c:pt>
                <c:pt idx="101">
                  <c:v>41.075200000000002</c:v>
                </c:pt>
                <c:pt idx="102">
                  <c:v>41.487299999999998</c:v>
                </c:pt>
                <c:pt idx="103">
                  <c:v>41.889200000000002</c:v>
                </c:pt>
                <c:pt idx="104">
                  <c:v>42.294899999999998</c:v>
                </c:pt>
                <c:pt idx="105">
                  <c:v>42.7</c:v>
                </c:pt>
                <c:pt idx="106">
                  <c:v>43.1053</c:v>
                </c:pt>
                <c:pt idx="107">
                  <c:v>43.514000000000003</c:v>
                </c:pt>
                <c:pt idx="108">
                  <c:v>43.920499999999997</c:v>
                </c:pt>
                <c:pt idx="109">
                  <c:v>44.326500000000003</c:v>
                </c:pt>
                <c:pt idx="110">
                  <c:v>44.734499999999997</c:v>
                </c:pt>
                <c:pt idx="111">
                  <c:v>45.141399999999997</c:v>
                </c:pt>
                <c:pt idx="112">
                  <c:v>45.549199999999999</c:v>
                </c:pt>
                <c:pt idx="113">
                  <c:v>45.949199999999998</c:v>
                </c:pt>
                <c:pt idx="114">
                  <c:v>46.359099999999998</c:v>
                </c:pt>
                <c:pt idx="115">
                  <c:v>46.7624</c:v>
                </c:pt>
                <c:pt idx="116">
                  <c:v>47.169199999999996</c:v>
                </c:pt>
                <c:pt idx="117">
                  <c:v>47.579799999999999</c:v>
                </c:pt>
                <c:pt idx="118">
                  <c:v>47.985799999999998</c:v>
                </c:pt>
                <c:pt idx="119">
                  <c:v>48.392699999999998</c:v>
                </c:pt>
                <c:pt idx="120">
                  <c:v>48.794600000000003</c:v>
                </c:pt>
                <c:pt idx="121">
                  <c:v>49.201700000000002</c:v>
                </c:pt>
                <c:pt idx="122">
                  <c:v>49.609400000000001</c:v>
                </c:pt>
                <c:pt idx="123">
                  <c:v>50.016300000000001</c:v>
                </c:pt>
                <c:pt idx="124">
                  <c:v>50.421199999999999</c:v>
                </c:pt>
                <c:pt idx="125">
                  <c:v>50.826099999999997</c:v>
                </c:pt>
                <c:pt idx="126">
                  <c:v>51.232300000000002</c:v>
                </c:pt>
                <c:pt idx="127">
                  <c:v>51.641800000000003</c:v>
                </c:pt>
                <c:pt idx="128">
                  <c:v>52.046999999999997</c:v>
                </c:pt>
                <c:pt idx="129">
                  <c:v>52.451799999999999</c:v>
                </c:pt>
                <c:pt idx="130">
                  <c:v>52.856900000000003</c:v>
                </c:pt>
                <c:pt idx="131">
                  <c:v>53.263500000000001</c:v>
                </c:pt>
                <c:pt idx="132">
                  <c:v>53.669699999999999</c:v>
                </c:pt>
                <c:pt idx="133">
                  <c:v>54.078400000000002</c:v>
                </c:pt>
                <c:pt idx="134">
                  <c:v>54.485300000000002</c:v>
                </c:pt>
                <c:pt idx="135">
                  <c:v>54.887700000000002</c:v>
                </c:pt>
                <c:pt idx="136">
                  <c:v>55.294199999999996</c:v>
                </c:pt>
                <c:pt idx="137">
                  <c:v>55.701099999999997</c:v>
                </c:pt>
                <c:pt idx="138">
                  <c:v>56.112200000000001</c:v>
                </c:pt>
                <c:pt idx="139">
                  <c:v>56.5199</c:v>
                </c:pt>
                <c:pt idx="140">
                  <c:v>56.921900000000001</c:v>
                </c:pt>
                <c:pt idx="141">
                  <c:v>57.326900000000002</c:v>
                </c:pt>
                <c:pt idx="142">
                  <c:v>57.734699999999997</c:v>
                </c:pt>
                <c:pt idx="143">
                  <c:v>58.142600000000002</c:v>
                </c:pt>
                <c:pt idx="144">
                  <c:v>58.548400000000001</c:v>
                </c:pt>
                <c:pt idx="145">
                  <c:v>58.952599999999997</c:v>
                </c:pt>
                <c:pt idx="146">
                  <c:v>59.3583</c:v>
                </c:pt>
                <c:pt idx="147">
                  <c:v>59.762599999999999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2.22079</c:v>
                </c:pt>
                <c:pt idx="1">
                  <c:v>2.2955100000000002</c:v>
                </c:pt>
                <c:pt idx="2">
                  <c:v>2.3728799999999999</c:v>
                </c:pt>
                <c:pt idx="3">
                  <c:v>2.4516499999999999</c:v>
                </c:pt>
                <c:pt idx="4">
                  <c:v>2.5338799999999999</c:v>
                </c:pt>
                <c:pt idx="5">
                  <c:v>2.6192599999999997</c:v>
                </c:pt>
                <c:pt idx="6">
                  <c:v>2.70248</c:v>
                </c:pt>
                <c:pt idx="7">
                  <c:v>2.7824900000000001</c:v>
                </c:pt>
                <c:pt idx="8">
                  <c:v>2.8613200000000001</c:v>
                </c:pt>
                <c:pt idx="9">
                  <c:v>2.94394</c:v>
                </c:pt>
                <c:pt idx="10">
                  <c:v>3.02678</c:v>
                </c:pt>
                <c:pt idx="11">
                  <c:v>3.1094599999999999</c:v>
                </c:pt>
                <c:pt idx="12">
                  <c:v>3.1948400000000001</c:v>
                </c:pt>
                <c:pt idx="13">
                  <c:v>3.2812400000000004</c:v>
                </c:pt>
                <c:pt idx="14">
                  <c:v>3.3552200000000001</c:v>
                </c:pt>
                <c:pt idx="15">
                  <c:v>3.4249900000000002</c:v>
                </c:pt>
                <c:pt idx="16">
                  <c:v>3.4935999999999998</c:v>
                </c:pt>
                <c:pt idx="17">
                  <c:v>3.5563099999999999</c:v>
                </c:pt>
                <c:pt idx="18">
                  <c:v>3.6154299999999999</c:v>
                </c:pt>
                <c:pt idx="19">
                  <c:v>3.6761300000000001</c:v>
                </c:pt>
                <c:pt idx="20">
                  <c:v>3.7384499999999998</c:v>
                </c:pt>
                <c:pt idx="21">
                  <c:v>3.7962600000000002</c:v>
                </c:pt>
                <c:pt idx="22">
                  <c:v>3.8504</c:v>
                </c:pt>
                <c:pt idx="23">
                  <c:v>3.8989600000000002</c:v>
                </c:pt>
                <c:pt idx="24">
                  <c:v>3.9422099999999998</c:v>
                </c:pt>
                <c:pt idx="25">
                  <c:v>3.9779399999999998</c:v>
                </c:pt>
                <c:pt idx="26">
                  <c:v>4.0075500000000002</c:v>
                </c:pt>
                <c:pt idx="27">
                  <c:v>4.0327600000000006</c:v>
                </c:pt>
                <c:pt idx="28">
                  <c:v>4.0496400000000001</c:v>
                </c:pt>
                <c:pt idx="29">
                  <c:v>4.0584600000000002</c:v>
                </c:pt>
                <c:pt idx="30">
                  <c:v>4.0616099999999999</c:v>
                </c:pt>
                <c:pt idx="31">
                  <c:v>4.0618100000000004</c:v>
                </c:pt>
                <c:pt idx="32">
                  <c:v>4.0614099999999995</c:v>
                </c:pt>
                <c:pt idx="33">
                  <c:v>4.05802</c:v>
                </c:pt>
                <c:pt idx="34">
                  <c:v>4.0460600000000007</c:v>
                </c:pt>
                <c:pt idx="35">
                  <c:v>4.0273900000000005</c:v>
                </c:pt>
                <c:pt idx="36">
                  <c:v>4.0043899999999999</c:v>
                </c:pt>
                <c:pt idx="37">
                  <c:v>3.9718300000000002</c:v>
                </c:pt>
                <c:pt idx="38">
                  <c:v>3.9337400000000002</c:v>
                </c:pt>
                <c:pt idx="39">
                  <c:v>3.8957599999999997</c:v>
                </c:pt>
                <c:pt idx="40">
                  <c:v>3.8602799999999999</c:v>
                </c:pt>
                <c:pt idx="41">
                  <c:v>3.8262200000000002</c:v>
                </c:pt>
                <c:pt idx="42">
                  <c:v>3.7934000000000001</c:v>
                </c:pt>
                <c:pt idx="43">
                  <c:v>3.7611600000000003</c:v>
                </c:pt>
                <c:pt idx="44">
                  <c:v>3.7278199999999999</c:v>
                </c:pt>
                <c:pt idx="45">
                  <c:v>3.6908999999999996</c:v>
                </c:pt>
                <c:pt idx="46">
                  <c:v>3.6536600000000004</c:v>
                </c:pt>
                <c:pt idx="47">
                  <c:v>3.6145300000000002</c:v>
                </c:pt>
                <c:pt idx="48">
                  <c:v>3.5777700000000001</c:v>
                </c:pt>
                <c:pt idx="49">
                  <c:v>3.5445799999999998</c:v>
                </c:pt>
                <c:pt idx="50">
                  <c:v>3.5209800000000002</c:v>
                </c:pt>
                <c:pt idx="51">
                  <c:v>3.4944199999999999</c:v>
                </c:pt>
                <c:pt idx="52">
                  <c:v>3.4676900000000002</c:v>
                </c:pt>
                <c:pt idx="53">
                  <c:v>3.44584</c:v>
                </c:pt>
                <c:pt idx="54">
                  <c:v>3.4294599999999997</c:v>
                </c:pt>
                <c:pt idx="55">
                  <c:v>3.4135900000000001</c:v>
                </c:pt>
                <c:pt idx="56">
                  <c:v>3.4000000000000004</c:v>
                </c:pt>
                <c:pt idx="57">
                  <c:v>3.3858800000000002</c:v>
                </c:pt>
                <c:pt idx="58">
                  <c:v>3.3765400000000003</c:v>
                </c:pt>
                <c:pt idx="59">
                  <c:v>3.37568</c:v>
                </c:pt>
                <c:pt idx="60">
                  <c:v>3.3715299999999999</c:v>
                </c:pt>
                <c:pt idx="61">
                  <c:v>3.3755200000000003</c:v>
                </c:pt>
                <c:pt idx="62">
                  <c:v>3.3902799999999997</c:v>
                </c:pt>
                <c:pt idx="63">
                  <c:v>3.3960499999999998</c:v>
                </c:pt>
                <c:pt idx="64">
                  <c:v>3.4054600000000002</c:v>
                </c:pt>
                <c:pt idx="65">
                  <c:v>3.41323</c:v>
                </c:pt>
                <c:pt idx="66">
                  <c:v>3.4228999999999998</c:v>
                </c:pt>
                <c:pt idx="67">
                  <c:v>3.43919</c:v>
                </c:pt>
                <c:pt idx="68">
                  <c:v>3.4546700000000001</c:v>
                </c:pt>
                <c:pt idx="69">
                  <c:v>3.4708199999999998</c:v>
                </c:pt>
                <c:pt idx="70">
                  <c:v>3.4869400000000002</c:v>
                </c:pt>
                <c:pt idx="71">
                  <c:v>3.4993800000000004</c:v>
                </c:pt>
                <c:pt idx="72">
                  <c:v>3.5169199999999998</c:v>
                </c:pt>
                <c:pt idx="73">
                  <c:v>3.5306100000000002</c:v>
                </c:pt>
                <c:pt idx="74">
                  <c:v>3.5478900000000002</c:v>
                </c:pt>
                <c:pt idx="75">
                  <c:v>3.5623500000000003</c:v>
                </c:pt>
                <c:pt idx="76">
                  <c:v>3.5780499999999997</c:v>
                </c:pt>
                <c:pt idx="77">
                  <c:v>3.5937099999999997</c:v>
                </c:pt>
                <c:pt idx="78">
                  <c:v>3.6106799999999999</c:v>
                </c:pt>
                <c:pt idx="79">
                  <c:v>3.6272100000000003</c:v>
                </c:pt>
                <c:pt idx="80">
                  <c:v>3.6428400000000001</c:v>
                </c:pt>
                <c:pt idx="81">
                  <c:v>3.6572199999999997</c:v>
                </c:pt>
                <c:pt idx="82">
                  <c:v>3.6681300000000001</c:v>
                </c:pt>
                <c:pt idx="83">
                  <c:v>3.67896</c:v>
                </c:pt>
                <c:pt idx="84">
                  <c:v>3.69048</c:v>
                </c:pt>
                <c:pt idx="85">
                  <c:v>3.69956</c:v>
                </c:pt>
                <c:pt idx="86">
                  <c:v>3.7078600000000002</c:v>
                </c:pt>
                <c:pt idx="87">
                  <c:v>3.71549</c:v>
                </c:pt>
                <c:pt idx="88">
                  <c:v>3.72499</c:v>
                </c:pt>
                <c:pt idx="89">
                  <c:v>3.7378499999999999</c:v>
                </c:pt>
                <c:pt idx="90">
                  <c:v>3.7516100000000003</c:v>
                </c:pt>
                <c:pt idx="91">
                  <c:v>3.7640000000000002</c:v>
                </c:pt>
                <c:pt idx="92">
                  <c:v>3.7743500000000001</c:v>
                </c:pt>
                <c:pt idx="93">
                  <c:v>3.7811299999999997</c:v>
                </c:pt>
                <c:pt idx="94">
                  <c:v>3.7834600000000003</c:v>
                </c:pt>
                <c:pt idx="95">
                  <c:v>3.7856099999999997</c:v>
                </c:pt>
                <c:pt idx="96">
                  <c:v>3.7913599999999996</c:v>
                </c:pt>
                <c:pt idx="97">
                  <c:v>3.79705</c:v>
                </c:pt>
                <c:pt idx="98">
                  <c:v>3.8023400000000001</c:v>
                </c:pt>
                <c:pt idx="99">
                  <c:v>3.8053999999999997</c:v>
                </c:pt>
                <c:pt idx="100">
                  <c:v>3.8078499999999997</c:v>
                </c:pt>
                <c:pt idx="101">
                  <c:v>3.8125300000000002</c:v>
                </c:pt>
                <c:pt idx="102">
                  <c:v>3.81515</c:v>
                </c:pt>
                <c:pt idx="103">
                  <c:v>3.8171200000000001</c:v>
                </c:pt>
                <c:pt idx="104">
                  <c:v>3.8187199999999999</c:v>
                </c:pt>
                <c:pt idx="105">
                  <c:v>3.8229800000000003</c:v>
                </c:pt>
                <c:pt idx="106">
                  <c:v>3.8269199999999999</c:v>
                </c:pt>
                <c:pt idx="107">
                  <c:v>3.82884</c:v>
                </c:pt>
                <c:pt idx="108">
                  <c:v>3.82789</c:v>
                </c:pt>
                <c:pt idx="109">
                  <c:v>3.8270900000000001</c:v>
                </c:pt>
                <c:pt idx="110">
                  <c:v>3.82599</c:v>
                </c:pt>
                <c:pt idx="111">
                  <c:v>3.8244299999999996</c:v>
                </c:pt>
                <c:pt idx="112">
                  <c:v>3.8243899999999997</c:v>
                </c:pt>
                <c:pt idx="113">
                  <c:v>3.8277800000000002</c:v>
                </c:pt>
                <c:pt idx="114">
                  <c:v>3.8313100000000002</c:v>
                </c:pt>
                <c:pt idx="115">
                  <c:v>3.8331999999999997</c:v>
                </c:pt>
                <c:pt idx="116">
                  <c:v>3.8348300000000002</c:v>
                </c:pt>
                <c:pt idx="117">
                  <c:v>3.8390300000000002</c:v>
                </c:pt>
                <c:pt idx="118">
                  <c:v>3.8445800000000001</c:v>
                </c:pt>
                <c:pt idx="119">
                  <c:v>3.8506499999999999</c:v>
                </c:pt>
                <c:pt idx="120">
                  <c:v>3.8586</c:v>
                </c:pt>
                <c:pt idx="121">
                  <c:v>3.8701699999999999</c:v>
                </c:pt>
                <c:pt idx="122">
                  <c:v>3.8829099999999999</c:v>
                </c:pt>
                <c:pt idx="123">
                  <c:v>3.89364</c:v>
                </c:pt>
                <c:pt idx="124">
                  <c:v>3.8993499999999996</c:v>
                </c:pt>
                <c:pt idx="125">
                  <c:v>3.9040900000000001</c:v>
                </c:pt>
                <c:pt idx="126">
                  <c:v>3.9070800000000001</c:v>
                </c:pt>
                <c:pt idx="127">
                  <c:v>3.91133</c:v>
                </c:pt>
                <c:pt idx="128">
                  <c:v>3.91439</c:v>
                </c:pt>
                <c:pt idx="129">
                  <c:v>3.9175500000000003</c:v>
                </c:pt>
                <c:pt idx="130">
                  <c:v>3.9195200000000003</c:v>
                </c:pt>
                <c:pt idx="131">
                  <c:v>3.92361</c:v>
                </c:pt>
                <c:pt idx="132">
                  <c:v>3.9326499999999998</c:v>
                </c:pt>
                <c:pt idx="133">
                  <c:v>3.9434000000000005</c:v>
                </c:pt>
                <c:pt idx="134">
                  <c:v>3.9528000000000003</c:v>
                </c:pt>
                <c:pt idx="135">
                  <c:v>3.96428</c:v>
                </c:pt>
                <c:pt idx="136">
                  <c:v>3.97682</c:v>
                </c:pt>
                <c:pt idx="137">
                  <c:v>3.98759</c:v>
                </c:pt>
                <c:pt idx="138">
                  <c:v>3.99254</c:v>
                </c:pt>
                <c:pt idx="139">
                  <c:v>3.9991300000000001</c:v>
                </c:pt>
                <c:pt idx="140">
                  <c:v>4.00861</c:v>
                </c:pt>
                <c:pt idx="141">
                  <c:v>4.0190299999999999</c:v>
                </c:pt>
                <c:pt idx="142">
                  <c:v>4.0256400000000001</c:v>
                </c:pt>
                <c:pt idx="143">
                  <c:v>4.0328400000000002</c:v>
                </c:pt>
                <c:pt idx="144">
                  <c:v>4.0498799999999999</c:v>
                </c:pt>
                <c:pt idx="145">
                  <c:v>4.0660499999999997</c:v>
                </c:pt>
                <c:pt idx="146">
                  <c:v>4.0617599999999996</c:v>
                </c:pt>
                <c:pt idx="147">
                  <c:v>4.0329100000000002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0.409663</c:v>
                </c:pt>
                <c:pt idx="2">
                  <c:v>0.81165600000000004</c:v>
                </c:pt>
                <c:pt idx="3">
                  <c:v>1.2193400000000001</c:v>
                </c:pt>
                <c:pt idx="4">
                  <c:v>1.6258699999999999</c:v>
                </c:pt>
                <c:pt idx="5">
                  <c:v>2.03159</c:v>
                </c:pt>
                <c:pt idx="6">
                  <c:v>2.4352499999999999</c:v>
                </c:pt>
                <c:pt idx="7">
                  <c:v>2.8431999999999999</c:v>
                </c:pt>
                <c:pt idx="8">
                  <c:v>3.25305</c:v>
                </c:pt>
                <c:pt idx="9">
                  <c:v>3.6558600000000001</c:v>
                </c:pt>
                <c:pt idx="10">
                  <c:v>4.0580100000000003</c:v>
                </c:pt>
                <c:pt idx="11">
                  <c:v>4.4687000000000001</c:v>
                </c:pt>
                <c:pt idx="12">
                  <c:v>4.8758100000000004</c:v>
                </c:pt>
                <c:pt idx="13">
                  <c:v>5.2805799999999996</c:v>
                </c:pt>
                <c:pt idx="14">
                  <c:v>5.6873800000000001</c:v>
                </c:pt>
                <c:pt idx="15">
                  <c:v>6.0907400000000003</c:v>
                </c:pt>
                <c:pt idx="16">
                  <c:v>6.5012600000000003</c:v>
                </c:pt>
                <c:pt idx="17">
                  <c:v>6.9074</c:v>
                </c:pt>
                <c:pt idx="18">
                  <c:v>7.3150899999999996</c:v>
                </c:pt>
                <c:pt idx="19">
                  <c:v>7.72004</c:v>
                </c:pt>
                <c:pt idx="20">
                  <c:v>8.1272599999999997</c:v>
                </c:pt>
                <c:pt idx="21">
                  <c:v>8.5290700000000008</c:v>
                </c:pt>
                <c:pt idx="22">
                  <c:v>8.9387699999999999</c:v>
                </c:pt>
                <c:pt idx="23">
                  <c:v>9.3448200000000003</c:v>
                </c:pt>
                <c:pt idx="24">
                  <c:v>9.7496299999999998</c:v>
                </c:pt>
                <c:pt idx="25">
                  <c:v>10.1554</c:v>
                </c:pt>
                <c:pt idx="26">
                  <c:v>10.5595</c:v>
                </c:pt>
                <c:pt idx="27">
                  <c:v>10.9648</c:v>
                </c:pt>
                <c:pt idx="28">
                  <c:v>11.375500000000001</c:v>
                </c:pt>
                <c:pt idx="29">
                  <c:v>11.7798</c:v>
                </c:pt>
                <c:pt idx="30">
                  <c:v>12.187099999999999</c:v>
                </c:pt>
                <c:pt idx="31">
                  <c:v>12.5928</c:v>
                </c:pt>
                <c:pt idx="32">
                  <c:v>13.0008</c:v>
                </c:pt>
                <c:pt idx="33">
                  <c:v>13.4056</c:v>
                </c:pt>
                <c:pt idx="34">
                  <c:v>13.8108</c:v>
                </c:pt>
                <c:pt idx="35">
                  <c:v>14.2186</c:v>
                </c:pt>
                <c:pt idx="36">
                  <c:v>14.6265</c:v>
                </c:pt>
                <c:pt idx="37">
                  <c:v>15.0334</c:v>
                </c:pt>
                <c:pt idx="38">
                  <c:v>15.436400000000001</c:v>
                </c:pt>
                <c:pt idx="39">
                  <c:v>15.839700000000001</c:v>
                </c:pt>
                <c:pt idx="40">
                  <c:v>16.251100000000001</c:v>
                </c:pt>
                <c:pt idx="41">
                  <c:v>16.658999999999999</c:v>
                </c:pt>
                <c:pt idx="42">
                  <c:v>17.061</c:v>
                </c:pt>
                <c:pt idx="43">
                  <c:v>17.468900000000001</c:v>
                </c:pt>
                <c:pt idx="44">
                  <c:v>17.8719</c:v>
                </c:pt>
                <c:pt idx="45">
                  <c:v>18.2789</c:v>
                </c:pt>
                <c:pt idx="46">
                  <c:v>18.685199999999998</c:v>
                </c:pt>
                <c:pt idx="47">
                  <c:v>19.090900000000001</c:v>
                </c:pt>
                <c:pt idx="48">
                  <c:v>19.4984</c:v>
                </c:pt>
                <c:pt idx="49">
                  <c:v>19.908000000000001</c:v>
                </c:pt>
                <c:pt idx="50">
                  <c:v>20.314299999999999</c:v>
                </c:pt>
                <c:pt idx="51">
                  <c:v>20.7212</c:v>
                </c:pt>
                <c:pt idx="52">
                  <c:v>21.124199999999998</c:v>
                </c:pt>
                <c:pt idx="53">
                  <c:v>21.529</c:v>
                </c:pt>
                <c:pt idx="54">
                  <c:v>21.9361</c:v>
                </c:pt>
                <c:pt idx="55">
                  <c:v>22.342099999999999</c:v>
                </c:pt>
                <c:pt idx="56">
                  <c:v>22.7498</c:v>
                </c:pt>
                <c:pt idx="57">
                  <c:v>23.1556</c:v>
                </c:pt>
                <c:pt idx="58">
                  <c:v>23.558499999999999</c:v>
                </c:pt>
                <c:pt idx="59">
                  <c:v>23.9678</c:v>
                </c:pt>
                <c:pt idx="60">
                  <c:v>24.374600000000001</c:v>
                </c:pt>
                <c:pt idx="61">
                  <c:v>24.778199999999998</c:v>
                </c:pt>
                <c:pt idx="62">
                  <c:v>25.187200000000001</c:v>
                </c:pt>
                <c:pt idx="63">
                  <c:v>25.59</c:v>
                </c:pt>
                <c:pt idx="64">
                  <c:v>25.997</c:v>
                </c:pt>
                <c:pt idx="65">
                  <c:v>26.407399999999999</c:v>
                </c:pt>
                <c:pt idx="66">
                  <c:v>26.812000000000001</c:v>
                </c:pt>
                <c:pt idx="67">
                  <c:v>27.218900000000001</c:v>
                </c:pt>
                <c:pt idx="68">
                  <c:v>27.622699999999998</c:v>
                </c:pt>
                <c:pt idx="69">
                  <c:v>28.029699999999998</c:v>
                </c:pt>
                <c:pt idx="70">
                  <c:v>28.4376</c:v>
                </c:pt>
                <c:pt idx="71">
                  <c:v>28.843399999999999</c:v>
                </c:pt>
                <c:pt idx="72">
                  <c:v>29.249400000000001</c:v>
                </c:pt>
                <c:pt idx="73">
                  <c:v>29.654399999999999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2.22079</c:v>
                </c:pt>
                <c:pt idx="1">
                  <c:v>2.2955100000000002</c:v>
                </c:pt>
                <c:pt idx="2">
                  <c:v>2.3728799999999999</c:v>
                </c:pt>
                <c:pt idx="3">
                  <c:v>2.4516499999999999</c:v>
                </c:pt>
                <c:pt idx="4">
                  <c:v>2.5338799999999999</c:v>
                </c:pt>
                <c:pt idx="5">
                  <c:v>2.6192599999999997</c:v>
                </c:pt>
                <c:pt idx="6">
                  <c:v>2.70248</c:v>
                </c:pt>
                <c:pt idx="7">
                  <c:v>2.7824900000000001</c:v>
                </c:pt>
                <c:pt idx="8">
                  <c:v>2.8613200000000001</c:v>
                </c:pt>
                <c:pt idx="9">
                  <c:v>2.94394</c:v>
                </c:pt>
                <c:pt idx="10">
                  <c:v>3.02678</c:v>
                </c:pt>
                <c:pt idx="11">
                  <c:v>3.1094599999999999</c:v>
                </c:pt>
                <c:pt idx="12">
                  <c:v>3.1948400000000001</c:v>
                </c:pt>
                <c:pt idx="13">
                  <c:v>3.2812400000000004</c:v>
                </c:pt>
                <c:pt idx="14">
                  <c:v>3.3552200000000001</c:v>
                </c:pt>
                <c:pt idx="15">
                  <c:v>3.4249900000000002</c:v>
                </c:pt>
                <c:pt idx="16">
                  <c:v>3.4935999999999998</c:v>
                </c:pt>
                <c:pt idx="17">
                  <c:v>3.5563099999999999</c:v>
                </c:pt>
                <c:pt idx="18">
                  <c:v>3.6154299999999999</c:v>
                </c:pt>
                <c:pt idx="19">
                  <c:v>3.6761300000000001</c:v>
                </c:pt>
                <c:pt idx="20">
                  <c:v>3.7384499999999998</c:v>
                </c:pt>
                <c:pt idx="21">
                  <c:v>3.7962600000000002</c:v>
                </c:pt>
                <c:pt idx="22">
                  <c:v>3.8504</c:v>
                </c:pt>
                <c:pt idx="23">
                  <c:v>3.8989600000000002</c:v>
                </c:pt>
                <c:pt idx="24">
                  <c:v>3.9422099999999998</c:v>
                </c:pt>
                <c:pt idx="25">
                  <c:v>3.9779399999999998</c:v>
                </c:pt>
                <c:pt idx="26">
                  <c:v>4.0075500000000002</c:v>
                </c:pt>
                <c:pt idx="27">
                  <c:v>4.0327600000000006</c:v>
                </c:pt>
                <c:pt idx="28">
                  <c:v>4.0496400000000001</c:v>
                </c:pt>
                <c:pt idx="29">
                  <c:v>4.0584600000000002</c:v>
                </c:pt>
                <c:pt idx="30">
                  <c:v>4.0616099999999999</c:v>
                </c:pt>
                <c:pt idx="31">
                  <c:v>4.0618100000000004</c:v>
                </c:pt>
                <c:pt idx="32">
                  <c:v>4.0614099999999995</c:v>
                </c:pt>
                <c:pt idx="33">
                  <c:v>4.05802</c:v>
                </c:pt>
                <c:pt idx="34">
                  <c:v>4.0460600000000007</c:v>
                </c:pt>
                <c:pt idx="35">
                  <c:v>4.0273900000000005</c:v>
                </c:pt>
                <c:pt idx="36">
                  <c:v>4.0043899999999999</c:v>
                </c:pt>
                <c:pt idx="37">
                  <c:v>3.9718300000000002</c:v>
                </c:pt>
                <c:pt idx="38">
                  <c:v>3.9337400000000002</c:v>
                </c:pt>
                <c:pt idx="39">
                  <c:v>3.8957599999999997</c:v>
                </c:pt>
                <c:pt idx="40">
                  <c:v>3.8602799999999999</c:v>
                </c:pt>
                <c:pt idx="41">
                  <c:v>3.8262200000000002</c:v>
                </c:pt>
                <c:pt idx="42">
                  <c:v>3.7934000000000001</c:v>
                </c:pt>
                <c:pt idx="43">
                  <c:v>3.7611600000000003</c:v>
                </c:pt>
                <c:pt idx="44">
                  <c:v>3.7278199999999999</c:v>
                </c:pt>
                <c:pt idx="45">
                  <c:v>3.6908999999999996</c:v>
                </c:pt>
                <c:pt idx="46">
                  <c:v>3.6536600000000004</c:v>
                </c:pt>
                <c:pt idx="47">
                  <c:v>3.6145300000000002</c:v>
                </c:pt>
                <c:pt idx="48">
                  <c:v>3.5777700000000001</c:v>
                </c:pt>
                <c:pt idx="49">
                  <c:v>3.5445799999999998</c:v>
                </c:pt>
                <c:pt idx="50">
                  <c:v>3.5209800000000002</c:v>
                </c:pt>
                <c:pt idx="51">
                  <c:v>3.4944199999999999</c:v>
                </c:pt>
                <c:pt idx="52">
                  <c:v>3.4676900000000002</c:v>
                </c:pt>
                <c:pt idx="53">
                  <c:v>3.44584</c:v>
                </c:pt>
                <c:pt idx="54">
                  <c:v>3.4294599999999997</c:v>
                </c:pt>
                <c:pt idx="55">
                  <c:v>3.4135900000000001</c:v>
                </c:pt>
                <c:pt idx="56">
                  <c:v>3.4000000000000004</c:v>
                </c:pt>
                <c:pt idx="57">
                  <c:v>3.3858800000000002</c:v>
                </c:pt>
                <c:pt idx="58">
                  <c:v>3.3765400000000003</c:v>
                </c:pt>
                <c:pt idx="59">
                  <c:v>3.37568</c:v>
                </c:pt>
                <c:pt idx="60">
                  <c:v>3.3715299999999999</c:v>
                </c:pt>
                <c:pt idx="61">
                  <c:v>3.3755200000000003</c:v>
                </c:pt>
                <c:pt idx="62">
                  <c:v>3.3902799999999997</c:v>
                </c:pt>
                <c:pt idx="63">
                  <c:v>3.3960499999999998</c:v>
                </c:pt>
                <c:pt idx="64">
                  <c:v>3.4054600000000002</c:v>
                </c:pt>
                <c:pt idx="65">
                  <c:v>3.41323</c:v>
                </c:pt>
                <c:pt idx="66">
                  <c:v>3.4228999999999998</c:v>
                </c:pt>
                <c:pt idx="67">
                  <c:v>3.43919</c:v>
                </c:pt>
                <c:pt idx="68">
                  <c:v>3.4546700000000001</c:v>
                </c:pt>
                <c:pt idx="69">
                  <c:v>3.4708199999999998</c:v>
                </c:pt>
                <c:pt idx="70">
                  <c:v>3.4869400000000002</c:v>
                </c:pt>
                <c:pt idx="71">
                  <c:v>3.4993800000000004</c:v>
                </c:pt>
                <c:pt idx="72">
                  <c:v>3.5169199999999998</c:v>
                </c:pt>
                <c:pt idx="73">
                  <c:v>3.5306100000000002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29.654399999999999</c:v>
                </c:pt>
                <c:pt idx="1">
                  <c:v>30.061199999999999</c:v>
                </c:pt>
                <c:pt idx="2">
                  <c:v>30.528199999999998</c:v>
                </c:pt>
                <c:pt idx="3">
                  <c:v>30.921399999999998</c:v>
                </c:pt>
                <c:pt idx="4">
                  <c:v>31.323</c:v>
                </c:pt>
                <c:pt idx="5">
                  <c:v>31.735199999999999</c:v>
                </c:pt>
                <c:pt idx="6">
                  <c:v>32.138199999999998</c:v>
                </c:pt>
                <c:pt idx="7">
                  <c:v>32.548099999999998</c:v>
                </c:pt>
                <c:pt idx="8">
                  <c:v>32.950299999999999</c:v>
                </c:pt>
                <c:pt idx="9">
                  <c:v>33.354599999999998</c:v>
                </c:pt>
                <c:pt idx="10">
                  <c:v>33.762799999999999</c:v>
                </c:pt>
                <c:pt idx="11">
                  <c:v>34.174100000000003</c:v>
                </c:pt>
                <c:pt idx="12">
                  <c:v>34.576700000000002</c:v>
                </c:pt>
                <c:pt idx="13">
                  <c:v>34.9803</c:v>
                </c:pt>
                <c:pt idx="14">
                  <c:v>35.391500000000001</c:v>
                </c:pt>
                <c:pt idx="15">
                  <c:v>35.796700000000001</c:v>
                </c:pt>
                <c:pt idx="16">
                  <c:v>36.200200000000002</c:v>
                </c:pt>
                <c:pt idx="17">
                  <c:v>36.610300000000002</c:v>
                </c:pt>
                <c:pt idx="18">
                  <c:v>37.011899999999997</c:v>
                </c:pt>
                <c:pt idx="19">
                  <c:v>37.418999999999997</c:v>
                </c:pt>
                <c:pt idx="20">
                  <c:v>37.8292</c:v>
                </c:pt>
                <c:pt idx="21">
                  <c:v>38.232199999999999</c:v>
                </c:pt>
                <c:pt idx="22">
                  <c:v>38.637500000000003</c:v>
                </c:pt>
                <c:pt idx="23">
                  <c:v>39.044800000000002</c:v>
                </c:pt>
                <c:pt idx="24">
                  <c:v>39.453600000000002</c:v>
                </c:pt>
                <c:pt idx="25">
                  <c:v>39.859499999999997</c:v>
                </c:pt>
                <c:pt idx="26">
                  <c:v>40.263100000000001</c:v>
                </c:pt>
                <c:pt idx="27">
                  <c:v>40.669400000000003</c:v>
                </c:pt>
                <c:pt idx="28">
                  <c:v>41.075200000000002</c:v>
                </c:pt>
                <c:pt idx="29">
                  <c:v>41.487299999999998</c:v>
                </c:pt>
                <c:pt idx="30">
                  <c:v>41.889200000000002</c:v>
                </c:pt>
                <c:pt idx="31">
                  <c:v>42.294899999999998</c:v>
                </c:pt>
                <c:pt idx="32">
                  <c:v>42.7</c:v>
                </c:pt>
                <c:pt idx="33">
                  <c:v>43.1053</c:v>
                </c:pt>
                <c:pt idx="34">
                  <c:v>43.514000000000003</c:v>
                </c:pt>
                <c:pt idx="35">
                  <c:v>43.920499999999997</c:v>
                </c:pt>
                <c:pt idx="36">
                  <c:v>44.326500000000003</c:v>
                </c:pt>
                <c:pt idx="37">
                  <c:v>44.734499999999997</c:v>
                </c:pt>
                <c:pt idx="38">
                  <c:v>45.141399999999997</c:v>
                </c:pt>
                <c:pt idx="39">
                  <c:v>45.549199999999999</c:v>
                </c:pt>
                <c:pt idx="40">
                  <c:v>45.949199999999998</c:v>
                </c:pt>
                <c:pt idx="41">
                  <c:v>46.359099999999998</c:v>
                </c:pt>
                <c:pt idx="42">
                  <c:v>46.7624</c:v>
                </c:pt>
                <c:pt idx="43">
                  <c:v>47.169199999999996</c:v>
                </c:pt>
                <c:pt idx="44">
                  <c:v>47.579799999999999</c:v>
                </c:pt>
                <c:pt idx="45">
                  <c:v>47.985799999999998</c:v>
                </c:pt>
                <c:pt idx="46">
                  <c:v>48.392699999999998</c:v>
                </c:pt>
                <c:pt idx="47">
                  <c:v>48.794600000000003</c:v>
                </c:pt>
                <c:pt idx="48">
                  <c:v>49.201700000000002</c:v>
                </c:pt>
                <c:pt idx="49">
                  <c:v>49.609400000000001</c:v>
                </c:pt>
                <c:pt idx="50">
                  <c:v>50.016300000000001</c:v>
                </c:pt>
                <c:pt idx="51">
                  <c:v>50.421199999999999</c:v>
                </c:pt>
                <c:pt idx="52">
                  <c:v>50.826099999999997</c:v>
                </c:pt>
                <c:pt idx="53">
                  <c:v>51.232300000000002</c:v>
                </c:pt>
                <c:pt idx="54">
                  <c:v>51.641800000000003</c:v>
                </c:pt>
                <c:pt idx="55">
                  <c:v>52.046999999999997</c:v>
                </c:pt>
                <c:pt idx="56">
                  <c:v>52.451799999999999</c:v>
                </c:pt>
                <c:pt idx="57">
                  <c:v>52.856900000000003</c:v>
                </c:pt>
                <c:pt idx="58">
                  <c:v>53.263500000000001</c:v>
                </c:pt>
                <c:pt idx="59">
                  <c:v>53.669699999999999</c:v>
                </c:pt>
                <c:pt idx="60">
                  <c:v>54.078400000000002</c:v>
                </c:pt>
                <c:pt idx="61">
                  <c:v>54.485300000000002</c:v>
                </c:pt>
                <c:pt idx="62">
                  <c:v>54.887700000000002</c:v>
                </c:pt>
                <c:pt idx="63">
                  <c:v>55.294199999999996</c:v>
                </c:pt>
                <c:pt idx="64">
                  <c:v>55.701099999999997</c:v>
                </c:pt>
                <c:pt idx="65">
                  <c:v>56.112200000000001</c:v>
                </c:pt>
                <c:pt idx="66">
                  <c:v>56.5199</c:v>
                </c:pt>
                <c:pt idx="67">
                  <c:v>56.921900000000001</c:v>
                </c:pt>
                <c:pt idx="68">
                  <c:v>57.326900000000002</c:v>
                </c:pt>
                <c:pt idx="69">
                  <c:v>57.734699999999997</c:v>
                </c:pt>
                <c:pt idx="70">
                  <c:v>58.142600000000002</c:v>
                </c:pt>
                <c:pt idx="71">
                  <c:v>58.548400000000001</c:v>
                </c:pt>
                <c:pt idx="72">
                  <c:v>58.952599999999997</c:v>
                </c:pt>
                <c:pt idx="73">
                  <c:v>59.3583</c:v>
                </c:pt>
                <c:pt idx="74">
                  <c:v>59.762599999999999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3.5306100000000002</c:v>
                </c:pt>
                <c:pt idx="1">
                  <c:v>3.5478900000000002</c:v>
                </c:pt>
                <c:pt idx="2">
                  <c:v>3.5623500000000003</c:v>
                </c:pt>
                <c:pt idx="3">
                  <c:v>3.5780499999999997</c:v>
                </c:pt>
                <c:pt idx="4">
                  <c:v>3.5937099999999997</c:v>
                </c:pt>
                <c:pt idx="5">
                  <c:v>3.6106799999999999</c:v>
                </c:pt>
                <c:pt idx="6">
                  <c:v>3.6272100000000003</c:v>
                </c:pt>
                <c:pt idx="7">
                  <c:v>3.6428400000000001</c:v>
                </c:pt>
                <c:pt idx="8">
                  <c:v>3.6572199999999997</c:v>
                </c:pt>
                <c:pt idx="9">
                  <c:v>3.6681300000000001</c:v>
                </c:pt>
                <c:pt idx="10">
                  <c:v>3.67896</c:v>
                </c:pt>
                <c:pt idx="11">
                  <c:v>3.69048</c:v>
                </c:pt>
                <c:pt idx="12">
                  <c:v>3.69956</c:v>
                </c:pt>
                <c:pt idx="13">
                  <c:v>3.7078600000000002</c:v>
                </c:pt>
                <c:pt idx="14">
                  <c:v>3.71549</c:v>
                </c:pt>
                <c:pt idx="15">
                  <c:v>3.72499</c:v>
                </c:pt>
                <c:pt idx="16">
                  <c:v>3.7378499999999999</c:v>
                </c:pt>
                <c:pt idx="17">
                  <c:v>3.7516100000000003</c:v>
                </c:pt>
                <c:pt idx="18">
                  <c:v>3.7640000000000002</c:v>
                </c:pt>
                <c:pt idx="19">
                  <c:v>3.7743500000000001</c:v>
                </c:pt>
                <c:pt idx="20">
                  <c:v>3.7811299999999997</c:v>
                </c:pt>
                <c:pt idx="21">
                  <c:v>3.7834600000000003</c:v>
                </c:pt>
                <c:pt idx="22">
                  <c:v>3.7856099999999997</c:v>
                </c:pt>
                <c:pt idx="23">
                  <c:v>3.7913599999999996</c:v>
                </c:pt>
                <c:pt idx="24">
                  <c:v>3.79705</c:v>
                </c:pt>
                <c:pt idx="25">
                  <c:v>3.8023400000000001</c:v>
                </c:pt>
                <c:pt idx="26">
                  <c:v>3.8053999999999997</c:v>
                </c:pt>
                <c:pt idx="27">
                  <c:v>3.8078499999999997</c:v>
                </c:pt>
                <c:pt idx="28">
                  <c:v>3.8125300000000002</c:v>
                </c:pt>
                <c:pt idx="29">
                  <c:v>3.81515</c:v>
                </c:pt>
                <c:pt idx="30">
                  <c:v>3.8171200000000001</c:v>
                </c:pt>
                <c:pt idx="31">
                  <c:v>3.8187199999999999</c:v>
                </c:pt>
                <c:pt idx="32">
                  <c:v>3.8229800000000003</c:v>
                </c:pt>
                <c:pt idx="33">
                  <c:v>3.8269199999999999</c:v>
                </c:pt>
                <c:pt idx="34">
                  <c:v>3.82884</c:v>
                </c:pt>
                <c:pt idx="35">
                  <c:v>3.82789</c:v>
                </c:pt>
                <c:pt idx="36">
                  <c:v>3.8270900000000001</c:v>
                </c:pt>
                <c:pt idx="37">
                  <c:v>3.82599</c:v>
                </c:pt>
                <c:pt idx="38">
                  <c:v>3.8244299999999996</c:v>
                </c:pt>
                <c:pt idx="39">
                  <c:v>3.8243899999999997</c:v>
                </c:pt>
                <c:pt idx="40">
                  <c:v>3.8277800000000002</c:v>
                </c:pt>
                <c:pt idx="41">
                  <c:v>3.8313100000000002</c:v>
                </c:pt>
                <c:pt idx="42">
                  <c:v>3.8331999999999997</c:v>
                </c:pt>
                <c:pt idx="43">
                  <c:v>3.8348300000000002</c:v>
                </c:pt>
                <c:pt idx="44">
                  <c:v>3.8390300000000002</c:v>
                </c:pt>
                <c:pt idx="45">
                  <c:v>3.8445800000000001</c:v>
                </c:pt>
                <c:pt idx="46">
                  <c:v>3.8506499999999999</c:v>
                </c:pt>
                <c:pt idx="47">
                  <c:v>3.8586</c:v>
                </c:pt>
                <c:pt idx="48">
                  <c:v>3.8701699999999999</c:v>
                </c:pt>
                <c:pt idx="49">
                  <c:v>3.8829099999999999</c:v>
                </c:pt>
                <c:pt idx="50">
                  <c:v>3.89364</c:v>
                </c:pt>
                <c:pt idx="51">
                  <c:v>3.8993499999999996</c:v>
                </c:pt>
                <c:pt idx="52">
                  <c:v>3.9040900000000001</c:v>
                </c:pt>
                <c:pt idx="53">
                  <c:v>3.9070800000000001</c:v>
                </c:pt>
                <c:pt idx="54">
                  <c:v>3.91133</c:v>
                </c:pt>
                <c:pt idx="55">
                  <c:v>3.91439</c:v>
                </c:pt>
                <c:pt idx="56">
                  <c:v>3.9175500000000003</c:v>
                </c:pt>
                <c:pt idx="57">
                  <c:v>3.9195200000000003</c:v>
                </c:pt>
                <c:pt idx="58">
                  <c:v>3.92361</c:v>
                </c:pt>
                <c:pt idx="59">
                  <c:v>3.9326499999999998</c:v>
                </c:pt>
                <c:pt idx="60">
                  <c:v>3.9434000000000005</c:v>
                </c:pt>
                <c:pt idx="61">
                  <c:v>3.9528000000000003</c:v>
                </c:pt>
                <c:pt idx="62">
                  <c:v>3.96428</c:v>
                </c:pt>
                <c:pt idx="63">
                  <c:v>3.97682</c:v>
                </c:pt>
                <c:pt idx="64">
                  <c:v>3.98759</c:v>
                </c:pt>
                <c:pt idx="65">
                  <c:v>3.99254</c:v>
                </c:pt>
                <c:pt idx="66">
                  <c:v>3.9991300000000001</c:v>
                </c:pt>
                <c:pt idx="67">
                  <c:v>4.00861</c:v>
                </c:pt>
                <c:pt idx="68">
                  <c:v>4.0190299999999999</c:v>
                </c:pt>
                <c:pt idx="69">
                  <c:v>4.0256400000000001</c:v>
                </c:pt>
                <c:pt idx="70">
                  <c:v>4.0328400000000002</c:v>
                </c:pt>
                <c:pt idx="71">
                  <c:v>4.0498799999999999</c:v>
                </c:pt>
                <c:pt idx="72">
                  <c:v>4.0660499999999997</c:v>
                </c:pt>
                <c:pt idx="73">
                  <c:v>4.0617599999999996</c:v>
                </c:pt>
                <c:pt idx="74">
                  <c:v>4.0329100000000002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2.22079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14.94065</c:v>
                </c:pt>
                <c:pt idx="1">
                  <c:v>44.821950000000001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3.4936047297297304</c:v>
                </c:pt>
                <c:pt idx="1">
                  <c:v>3.8333652702702699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0.409663</c:v>
                </c:pt>
                <c:pt idx="2">
                  <c:v>0.81165600000000004</c:v>
                </c:pt>
                <c:pt idx="3">
                  <c:v>1.2193400000000001</c:v>
                </c:pt>
                <c:pt idx="4">
                  <c:v>1.6258699999999999</c:v>
                </c:pt>
                <c:pt idx="5">
                  <c:v>2.03159</c:v>
                </c:pt>
                <c:pt idx="6">
                  <c:v>2.4352499999999999</c:v>
                </c:pt>
                <c:pt idx="7">
                  <c:v>2.8431999999999999</c:v>
                </c:pt>
                <c:pt idx="8">
                  <c:v>3.25305</c:v>
                </c:pt>
                <c:pt idx="9">
                  <c:v>3.6558600000000001</c:v>
                </c:pt>
                <c:pt idx="10">
                  <c:v>4.0580100000000003</c:v>
                </c:pt>
                <c:pt idx="11">
                  <c:v>4.4687000000000001</c:v>
                </c:pt>
                <c:pt idx="12">
                  <c:v>4.8758100000000004</c:v>
                </c:pt>
                <c:pt idx="13">
                  <c:v>5.2805799999999996</c:v>
                </c:pt>
                <c:pt idx="14">
                  <c:v>5.6873800000000001</c:v>
                </c:pt>
                <c:pt idx="15">
                  <c:v>6.0907400000000003</c:v>
                </c:pt>
                <c:pt idx="16">
                  <c:v>6.5012600000000003</c:v>
                </c:pt>
                <c:pt idx="17">
                  <c:v>6.9074</c:v>
                </c:pt>
                <c:pt idx="18">
                  <c:v>7.3150899999999996</c:v>
                </c:pt>
                <c:pt idx="19">
                  <c:v>7.72004</c:v>
                </c:pt>
                <c:pt idx="20">
                  <c:v>8.1272599999999997</c:v>
                </c:pt>
                <c:pt idx="21">
                  <c:v>8.5290700000000008</c:v>
                </c:pt>
                <c:pt idx="22">
                  <c:v>8.9387699999999999</c:v>
                </c:pt>
                <c:pt idx="23">
                  <c:v>9.3448200000000003</c:v>
                </c:pt>
                <c:pt idx="24">
                  <c:v>9.7496299999999998</c:v>
                </c:pt>
                <c:pt idx="25">
                  <c:v>10.1554</c:v>
                </c:pt>
                <c:pt idx="26">
                  <c:v>10.5595</c:v>
                </c:pt>
                <c:pt idx="27">
                  <c:v>10.9648</c:v>
                </c:pt>
                <c:pt idx="28">
                  <c:v>11.375500000000001</c:v>
                </c:pt>
                <c:pt idx="29">
                  <c:v>11.7798</c:v>
                </c:pt>
                <c:pt idx="30">
                  <c:v>12.187099999999999</c:v>
                </c:pt>
                <c:pt idx="31">
                  <c:v>12.5928</c:v>
                </c:pt>
                <c:pt idx="32">
                  <c:v>13.0008</c:v>
                </c:pt>
                <c:pt idx="33">
                  <c:v>13.4056</c:v>
                </c:pt>
                <c:pt idx="34">
                  <c:v>13.8108</c:v>
                </c:pt>
                <c:pt idx="35">
                  <c:v>14.2186</c:v>
                </c:pt>
                <c:pt idx="36">
                  <c:v>14.6265</c:v>
                </c:pt>
                <c:pt idx="37">
                  <c:v>15.0334</c:v>
                </c:pt>
                <c:pt idx="38">
                  <c:v>15.436400000000001</c:v>
                </c:pt>
                <c:pt idx="39">
                  <c:v>15.839700000000001</c:v>
                </c:pt>
                <c:pt idx="40">
                  <c:v>16.251100000000001</c:v>
                </c:pt>
                <c:pt idx="41">
                  <c:v>16.658999999999999</c:v>
                </c:pt>
                <c:pt idx="42">
                  <c:v>17.061</c:v>
                </c:pt>
                <c:pt idx="43">
                  <c:v>17.468900000000001</c:v>
                </c:pt>
                <c:pt idx="44">
                  <c:v>17.8719</c:v>
                </c:pt>
                <c:pt idx="45">
                  <c:v>18.2789</c:v>
                </c:pt>
                <c:pt idx="46">
                  <c:v>18.685199999999998</c:v>
                </c:pt>
                <c:pt idx="47">
                  <c:v>19.090900000000001</c:v>
                </c:pt>
                <c:pt idx="48">
                  <c:v>19.4984</c:v>
                </c:pt>
                <c:pt idx="49">
                  <c:v>19.908000000000001</c:v>
                </c:pt>
                <c:pt idx="50">
                  <c:v>20.314299999999999</c:v>
                </c:pt>
                <c:pt idx="51">
                  <c:v>20.7212</c:v>
                </c:pt>
                <c:pt idx="52">
                  <c:v>21.124199999999998</c:v>
                </c:pt>
                <c:pt idx="53">
                  <c:v>21.529</c:v>
                </c:pt>
                <c:pt idx="54">
                  <c:v>21.9361</c:v>
                </c:pt>
                <c:pt idx="55">
                  <c:v>22.342099999999999</c:v>
                </c:pt>
                <c:pt idx="56">
                  <c:v>22.7498</c:v>
                </c:pt>
                <c:pt idx="57">
                  <c:v>23.1556</c:v>
                </c:pt>
                <c:pt idx="58">
                  <c:v>23.558499999999999</c:v>
                </c:pt>
                <c:pt idx="59">
                  <c:v>23.9678</c:v>
                </c:pt>
                <c:pt idx="60">
                  <c:v>24.374600000000001</c:v>
                </c:pt>
                <c:pt idx="61">
                  <c:v>24.778199999999998</c:v>
                </c:pt>
                <c:pt idx="62">
                  <c:v>25.187200000000001</c:v>
                </c:pt>
                <c:pt idx="63">
                  <c:v>25.59</c:v>
                </c:pt>
                <c:pt idx="64">
                  <c:v>25.997</c:v>
                </c:pt>
                <c:pt idx="65">
                  <c:v>26.407399999999999</c:v>
                </c:pt>
                <c:pt idx="66">
                  <c:v>26.812000000000001</c:v>
                </c:pt>
                <c:pt idx="67">
                  <c:v>27.218900000000001</c:v>
                </c:pt>
                <c:pt idx="68">
                  <c:v>27.622699999999998</c:v>
                </c:pt>
                <c:pt idx="69">
                  <c:v>28.029699999999998</c:v>
                </c:pt>
                <c:pt idx="70">
                  <c:v>28.4376</c:v>
                </c:pt>
                <c:pt idx="71">
                  <c:v>28.843399999999999</c:v>
                </c:pt>
                <c:pt idx="72">
                  <c:v>29.249400000000001</c:v>
                </c:pt>
                <c:pt idx="73">
                  <c:v>29.654399999999999</c:v>
                </c:pt>
                <c:pt idx="74">
                  <c:v>30.061199999999999</c:v>
                </c:pt>
                <c:pt idx="75">
                  <c:v>30.528199999999998</c:v>
                </c:pt>
                <c:pt idx="76">
                  <c:v>30.921399999999998</c:v>
                </c:pt>
                <c:pt idx="77">
                  <c:v>31.323</c:v>
                </c:pt>
                <c:pt idx="78">
                  <c:v>31.735199999999999</c:v>
                </c:pt>
                <c:pt idx="79">
                  <c:v>32.138199999999998</c:v>
                </c:pt>
                <c:pt idx="80">
                  <c:v>32.548099999999998</c:v>
                </c:pt>
                <c:pt idx="81">
                  <c:v>32.950299999999999</c:v>
                </c:pt>
                <c:pt idx="82">
                  <c:v>33.354599999999998</c:v>
                </c:pt>
                <c:pt idx="83">
                  <c:v>33.762799999999999</c:v>
                </c:pt>
                <c:pt idx="84">
                  <c:v>34.174100000000003</c:v>
                </c:pt>
                <c:pt idx="85">
                  <c:v>34.576700000000002</c:v>
                </c:pt>
                <c:pt idx="86">
                  <c:v>34.9803</c:v>
                </c:pt>
                <c:pt idx="87">
                  <c:v>35.391500000000001</c:v>
                </c:pt>
                <c:pt idx="88">
                  <c:v>35.796700000000001</c:v>
                </c:pt>
                <c:pt idx="89">
                  <c:v>36.200200000000002</c:v>
                </c:pt>
                <c:pt idx="90">
                  <c:v>36.610300000000002</c:v>
                </c:pt>
                <c:pt idx="91">
                  <c:v>37.011899999999997</c:v>
                </c:pt>
                <c:pt idx="92">
                  <c:v>37.418999999999997</c:v>
                </c:pt>
                <c:pt idx="93">
                  <c:v>37.8292</c:v>
                </c:pt>
                <c:pt idx="94">
                  <c:v>38.232199999999999</c:v>
                </c:pt>
                <c:pt idx="95">
                  <c:v>38.637500000000003</c:v>
                </c:pt>
                <c:pt idx="96">
                  <c:v>39.044800000000002</c:v>
                </c:pt>
                <c:pt idx="97">
                  <c:v>39.453600000000002</c:v>
                </c:pt>
                <c:pt idx="98">
                  <c:v>39.859499999999997</c:v>
                </c:pt>
                <c:pt idx="99">
                  <c:v>40.263100000000001</c:v>
                </c:pt>
                <c:pt idx="100">
                  <c:v>40.669400000000003</c:v>
                </c:pt>
                <c:pt idx="101">
                  <c:v>41.075200000000002</c:v>
                </c:pt>
                <c:pt idx="102">
                  <c:v>41.487299999999998</c:v>
                </c:pt>
                <c:pt idx="103">
                  <c:v>41.889200000000002</c:v>
                </c:pt>
                <c:pt idx="104">
                  <c:v>42.294899999999998</c:v>
                </c:pt>
                <c:pt idx="105">
                  <c:v>42.7</c:v>
                </c:pt>
                <c:pt idx="106">
                  <c:v>43.1053</c:v>
                </c:pt>
                <c:pt idx="107">
                  <c:v>43.514000000000003</c:v>
                </c:pt>
                <c:pt idx="108">
                  <c:v>43.920499999999997</c:v>
                </c:pt>
                <c:pt idx="109">
                  <c:v>44.326500000000003</c:v>
                </c:pt>
                <c:pt idx="110">
                  <c:v>44.734499999999997</c:v>
                </c:pt>
                <c:pt idx="111">
                  <c:v>45.141399999999997</c:v>
                </c:pt>
                <c:pt idx="112">
                  <c:v>45.549199999999999</c:v>
                </c:pt>
                <c:pt idx="113">
                  <c:v>45.949199999999998</c:v>
                </c:pt>
                <c:pt idx="114">
                  <c:v>46.359099999999998</c:v>
                </c:pt>
                <c:pt idx="115">
                  <c:v>46.7624</c:v>
                </c:pt>
                <c:pt idx="116">
                  <c:v>47.169199999999996</c:v>
                </c:pt>
                <c:pt idx="117">
                  <c:v>47.579799999999999</c:v>
                </c:pt>
                <c:pt idx="118">
                  <c:v>47.985799999999998</c:v>
                </c:pt>
                <c:pt idx="119">
                  <c:v>48.392699999999998</c:v>
                </c:pt>
                <c:pt idx="120">
                  <c:v>48.794600000000003</c:v>
                </c:pt>
                <c:pt idx="121">
                  <c:v>49.201700000000002</c:v>
                </c:pt>
                <c:pt idx="122">
                  <c:v>49.609400000000001</c:v>
                </c:pt>
                <c:pt idx="123">
                  <c:v>50.016300000000001</c:v>
                </c:pt>
                <c:pt idx="124">
                  <c:v>50.421199999999999</c:v>
                </c:pt>
                <c:pt idx="125">
                  <c:v>50.826099999999997</c:v>
                </c:pt>
                <c:pt idx="126">
                  <c:v>51.232300000000002</c:v>
                </c:pt>
                <c:pt idx="127">
                  <c:v>51.641800000000003</c:v>
                </c:pt>
                <c:pt idx="128">
                  <c:v>52.046999999999997</c:v>
                </c:pt>
                <c:pt idx="129">
                  <c:v>52.451799999999999</c:v>
                </c:pt>
                <c:pt idx="130">
                  <c:v>52.856900000000003</c:v>
                </c:pt>
                <c:pt idx="131">
                  <c:v>53.263500000000001</c:v>
                </c:pt>
                <c:pt idx="132">
                  <c:v>53.669699999999999</c:v>
                </c:pt>
                <c:pt idx="133">
                  <c:v>54.078400000000002</c:v>
                </c:pt>
                <c:pt idx="134">
                  <c:v>54.485300000000002</c:v>
                </c:pt>
                <c:pt idx="135">
                  <c:v>54.887700000000002</c:v>
                </c:pt>
                <c:pt idx="136">
                  <c:v>55.294199999999996</c:v>
                </c:pt>
                <c:pt idx="137">
                  <c:v>55.701099999999997</c:v>
                </c:pt>
                <c:pt idx="138">
                  <c:v>56.112200000000001</c:v>
                </c:pt>
                <c:pt idx="139">
                  <c:v>56.5199</c:v>
                </c:pt>
                <c:pt idx="140">
                  <c:v>56.921900000000001</c:v>
                </c:pt>
                <c:pt idx="141">
                  <c:v>57.326900000000002</c:v>
                </c:pt>
                <c:pt idx="142">
                  <c:v>57.734699999999997</c:v>
                </c:pt>
                <c:pt idx="143">
                  <c:v>58.142600000000002</c:v>
                </c:pt>
                <c:pt idx="144">
                  <c:v>58.548400000000001</c:v>
                </c:pt>
                <c:pt idx="145">
                  <c:v>58.952599999999997</c:v>
                </c:pt>
                <c:pt idx="146">
                  <c:v>59.3583</c:v>
                </c:pt>
                <c:pt idx="147">
                  <c:v>59.762599999999999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53.555100000000003</c:v>
                </c:pt>
                <c:pt idx="1">
                  <c:v>52.590800000000002</c:v>
                </c:pt>
                <c:pt idx="2">
                  <c:v>51.531199999999998</c:v>
                </c:pt>
                <c:pt idx="3">
                  <c:v>50.400599999999997</c:v>
                </c:pt>
                <c:pt idx="4">
                  <c:v>49.002899999999997</c:v>
                </c:pt>
                <c:pt idx="5">
                  <c:v>47.527799999999999</c:v>
                </c:pt>
                <c:pt idx="6">
                  <c:v>46.278100000000002</c:v>
                </c:pt>
                <c:pt idx="7">
                  <c:v>45.352499999999999</c:v>
                </c:pt>
                <c:pt idx="8">
                  <c:v>44.569199999999995</c:v>
                </c:pt>
                <c:pt idx="9">
                  <c:v>43.568400000000004</c:v>
                </c:pt>
                <c:pt idx="10">
                  <c:v>42.424700000000001</c:v>
                </c:pt>
                <c:pt idx="11">
                  <c:v>41.241799999999998</c:v>
                </c:pt>
                <c:pt idx="12">
                  <c:v>39.806100000000001</c:v>
                </c:pt>
                <c:pt idx="13">
                  <c:v>38.336100000000002</c:v>
                </c:pt>
                <c:pt idx="14">
                  <c:v>37.148900000000005</c:v>
                </c:pt>
                <c:pt idx="15">
                  <c:v>36.149500000000003</c:v>
                </c:pt>
                <c:pt idx="16">
                  <c:v>35.406300000000002</c:v>
                </c:pt>
                <c:pt idx="17">
                  <c:v>34.809600000000003</c:v>
                </c:pt>
                <c:pt idx="18">
                  <c:v>34.372999999999998</c:v>
                </c:pt>
                <c:pt idx="19">
                  <c:v>33.928699999999999</c:v>
                </c:pt>
                <c:pt idx="20">
                  <c:v>33.3934</c:v>
                </c:pt>
                <c:pt idx="21">
                  <c:v>32.972099999999998</c:v>
                </c:pt>
                <c:pt idx="22">
                  <c:v>32.5608</c:v>
                </c:pt>
                <c:pt idx="23">
                  <c:v>32.316200000000002</c:v>
                </c:pt>
                <c:pt idx="24">
                  <c:v>32.157200000000003</c:v>
                </c:pt>
                <c:pt idx="25">
                  <c:v>32.1006</c:v>
                </c:pt>
                <c:pt idx="26">
                  <c:v>32.036799999999999</c:v>
                </c:pt>
                <c:pt idx="27">
                  <c:v>31.916099999999997</c:v>
                </c:pt>
                <c:pt idx="28">
                  <c:v>31.7942</c:v>
                </c:pt>
                <c:pt idx="29">
                  <c:v>31.668400000000002</c:v>
                </c:pt>
                <c:pt idx="30">
                  <c:v>31.521999999999998</c:v>
                </c:pt>
                <c:pt idx="31">
                  <c:v>31.3962</c:v>
                </c:pt>
                <c:pt idx="32">
                  <c:v>31.255800000000001</c:v>
                </c:pt>
                <c:pt idx="33">
                  <c:v>31.127300000000002</c:v>
                </c:pt>
                <c:pt idx="34">
                  <c:v>31.0183</c:v>
                </c:pt>
                <c:pt idx="35">
                  <c:v>30.862699999999997</c:v>
                </c:pt>
                <c:pt idx="36">
                  <c:v>30.704700000000003</c:v>
                </c:pt>
                <c:pt idx="37">
                  <c:v>30.612299999999998</c:v>
                </c:pt>
                <c:pt idx="38">
                  <c:v>30.688500000000001</c:v>
                </c:pt>
                <c:pt idx="39">
                  <c:v>30.970799999999997</c:v>
                </c:pt>
                <c:pt idx="40">
                  <c:v>31.341100000000001</c:v>
                </c:pt>
                <c:pt idx="41">
                  <c:v>31.685799999999997</c:v>
                </c:pt>
                <c:pt idx="42">
                  <c:v>31.977599999999999</c:v>
                </c:pt>
                <c:pt idx="43">
                  <c:v>32.210799999999999</c:v>
                </c:pt>
                <c:pt idx="44">
                  <c:v>32.486699999999999</c:v>
                </c:pt>
                <c:pt idx="45">
                  <c:v>32.918500000000002</c:v>
                </c:pt>
                <c:pt idx="46">
                  <c:v>33.42</c:v>
                </c:pt>
                <c:pt idx="47">
                  <c:v>34.0047</c:v>
                </c:pt>
                <c:pt idx="48">
                  <c:v>34.569899999999997</c:v>
                </c:pt>
                <c:pt idx="49">
                  <c:v>35.124300000000005</c:v>
                </c:pt>
                <c:pt idx="50">
                  <c:v>35.537199999999999</c:v>
                </c:pt>
                <c:pt idx="51">
                  <c:v>35.966099999999997</c:v>
                </c:pt>
                <c:pt idx="52">
                  <c:v>36.4589</c:v>
                </c:pt>
                <c:pt idx="53">
                  <c:v>36.801499999999997</c:v>
                </c:pt>
                <c:pt idx="54">
                  <c:v>37.054400000000001</c:v>
                </c:pt>
                <c:pt idx="55">
                  <c:v>37.3431</c:v>
                </c:pt>
                <c:pt idx="56">
                  <c:v>37.645400000000002</c:v>
                </c:pt>
                <c:pt idx="57">
                  <c:v>37.878499999999995</c:v>
                </c:pt>
                <c:pt idx="58">
                  <c:v>38.049399999999999</c:v>
                </c:pt>
                <c:pt idx="59">
                  <c:v>38.067799999999998</c:v>
                </c:pt>
                <c:pt idx="60">
                  <c:v>38.159100000000002</c:v>
                </c:pt>
                <c:pt idx="61">
                  <c:v>38.148700000000005</c:v>
                </c:pt>
                <c:pt idx="62">
                  <c:v>37.934200000000004</c:v>
                </c:pt>
                <c:pt idx="63">
                  <c:v>37.838699999999996</c:v>
                </c:pt>
                <c:pt idx="64">
                  <c:v>37.698700000000002</c:v>
                </c:pt>
                <c:pt idx="65">
                  <c:v>37.533000000000001</c:v>
                </c:pt>
                <c:pt idx="66">
                  <c:v>37.322699999999998</c:v>
                </c:pt>
                <c:pt idx="67">
                  <c:v>36.947899999999997</c:v>
                </c:pt>
                <c:pt idx="68">
                  <c:v>36.596200000000003</c:v>
                </c:pt>
                <c:pt idx="69">
                  <c:v>36.191099999999999</c:v>
                </c:pt>
                <c:pt idx="70">
                  <c:v>35.740699999999997</c:v>
                </c:pt>
                <c:pt idx="71">
                  <c:v>35.431200000000004</c:v>
                </c:pt>
                <c:pt idx="72">
                  <c:v>34.873699999999999</c:v>
                </c:pt>
                <c:pt idx="73">
                  <c:v>34.580599999999997</c:v>
                </c:pt>
                <c:pt idx="74">
                  <c:v>34.098800000000004</c:v>
                </c:pt>
                <c:pt idx="75">
                  <c:v>33.701999999999998</c:v>
                </c:pt>
                <c:pt idx="76">
                  <c:v>33.307700000000004</c:v>
                </c:pt>
                <c:pt idx="77">
                  <c:v>32.933</c:v>
                </c:pt>
                <c:pt idx="78">
                  <c:v>32.522800000000004</c:v>
                </c:pt>
                <c:pt idx="79">
                  <c:v>32.040800000000004</c:v>
                </c:pt>
                <c:pt idx="80">
                  <c:v>31.5457</c:v>
                </c:pt>
                <c:pt idx="81">
                  <c:v>31.055</c:v>
                </c:pt>
                <c:pt idx="82">
                  <c:v>30.642500000000002</c:v>
                </c:pt>
                <c:pt idx="83">
                  <c:v>30.2529</c:v>
                </c:pt>
                <c:pt idx="84">
                  <c:v>29.817900000000002</c:v>
                </c:pt>
                <c:pt idx="85">
                  <c:v>29.408800000000003</c:v>
                </c:pt>
                <c:pt idx="86">
                  <c:v>29.035499999999999</c:v>
                </c:pt>
                <c:pt idx="87">
                  <c:v>28.693200000000001</c:v>
                </c:pt>
                <c:pt idx="88">
                  <c:v>28.307500000000001</c:v>
                </c:pt>
                <c:pt idx="89">
                  <c:v>27.999700000000001</c:v>
                </c:pt>
                <c:pt idx="90">
                  <c:v>27.757100000000001</c:v>
                </c:pt>
                <c:pt idx="91">
                  <c:v>27.539899999999999</c:v>
                </c:pt>
                <c:pt idx="92">
                  <c:v>27.481299999999997</c:v>
                </c:pt>
                <c:pt idx="93">
                  <c:v>27.508899999999997</c:v>
                </c:pt>
                <c:pt idx="94">
                  <c:v>27.6403</c:v>
                </c:pt>
                <c:pt idx="95">
                  <c:v>27.847100000000001</c:v>
                </c:pt>
                <c:pt idx="96">
                  <c:v>28.044400000000003</c:v>
                </c:pt>
                <c:pt idx="97">
                  <c:v>28.183200000000003</c:v>
                </c:pt>
                <c:pt idx="98">
                  <c:v>28.291300000000003</c:v>
                </c:pt>
                <c:pt idx="99">
                  <c:v>28.447600000000001</c:v>
                </c:pt>
                <c:pt idx="100">
                  <c:v>28.624699999999997</c:v>
                </c:pt>
                <c:pt idx="101">
                  <c:v>28.766500000000001</c:v>
                </c:pt>
                <c:pt idx="102">
                  <c:v>28.944300000000002</c:v>
                </c:pt>
                <c:pt idx="103">
                  <c:v>29.139799999999997</c:v>
                </c:pt>
                <c:pt idx="104">
                  <c:v>29.291699999999999</c:v>
                </c:pt>
                <c:pt idx="105">
                  <c:v>29.401699999999998</c:v>
                </c:pt>
                <c:pt idx="106">
                  <c:v>29.524499999999996</c:v>
                </c:pt>
                <c:pt idx="107">
                  <c:v>29.628900000000002</c:v>
                </c:pt>
                <c:pt idx="108">
                  <c:v>29.737599999999997</c:v>
                </c:pt>
                <c:pt idx="109">
                  <c:v>29.804199999999998</c:v>
                </c:pt>
                <c:pt idx="110">
                  <c:v>29.9145</c:v>
                </c:pt>
                <c:pt idx="111">
                  <c:v>30.062200000000001</c:v>
                </c:pt>
                <c:pt idx="112">
                  <c:v>30.1402</c:v>
                </c:pt>
                <c:pt idx="113">
                  <c:v>30.197800000000001</c:v>
                </c:pt>
                <c:pt idx="114">
                  <c:v>30.255900000000004</c:v>
                </c:pt>
                <c:pt idx="115">
                  <c:v>30.456100000000003</c:v>
                </c:pt>
                <c:pt idx="116">
                  <c:v>30.680499999999999</c:v>
                </c:pt>
                <c:pt idx="117">
                  <c:v>30.831299999999999</c:v>
                </c:pt>
                <c:pt idx="118">
                  <c:v>31.013300000000001</c:v>
                </c:pt>
                <c:pt idx="119">
                  <c:v>31.228899999999999</c:v>
                </c:pt>
                <c:pt idx="120">
                  <c:v>31.403700000000001</c:v>
                </c:pt>
                <c:pt idx="121">
                  <c:v>31.467600000000001</c:v>
                </c:pt>
                <c:pt idx="122">
                  <c:v>31.541799999999999</c:v>
                </c:pt>
                <c:pt idx="123">
                  <c:v>31.659399999999998</c:v>
                </c:pt>
                <c:pt idx="124">
                  <c:v>31.6647</c:v>
                </c:pt>
                <c:pt idx="125">
                  <c:v>31.676500000000001</c:v>
                </c:pt>
                <c:pt idx="126">
                  <c:v>31.695600000000002</c:v>
                </c:pt>
                <c:pt idx="127">
                  <c:v>31.675900000000002</c:v>
                </c:pt>
                <c:pt idx="128">
                  <c:v>31.682500000000001</c:v>
                </c:pt>
                <c:pt idx="129">
                  <c:v>31.736999999999998</c:v>
                </c:pt>
                <c:pt idx="130">
                  <c:v>31.8307</c:v>
                </c:pt>
                <c:pt idx="131">
                  <c:v>31.9133</c:v>
                </c:pt>
                <c:pt idx="132">
                  <c:v>31.988899999999997</c:v>
                </c:pt>
                <c:pt idx="133">
                  <c:v>32.057200000000002</c:v>
                </c:pt>
                <c:pt idx="134">
                  <c:v>32.238799999999998</c:v>
                </c:pt>
                <c:pt idx="135">
                  <c:v>32.367100000000001</c:v>
                </c:pt>
                <c:pt idx="136">
                  <c:v>32.461600000000004</c:v>
                </c:pt>
                <c:pt idx="137">
                  <c:v>32.684800000000003</c:v>
                </c:pt>
                <c:pt idx="138">
                  <c:v>32.971299999999999</c:v>
                </c:pt>
                <c:pt idx="139">
                  <c:v>33.301099999999998</c:v>
                </c:pt>
                <c:pt idx="140">
                  <c:v>33.414200000000001</c:v>
                </c:pt>
                <c:pt idx="141">
                  <c:v>33.470700000000001</c:v>
                </c:pt>
                <c:pt idx="142">
                  <c:v>33.607900000000001</c:v>
                </c:pt>
                <c:pt idx="143">
                  <c:v>33.612900000000003</c:v>
                </c:pt>
                <c:pt idx="144">
                  <c:v>33.393099999999997</c:v>
                </c:pt>
                <c:pt idx="145">
                  <c:v>33.148499999999999</c:v>
                </c:pt>
                <c:pt idx="146">
                  <c:v>33.403100000000002</c:v>
                </c:pt>
                <c:pt idx="147">
                  <c:v>33.903700000000001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0.409663</c:v>
                </c:pt>
                <c:pt idx="2">
                  <c:v>0.81165600000000004</c:v>
                </c:pt>
                <c:pt idx="3">
                  <c:v>1.2193400000000001</c:v>
                </c:pt>
                <c:pt idx="4">
                  <c:v>1.6258699999999999</c:v>
                </c:pt>
                <c:pt idx="5">
                  <c:v>2.03159</c:v>
                </c:pt>
                <c:pt idx="6">
                  <c:v>2.4352499999999999</c:v>
                </c:pt>
                <c:pt idx="7">
                  <c:v>2.8431999999999999</c:v>
                </c:pt>
                <c:pt idx="8">
                  <c:v>3.25305</c:v>
                </c:pt>
                <c:pt idx="9">
                  <c:v>3.6558600000000001</c:v>
                </c:pt>
                <c:pt idx="10">
                  <c:v>4.0580100000000003</c:v>
                </c:pt>
                <c:pt idx="11">
                  <c:v>4.4687000000000001</c:v>
                </c:pt>
                <c:pt idx="12">
                  <c:v>4.8758100000000004</c:v>
                </c:pt>
                <c:pt idx="13">
                  <c:v>5.2805799999999996</c:v>
                </c:pt>
                <c:pt idx="14">
                  <c:v>5.6873800000000001</c:v>
                </c:pt>
                <c:pt idx="15">
                  <c:v>6.0907400000000003</c:v>
                </c:pt>
                <c:pt idx="16">
                  <c:v>6.5012600000000003</c:v>
                </c:pt>
                <c:pt idx="17">
                  <c:v>6.9074</c:v>
                </c:pt>
                <c:pt idx="18">
                  <c:v>7.3150899999999996</c:v>
                </c:pt>
                <c:pt idx="19">
                  <c:v>7.72004</c:v>
                </c:pt>
                <c:pt idx="20">
                  <c:v>8.1272599999999997</c:v>
                </c:pt>
                <c:pt idx="21">
                  <c:v>8.5290700000000008</c:v>
                </c:pt>
                <c:pt idx="22">
                  <c:v>8.9387699999999999</c:v>
                </c:pt>
                <c:pt idx="23">
                  <c:v>9.3448200000000003</c:v>
                </c:pt>
                <c:pt idx="24">
                  <c:v>9.7496299999999998</c:v>
                </c:pt>
                <c:pt idx="25">
                  <c:v>10.1554</c:v>
                </c:pt>
                <c:pt idx="26">
                  <c:v>10.5595</c:v>
                </c:pt>
                <c:pt idx="27">
                  <c:v>10.9648</c:v>
                </c:pt>
                <c:pt idx="28">
                  <c:v>11.375500000000001</c:v>
                </c:pt>
                <c:pt idx="29">
                  <c:v>11.7798</c:v>
                </c:pt>
                <c:pt idx="30">
                  <c:v>12.187099999999999</c:v>
                </c:pt>
                <c:pt idx="31">
                  <c:v>12.5928</c:v>
                </c:pt>
                <c:pt idx="32">
                  <c:v>13.0008</c:v>
                </c:pt>
                <c:pt idx="33">
                  <c:v>13.4056</c:v>
                </c:pt>
                <c:pt idx="34">
                  <c:v>13.8108</c:v>
                </c:pt>
                <c:pt idx="35">
                  <c:v>14.2186</c:v>
                </c:pt>
                <c:pt idx="36">
                  <c:v>14.6265</c:v>
                </c:pt>
                <c:pt idx="37">
                  <c:v>15.0334</c:v>
                </c:pt>
                <c:pt idx="38">
                  <c:v>15.436400000000001</c:v>
                </c:pt>
                <c:pt idx="39">
                  <c:v>15.839700000000001</c:v>
                </c:pt>
                <c:pt idx="40">
                  <c:v>16.251100000000001</c:v>
                </c:pt>
                <c:pt idx="41">
                  <c:v>16.658999999999999</c:v>
                </c:pt>
                <c:pt idx="42">
                  <c:v>17.061</c:v>
                </c:pt>
                <c:pt idx="43">
                  <c:v>17.468900000000001</c:v>
                </c:pt>
                <c:pt idx="44">
                  <c:v>17.8719</c:v>
                </c:pt>
                <c:pt idx="45">
                  <c:v>18.2789</c:v>
                </c:pt>
                <c:pt idx="46">
                  <c:v>18.685199999999998</c:v>
                </c:pt>
                <c:pt idx="47">
                  <c:v>19.090900000000001</c:v>
                </c:pt>
                <c:pt idx="48">
                  <c:v>19.4984</c:v>
                </c:pt>
                <c:pt idx="49">
                  <c:v>19.908000000000001</c:v>
                </c:pt>
                <c:pt idx="50">
                  <c:v>20.314299999999999</c:v>
                </c:pt>
                <c:pt idx="51">
                  <c:v>20.7212</c:v>
                </c:pt>
                <c:pt idx="52">
                  <c:v>21.124199999999998</c:v>
                </c:pt>
                <c:pt idx="53">
                  <c:v>21.529</c:v>
                </c:pt>
                <c:pt idx="54">
                  <c:v>21.9361</c:v>
                </c:pt>
                <c:pt idx="55">
                  <c:v>22.342099999999999</c:v>
                </c:pt>
                <c:pt idx="56">
                  <c:v>22.7498</c:v>
                </c:pt>
                <c:pt idx="57">
                  <c:v>23.1556</c:v>
                </c:pt>
                <c:pt idx="58">
                  <c:v>23.558499999999999</c:v>
                </c:pt>
                <c:pt idx="59">
                  <c:v>23.9678</c:v>
                </c:pt>
                <c:pt idx="60">
                  <c:v>24.374600000000001</c:v>
                </c:pt>
                <c:pt idx="61">
                  <c:v>24.778199999999998</c:v>
                </c:pt>
                <c:pt idx="62">
                  <c:v>25.187200000000001</c:v>
                </c:pt>
                <c:pt idx="63">
                  <c:v>25.59</c:v>
                </c:pt>
                <c:pt idx="64">
                  <c:v>25.997</c:v>
                </c:pt>
                <c:pt idx="65">
                  <c:v>26.407399999999999</c:v>
                </c:pt>
                <c:pt idx="66">
                  <c:v>26.812000000000001</c:v>
                </c:pt>
                <c:pt idx="67">
                  <c:v>27.218900000000001</c:v>
                </c:pt>
                <c:pt idx="68">
                  <c:v>27.622699999999998</c:v>
                </c:pt>
                <c:pt idx="69">
                  <c:v>28.029699999999998</c:v>
                </c:pt>
                <c:pt idx="70">
                  <c:v>28.4376</c:v>
                </c:pt>
                <c:pt idx="71">
                  <c:v>28.843399999999999</c:v>
                </c:pt>
                <c:pt idx="72">
                  <c:v>29.249400000000001</c:v>
                </c:pt>
                <c:pt idx="73">
                  <c:v>29.654399999999999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53.555100000000003</c:v>
                </c:pt>
                <c:pt idx="1">
                  <c:v>52.590800000000002</c:v>
                </c:pt>
                <c:pt idx="2">
                  <c:v>51.531199999999998</c:v>
                </c:pt>
                <c:pt idx="3">
                  <c:v>50.400599999999997</c:v>
                </c:pt>
                <c:pt idx="4">
                  <c:v>49.002899999999997</c:v>
                </c:pt>
                <c:pt idx="5">
                  <c:v>47.527799999999999</c:v>
                </c:pt>
                <c:pt idx="6">
                  <c:v>46.278100000000002</c:v>
                </c:pt>
                <c:pt idx="7">
                  <c:v>45.352499999999999</c:v>
                </c:pt>
                <c:pt idx="8">
                  <c:v>44.569199999999995</c:v>
                </c:pt>
                <c:pt idx="9">
                  <c:v>43.568400000000004</c:v>
                </c:pt>
                <c:pt idx="10">
                  <c:v>42.424700000000001</c:v>
                </c:pt>
                <c:pt idx="11">
                  <c:v>41.241799999999998</c:v>
                </c:pt>
                <c:pt idx="12">
                  <c:v>39.806100000000001</c:v>
                </c:pt>
                <c:pt idx="13">
                  <c:v>38.336100000000002</c:v>
                </c:pt>
                <c:pt idx="14">
                  <c:v>37.148900000000005</c:v>
                </c:pt>
                <c:pt idx="15">
                  <c:v>36.149500000000003</c:v>
                </c:pt>
                <c:pt idx="16">
                  <c:v>35.406300000000002</c:v>
                </c:pt>
                <c:pt idx="17">
                  <c:v>34.809600000000003</c:v>
                </c:pt>
                <c:pt idx="18">
                  <c:v>34.372999999999998</c:v>
                </c:pt>
                <c:pt idx="19">
                  <c:v>33.928699999999999</c:v>
                </c:pt>
                <c:pt idx="20">
                  <c:v>33.3934</c:v>
                </c:pt>
                <c:pt idx="21">
                  <c:v>32.972099999999998</c:v>
                </c:pt>
                <c:pt idx="22">
                  <c:v>32.5608</c:v>
                </c:pt>
                <c:pt idx="23">
                  <c:v>32.316200000000002</c:v>
                </c:pt>
                <c:pt idx="24">
                  <c:v>32.157200000000003</c:v>
                </c:pt>
                <c:pt idx="25">
                  <c:v>32.1006</c:v>
                </c:pt>
                <c:pt idx="26">
                  <c:v>32.036799999999999</c:v>
                </c:pt>
                <c:pt idx="27">
                  <c:v>31.916099999999997</c:v>
                </c:pt>
                <c:pt idx="28">
                  <c:v>31.7942</c:v>
                </c:pt>
                <c:pt idx="29">
                  <c:v>31.668400000000002</c:v>
                </c:pt>
                <c:pt idx="30">
                  <c:v>31.521999999999998</c:v>
                </c:pt>
                <c:pt idx="31">
                  <c:v>31.3962</c:v>
                </c:pt>
                <c:pt idx="32">
                  <c:v>31.255800000000001</c:v>
                </c:pt>
                <c:pt idx="33">
                  <c:v>31.127300000000002</c:v>
                </c:pt>
                <c:pt idx="34">
                  <c:v>31.0183</c:v>
                </c:pt>
                <c:pt idx="35">
                  <c:v>30.862699999999997</c:v>
                </c:pt>
                <c:pt idx="36">
                  <c:v>30.704700000000003</c:v>
                </c:pt>
                <c:pt idx="37">
                  <c:v>30.612299999999998</c:v>
                </c:pt>
                <c:pt idx="38">
                  <c:v>30.688500000000001</c:v>
                </c:pt>
                <c:pt idx="39">
                  <c:v>30.970799999999997</c:v>
                </c:pt>
                <c:pt idx="40">
                  <c:v>31.341100000000001</c:v>
                </c:pt>
                <c:pt idx="41">
                  <c:v>31.685799999999997</c:v>
                </c:pt>
                <c:pt idx="42">
                  <c:v>31.977599999999999</c:v>
                </c:pt>
                <c:pt idx="43">
                  <c:v>32.210799999999999</c:v>
                </c:pt>
                <c:pt idx="44">
                  <c:v>32.486699999999999</c:v>
                </c:pt>
                <c:pt idx="45">
                  <c:v>32.918500000000002</c:v>
                </c:pt>
                <c:pt idx="46">
                  <c:v>33.42</c:v>
                </c:pt>
                <c:pt idx="47">
                  <c:v>34.0047</c:v>
                </c:pt>
                <c:pt idx="48">
                  <c:v>34.569899999999997</c:v>
                </c:pt>
                <c:pt idx="49">
                  <c:v>35.124300000000005</c:v>
                </c:pt>
                <c:pt idx="50">
                  <c:v>35.537199999999999</c:v>
                </c:pt>
                <c:pt idx="51">
                  <c:v>35.966099999999997</c:v>
                </c:pt>
                <c:pt idx="52">
                  <c:v>36.4589</c:v>
                </c:pt>
                <c:pt idx="53">
                  <c:v>36.801499999999997</c:v>
                </c:pt>
                <c:pt idx="54">
                  <c:v>37.054400000000001</c:v>
                </c:pt>
                <c:pt idx="55">
                  <c:v>37.3431</c:v>
                </c:pt>
                <c:pt idx="56">
                  <c:v>37.645400000000002</c:v>
                </c:pt>
                <c:pt idx="57">
                  <c:v>37.878499999999995</c:v>
                </c:pt>
                <c:pt idx="58">
                  <c:v>38.049399999999999</c:v>
                </c:pt>
                <c:pt idx="59">
                  <c:v>38.067799999999998</c:v>
                </c:pt>
                <c:pt idx="60">
                  <c:v>38.159100000000002</c:v>
                </c:pt>
                <c:pt idx="61">
                  <c:v>38.148700000000005</c:v>
                </c:pt>
                <c:pt idx="62">
                  <c:v>37.934200000000004</c:v>
                </c:pt>
                <c:pt idx="63">
                  <c:v>37.838699999999996</c:v>
                </c:pt>
                <c:pt idx="64">
                  <c:v>37.698700000000002</c:v>
                </c:pt>
                <c:pt idx="65">
                  <c:v>37.533000000000001</c:v>
                </c:pt>
                <c:pt idx="66">
                  <c:v>37.322699999999998</c:v>
                </c:pt>
                <c:pt idx="67">
                  <c:v>36.947899999999997</c:v>
                </c:pt>
                <c:pt idx="68">
                  <c:v>36.596200000000003</c:v>
                </c:pt>
                <c:pt idx="69">
                  <c:v>36.191099999999999</c:v>
                </c:pt>
                <c:pt idx="70">
                  <c:v>35.740699999999997</c:v>
                </c:pt>
                <c:pt idx="71">
                  <c:v>35.431200000000004</c:v>
                </c:pt>
                <c:pt idx="72">
                  <c:v>34.873699999999999</c:v>
                </c:pt>
                <c:pt idx="73">
                  <c:v>34.580599999999997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29.654399999999999</c:v>
                </c:pt>
                <c:pt idx="1">
                  <c:v>30.061199999999999</c:v>
                </c:pt>
                <c:pt idx="2">
                  <c:v>30.528199999999998</c:v>
                </c:pt>
                <c:pt idx="3">
                  <c:v>30.921399999999998</c:v>
                </c:pt>
                <c:pt idx="4">
                  <c:v>31.323</c:v>
                </c:pt>
                <c:pt idx="5">
                  <c:v>31.735199999999999</c:v>
                </c:pt>
                <c:pt idx="6">
                  <c:v>32.138199999999998</c:v>
                </c:pt>
                <c:pt idx="7">
                  <c:v>32.548099999999998</c:v>
                </c:pt>
                <c:pt idx="8">
                  <c:v>32.950299999999999</c:v>
                </c:pt>
                <c:pt idx="9">
                  <c:v>33.354599999999998</c:v>
                </c:pt>
                <c:pt idx="10">
                  <c:v>33.762799999999999</c:v>
                </c:pt>
                <c:pt idx="11">
                  <c:v>34.174100000000003</c:v>
                </c:pt>
                <c:pt idx="12">
                  <c:v>34.576700000000002</c:v>
                </c:pt>
                <c:pt idx="13">
                  <c:v>34.9803</c:v>
                </c:pt>
                <c:pt idx="14">
                  <c:v>35.391500000000001</c:v>
                </c:pt>
                <c:pt idx="15">
                  <c:v>35.796700000000001</c:v>
                </c:pt>
                <c:pt idx="16">
                  <c:v>36.200200000000002</c:v>
                </c:pt>
                <c:pt idx="17">
                  <c:v>36.610300000000002</c:v>
                </c:pt>
                <c:pt idx="18">
                  <c:v>37.011899999999997</c:v>
                </c:pt>
                <c:pt idx="19">
                  <c:v>37.418999999999997</c:v>
                </c:pt>
                <c:pt idx="20">
                  <c:v>37.8292</c:v>
                </c:pt>
                <c:pt idx="21">
                  <c:v>38.232199999999999</c:v>
                </c:pt>
                <c:pt idx="22">
                  <c:v>38.637500000000003</c:v>
                </c:pt>
                <c:pt idx="23">
                  <c:v>39.044800000000002</c:v>
                </c:pt>
                <c:pt idx="24">
                  <c:v>39.453600000000002</c:v>
                </c:pt>
                <c:pt idx="25">
                  <c:v>39.859499999999997</c:v>
                </c:pt>
                <c:pt idx="26">
                  <c:v>40.263100000000001</c:v>
                </c:pt>
                <c:pt idx="27">
                  <c:v>40.669400000000003</c:v>
                </c:pt>
                <c:pt idx="28">
                  <c:v>41.075200000000002</c:v>
                </c:pt>
                <c:pt idx="29">
                  <c:v>41.487299999999998</c:v>
                </c:pt>
                <c:pt idx="30">
                  <c:v>41.889200000000002</c:v>
                </c:pt>
                <c:pt idx="31">
                  <c:v>42.294899999999998</c:v>
                </c:pt>
                <c:pt idx="32">
                  <c:v>42.7</c:v>
                </c:pt>
                <c:pt idx="33">
                  <c:v>43.1053</c:v>
                </c:pt>
                <c:pt idx="34">
                  <c:v>43.514000000000003</c:v>
                </c:pt>
                <c:pt idx="35">
                  <c:v>43.920499999999997</c:v>
                </c:pt>
                <c:pt idx="36">
                  <c:v>44.326500000000003</c:v>
                </c:pt>
                <c:pt idx="37">
                  <c:v>44.734499999999997</c:v>
                </c:pt>
                <c:pt idx="38">
                  <c:v>45.141399999999997</c:v>
                </c:pt>
                <c:pt idx="39">
                  <c:v>45.549199999999999</c:v>
                </c:pt>
                <c:pt idx="40">
                  <c:v>45.949199999999998</c:v>
                </c:pt>
                <c:pt idx="41">
                  <c:v>46.359099999999998</c:v>
                </c:pt>
                <c:pt idx="42">
                  <c:v>46.7624</c:v>
                </c:pt>
                <c:pt idx="43">
                  <c:v>47.169199999999996</c:v>
                </c:pt>
                <c:pt idx="44">
                  <c:v>47.579799999999999</c:v>
                </c:pt>
                <c:pt idx="45">
                  <c:v>47.985799999999998</c:v>
                </c:pt>
                <c:pt idx="46">
                  <c:v>48.392699999999998</c:v>
                </c:pt>
                <c:pt idx="47">
                  <c:v>48.794600000000003</c:v>
                </c:pt>
                <c:pt idx="48">
                  <c:v>49.201700000000002</c:v>
                </c:pt>
                <c:pt idx="49">
                  <c:v>49.609400000000001</c:v>
                </c:pt>
                <c:pt idx="50">
                  <c:v>50.016300000000001</c:v>
                </c:pt>
                <c:pt idx="51">
                  <c:v>50.421199999999999</c:v>
                </c:pt>
                <c:pt idx="52">
                  <c:v>50.826099999999997</c:v>
                </c:pt>
                <c:pt idx="53">
                  <c:v>51.232300000000002</c:v>
                </c:pt>
                <c:pt idx="54">
                  <c:v>51.641800000000003</c:v>
                </c:pt>
                <c:pt idx="55">
                  <c:v>52.046999999999997</c:v>
                </c:pt>
                <c:pt idx="56">
                  <c:v>52.451799999999999</c:v>
                </c:pt>
                <c:pt idx="57">
                  <c:v>52.856900000000003</c:v>
                </c:pt>
                <c:pt idx="58">
                  <c:v>53.263500000000001</c:v>
                </c:pt>
                <c:pt idx="59">
                  <c:v>53.669699999999999</c:v>
                </c:pt>
                <c:pt idx="60">
                  <c:v>54.078400000000002</c:v>
                </c:pt>
                <c:pt idx="61">
                  <c:v>54.485300000000002</c:v>
                </c:pt>
                <c:pt idx="62">
                  <c:v>54.887700000000002</c:v>
                </c:pt>
                <c:pt idx="63">
                  <c:v>55.294199999999996</c:v>
                </c:pt>
                <c:pt idx="64">
                  <c:v>55.701099999999997</c:v>
                </c:pt>
                <c:pt idx="65">
                  <c:v>56.112200000000001</c:v>
                </c:pt>
                <c:pt idx="66">
                  <c:v>56.5199</c:v>
                </c:pt>
                <c:pt idx="67">
                  <c:v>56.921900000000001</c:v>
                </c:pt>
                <c:pt idx="68">
                  <c:v>57.326900000000002</c:v>
                </c:pt>
                <c:pt idx="69">
                  <c:v>57.734699999999997</c:v>
                </c:pt>
                <c:pt idx="70">
                  <c:v>58.142600000000002</c:v>
                </c:pt>
                <c:pt idx="71">
                  <c:v>58.548400000000001</c:v>
                </c:pt>
                <c:pt idx="72">
                  <c:v>58.952599999999997</c:v>
                </c:pt>
                <c:pt idx="73">
                  <c:v>59.3583</c:v>
                </c:pt>
                <c:pt idx="74">
                  <c:v>59.762599999999999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34.580599999999997</c:v>
                </c:pt>
                <c:pt idx="1">
                  <c:v>34.098800000000004</c:v>
                </c:pt>
                <c:pt idx="2">
                  <c:v>33.701999999999998</c:v>
                </c:pt>
                <c:pt idx="3">
                  <c:v>33.307700000000004</c:v>
                </c:pt>
                <c:pt idx="4">
                  <c:v>32.933</c:v>
                </c:pt>
                <c:pt idx="5">
                  <c:v>32.522800000000004</c:v>
                </c:pt>
                <c:pt idx="6">
                  <c:v>32.040800000000004</c:v>
                </c:pt>
                <c:pt idx="7">
                  <c:v>31.5457</c:v>
                </c:pt>
                <c:pt idx="8">
                  <c:v>31.055</c:v>
                </c:pt>
                <c:pt idx="9">
                  <c:v>30.642500000000002</c:v>
                </c:pt>
                <c:pt idx="10">
                  <c:v>30.2529</c:v>
                </c:pt>
                <c:pt idx="11">
                  <c:v>29.817900000000002</c:v>
                </c:pt>
                <c:pt idx="12">
                  <c:v>29.408800000000003</c:v>
                </c:pt>
                <c:pt idx="13">
                  <c:v>29.035499999999999</c:v>
                </c:pt>
                <c:pt idx="14">
                  <c:v>28.693200000000001</c:v>
                </c:pt>
                <c:pt idx="15">
                  <c:v>28.307500000000001</c:v>
                </c:pt>
                <c:pt idx="16">
                  <c:v>27.999700000000001</c:v>
                </c:pt>
                <c:pt idx="17">
                  <c:v>27.757100000000001</c:v>
                </c:pt>
                <c:pt idx="18">
                  <c:v>27.539899999999999</c:v>
                </c:pt>
                <c:pt idx="19">
                  <c:v>27.481299999999997</c:v>
                </c:pt>
                <c:pt idx="20">
                  <c:v>27.508899999999997</c:v>
                </c:pt>
                <c:pt idx="21">
                  <c:v>27.6403</c:v>
                </c:pt>
                <c:pt idx="22">
                  <c:v>27.847100000000001</c:v>
                </c:pt>
                <c:pt idx="23">
                  <c:v>28.044400000000003</c:v>
                </c:pt>
                <c:pt idx="24">
                  <c:v>28.183200000000003</c:v>
                </c:pt>
                <c:pt idx="25">
                  <c:v>28.291300000000003</c:v>
                </c:pt>
                <c:pt idx="26">
                  <c:v>28.447600000000001</c:v>
                </c:pt>
                <c:pt idx="27">
                  <c:v>28.624699999999997</c:v>
                </c:pt>
                <c:pt idx="28">
                  <c:v>28.766500000000001</c:v>
                </c:pt>
                <c:pt idx="29">
                  <c:v>28.944300000000002</c:v>
                </c:pt>
                <c:pt idx="30">
                  <c:v>29.139799999999997</c:v>
                </c:pt>
                <c:pt idx="31">
                  <c:v>29.291699999999999</c:v>
                </c:pt>
                <c:pt idx="32">
                  <c:v>29.401699999999998</c:v>
                </c:pt>
                <c:pt idx="33">
                  <c:v>29.524499999999996</c:v>
                </c:pt>
                <c:pt idx="34">
                  <c:v>29.628900000000002</c:v>
                </c:pt>
                <c:pt idx="35">
                  <c:v>29.737599999999997</c:v>
                </c:pt>
                <c:pt idx="36">
                  <c:v>29.804199999999998</c:v>
                </c:pt>
                <c:pt idx="37">
                  <c:v>29.9145</c:v>
                </c:pt>
                <c:pt idx="38">
                  <c:v>30.062200000000001</c:v>
                </c:pt>
                <c:pt idx="39">
                  <c:v>30.1402</c:v>
                </c:pt>
                <c:pt idx="40">
                  <c:v>30.197800000000001</c:v>
                </c:pt>
                <c:pt idx="41">
                  <c:v>30.255900000000004</c:v>
                </c:pt>
                <c:pt idx="42">
                  <c:v>30.456100000000003</c:v>
                </c:pt>
                <c:pt idx="43">
                  <c:v>30.680499999999999</c:v>
                </c:pt>
                <c:pt idx="44">
                  <c:v>30.831299999999999</c:v>
                </c:pt>
                <c:pt idx="45">
                  <c:v>31.013300000000001</c:v>
                </c:pt>
                <c:pt idx="46">
                  <c:v>31.228899999999999</c:v>
                </c:pt>
                <c:pt idx="47">
                  <c:v>31.403700000000001</c:v>
                </c:pt>
                <c:pt idx="48">
                  <c:v>31.467600000000001</c:v>
                </c:pt>
                <c:pt idx="49">
                  <c:v>31.541799999999999</c:v>
                </c:pt>
                <c:pt idx="50">
                  <c:v>31.659399999999998</c:v>
                </c:pt>
                <c:pt idx="51">
                  <c:v>31.6647</c:v>
                </c:pt>
                <c:pt idx="52">
                  <c:v>31.676500000000001</c:v>
                </c:pt>
                <c:pt idx="53">
                  <c:v>31.695600000000002</c:v>
                </c:pt>
                <c:pt idx="54">
                  <c:v>31.675900000000002</c:v>
                </c:pt>
                <c:pt idx="55">
                  <c:v>31.682500000000001</c:v>
                </c:pt>
                <c:pt idx="56">
                  <c:v>31.736999999999998</c:v>
                </c:pt>
                <c:pt idx="57">
                  <c:v>31.8307</c:v>
                </c:pt>
                <c:pt idx="58">
                  <c:v>31.9133</c:v>
                </c:pt>
                <c:pt idx="59">
                  <c:v>31.988899999999997</c:v>
                </c:pt>
                <c:pt idx="60">
                  <c:v>32.057200000000002</c:v>
                </c:pt>
                <c:pt idx="61">
                  <c:v>32.238799999999998</c:v>
                </c:pt>
                <c:pt idx="62">
                  <c:v>32.367100000000001</c:v>
                </c:pt>
                <c:pt idx="63">
                  <c:v>32.461600000000004</c:v>
                </c:pt>
                <c:pt idx="64">
                  <c:v>32.684800000000003</c:v>
                </c:pt>
                <c:pt idx="65">
                  <c:v>32.971299999999999</c:v>
                </c:pt>
                <c:pt idx="66">
                  <c:v>33.301099999999998</c:v>
                </c:pt>
                <c:pt idx="67">
                  <c:v>33.414200000000001</c:v>
                </c:pt>
                <c:pt idx="68">
                  <c:v>33.470700000000001</c:v>
                </c:pt>
                <c:pt idx="69">
                  <c:v>33.607900000000001</c:v>
                </c:pt>
                <c:pt idx="70">
                  <c:v>33.612900000000003</c:v>
                </c:pt>
                <c:pt idx="71">
                  <c:v>33.393099999999997</c:v>
                </c:pt>
                <c:pt idx="72">
                  <c:v>33.148499999999999</c:v>
                </c:pt>
                <c:pt idx="73">
                  <c:v>33.403100000000002</c:v>
                </c:pt>
                <c:pt idx="74">
                  <c:v>33.903700000000001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14.94065</c:v>
                </c:pt>
                <c:pt idx="1">
                  <c:v>44.821950000000001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36.575863513513504</c:v>
                </c:pt>
                <c:pt idx="1">
                  <c:v>30.807068918918922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2.22079</c:v>
                </c:pt>
                <c:pt idx="1">
                  <c:v>2.2955100000000002</c:v>
                </c:pt>
                <c:pt idx="2">
                  <c:v>2.3728799999999999</c:v>
                </c:pt>
                <c:pt idx="3">
                  <c:v>2.4516499999999999</c:v>
                </c:pt>
                <c:pt idx="4">
                  <c:v>2.5338799999999999</c:v>
                </c:pt>
                <c:pt idx="5">
                  <c:v>2.6192599999999997</c:v>
                </c:pt>
                <c:pt idx="6">
                  <c:v>2.70248</c:v>
                </c:pt>
                <c:pt idx="7">
                  <c:v>2.7824900000000001</c:v>
                </c:pt>
                <c:pt idx="8">
                  <c:v>2.8613200000000001</c:v>
                </c:pt>
                <c:pt idx="9">
                  <c:v>2.94394</c:v>
                </c:pt>
                <c:pt idx="10">
                  <c:v>3.02678</c:v>
                </c:pt>
                <c:pt idx="11">
                  <c:v>3.1094599999999999</c:v>
                </c:pt>
                <c:pt idx="12">
                  <c:v>3.1948400000000001</c:v>
                </c:pt>
                <c:pt idx="13">
                  <c:v>3.2812400000000004</c:v>
                </c:pt>
                <c:pt idx="14">
                  <c:v>3.3552200000000001</c:v>
                </c:pt>
                <c:pt idx="15">
                  <c:v>3.4249900000000002</c:v>
                </c:pt>
                <c:pt idx="16">
                  <c:v>3.4935999999999998</c:v>
                </c:pt>
                <c:pt idx="17">
                  <c:v>3.5563099999999999</c:v>
                </c:pt>
                <c:pt idx="18">
                  <c:v>3.6154299999999999</c:v>
                </c:pt>
                <c:pt idx="19">
                  <c:v>3.6761300000000001</c:v>
                </c:pt>
                <c:pt idx="20">
                  <c:v>3.7384499999999998</c:v>
                </c:pt>
                <c:pt idx="21">
                  <c:v>3.7962600000000002</c:v>
                </c:pt>
                <c:pt idx="22">
                  <c:v>3.8504</c:v>
                </c:pt>
                <c:pt idx="23">
                  <c:v>3.8989600000000002</c:v>
                </c:pt>
                <c:pt idx="24">
                  <c:v>3.9422099999999998</c:v>
                </c:pt>
                <c:pt idx="25">
                  <c:v>3.9779399999999998</c:v>
                </c:pt>
                <c:pt idx="26">
                  <c:v>4.0075500000000002</c:v>
                </c:pt>
                <c:pt idx="27">
                  <c:v>4.0327600000000006</c:v>
                </c:pt>
                <c:pt idx="28">
                  <c:v>4.0496400000000001</c:v>
                </c:pt>
                <c:pt idx="29">
                  <c:v>4.0584600000000002</c:v>
                </c:pt>
                <c:pt idx="30">
                  <c:v>4.0616099999999999</c:v>
                </c:pt>
                <c:pt idx="31">
                  <c:v>4.0618100000000004</c:v>
                </c:pt>
                <c:pt idx="32">
                  <c:v>4.0614099999999995</c:v>
                </c:pt>
                <c:pt idx="33">
                  <c:v>4.05802</c:v>
                </c:pt>
                <c:pt idx="34">
                  <c:v>4.0460600000000007</c:v>
                </c:pt>
                <c:pt idx="35">
                  <c:v>4.0273900000000005</c:v>
                </c:pt>
                <c:pt idx="36">
                  <c:v>4.0043899999999999</c:v>
                </c:pt>
                <c:pt idx="37">
                  <c:v>3.9718300000000002</c:v>
                </c:pt>
                <c:pt idx="38">
                  <c:v>3.9337400000000002</c:v>
                </c:pt>
                <c:pt idx="39">
                  <c:v>3.8957599999999997</c:v>
                </c:pt>
                <c:pt idx="40">
                  <c:v>3.8602799999999999</c:v>
                </c:pt>
                <c:pt idx="41">
                  <c:v>3.8262200000000002</c:v>
                </c:pt>
                <c:pt idx="42">
                  <c:v>3.7934000000000001</c:v>
                </c:pt>
                <c:pt idx="43">
                  <c:v>3.7611600000000003</c:v>
                </c:pt>
                <c:pt idx="44">
                  <c:v>3.7278199999999999</c:v>
                </c:pt>
                <c:pt idx="45">
                  <c:v>3.6908999999999996</c:v>
                </c:pt>
                <c:pt idx="46">
                  <c:v>3.6536600000000004</c:v>
                </c:pt>
                <c:pt idx="47">
                  <c:v>3.6145300000000002</c:v>
                </c:pt>
                <c:pt idx="48">
                  <c:v>3.5777700000000001</c:v>
                </c:pt>
                <c:pt idx="49">
                  <c:v>3.5445799999999998</c:v>
                </c:pt>
                <c:pt idx="50">
                  <c:v>3.5209800000000002</c:v>
                </c:pt>
                <c:pt idx="51">
                  <c:v>3.4944199999999999</c:v>
                </c:pt>
                <c:pt idx="52">
                  <c:v>3.4676900000000002</c:v>
                </c:pt>
                <c:pt idx="53">
                  <c:v>3.44584</c:v>
                </c:pt>
                <c:pt idx="54">
                  <c:v>3.4294599999999997</c:v>
                </c:pt>
                <c:pt idx="55">
                  <c:v>3.4135900000000001</c:v>
                </c:pt>
                <c:pt idx="56">
                  <c:v>3.4000000000000004</c:v>
                </c:pt>
                <c:pt idx="57">
                  <c:v>3.3858800000000002</c:v>
                </c:pt>
                <c:pt idx="58">
                  <c:v>3.3765400000000003</c:v>
                </c:pt>
                <c:pt idx="59">
                  <c:v>3.37568</c:v>
                </c:pt>
                <c:pt idx="60">
                  <c:v>3.3715299999999999</c:v>
                </c:pt>
                <c:pt idx="61">
                  <c:v>3.3755200000000003</c:v>
                </c:pt>
                <c:pt idx="62">
                  <c:v>3.3902799999999997</c:v>
                </c:pt>
                <c:pt idx="63">
                  <c:v>3.3960499999999998</c:v>
                </c:pt>
                <c:pt idx="64">
                  <c:v>3.4054600000000002</c:v>
                </c:pt>
                <c:pt idx="65">
                  <c:v>3.41323</c:v>
                </c:pt>
                <c:pt idx="66">
                  <c:v>3.4228999999999998</c:v>
                </c:pt>
                <c:pt idx="67">
                  <c:v>3.43919</c:v>
                </c:pt>
                <c:pt idx="68">
                  <c:v>3.4546700000000001</c:v>
                </c:pt>
                <c:pt idx="69">
                  <c:v>3.4708199999999998</c:v>
                </c:pt>
                <c:pt idx="70">
                  <c:v>3.4869400000000002</c:v>
                </c:pt>
                <c:pt idx="71">
                  <c:v>3.4993800000000004</c:v>
                </c:pt>
                <c:pt idx="72">
                  <c:v>3.5169199999999998</c:v>
                </c:pt>
                <c:pt idx="73">
                  <c:v>3.5306100000000002</c:v>
                </c:pt>
                <c:pt idx="74">
                  <c:v>3.5478900000000002</c:v>
                </c:pt>
                <c:pt idx="75">
                  <c:v>3.5623500000000003</c:v>
                </c:pt>
                <c:pt idx="76">
                  <c:v>3.5780499999999997</c:v>
                </c:pt>
                <c:pt idx="77">
                  <c:v>3.5937099999999997</c:v>
                </c:pt>
                <c:pt idx="78">
                  <c:v>3.6106799999999999</c:v>
                </c:pt>
                <c:pt idx="79">
                  <c:v>3.6272100000000003</c:v>
                </c:pt>
                <c:pt idx="80">
                  <c:v>3.6428400000000001</c:v>
                </c:pt>
                <c:pt idx="81">
                  <c:v>3.6572199999999997</c:v>
                </c:pt>
                <c:pt idx="82">
                  <c:v>3.6681300000000001</c:v>
                </c:pt>
                <c:pt idx="83">
                  <c:v>3.67896</c:v>
                </c:pt>
                <c:pt idx="84">
                  <c:v>3.69048</c:v>
                </c:pt>
                <c:pt idx="85">
                  <c:v>3.69956</c:v>
                </c:pt>
                <c:pt idx="86">
                  <c:v>3.7078600000000002</c:v>
                </c:pt>
                <c:pt idx="87">
                  <c:v>3.71549</c:v>
                </c:pt>
                <c:pt idx="88">
                  <c:v>3.72499</c:v>
                </c:pt>
                <c:pt idx="89">
                  <c:v>3.7378499999999999</c:v>
                </c:pt>
                <c:pt idx="90">
                  <c:v>3.7516100000000003</c:v>
                </c:pt>
                <c:pt idx="91">
                  <c:v>3.7640000000000002</c:v>
                </c:pt>
                <c:pt idx="92">
                  <c:v>3.7743500000000001</c:v>
                </c:pt>
                <c:pt idx="93">
                  <c:v>3.7811299999999997</c:v>
                </c:pt>
                <c:pt idx="94">
                  <c:v>3.7834600000000003</c:v>
                </c:pt>
                <c:pt idx="95">
                  <c:v>3.7856099999999997</c:v>
                </c:pt>
                <c:pt idx="96">
                  <c:v>3.7913599999999996</c:v>
                </c:pt>
                <c:pt idx="97">
                  <c:v>3.79705</c:v>
                </c:pt>
                <c:pt idx="98">
                  <c:v>3.8023400000000001</c:v>
                </c:pt>
                <c:pt idx="99">
                  <c:v>3.8053999999999997</c:v>
                </c:pt>
                <c:pt idx="100">
                  <c:v>3.8078499999999997</c:v>
                </c:pt>
                <c:pt idx="101">
                  <c:v>3.8125300000000002</c:v>
                </c:pt>
                <c:pt idx="102">
                  <c:v>3.81515</c:v>
                </c:pt>
                <c:pt idx="103">
                  <c:v>3.8171200000000001</c:v>
                </c:pt>
                <c:pt idx="104">
                  <c:v>3.8187199999999999</c:v>
                </c:pt>
                <c:pt idx="105">
                  <c:v>3.8229800000000003</c:v>
                </c:pt>
                <c:pt idx="106">
                  <c:v>3.8269199999999999</c:v>
                </c:pt>
                <c:pt idx="107">
                  <c:v>3.82884</c:v>
                </c:pt>
                <c:pt idx="108">
                  <c:v>3.82789</c:v>
                </c:pt>
                <c:pt idx="109">
                  <c:v>3.8270900000000001</c:v>
                </c:pt>
                <c:pt idx="110">
                  <c:v>3.82599</c:v>
                </c:pt>
                <c:pt idx="111">
                  <c:v>3.8244299999999996</c:v>
                </c:pt>
                <c:pt idx="112">
                  <c:v>3.8243899999999997</c:v>
                </c:pt>
                <c:pt idx="113">
                  <c:v>3.8277800000000002</c:v>
                </c:pt>
                <c:pt idx="114">
                  <c:v>3.8313100000000002</c:v>
                </c:pt>
                <c:pt idx="115">
                  <c:v>3.8331999999999997</c:v>
                </c:pt>
                <c:pt idx="116">
                  <c:v>3.8348300000000002</c:v>
                </c:pt>
                <c:pt idx="117">
                  <c:v>3.8390300000000002</c:v>
                </c:pt>
                <c:pt idx="118">
                  <c:v>3.8445800000000001</c:v>
                </c:pt>
                <c:pt idx="119">
                  <c:v>3.8506499999999999</c:v>
                </c:pt>
                <c:pt idx="120">
                  <c:v>3.8586</c:v>
                </c:pt>
                <c:pt idx="121">
                  <c:v>3.8701699999999999</c:v>
                </c:pt>
                <c:pt idx="122">
                  <c:v>3.8829099999999999</c:v>
                </c:pt>
                <c:pt idx="123">
                  <c:v>3.89364</c:v>
                </c:pt>
                <c:pt idx="124">
                  <c:v>3.8993499999999996</c:v>
                </c:pt>
                <c:pt idx="125">
                  <c:v>3.9040900000000001</c:v>
                </c:pt>
                <c:pt idx="126">
                  <c:v>3.9070800000000001</c:v>
                </c:pt>
                <c:pt idx="127">
                  <c:v>3.91133</c:v>
                </c:pt>
                <c:pt idx="128">
                  <c:v>3.91439</c:v>
                </c:pt>
                <c:pt idx="129">
                  <c:v>3.9175500000000003</c:v>
                </c:pt>
                <c:pt idx="130">
                  <c:v>3.9195200000000003</c:v>
                </c:pt>
                <c:pt idx="131">
                  <c:v>3.92361</c:v>
                </c:pt>
                <c:pt idx="132">
                  <c:v>3.9326499999999998</c:v>
                </c:pt>
                <c:pt idx="133">
                  <c:v>3.9434000000000005</c:v>
                </c:pt>
                <c:pt idx="134">
                  <c:v>3.9528000000000003</c:v>
                </c:pt>
                <c:pt idx="135">
                  <c:v>3.96428</c:v>
                </c:pt>
                <c:pt idx="136">
                  <c:v>3.97682</c:v>
                </c:pt>
                <c:pt idx="137">
                  <c:v>3.98759</c:v>
                </c:pt>
                <c:pt idx="138">
                  <c:v>3.99254</c:v>
                </c:pt>
                <c:pt idx="139">
                  <c:v>3.9991300000000001</c:v>
                </c:pt>
                <c:pt idx="140">
                  <c:v>4.00861</c:v>
                </c:pt>
                <c:pt idx="141">
                  <c:v>4.0190299999999999</c:v>
                </c:pt>
                <c:pt idx="142">
                  <c:v>4.0256400000000001</c:v>
                </c:pt>
                <c:pt idx="143">
                  <c:v>4.0328400000000002</c:v>
                </c:pt>
                <c:pt idx="144">
                  <c:v>4.0498799999999999</c:v>
                </c:pt>
                <c:pt idx="145">
                  <c:v>4.0660499999999997</c:v>
                </c:pt>
                <c:pt idx="146">
                  <c:v>4.0617599999999996</c:v>
                </c:pt>
                <c:pt idx="147">
                  <c:v>4.0329100000000002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53.555100000000003</c:v>
                </c:pt>
                <c:pt idx="1">
                  <c:v>52.590800000000002</c:v>
                </c:pt>
                <c:pt idx="2">
                  <c:v>51.531199999999998</c:v>
                </c:pt>
                <c:pt idx="3">
                  <c:v>50.400599999999997</c:v>
                </c:pt>
                <c:pt idx="4">
                  <c:v>49.002899999999997</c:v>
                </c:pt>
                <c:pt idx="5">
                  <c:v>47.527799999999999</c:v>
                </c:pt>
                <c:pt idx="6">
                  <c:v>46.278100000000002</c:v>
                </c:pt>
                <c:pt idx="7">
                  <c:v>45.352499999999999</c:v>
                </c:pt>
                <c:pt idx="8">
                  <c:v>44.569199999999995</c:v>
                </c:pt>
                <c:pt idx="9">
                  <c:v>43.568400000000004</c:v>
                </c:pt>
                <c:pt idx="10">
                  <c:v>42.424700000000001</c:v>
                </c:pt>
                <c:pt idx="11">
                  <c:v>41.241799999999998</c:v>
                </c:pt>
                <c:pt idx="12">
                  <c:v>39.806100000000001</c:v>
                </c:pt>
                <c:pt idx="13">
                  <c:v>38.336100000000002</c:v>
                </c:pt>
                <c:pt idx="14">
                  <c:v>37.148900000000005</c:v>
                </c:pt>
                <c:pt idx="15">
                  <c:v>36.149500000000003</c:v>
                </c:pt>
                <c:pt idx="16">
                  <c:v>35.406300000000002</c:v>
                </c:pt>
                <c:pt idx="17">
                  <c:v>34.809600000000003</c:v>
                </c:pt>
                <c:pt idx="18">
                  <c:v>34.372999999999998</c:v>
                </c:pt>
                <c:pt idx="19">
                  <c:v>33.928699999999999</c:v>
                </c:pt>
                <c:pt idx="20">
                  <c:v>33.3934</c:v>
                </c:pt>
                <c:pt idx="21">
                  <c:v>32.972099999999998</c:v>
                </c:pt>
                <c:pt idx="22">
                  <c:v>32.5608</c:v>
                </c:pt>
                <c:pt idx="23">
                  <c:v>32.316200000000002</c:v>
                </c:pt>
                <c:pt idx="24">
                  <c:v>32.157200000000003</c:v>
                </c:pt>
                <c:pt idx="25">
                  <c:v>32.1006</c:v>
                </c:pt>
                <c:pt idx="26">
                  <c:v>32.036799999999999</c:v>
                </c:pt>
                <c:pt idx="27">
                  <c:v>31.916099999999997</c:v>
                </c:pt>
                <c:pt idx="28">
                  <c:v>31.7942</c:v>
                </c:pt>
                <c:pt idx="29">
                  <c:v>31.668400000000002</c:v>
                </c:pt>
                <c:pt idx="30">
                  <c:v>31.521999999999998</c:v>
                </c:pt>
                <c:pt idx="31">
                  <c:v>31.3962</c:v>
                </c:pt>
                <c:pt idx="32">
                  <c:v>31.255800000000001</c:v>
                </c:pt>
                <c:pt idx="33">
                  <c:v>31.127300000000002</c:v>
                </c:pt>
                <c:pt idx="34">
                  <c:v>31.0183</c:v>
                </c:pt>
                <c:pt idx="35">
                  <c:v>30.862699999999997</c:v>
                </c:pt>
                <c:pt idx="36">
                  <c:v>30.704700000000003</c:v>
                </c:pt>
                <c:pt idx="37">
                  <c:v>30.612299999999998</c:v>
                </c:pt>
                <c:pt idx="38">
                  <c:v>30.688500000000001</c:v>
                </c:pt>
                <c:pt idx="39">
                  <c:v>30.970799999999997</c:v>
                </c:pt>
                <c:pt idx="40">
                  <c:v>31.341100000000001</c:v>
                </c:pt>
                <c:pt idx="41">
                  <c:v>31.685799999999997</c:v>
                </c:pt>
                <c:pt idx="42">
                  <c:v>31.977599999999999</c:v>
                </c:pt>
                <c:pt idx="43">
                  <c:v>32.210799999999999</c:v>
                </c:pt>
                <c:pt idx="44">
                  <c:v>32.486699999999999</c:v>
                </c:pt>
                <c:pt idx="45">
                  <c:v>32.918500000000002</c:v>
                </c:pt>
                <c:pt idx="46">
                  <c:v>33.42</c:v>
                </c:pt>
                <c:pt idx="47">
                  <c:v>34.0047</c:v>
                </c:pt>
                <c:pt idx="48">
                  <c:v>34.569899999999997</c:v>
                </c:pt>
                <c:pt idx="49">
                  <c:v>35.124300000000005</c:v>
                </c:pt>
                <c:pt idx="50">
                  <c:v>35.537199999999999</c:v>
                </c:pt>
                <c:pt idx="51">
                  <c:v>35.966099999999997</c:v>
                </c:pt>
                <c:pt idx="52">
                  <c:v>36.4589</c:v>
                </c:pt>
                <c:pt idx="53">
                  <c:v>36.801499999999997</c:v>
                </c:pt>
                <c:pt idx="54">
                  <c:v>37.054400000000001</c:v>
                </c:pt>
                <c:pt idx="55">
                  <c:v>37.3431</c:v>
                </c:pt>
                <c:pt idx="56">
                  <c:v>37.645400000000002</c:v>
                </c:pt>
                <c:pt idx="57">
                  <c:v>37.878499999999995</c:v>
                </c:pt>
                <c:pt idx="58">
                  <c:v>38.049399999999999</c:v>
                </c:pt>
                <c:pt idx="59">
                  <c:v>38.067799999999998</c:v>
                </c:pt>
                <c:pt idx="60">
                  <c:v>38.159100000000002</c:v>
                </c:pt>
                <c:pt idx="61">
                  <c:v>38.148700000000005</c:v>
                </c:pt>
                <c:pt idx="62">
                  <c:v>37.934200000000004</c:v>
                </c:pt>
                <c:pt idx="63">
                  <c:v>37.838699999999996</c:v>
                </c:pt>
                <c:pt idx="64">
                  <c:v>37.698700000000002</c:v>
                </c:pt>
                <c:pt idx="65">
                  <c:v>37.533000000000001</c:v>
                </c:pt>
                <c:pt idx="66">
                  <c:v>37.322699999999998</c:v>
                </c:pt>
                <c:pt idx="67">
                  <c:v>36.947899999999997</c:v>
                </c:pt>
                <c:pt idx="68">
                  <c:v>36.596200000000003</c:v>
                </c:pt>
                <c:pt idx="69">
                  <c:v>36.191099999999999</c:v>
                </c:pt>
                <c:pt idx="70">
                  <c:v>35.740699999999997</c:v>
                </c:pt>
                <c:pt idx="71">
                  <c:v>35.431200000000004</c:v>
                </c:pt>
                <c:pt idx="72">
                  <c:v>34.873699999999999</c:v>
                </c:pt>
                <c:pt idx="73">
                  <c:v>34.580599999999997</c:v>
                </c:pt>
                <c:pt idx="74">
                  <c:v>34.098800000000004</c:v>
                </c:pt>
                <c:pt idx="75">
                  <c:v>33.701999999999998</c:v>
                </c:pt>
                <c:pt idx="76">
                  <c:v>33.307700000000004</c:v>
                </c:pt>
                <c:pt idx="77">
                  <c:v>32.933</c:v>
                </c:pt>
                <c:pt idx="78">
                  <c:v>32.522800000000004</c:v>
                </c:pt>
                <c:pt idx="79">
                  <c:v>32.040800000000004</c:v>
                </c:pt>
                <c:pt idx="80">
                  <c:v>31.5457</c:v>
                </c:pt>
                <c:pt idx="81">
                  <c:v>31.055</c:v>
                </c:pt>
                <c:pt idx="82">
                  <c:v>30.642500000000002</c:v>
                </c:pt>
                <c:pt idx="83">
                  <c:v>30.2529</c:v>
                </c:pt>
                <c:pt idx="84">
                  <c:v>29.817900000000002</c:v>
                </c:pt>
                <c:pt idx="85">
                  <c:v>29.408800000000003</c:v>
                </c:pt>
                <c:pt idx="86">
                  <c:v>29.035499999999999</c:v>
                </c:pt>
                <c:pt idx="87">
                  <c:v>28.693200000000001</c:v>
                </c:pt>
                <c:pt idx="88">
                  <c:v>28.307500000000001</c:v>
                </c:pt>
                <c:pt idx="89">
                  <c:v>27.999700000000001</c:v>
                </c:pt>
                <c:pt idx="90">
                  <c:v>27.757100000000001</c:v>
                </c:pt>
                <c:pt idx="91">
                  <c:v>27.539899999999999</c:v>
                </c:pt>
                <c:pt idx="92">
                  <c:v>27.481299999999997</c:v>
                </c:pt>
                <c:pt idx="93">
                  <c:v>27.508899999999997</c:v>
                </c:pt>
                <c:pt idx="94">
                  <c:v>27.6403</c:v>
                </c:pt>
                <c:pt idx="95">
                  <c:v>27.847100000000001</c:v>
                </c:pt>
                <c:pt idx="96">
                  <c:v>28.044400000000003</c:v>
                </c:pt>
                <c:pt idx="97">
                  <c:v>28.183200000000003</c:v>
                </c:pt>
                <c:pt idx="98">
                  <c:v>28.291300000000003</c:v>
                </c:pt>
                <c:pt idx="99">
                  <c:v>28.447600000000001</c:v>
                </c:pt>
                <c:pt idx="100">
                  <c:v>28.624699999999997</c:v>
                </c:pt>
                <c:pt idx="101">
                  <c:v>28.766500000000001</c:v>
                </c:pt>
                <c:pt idx="102">
                  <c:v>28.944300000000002</c:v>
                </c:pt>
                <c:pt idx="103">
                  <c:v>29.139799999999997</c:v>
                </c:pt>
                <c:pt idx="104">
                  <c:v>29.291699999999999</c:v>
                </c:pt>
                <c:pt idx="105">
                  <c:v>29.401699999999998</c:v>
                </c:pt>
                <c:pt idx="106">
                  <c:v>29.524499999999996</c:v>
                </c:pt>
                <c:pt idx="107">
                  <c:v>29.628900000000002</c:v>
                </c:pt>
                <c:pt idx="108">
                  <c:v>29.737599999999997</c:v>
                </c:pt>
                <c:pt idx="109">
                  <c:v>29.804199999999998</c:v>
                </c:pt>
                <c:pt idx="110">
                  <c:v>29.9145</c:v>
                </c:pt>
                <c:pt idx="111">
                  <c:v>30.062200000000001</c:v>
                </c:pt>
                <c:pt idx="112">
                  <c:v>30.1402</c:v>
                </c:pt>
                <c:pt idx="113">
                  <c:v>30.197800000000001</c:v>
                </c:pt>
                <c:pt idx="114">
                  <c:v>30.255900000000004</c:v>
                </c:pt>
                <c:pt idx="115">
                  <c:v>30.456100000000003</c:v>
                </c:pt>
                <c:pt idx="116">
                  <c:v>30.680499999999999</c:v>
                </c:pt>
                <c:pt idx="117">
                  <c:v>30.831299999999999</c:v>
                </c:pt>
                <c:pt idx="118">
                  <c:v>31.013300000000001</c:v>
                </c:pt>
                <c:pt idx="119">
                  <c:v>31.228899999999999</c:v>
                </c:pt>
                <c:pt idx="120">
                  <c:v>31.403700000000001</c:v>
                </c:pt>
                <c:pt idx="121">
                  <c:v>31.467600000000001</c:v>
                </c:pt>
                <c:pt idx="122">
                  <c:v>31.541799999999999</c:v>
                </c:pt>
                <c:pt idx="123">
                  <c:v>31.659399999999998</c:v>
                </c:pt>
                <c:pt idx="124">
                  <c:v>31.6647</c:v>
                </c:pt>
                <c:pt idx="125">
                  <c:v>31.676500000000001</c:v>
                </c:pt>
                <c:pt idx="126">
                  <c:v>31.695600000000002</c:v>
                </c:pt>
                <c:pt idx="127">
                  <c:v>31.675900000000002</c:v>
                </c:pt>
                <c:pt idx="128">
                  <c:v>31.682500000000001</c:v>
                </c:pt>
                <c:pt idx="129">
                  <c:v>31.736999999999998</c:v>
                </c:pt>
                <c:pt idx="130">
                  <c:v>31.8307</c:v>
                </c:pt>
                <c:pt idx="131">
                  <c:v>31.9133</c:v>
                </c:pt>
                <c:pt idx="132">
                  <c:v>31.988899999999997</c:v>
                </c:pt>
                <c:pt idx="133">
                  <c:v>32.057200000000002</c:v>
                </c:pt>
                <c:pt idx="134">
                  <c:v>32.238799999999998</c:v>
                </c:pt>
                <c:pt idx="135">
                  <c:v>32.367100000000001</c:v>
                </c:pt>
                <c:pt idx="136">
                  <c:v>32.461600000000004</c:v>
                </c:pt>
                <c:pt idx="137">
                  <c:v>32.684800000000003</c:v>
                </c:pt>
                <c:pt idx="138">
                  <c:v>32.971299999999999</c:v>
                </c:pt>
                <c:pt idx="139">
                  <c:v>33.301099999999998</c:v>
                </c:pt>
                <c:pt idx="140">
                  <c:v>33.414200000000001</c:v>
                </c:pt>
                <c:pt idx="141">
                  <c:v>33.470700000000001</c:v>
                </c:pt>
                <c:pt idx="142">
                  <c:v>33.607900000000001</c:v>
                </c:pt>
                <c:pt idx="143">
                  <c:v>33.612900000000003</c:v>
                </c:pt>
                <c:pt idx="144">
                  <c:v>33.393099999999997</c:v>
                </c:pt>
                <c:pt idx="145">
                  <c:v>33.148499999999999</c:v>
                </c:pt>
                <c:pt idx="146">
                  <c:v>33.403100000000002</c:v>
                </c:pt>
                <c:pt idx="147">
                  <c:v>33.903700000000001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2.22079</c:v>
                </c:pt>
                <c:pt idx="1">
                  <c:v>2.2955100000000002</c:v>
                </c:pt>
                <c:pt idx="2">
                  <c:v>2.3728799999999999</c:v>
                </c:pt>
                <c:pt idx="3">
                  <c:v>2.4516499999999999</c:v>
                </c:pt>
                <c:pt idx="4">
                  <c:v>2.5338799999999999</c:v>
                </c:pt>
                <c:pt idx="5">
                  <c:v>2.6192599999999997</c:v>
                </c:pt>
                <c:pt idx="6">
                  <c:v>2.70248</c:v>
                </c:pt>
                <c:pt idx="7">
                  <c:v>2.7824900000000001</c:v>
                </c:pt>
                <c:pt idx="8">
                  <c:v>2.8613200000000001</c:v>
                </c:pt>
                <c:pt idx="9">
                  <c:v>2.94394</c:v>
                </c:pt>
                <c:pt idx="10">
                  <c:v>3.02678</c:v>
                </c:pt>
                <c:pt idx="11">
                  <c:v>3.1094599999999999</c:v>
                </c:pt>
                <c:pt idx="12">
                  <c:v>3.1948400000000001</c:v>
                </c:pt>
                <c:pt idx="13">
                  <c:v>3.2812400000000004</c:v>
                </c:pt>
                <c:pt idx="14">
                  <c:v>3.3552200000000001</c:v>
                </c:pt>
                <c:pt idx="15">
                  <c:v>3.4249900000000002</c:v>
                </c:pt>
                <c:pt idx="16">
                  <c:v>3.4935999999999998</c:v>
                </c:pt>
                <c:pt idx="17">
                  <c:v>3.5563099999999999</c:v>
                </c:pt>
                <c:pt idx="18">
                  <c:v>3.6154299999999999</c:v>
                </c:pt>
                <c:pt idx="19">
                  <c:v>3.6761300000000001</c:v>
                </c:pt>
                <c:pt idx="20">
                  <c:v>3.7384499999999998</c:v>
                </c:pt>
                <c:pt idx="21">
                  <c:v>3.7962600000000002</c:v>
                </c:pt>
                <c:pt idx="22">
                  <c:v>3.8504</c:v>
                </c:pt>
                <c:pt idx="23">
                  <c:v>3.8989600000000002</c:v>
                </c:pt>
                <c:pt idx="24">
                  <c:v>3.9422099999999998</c:v>
                </c:pt>
                <c:pt idx="25">
                  <c:v>3.9779399999999998</c:v>
                </c:pt>
                <c:pt idx="26">
                  <c:v>4.0075500000000002</c:v>
                </c:pt>
                <c:pt idx="27">
                  <c:v>4.0327600000000006</c:v>
                </c:pt>
                <c:pt idx="28">
                  <c:v>4.0496400000000001</c:v>
                </c:pt>
                <c:pt idx="29">
                  <c:v>4.0584600000000002</c:v>
                </c:pt>
                <c:pt idx="30">
                  <c:v>4.0616099999999999</c:v>
                </c:pt>
                <c:pt idx="31">
                  <c:v>4.0618100000000004</c:v>
                </c:pt>
                <c:pt idx="32">
                  <c:v>4.0614099999999995</c:v>
                </c:pt>
                <c:pt idx="33">
                  <c:v>4.05802</c:v>
                </c:pt>
                <c:pt idx="34">
                  <c:v>4.0460600000000007</c:v>
                </c:pt>
                <c:pt idx="35">
                  <c:v>4.0273900000000005</c:v>
                </c:pt>
                <c:pt idx="36">
                  <c:v>4.0043899999999999</c:v>
                </c:pt>
                <c:pt idx="37">
                  <c:v>3.9718300000000002</c:v>
                </c:pt>
                <c:pt idx="38">
                  <c:v>3.9337400000000002</c:v>
                </c:pt>
                <c:pt idx="39">
                  <c:v>3.8957599999999997</c:v>
                </c:pt>
                <c:pt idx="40">
                  <c:v>3.8602799999999999</c:v>
                </c:pt>
                <c:pt idx="41">
                  <c:v>3.8262200000000002</c:v>
                </c:pt>
                <c:pt idx="42">
                  <c:v>3.7934000000000001</c:v>
                </c:pt>
                <c:pt idx="43">
                  <c:v>3.7611600000000003</c:v>
                </c:pt>
                <c:pt idx="44">
                  <c:v>3.7278199999999999</c:v>
                </c:pt>
                <c:pt idx="45">
                  <c:v>3.6908999999999996</c:v>
                </c:pt>
                <c:pt idx="46">
                  <c:v>3.6536600000000004</c:v>
                </c:pt>
                <c:pt idx="47">
                  <c:v>3.6145300000000002</c:v>
                </c:pt>
                <c:pt idx="48">
                  <c:v>3.5777700000000001</c:v>
                </c:pt>
                <c:pt idx="49">
                  <c:v>3.5445799999999998</c:v>
                </c:pt>
                <c:pt idx="50">
                  <c:v>3.5209800000000002</c:v>
                </c:pt>
                <c:pt idx="51">
                  <c:v>3.4944199999999999</c:v>
                </c:pt>
                <c:pt idx="52">
                  <c:v>3.4676900000000002</c:v>
                </c:pt>
                <c:pt idx="53">
                  <c:v>3.44584</c:v>
                </c:pt>
                <c:pt idx="54">
                  <c:v>3.4294599999999997</c:v>
                </c:pt>
                <c:pt idx="55">
                  <c:v>3.4135900000000001</c:v>
                </c:pt>
                <c:pt idx="56">
                  <c:v>3.4000000000000004</c:v>
                </c:pt>
                <c:pt idx="57">
                  <c:v>3.3858800000000002</c:v>
                </c:pt>
                <c:pt idx="58">
                  <c:v>3.3765400000000003</c:v>
                </c:pt>
                <c:pt idx="59">
                  <c:v>3.37568</c:v>
                </c:pt>
                <c:pt idx="60">
                  <c:v>3.3715299999999999</c:v>
                </c:pt>
                <c:pt idx="61">
                  <c:v>3.3755200000000003</c:v>
                </c:pt>
                <c:pt idx="62">
                  <c:v>3.3902799999999997</c:v>
                </c:pt>
                <c:pt idx="63">
                  <c:v>3.3960499999999998</c:v>
                </c:pt>
                <c:pt idx="64">
                  <c:v>3.4054600000000002</c:v>
                </c:pt>
                <c:pt idx="65">
                  <c:v>3.41323</c:v>
                </c:pt>
                <c:pt idx="66">
                  <c:v>3.4228999999999998</c:v>
                </c:pt>
                <c:pt idx="67">
                  <c:v>3.43919</c:v>
                </c:pt>
                <c:pt idx="68">
                  <c:v>3.4546700000000001</c:v>
                </c:pt>
                <c:pt idx="69">
                  <c:v>3.4708199999999998</c:v>
                </c:pt>
                <c:pt idx="70">
                  <c:v>3.4869400000000002</c:v>
                </c:pt>
                <c:pt idx="71">
                  <c:v>3.4993800000000004</c:v>
                </c:pt>
                <c:pt idx="72">
                  <c:v>3.5169199999999998</c:v>
                </c:pt>
                <c:pt idx="73">
                  <c:v>3.5306100000000002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53.555100000000003</c:v>
                </c:pt>
                <c:pt idx="1">
                  <c:v>52.590800000000002</c:v>
                </c:pt>
                <c:pt idx="2">
                  <c:v>51.531199999999998</c:v>
                </c:pt>
                <c:pt idx="3">
                  <c:v>50.400599999999997</c:v>
                </c:pt>
                <c:pt idx="4">
                  <c:v>49.002899999999997</c:v>
                </c:pt>
                <c:pt idx="5">
                  <c:v>47.527799999999999</c:v>
                </c:pt>
                <c:pt idx="6">
                  <c:v>46.278100000000002</c:v>
                </c:pt>
                <c:pt idx="7">
                  <c:v>45.352499999999999</c:v>
                </c:pt>
                <c:pt idx="8">
                  <c:v>44.569199999999995</c:v>
                </c:pt>
                <c:pt idx="9">
                  <c:v>43.568400000000004</c:v>
                </c:pt>
                <c:pt idx="10">
                  <c:v>42.424700000000001</c:v>
                </c:pt>
                <c:pt idx="11">
                  <c:v>41.241799999999998</c:v>
                </c:pt>
                <c:pt idx="12">
                  <c:v>39.806100000000001</c:v>
                </c:pt>
                <c:pt idx="13">
                  <c:v>38.336100000000002</c:v>
                </c:pt>
                <c:pt idx="14">
                  <c:v>37.148900000000005</c:v>
                </c:pt>
                <c:pt idx="15">
                  <c:v>36.149500000000003</c:v>
                </c:pt>
                <c:pt idx="16">
                  <c:v>35.406300000000002</c:v>
                </c:pt>
                <c:pt idx="17">
                  <c:v>34.809600000000003</c:v>
                </c:pt>
                <c:pt idx="18">
                  <c:v>34.372999999999998</c:v>
                </c:pt>
                <c:pt idx="19">
                  <c:v>33.928699999999999</c:v>
                </c:pt>
                <c:pt idx="20">
                  <c:v>33.3934</c:v>
                </c:pt>
                <c:pt idx="21">
                  <c:v>32.972099999999998</c:v>
                </c:pt>
                <c:pt idx="22">
                  <c:v>32.5608</c:v>
                </c:pt>
                <c:pt idx="23">
                  <c:v>32.316200000000002</c:v>
                </c:pt>
                <c:pt idx="24">
                  <c:v>32.157200000000003</c:v>
                </c:pt>
                <c:pt idx="25">
                  <c:v>32.1006</c:v>
                </c:pt>
                <c:pt idx="26">
                  <c:v>32.036799999999999</c:v>
                </c:pt>
                <c:pt idx="27">
                  <c:v>31.916099999999997</c:v>
                </c:pt>
                <c:pt idx="28">
                  <c:v>31.7942</c:v>
                </c:pt>
                <c:pt idx="29">
                  <c:v>31.668400000000002</c:v>
                </c:pt>
                <c:pt idx="30">
                  <c:v>31.521999999999998</c:v>
                </c:pt>
                <c:pt idx="31">
                  <c:v>31.3962</c:v>
                </c:pt>
                <c:pt idx="32">
                  <c:v>31.255800000000001</c:v>
                </c:pt>
                <c:pt idx="33">
                  <c:v>31.127300000000002</c:v>
                </c:pt>
                <c:pt idx="34">
                  <c:v>31.0183</c:v>
                </c:pt>
                <c:pt idx="35">
                  <c:v>30.862699999999997</c:v>
                </c:pt>
                <c:pt idx="36">
                  <c:v>30.704700000000003</c:v>
                </c:pt>
                <c:pt idx="37">
                  <c:v>30.612299999999998</c:v>
                </c:pt>
                <c:pt idx="38">
                  <c:v>30.688500000000001</c:v>
                </c:pt>
                <c:pt idx="39">
                  <c:v>30.970799999999997</c:v>
                </c:pt>
                <c:pt idx="40">
                  <c:v>31.341100000000001</c:v>
                </c:pt>
                <c:pt idx="41">
                  <c:v>31.685799999999997</c:v>
                </c:pt>
                <c:pt idx="42">
                  <c:v>31.977599999999999</c:v>
                </c:pt>
                <c:pt idx="43">
                  <c:v>32.210799999999999</c:v>
                </c:pt>
                <c:pt idx="44">
                  <c:v>32.486699999999999</c:v>
                </c:pt>
                <c:pt idx="45">
                  <c:v>32.918500000000002</c:v>
                </c:pt>
                <c:pt idx="46">
                  <c:v>33.42</c:v>
                </c:pt>
                <c:pt idx="47">
                  <c:v>34.0047</c:v>
                </c:pt>
                <c:pt idx="48">
                  <c:v>34.569899999999997</c:v>
                </c:pt>
                <c:pt idx="49">
                  <c:v>35.124300000000005</c:v>
                </c:pt>
                <c:pt idx="50">
                  <c:v>35.537199999999999</c:v>
                </c:pt>
                <c:pt idx="51">
                  <c:v>35.966099999999997</c:v>
                </c:pt>
                <c:pt idx="52">
                  <c:v>36.4589</c:v>
                </c:pt>
                <c:pt idx="53">
                  <c:v>36.801499999999997</c:v>
                </c:pt>
                <c:pt idx="54">
                  <c:v>37.054400000000001</c:v>
                </c:pt>
                <c:pt idx="55">
                  <c:v>37.3431</c:v>
                </c:pt>
                <c:pt idx="56">
                  <c:v>37.645400000000002</c:v>
                </c:pt>
                <c:pt idx="57">
                  <c:v>37.878499999999995</c:v>
                </c:pt>
                <c:pt idx="58">
                  <c:v>38.049399999999999</c:v>
                </c:pt>
                <c:pt idx="59">
                  <c:v>38.067799999999998</c:v>
                </c:pt>
                <c:pt idx="60">
                  <c:v>38.159100000000002</c:v>
                </c:pt>
                <c:pt idx="61">
                  <c:v>38.148700000000005</c:v>
                </c:pt>
                <c:pt idx="62">
                  <c:v>37.934200000000004</c:v>
                </c:pt>
                <c:pt idx="63">
                  <c:v>37.838699999999996</c:v>
                </c:pt>
                <c:pt idx="64">
                  <c:v>37.698700000000002</c:v>
                </c:pt>
                <c:pt idx="65">
                  <c:v>37.533000000000001</c:v>
                </c:pt>
                <c:pt idx="66">
                  <c:v>37.322699999999998</c:v>
                </c:pt>
                <c:pt idx="67">
                  <c:v>36.947899999999997</c:v>
                </c:pt>
                <c:pt idx="68">
                  <c:v>36.596200000000003</c:v>
                </c:pt>
                <c:pt idx="69">
                  <c:v>36.191099999999999</c:v>
                </c:pt>
                <c:pt idx="70">
                  <c:v>35.740699999999997</c:v>
                </c:pt>
                <c:pt idx="71">
                  <c:v>35.431200000000004</c:v>
                </c:pt>
                <c:pt idx="72">
                  <c:v>34.873699999999999</c:v>
                </c:pt>
                <c:pt idx="73">
                  <c:v>34.580599999999997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3.5306100000000002</c:v>
                </c:pt>
                <c:pt idx="1">
                  <c:v>3.5478900000000002</c:v>
                </c:pt>
                <c:pt idx="2">
                  <c:v>3.5623500000000003</c:v>
                </c:pt>
                <c:pt idx="3">
                  <c:v>3.5780499999999997</c:v>
                </c:pt>
                <c:pt idx="4">
                  <c:v>3.5937099999999997</c:v>
                </c:pt>
                <c:pt idx="5">
                  <c:v>3.6106799999999999</c:v>
                </c:pt>
                <c:pt idx="6">
                  <c:v>3.6272100000000003</c:v>
                </c:pt>
                <c:pt idx="7">
                  <c:v>3.6428400000000001</c:v>
                </c:pt>
                <c:pt idx="8">
                  <c:v>3.6572199999999997</c:v>
                </c:pt>
                <c:pt idx="9">
                  <c:v>3.6681300000000001</c:v>
                </c:pt>
                <c:pt idx="10">
                  <c:v>3.67896</c:v>
                </c:pt>
                <c:pt idx="11">
                  <c:v>3.69048</c:v>
                </c:pt>
                <c:pt idx="12">
                  <c:v>3.69956</c:v>
                </c:pt>
                <c:pt idx="13">
                  <c:v>3.7078600000000002</c:v>
                </c:pt>
                <c:pt idx="14">
                  <c:v>3.71549</c:v>
                </c:pt>
                <c:pt idx="15">
                  <c:v>3.72499</c:v>
                </c:pt>
                <c:pt idx="16">
                  <c:v>3.7378499999999999</c:v>
                </c:pt>
                <c:pt idx="17">
                  <c:v>3.7516100000000003</c:v>
                </c:pt>
                <c:pt idx="18">
                  <c:v>3.7640000000000002</c:v>
                </c:pt>
                <c:pt idx="19">
                  <c:v>3.7743500000000001</c:v>
                </c:pt>
                <c:pt idx="20">
                  <c:v>3.7811299999999997</c:v>
                </c:pt>
                <c:pt idx="21">
                  <c:v>3.7834600000000003</c:v>
                </c:pt>
                <c:pt idx="22">
                  <c:v>3.7856099999999997</c:v>
                </c:pt>
                <c:pt idx="23">
                  <c:v>3.7913599999999996</c:v>
                </c:pt>
                <c:pt idx="24">
                  <c:v>3.79705</c:v>
                </c:pt>
                <c:pt idx="25">
                  <c:v>3.8023400000000001</c:v>
                </c:pt>
                <c:pt idx="26">
                  <c:v>3.8053999999999997</c:v>
                </c:pt>
                <c:pt idx="27">
                  <c:v>3.8078499999999997</c:v>
                </c:pt>
                <c:pt idx="28">
                  <c:v>3.8125300000000002</c:v>
                </c:pt>
                <c:pt idx="29">
                  <c:v>3.81515</c:v>
                </c:pt>
                <c:pt idx="30">
                  <c:v>3.8171200000000001</c:v>
                </c:pt>
                <c:pt idx="31">
                  <c:v>3.8187199999999999</c:v>
                </c:pt>
                <c:pt idx="32">
                  <c:v>3.8229800000000003</c:v>
                </c:pt>
                <c:pt idx="33">
                  <c:v>3.8269199999999999</c:v>
                </c:pt>
                <c:pt idx="34">
                  <c:v>3.82884</c:v>
                </c:pt>
                <c:pt idx="35">
                  <c:v>3.82789</c:v>
                </c:pt>
                <c:pt idx="36">
                  <c:v>3.8270900000000001</c:v>
                </c:pt>
                <c:pt idx="37">
                  <c:v>3.82599</c:v>
                </c:pt>
                <c:pt idx="38">
                  <c:v>3.8244299999999996</c:v>
                </c:pt>
                <c:pt idx="39">
                  <c:v>3.8243899999999997</c:v>
                </c:pt>
                <c:pt idx="40">
                  <c:v>3.8277800000000002</c:v>
                </c:pt>
                <c:pt idx="41">
                  <c:v>3.8313100000000002</c:v>
                </c:pt>
                <c:pt idx="42">
                  <c:v>3.8331999999999997</c:v>
                </c:pt>
                <c:pt idx="43">
                  <c:v>3.8348300000000002</c:v>
                </c:pt>
                <c:pt idx="44">
                  <c:v>3.8390300000000002</c:v>
                </c:pt>
                <c:pt idx="45">
                  <c:v>3.8445800000000001</c:v>
                </c:pt>
                <c:pt idx="46">
                  <c:v>3.8506499999999999</c:v>
                </c:pt>
                <c:pt idx="47">
                  <c:v>3.8586</c:v>
                </c:pt>
                <c:pt idx="48">
                  <c:v>3.8701699999999999</c:v>
                </c:pt>
                <c:pt idx="49">
                  <c:v>3.8829099999999999</c:v>
                </c:pt>
                <c:pt idx="50">
                  <c:v>3.89364</c:v>
                </c:pt>
                <c:pt idx="51">
                  <c:v>3.8993499999999996</c:v>
                </c:pt>
                <c:pt idx="52">
                  <c:v>3.9040900000000001</c:v>
                </c:pt>
                <c:pt idx="53">
                  <c:v>3.9070800000000001</c:v>
                </c:pt>
                <c:pt idx="54">
                  <c:v>3.91133</c:v>
                </c:pt>
                <c:pt idx="55">
                  <c:v>3.91439</c:v>
                </c:pt>
                <c:pt idx="56">
                  <c:v>3.9175500000000003</c:v>
                </c:pt>
                <c:pt idx="57">
                  <c:v>3.9195200000000003</c:v>
                </c:pt>
                <c:pt idx="58">
                  <c:v>3.92361</c:v>
                </c:pt>
                <c:pt idx="59">
                  <c:v>3.9326499999999998</c:v>
                </c:pt>
                <c:pt idx="60">
                  <c:v>3.9434000000000005</c:v>
                </c:pt>
                <c:pt idx="61">
                  <c:v>3.9528000000000003</c:v>
                </c:pt>
                <c:pt idx="62">
                  <c:v>3.96428</c:v>
                </c:pt>
                <c:pt idx="63">
                  <c:v>3.97682</c:v>
                </c:pt>
                <c:pt idx="64">
                  <c:v>3.98759</c:v>
                </c:pt>
                <c:pt idx="65">
                  <c:v>3.99254</c:v>
                </c:pt>
                <c:pt idx="66">
                  <c:v>3.9991300000000001</c:v>
                </c:pt>
                <c:pt idx="67">
                  <c:v>4.00861</c:v>
                </c:pt>
                <c:pt idx="68">
                  <c:v>4.0190299999999999</c:v>
                </c:pt>
                <c:pt idx="69">
                  <c:v>4.0256400000000001</c:v>
                </c:pt>
                <c:pt idx="70">
                  <c:v>4.0328400000000002</c:v>
                </c:pt>
                <c:pt idx="71">
                  <c:v>4.0498799999999999</c:v>
                </c:pt>
                <c:pt idx="72">
                  <c:v>4.0660499999999997</c:v>
                </c:pt>
                <c:pt idx="73">
                  <c:v>4.0617599999999996</c:v>
                </c:pt>
                <c:pt idx="74">
                  <c:v>4.0329100000000002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34.580599999999997</c:v>
                </c:pt>
                <c:pt idx="1">
                  <c:v>34.098800000000004</c:v>
                </c:pt>
                <c:pt idx="2">
                  <c:v>33.701999999999998</c:v>
                </c:pt>
                <c:pt idx="3">
                  <c:v>33.307700000000004</c:v>
                </c:pt>
                <c:pt idx="4">
                  <c:v>32.933</c:v>
                </c:pt>
                <c:pt idx="5">
                  <c:v>32.522800000000004</c:v>
                </c:pt>
                <c:pt idx="6">
                  <c:v>32.040800000000004</c:v>
                </c:pt>
                <c:pt idx="7">
                  <c:v>31.5457</c:v>
                </c:pt>
                <c:pt idx="8">
                  <c:v>31.055</c:v>
                </c:pt>
                <c:pt idx="9">
                  <c:v>30.642500000000002</c:v>
                </c:pt>
                <c:pt idx="10">
                  <c:v>30.2529</c:v>
                </c:pt>
                <c:pt idx="11">
                  <c:v>29.817900000000002</c:v>
                </c:pt>
                <c:pt idx="12">
                  <c:v>29.408800000000003</c:v>
                </c:pt>
                <c:pt idx="13">
                  <c:v>29.035499999999999</c:v>
                </c:pt>
                <c:pt idx="14">
                  <c:v>28.693200000000001</c:v>
                </c:pt>
                <c:pt idx="15">
                  <c:v>28.307500000000001</c:v>
                </c:pt>
                <c:pt idx="16">
                  <c:v>27.999700000000001</c:v>
                </c:pt>
                <c:pt idx="17">
                  <c:v>27.757100000000001</c:v>
                </c:pt>
                <c:pt idx="18">
                  <c:v>27.539899999999999</c:v>
                </c:pt>
                <c:pt idx="19">
                  <c:v>27.481299999999997</c:v>
                </c:pt>
                <c:pt idx="20">
                  <c:v>27.508899999999997</c:v>
                </c:pt>
                <c:pt idx="21">
                  <c:v>27.6403</c:v>
                </c:pt>
                <c:pt idx="22">
                  <c:v>27.847100000000001</c:v>
                </c:pt>
                <c:pt idx="23">
                  <c:v>28.044400000000003</c:v>
                </c:pt>
                <c:pt idx="24">
                  <c:v>28.183200000000003</c:v>
                </c:pt>
                <c:pt idx="25">
                  <c:v>28.291300000000003</c:v>
                </c:pt>
                <c:pt idx="26">
                  <c:v>28.447600000000001</c:v>
                </c:pt>
                <c:pt idx="27">
                  <c:v>28.624699999999997</c:v>
                </c:pt>
                <c:pt idx="28">
                  <c:v>28.766500000000001</c:v>
                </c:pt>
                <c:pt idx="29">
                  <c:v>28.944300000000002</c:v>
                </c:pt>
                <c:pt idx="30">
                  <c:v>29.139799999999997</c:v>
                </c:pt>
                <c:pt idx="31">
                  <c:v>29.291699999999999</c:v>
                </c:pt>
                <c:pt idx="32">
                  <c:v>29.401699999999998</c:v>
                </c:pt>
                <c:pt idx="33">
                  <c:v>29.524499999999996</c:v>
                </c:pt>
                <c:pt idx="34">
                  <c:v>29.628900000000002</c:v>
                </c:pt>
                <c:pt idx="35">
                  <c:v>29.737599999999997</c:v>
                </c:pt>
                <c:pt idx="36">
                  <c:v>29.804199999999998</c:v>
                </c:pt>
                <c:pt idx="37">
                  <c:v>29.9145</c:v>
                </c:pt>
                <c:pt idx="38">
                  <c:v>30.062200000000001</c:v>
                </c:pt>
                <c:pt idx="39">
                  <c:v>30.1402</c:v>
                </c:pt>
                <c:pt idx="40">
                  <c:v>30.197800000000001</c:v>
                </c:pt>
                <c:pt idx="41">
                  <c:v>30.255900000000004</c:v>
                </c:pt>
                <c:pt idx="42">
                  <c:v>30.456100000000003</c:v>
                </c:pt>
                <c:pt idx="43">
                  <c:v>30.680499999999999</c:v>
                </c:pt>
                <c:pt idx="44">
                  <c:v>30.831299999999999</c:v>
                </c:pt>
                <c:pt idx="45">
                  <c:v>31.013300000000001</c:v>
                </c:pt>
                <c:pt idx="46">
                  <c:v>31.228899999999999</c:v>
                </c:pt>
                <c:pt idx="47">
                  <c:v>31.403700000000001</c:v>
                </c:pt>
                <c:pt idx="48">
                  <c:v>31.467600000000001</c:v>
                </c:pt>
                <c:pt idx="49">
                  <c:v>31.541799999999999</c:v>
                </c:pt>
                <c:pt idx="50">
                  <c:v>31.659399999999998</c:v>
                </c:pt>
                <c:pt idx="51">
                  <c:v>31.6647</c:v>
                </c:pt>
                <c:pt idx="52">
                  <c:v>31.676500000000001</c:v>
                </c:pt>
                <c:pt idx="53">
                  <c:v>31.695600000000002</c:v>
                </c:pt>
                <c:pt idx="54">
                  <c:v>31.675900000000002</c:v>
                </c:pt>
                <c:pt idx="55">
                  <c:v>31.682500000000001</c:v>
                </c:pt>
                <c:pt idx="56">
                  <c:v>31.736999999999998</c:v>
                </c:pt>
                <c:pt idx="57">
                  <c:v>31.8307</c:v>
                </c:pt>
                <c:pt idx="58">
                  <c:v>31.9133</c:v>
                </c:pt>
                <c:pt idx="59">
                  <c:v>31.988899999999997</c:v>
                </c:pt>
                <c:pt idx="60">
                  <c:v>32.057200000000002</c:v>
                </c:pt>
                <c:pt idx="61">
                  <c:v>32.238799999999998</c:v>
                </c:pt>
                <c:pt idx="62">
                  <c:v>32.367100000000001</c:v>
                </c:pt>
                <c:pt idx="63">
                  <c:v>32.461600000000004</c:v>
                </c:pt>
                <c:pt idx="64">
                  <c:v>32.684800000000003</c:v>
                </c:pt>
                <c:pt idx="65">
                  <c:v>32.971299999999999</c:v>
                </c:pt>
                <c:pt idx="66">
                  <c:v>33.301099999999998</c:v>
                </c:pt>
                <c:pt idx="67">
                  <c:v>33.414200000000001</c:v>
                </c:pt>
                <c:pt idx="68">
                  <c:v>33.470700000000001</c:v>
                </c:pt>
                <c:pt idx="69">
                  <c:v>33.607900000000001</c:v>
                </c:pt>
                <c:pt idx="70">
                  <c:v>33.612900000000003</c:v>
                </c:pt>
                <c:pt idx="71">
                  <c:v>33.393099999999997</c:v>
                </c:pt>
                <c:pt idx="72">
                  <c:v>33.148499999999999</c:v>
                </c:pt>
                <c:pt idx="73">
                  <c:v>33.403100000000002</c:v>
                </c:pt>
                <c:pt idx="74">
                  <c:v>33.903700000000001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2.22079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53.555100000000003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3.4936047297297304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36.575863513513504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3.8333652702702699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30.807068918918922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3.8333652702702699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30.807068918918922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7" t="s">
        <v>514</v>
      </c>
      <c r="D5" s="191"/>
      <c r="E5" s="191"/>
      <c r="F5" s="192"/>
      <c r="G5" s="48" t="str">
        <f>lang!B27</f>
        <v>编号</v>
      </c>
      <c r="H5" s="190">
        <v>23</v>
      </c>
      <c r="I5" s="191"/>
      <c r="J5" s="191"/>
      <c r="K5" s="193"/>
    </row>
    <row r="6" spans="2:21" ht="17.25" customHeight="1">
      <c r="B6" s="46" t="str">
        <f>lang!B25</f>
        <v>性别</v>
      </c>
      <c r="C6" s="144"/>
      <c r="D6" s="145"/>
      <c r="E6" s="145"/>
      <c r="F6" s="146"/>
      <c r="G6" s="49" t="str">
        <f>lang!B28</f>
        <v xml:space="preserve"> 日期</v>
      </c>
      <c r="H6" s="129">
        <f>FH_info!A2</f>
        <v>43615.683217592596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/>
      <c r="D7" s="148"/>
      <c r="E7" s="148"/>
      <c r="F7" s="149"/>
      <c r="G7" s="50" t="str">
        <f>lang!B29</f>
        <v>误差率（%）</v>
      </c>
      <c r="H7" s="132">
        <f>M!B17*1</f>
        <v>21.8428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49.550800000000002</v>
      </c>
      <c r="O8" s="59">
        <f>M!C5*1</f>
        <v>10.6343</v>
      </c>
      <c r="P8" s="59">
        <f>M!D5*1</f>
        <v>21.461400000000001</v>
      </c>
      <c r="Q8" s="59">
        <f>M!E5*1</f>
        <v>20</v>
      </c>
      <c r="R8" s="59">
        <f>M!F5*1</f>
        <v>14.1546</v>
      </c>
      <c r="S8" s="59">
        <f>M!G5*1</f>
        <v>50</v>
      </c>
      <c r="T8" s="59">
        <f>M!H5*1</f>
        <v>57.949100000000001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34.753900000000002</v>
      </c>
      <c r="O9" s="59">
        <f>M!C6*1</f>
        <v>7.94787</v>
      </c>
      <c r="P9" s="59">
        <f>M!D6*1</f>
        <v>22.869</v>
      </c>
      <c r="Q9" s="59">
        <f>M!E6*1</f>
        <v>20</v>
      </c>
      <c r="R9" s="59">
        <f>M!F6*1</f>
        <v>21.5336</v>
      </c>
      <c r="S9" s="59">
        <f>M!G6*1</f>
        <v>40</v>
      </c>
      <c r="T9" s="59">
        <f>M!H6*1</f>
        <v>43.141199999999998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14.1546</v>
      </c>
      <c r="D10" s="99">
        <f>N8</f>
        <v>49.550800000000002</v>
      </c>
      <c r="E10" s="100">
        <f>T8</f>
        <v>57.949100000000001</v>
      </c>
      <c r="F10" s="91">
        <f>P8</f>
        <v>21.461400000000001</v>
      </c>
      <c r="G10" s="81" t="str">
        <f>CONCATENATE(M9,"
(20 ~ 40)")</f>
        <v>压力
(20 ~ 40)</v>
      </c>
      <c r="H10" s="98">
        <f>R9</f>
        <v>21.5336</v>
      </c>
      <c r="I10" s="108">
        <f>N9</f>
        <v>34.753900000000002</v>
      </c>
      <c r="J10" s="98">
        <f>T9</f>
        <v>43.141199999999998</v>
      </c>
      <c r="K10" s="92">
        <f>P9</f>
        <v>22.869</v>
      </c>
      <c r="L10" s="6"/>
      <c r="M10" s="27" t="str">
        <f>lang!B16</f>
        <v>焦虑</v>
      </c>
      <c r="N10" s="59">
        <f>M!B7*1</f>
        <v>24.229800000000001</v>
      </c>
      <c r="O10" s="59">
        <f>M!C7*1</f>
        <v>6.1753200000000001</v>
      </c>
      <c r="P10" s="59">
        <f>M!D7*1</f>
        <v>25.486499999999999</v>
      </c>
      <c r="Q10" s="59">
        <f>M!E7*1</f>
        <v>15</v>
      </c>
      <c r="R10" s="59">
        <f>M!F7*1</f>
        <v>2.30017</v>
      </c>
      <c r="S10" s="59">
        <f>M!G7*1</f>
        <v>40</v>
      </c>
      <c r="T10" s="59">
        <f>M!H7*1</f>
        <v>35.877400000000002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2.30017</v>
      </c>
      <c r="D11" s="102">
        <f>N10</f>
        <v>24.229800000000001</v>
      </c>
      <c r="E11" s="103">
        <f>T10</f>
        <v>35.877400000000002</v>
      </c>
      <c r="F11" s="94">
        <f>P10</f>
        <v>25.486499999999999</v>
      </c>
      <c r="G11" s="52" t="str">
        <f>CONCATENATE(M11,"
(20 ~ 50)")</f>
        <v>可疑
(20 ~ 50)</v>
      </c>
      <c r="H11" s="101">
        <f>R11</f>
        <v>20.311699999999998</v>
      </c>
      <c r="I11" s="104">
        <f>N11</f>
        <v>32.1509</v>
      </c>
      <c r="J11" s="101">
        <f>T11</f>
        <v>42.529299999999999</v>
      </c>
      <c r="K11" s="95">
        <f>P11</f>
        <v>16.909400000000002</v>
      </c>
      <c r="L11" s="4"/>
      <c r="M11" s="27" t="str">
        <f>lang!B17</f>
        <v>可疑</v>
      </c>
      <c r="N11" s="59">
        <f>M!B8*1</f>
        <v>32.1509</v>
      </c>
      <c r="O11" s="59">
        <f>M!C8*1</f>
        <v>5.4365399999999999</v>
      </c>
      <c r="P11" s="59">
        <f>M!D8*1</f>
        <v>16.909400000000002</v>
      </c>
      <c r="Q11" s="59">
        <f>M!E8*1</f>
        <v>20</v>
      </c>
      <c r="R11" s="59">
        <f>M!F8*1</f>
        <v>20.311699999999998</v>
      </c>
      <c r="S11" s="59">
        <f>M!G8*1</f>
        <v>50</v>
      </c>
      <c r="T11" s="59">
        <f>M!H8*1</f>
        <v>42.529299999999999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48.127299999999998</v>
      </c>
      <c r="D12" s="104">
        <f>N12</f>
        <v>56.553600000000003</v>
      </c>
      <c r="E12" s="101">
        <f>T12</f>
        <v>68.934200000000004</v>
      </c>
      <c r="F12" s="93">
        <f>P12</f>
        <v>7.21028</v>
      </c>
      <c r="G12" s="52" t="str">
        <f>CONCATENATE(M13,"
(40 ~ 100)")</f>
        <v>自信
(40 ~ 100)</v>
      </c>
      <c r="H12" s="101">
        <f>R13</f>
        <v>52.876899999999999</v>
      </c>
      <c r="I12" s="104">
        <f>N13</f>
        <v>65.512</v>
      </c>
      <c r="J12" s="101">
        <f>T13</f>
        <v>85.137900000000002</v>
      </c>
      <c r="K12" s="95">
        <f>P13</f>
        <v>18.3508</v>
      </c>
      <c r="L12" s="4"/>
      <c r="M12" s="27" t="str">
        <f>lang!B18</f>
        <v>平衡</v>
      </c>
      <c r="N12" s="59">
        <f>M!B9*1</f>
        <v>56.553600000000003</v>
      </c>
      <c r="O12" s="59">
        <f>M!C9*1</f>
        <v>4.0776700000000003</v>
      </c>
      <c r="P12" s="59">
        <f>M!D9*1</f>
        <v>7.21028</v>
      </c>
      <c r="Q12" s="59">
        <f>M!E9*1</f>
        <v>50</v>
      </c>
      <c r="R12" s="59">
        <f>M!F9*1</f>
        <v>48.127299999999998</v>
      </c>
      <c r="S12" s="59">
        <f>M!G9*1</f>
        <v>100</v>
      </c>
      <c r="T12" s="59">
        <f>M!H9*1</f>
        <v>68.934200000000004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7.8896800000000002</v>
      </c>
      <c r="D13" s="102">
        <f>N14</f>
        <v>23.4161</v>
      </c>
      <c r="E13" s="103">
        <f>T14</f>
        <v>29.926400000000001</v>
      </c>
      <c r="F13" s="94">
        <f>P14</f>
        <v>19.0929</v>
      </c>
      <c r="G13" s="52" t="str">
        <f>CONCATENATE(M15,"
(50 ~ 100)")</f>
        <v>自我调节
(50 ~ 100)</v>
      </c>
      <c r="H13" s="101">
        <f>R15</f>
        <v>50.7102</v>
      </c>
      <c r="I13" s="104">
        <f>N15</f>
        <v>61.893500000000003</v>
      </c>
      <c r="J13" s="101">
        <f>T15</f>
        <v>74.069199999999995</v>
      </c>
      <c r="K13" s="95">
        <f>P15</f>
        <v>10.843</v>
      </c>
      <c r="L13" s="4"/>
      <c r="M13" s="27" t="str">
        <f>lang!B19</f>
        <v>自信</v>
      </c>
      <c r="N13" s="59">
        <f>M!B10*1</f>
        <v>65.512</v>
      </c>
      <c r="O13" s="59">
        <f>M!C10*1</f>
        <v>12.022</v>
      </c>
      <c r="P13" s="59">
        <f>M!D10*1</f>
        <v>18.3508</v>
      </c>
      <c r="Q13" s="59">
        <f>M!E10*1</f>
        <v>40</v>
      </c>
      <c r="R13" s="59">
        <f>M!F10*1</f>
        <v>52.876899999999999</v>
      </c>
      <c r="S13" s="59">
        <f>M!G10*1</f>
        <v>100</v>
      </c>
      <c r="T13" s="59">
        <f>M!H10*1</f>
        <v>85.137900000000002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11.98</v>
      </c>
      <c r="D14" s="106">
        <f>N16</f>
        <v>14.679</v>
      </c>
      <c r="E14" s="107">
        <f>T16</f>
        <v>37.938299999999998</v>
      </c>
      <c r="F14" s="96">
        <f>P16</f>
        <v>25.2056</v>
      </c>
      <c r="G14" s="112" t="str">
        <f>CONCATENATE(M17,"
(10 ~ 50)")</f>
        <v>神经质
(10 ~ 50)</v>
      </c>
      <c r="H14" s="105">
        <f>R17</f>
        <v>0.109643</v>
      </c>
      <c r="I14" s="106">
        <f>N17</f>
        <v>36.999299999999998</v>
      </c>
      <c r="J14" s="107">
        <f>T17</f>
        <v>75.294600000000003</v>
      </c>
      <c r="K14" s="97">
        <f>P17</f>
        <v>50.998800000000003</v>
      </c>
      <c r="M14" s="27" t="str">
        <f>lang!B20</f>
        <v>活力</v>
      </c>
      <c r="N14" s="59">
        <f>M!B11*1</f>
        <v>23.4161</v>
      </c>
      <c r="O14" s="59">
        <f>M!C11*1</f>
        <v>4.4707999999999997</v>
      </c>
      <c r="P14" s="59">
        <f>M!D11*1</f>
        <v>19.0929</v>
      </c>
      <c r="Q14" s="59">
        <f>M!E11*1</f>
        <v>10</v>
      </c>
      <c r="R14" s="59">
        <f>M!F11*1</f>
        <v>7.8896800000000002</v>
      </c>
      <c r="S14" s="59">
        <f>M!G11*1</f>
        <v>50</v>
      </c>
      <c r="T14" s="59">
        <f>M!H11*1</f>
        <v>29.926400000000001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61.893500000000003</v>
      </c>
      <c r="O15" s="59">
        <f>M!C12*1</f>
        <v>6.7111200000000002</v>
      </c>
      <c r="P15" s="59">
        <f>M!D12*1</f>
        <v>10.843</v>
      </c>
      <c r="Q15" s="59">
        <f>M!E12*1</f>
        <v>50</v>
      </c>
      <c r="R15" s="59">
        <f>M!F12*1</f>
        <v>50.7102</v>
      </c>
      <c r="S15" s="59">
        <f>M!G12*1</f>
        <v>100</v>
      </c>
      <c r="T15" s="59">
        <f>M!H12*1</f>
        <v>74.069199999999995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14.679</v>
      </c>
      <c r="O16" s="59">
        <f>M!C13*1</f>
        <v>3.6999300000000002</v>
      </c>
      <c r="P16" s="59">
        <f>M!D13*1</f>
        <v>25.2056</v>
      </c>
      <c r="Q16" s="59">
        <f>M!E13*1</f>
        <v>10</v>
      </c>
      <c r="R16" s="59">
        <f>M!F13*1</f>
        <v>11.98</v>
      </c>
      <c r="S16" s="59">
        <f>M!G13*1</f>
        <v>25</v>
      </c>
      <c r="T16" s="59">
        <f>M!H13*1</f>
        <v>37.938299999999998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36.999299999999998</v>
      </c>
      <c r="O17" s="59">
        <f>M!C14*1</f>
        <v>18.869199999999999</v>
      </c>
      <c r="P17" s="59">
        <f>M!D14*1</f>
        <v>50.998800000000003</v>
      </c>
      <c r="Q17" s="59">
        <f>M!E14*1</f>
        <v>10</v>
      </c>
      <c r="R17" s="59">
        <f>M!F14*1</f>
        <v>0.109643</v>
      </c>
      <c r="S17" s="59">
        <f>M!G14*1</f>
        <v>50</v>
      </c>
      <c r="T17" s="59">
        <f>M!H14*1</f>
        <v>75.294600000000003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51.843800000000002</v>
      </c>
      <c r="O18" s="22">
        <f>N18/(N18+N19+N20)</f>
        <v>0.45938701493873069</v>
      </c>
      <c r="P18" s="65">
        <f>SUM(P12:P15)/4</f>
        <v>13.874245000000002</v>
      </c>
      <c r="Q18" s="22">
        <f>P18/(P18+P19+P20)</f>
        <v>0.18836027631478555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35.171349999999997</v>
      </c>
      <c r="O19" s="22">
        <f>N19/(N18+N19+N20)</f>
        <v>0.31165272391038706</v>
      </c>
      <c r="P19" s="18">
        <f>SUM(P8:P11)/4</f>
        <v>21.681575000000002</v>
      </c>
      <c r="Q19" s="22">
        <f>P19/(P18+P19+P20)</f>
        <v>0.29435457265889037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25.83915</v>
      </c>
      <c r="O20" s="22">
        <f>N20/(N18+N19+N20)</f>
        <v>0.22896026115088214</v>
      </c>
      <c r="P20" s="18">
        <f>(P16+P17)/2</f>
        <v>38.102200000000003</v>
      </c>
      <c r="Q20" s="22">
        <f>P20/(P18+P19+P20)</f>
        <v>0.51728515102632411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-9.1663999999999746E-2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1.7511667176734251</v>
      </c>
      <c r="D25" s="44" t="str">
        <f>lang!B11</f>
        <v>频率方差</v>
      </c>
      <c r="E25" s="182">
        <f ca="1">FH!L3</f>
        <v>0.69038932115840268</v>
      </c>
      <c r="F25" s="183"/>
      <c r="G25" s="174" t="str">
        <f>lang!B12</f>
        <v>生理变化率</v>
      </c>
      <c r="H25" s="175"/>
      <c r="I25" s="62" t="str">
        <f ca="1">CONCATENATE(info!M7,"-",info!M8)</f>
        <v>27.5-53.6</v>
      </c>
      <c r="J25" s="42" t="str">
        <f>lang!B13</f>
        <v>千卡l/分钟</v>
      </c>
      <c r="K25" s="41" t="str">
        <f ca="1">CONCATENATE(info!M5,"-",info!M6)</f>
        <v>2.2-4.1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41.6462</v>
      </c>
      <c r="F28" s="121"/>
      <c r="G28" s="135" t="str">
        <f>lang!B33</f>
        <v>稳定性</v>
      </c>
      <c r="H28" s="136"/>
      <c r="I28" s="137"/>
      <c r="J28" s="138">
        <f>M!B19*100</f>
        <v>64.382300000000001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43615.683217592596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13.868499999999997</v>
      </c>
      <c r="O7" s="59">
        <f t="shared" ref="O7:T7" si="2">AG7-X7</f>
        <v>-6.5646799999999992</v>
      </c>
      <c r="P7" s="59">
        <f t="shared" si="2"/>
        <v>-22.031899999999997</v>
      </c>
      <c r="Q7" s="59">
        <f t="shared" si="2"/>
        <v>0</v>
      </c>
      <c r="R7" s="59">
        <f t="shared" si="2"/>
        <v>19.952500000000001</v>
      </c>
      <c r="S7" s="59">
        <f t="shared" si="2"/>
        <v>0</v>
      </c>
      <c r="T7" s="59">
        <f t="shared" si="2"/>
        <v>-3.4356000000000009</v>
      </c>
      <c r="U7" s="14"/>
      <c r="V7" s="27" t="str">
        <f>M7</f>
        <v>攻击性</v>
      </c>
      <c r="W7" s="59">
        <f>'M1'!B5*1</f>
        <v>36.748100000000001</v>
      </c>
      <c r="X7" s="59">
        <f>'M1'!C5*1</f>
        <v>12.1549</v>
      </c>
      <c r="Y7" s="59">
        <f>'M1'!D5*1</f>
        <v>33.076099999999997</v>
      </c>
      <c r="Z7" s="59">
        <f>'M1'!E5*1</f>
        <v>20</v>
      </c>
      <c r="AA7" s="59">
        <f>'M1'!F5*1</f>
        <v>14.1546</v>
      </c>
      <c r="AB7" s="59">
        <f>'M1'!G5*1</f>
        <v>50</v>
      </c>
      <c r="AC7" s="59">
        <f>'M1'!H5*1</f>
        <v>57.949100000000001</v>
      </c>
      <c r="AE7" s="27" t="str">
        <f>V7</f>
        <v>攻击性</v>
      </c>
      <c r="AF7" s="59">
        <f>'M2'!B5*1</f>
        <v>50.616599999999998</v>
      </c>
      <c r="AG7" s="59">
        <f>'M2'!C5*1</f>
        <v>5.5902200000000004</v>
      </c>
      <c r="AH7" s="59">
        <f>'M2'!D5*1</f>
        <v>11.0442</v>
      </c>
      <c r="AI7" s="59">
        <f>'M2'!E5*1</f>
        <v>20</v>
      </c>
      <c r="AJ7" s="59">
        <f>'M2'!F5*1</f>
        <v>34.107100000000003</v>
      </c>
      <c r="AK7" s="59">
        <f>'M2'!G5*1</f>
        <v>50</v>
      </c>
      <c r="AL7" s="59">
        <f>'M2'!H5*1</f>
        <v>54.513500000000001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10.716300000000004</v>
      </c>
      <c r="O8" s="59">
        <f t="shared" ref="O8:O16" si="5">AG8-X8</f>
        <v>1.7504999999999997</v>
      </c>
      <c r="P8" s="59">
        <f t="shared" ref="P8:P16" si="6">AH8-Y8</f>
        <v>-0.63620000000000232</v>
      </c>
      <c r="Q8" s="59">
        <f t="shared" ref="Q8:Q16" si="7">AI8-Z8</f>
        <v>0</v>
      </c>
      <c r="R8" s="59">
        <f t="shared" ref="R8:R16" si="8">AJ8-AA8</f>
        <v>1.5855999999999995</v>
      </c>
      <c r="S8" s="59">
        <f t="shared" ref="S8:S16" si="9">AK8-AB8</f>
        <v>0</v>
      </c>
      <c r="T8" s="59">
        <f t="shared" ref="T8:T16" si="10">AL8-AC8</f>
        <v>6.8001999999999967</v>
      </c>
      <c r="U8" s="15"/>
      <c r="V8" s="27" t="str">
        <f t="shared" ref="V8:V16" si="11">M8</f>
        <v>压力</v>
      </c>
      <c r="W8" s="59">
        <f>'M1'!B6*1</f>
        <v>31.215299999999999</v>
      </c>
      <c r="X8" s="59">
        <f>'M1'!C6*1</f>
        <v>5.87601</v>
      </c>
      <c r="Y8" s="59">
        <f>'M1'!D6*1</f>
        <v>18.824200000000001</v>
      </c>
      <c r="Z8" s="59">
        <f>'M1'!E6*1</f>
        <v>20</v>
      </c>
      <c r="AA8" s="59">
        <f>'M1'!F6*1</f>
        <v>21.5336</v>
      </c>
      <c r="AB8" s="59">
        <f>'M1'!G6*1</f>
        <v>40</v>
      </c>
      <c r="AC8" s="59">
        <f>'M1'!H6*1</f>
        <v>36.341000000000001</v>
      </c>
      <c r="AE8" s="27" t="str">
        <f t="shared" ref="AE8:AE16" si="12">V8</f>
        <v>压力</v>
      </c>
      <c r="AF8" s="59">
        <f>'M2'!B6*1</f>
        <v>41.931600000000003</v>
      </c>
      <c r="AG8" s="59">
        <f>'M2'!C6*1</f>
        <v>7.6265099999999997</v>
      </c>
      <c r="AH8" s="59">
        <f>'M2'!D6*1</f>
        <v>18.187999999999999</v>
      </c>
      <c r="AI8" s="59">
        <f>'M2'!E6*1</f>
        <v>20</v>
      </c>
      <c r="AJ8" s="59">
        <f>'M2'!F6*1</f>
        <v>23.119199999999999</v>
      </c>
      <c r="AK8" s="59">
        <f>'M2'!G6*1</f>
        <v>40</v>
      </c>
      <c r="AL8" s="59">
        <f>'M2'!H6*1</f>
        <v>43.141199999999998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19.952500000000001</v>
      </c>
      <c r="D9" s="78">
        <f>N7</f>
        <v>13.868499999999997</v>
      </c>
      <c r="E9" s="79">
        <f>T7</f>
        <v>-3.4356000000000009</v>
      </c>
      <c r="F9" s="79">
        <f>P7</f>
        <v>-22.031899999999997</v>
      </c>
      <c r="G9" s="80" t="str">
        <f>CONCATENATE(M8,"
(20 ~ 40)")</f>
        <v>压力
(20 ~ 40)</v>
      </c>
      <c r="H9" s="77">
        <f>R8</f>
        <v>1.5855999999999995</v>
      </c>
      <c r="I9" s="81">
        <f>N8</f>
        <v>10.716300000000004</v>
      </c>
      <c r="J9" s="77">
        <f>T8</f>
        <v>6.8001999999999967</v>
      </c>
      <c r="K9" s="82">
        <f>P8</f>
        <v>-0.63620000000000232</v>
      </c>
      <c r="L9" s="6"/>
      <c r="M9" s="27" t="str">
        <f>lang!B16</f>
        <v>焦虑</v>
      </c>
      <c r="N9" s="59">
        <f t="shared" si="4"/>
        <v>1.7794000000000025</v>
      </c>
      <c r="O9" s="59">
        <f t="shared" si="5"/>
        <v>-3.8765700000000001</v>
      </c>
      <c r="P9" s="59">
        <f t="shared" si="6"/>
        <v>-18.1233</v>
      </c>
      <c r="Q9" s="59">
        <f t="shared" si="7"/>
        <v>0</v>
      </c>
      <c r="R9" s="59">
        <f t="shared" si="8"/>
        <v>15.43493</v>
      </c>
      <c r="S9" s="59">
        <f t="shared" si="9"/>
        <v>0</v>
      </c>
      <c r="T9" s="59">
        <f t="shared" si="10"/>
        <v>-0.70710000000000406</v>
      </c>
      <c r="U9" s="14"/>
      <c r="V9" s="27" t="str">
        <f t="shared" si="11"/>
        <v>焦虑</v>
      </c>
      <c r="W9" s="59">
        <f>'M1'!B7*1</f>
        <v>22.843399999999999</v>
      </c>
      <c r="X9" s="59">
        <f>'M1'!C7*1</f>
        <v>7.5216099999999999</v>
      </c>
      <c r="Y9" s="59">
        <f>'M1'!D7*1</f>
        <v>32.9268</v>
      </c>
      <c r="Z9" s="59">
        <f>'M1'!E7*1</f>
        <v>15</v>
      </c>
      <c r="AA9" s="59">
        <f>'M1'!F7*1</f>
        <v>2.30017</v>
      </c>
      <c r="AB9" s="59">
        <f>'M1'!G7*1</f>
        <v>40</v>
      </c>
      <c r="AC9" s="59">
        <f>'M1'!H7*1</f>
        <v>35.877400000000002</v>
      </c>
      <c r="AE9" s="27" t="str">
        <f t="shared" si="12"/>
        <v>焦虑</v>
      </c>
      <c r="AF9" s="59">
        <f>'M2'!B7*1</f>
        <v>24.622800000000002</v>
      </c>
      <c r="AG9" s="59">
        <f>'M2'!C7*1</f>
        <v>3.6450399999999998</v>
      </c>
      <c r="AH9" s="59">
        <f>'M2'!D7*1</f>
        <v>14.8035</v>
      </c>
      <c r="AI9" s="59">
        <f>'M2'!E7*1</f>
        <v>15</v>
      </c>
      <c r="AJ9" s="59">
        <f>'M2'!F7*1</f>
        <v>17.735099999999999</v>
      </c>
      <c r="AK9" s="59">
        <f>'M2'!G7*1</f>
        <v>40</v>
      </c>
      <c r="AL9" s="59">
        <f>'M2'!H7*1</f>
        <v>35.170299999999997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15.43493</v>
      </c>
      <c r="D10" s="51">
        <f>N9</f>
        <v>1.7794000000000025</v>
      </c>
      <c r="E10" s="53">
        <f>T9</f>
        <v>-0.70710000000000406</v>
      </c>
      <c r="F10" s="53">
        <f>P9</f>
        <v>-18.1233</v>
      </c>
      <c r="G10" s="73" t="str">
        <f>CONCATENATE(M10,"
(20 ~ 50)")</f>
        <v>可疑
(20 ~ 50)</v>
      </c>
      <c r="H10" s="24">
        <f>R10</f>
        <v>7.2765000000000022</v>
      </c>
      <c r="I10" s="52">
        <f>N10</f>
        <v>8.4615999999999971</v>
      </c>
      <c r="J10" s="24">
        <f>T10</f>
        <v>3.5754000000000019</v>
      </c>
      <c r="K10" s="25">
        <f>P10</f>
        <v>-2.7225000000000001</v>
      </c>
      <c r="L10" s="4"/>
      <c r="M10" s="27" t="str">
        <f>lang!B17</f>
        <v>可疑</v>
      </c>
      <c r="N10" s="59">
        <f t="shared" si="4"/>
        <v>8.4615999999999971</v>
      </c>
      <c r="O10" s="59">
        <f t="shared" si="5"/>
        <v>0.15068999999999999</v>
      </c>
      <c r="P10" s="59">
        <f t="shared" si="6"/>
        <v>-2.7225000000000001</v>
      </c>
      <c r="Q10" s="59">
        <f t="shared" si="7"/>
        <v>0</v>
      </c>
      <c r="R10" s="59">
        <f t="shared" si="8"/>
        <v>7.2765000000000022</v>
      </c>
      <c r="S10" s="59">
        <f t="shared" si="9"/>
        <v>0</v>
      </c>
      <c r="T10" s="59">
        <f t="shared" si="10"/>
        <v>3.5754000000000019</v>
      </c>
      <c r="U10" s="14"/>
      <c r="V10" s="27" t="str">
        <f t="shared" si="11"/>
        <v>可疑</v>
      </c>
      <c r="W10" s="59">
        <f>'M1'!B8*1</f>
        <v>29.540500000000002</v>
      </c>
      <c r="X10" s="59">
        <f>'M1'!C8*1</f>
        <v>4.1380100000000004</v>
      </c>
      <c r="Y10" s="59">
        <f>'M1'!D8*1</f>
        <v>14.007899999999999</v>
      </c>
      <c r="Z10" s="59">
        <f>'M1'!E8*1</f>
        <v>20</v>
      </c>
      <c r="AA10" s="59">
        <f>'M1'!F8*1</f>
        <v>20.311699999999998</v>
      </c>
      <c r="AB10" s="59">
        <f>'M1'!G8*1</f>
        <v>50</v>
      </c>
      <c r="AC10" s="59">
        <f>'M1'!H8*1</f>
        <v>38.953899999999997</v>
      </c>
      <c r="AE10" s="27" t="str">
        <f t="shared" si="12"/>
        <v>可疑</v>
      </c>
      <c r="AF10" s="59">
        <f>'M2'!B8*1</f>
        <v>38.002099999999999</v>
      </c>
      <c r="AG10" s="59">
        <f>'M2'!C8*1</f>
        <v>4.2887000000000004</v>
      </c>
      <c r="AH10" s="59">
        <f>'M2'!D8*1</f>
        <v>11.285399999999999</v>
      </c>
      <c r="AI10" s="59">
        <f>'M2'!E8*1</f>
        <v>20</v>
      </c>
      <c r="AJ10" s="59">
        <f>'M2'!F8*1</f>
        <v>27.588200000000001</v>
      </c>
      <c r="AK10" s="59">
        <f>'M2'!G8*1</f>
        <v>50</v>
      </c>
      <c r="AL10" s="59">
        <f>'M2'!H8*1</f>
        <v>42.529299999999999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-0.62519999999999953</v>
      </c>
      <c r="D11" s="52">
        <f>N11</f>
        <v>-0.86560000000000059</v>
      </c>
      <c r="E11" s="24">
        <f>T11</f>
        <v>-3.2754000000000048</v>
      </c>
      <c r="F11" s="24">
        <f>P11</f>
        <v>-0.34055000000000035</v>
      </c>
      <c r="G11" s="73" t="str">
        <f>CONCATENATE(M12,"
(40 ~ 100)")</f>
        <v>自信
(40 ~ 100)</v>
      </c>
      <c r="H11" s="24">
        <f>R12</f>
        <v>-0.88690000000000424</v>
      </c>
      <c r="I11" s="52">
        <f>N12</f>
        <v>-9.9204000000000008</v>
      </c>
      <c r="J11" s="24">
        <f>T12</f>
        <v>-0.51010000000000844</v>
      </c>
      <c r="K11" s="25">
        <f>P12</f>
        <v>5.5540999999999983</v>
      </c>
      <c r="L11" s="4"/>
      <c r="M11" s="27" t="str">
        <f>lang!B18</f>
        <v>平衡</v>
      </c>
      <c r="N11" s="59">
        <f t="shared" si="4"/>
        <v>-0.86560000000000059</v>
      </c>
      <c r="O11" s="59">
        <f t="shared" si="5"/>
        <v>-0.25253000000000014</v>
      </c>
      <c r="P11" s="59">
        <f t="shared" si="6"/>
        <v>-0.34055000000000035</v>
      </c>
      <c r="Q11" s="59">
        <f t="shared" si="7"/>
        <v>0</v>
      </c>
      <c r="R11" s="59">
        <f t="shared" si="8"/>
        <v>-0.62519999999999953</v>
      </c>
      <c r="S11" s="59">
        <f t="shared" si="9"/>
        <v>0</v>
      </c>
      <c r="T11" s="59">
        <f t="shared" si="10"/>
        <v>-3.2754000000000048</v>
      </c>
      <c r="U11" s="14"/>
      <c r="V11" s="27" t="str">
        <f t="shared" si="11"/>
        <v>平衡</v>
      </c>
      <c r="W11" s="59">
        <f>'M1'!B9*1</f>
        <v>56.753999999999998</v>
      </c>
      <c r="X11" s="59">
        <f>'M1'!C9*1</f>
        <v>4.0788500000000001</v>
      </c>
      <c r="Y11" s="59">
        <f>'M1'!D9*1</f>
        <v>7.1869100000000001</v>
      </c>
      <c r="Z11" s="59">
        <f>'M1'!E9*1</f>
        <v>50</v>
      </c>
      <c r="AA11" s="59">
        <f>'M1'!F9*1</f>
        <v>48.752499999999998</v>
      </c>
      <c r="AB11" s="59">
        <f>'M1'!G9*1</f>
        <v>100</v>
      </c>
      <c r="AC11" s="59">
        <f>'M1'!H9*1</f>
        <v>68.934200000000004</v>
      </c>
      <c r="AE11" s="27" t="str">
        <f t="shared" si="12"/>
        <v>平衡</v>
      </c>
      <c r="AF11" s="59">
        <f>'M2'!B9*1</f>
        <v>55.888399999999997</v>
      </c>
      <c r="AG11" s="59">
        <f>'M2'!C9*1</f>
        <v>3.8263199999999999</v>
      </c>
      <c r="AH11" s="59">
        <f>'M2'!D9*1</f>
        <v>6.8463599999999998</v>
      </c>
      <c r="AI11" s="59">
        <f>'M2'!E9*1</f>
        <v>50</v>
      </c>
      <c r="AJ11" s="59">
        <f>'M2'!F9*1</f>
        <v>48.127299999999998</v>
      </c>
      <c r="AK11" s="59">
        <f>'M2'!G9*1</f>
        <v>100</v>
      </c>
      <c r="AL11" s="59">
        <f>'M2'!H9*1</f>
        <v>65.658799999999999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13.173519999999998</v>
      </c>
      <c r="D12" s="51">
        <f>N13</f>
        <v>2.3546000000000014</v>
      </c>
      <c r="E12" s="53">
        <f>T13</f>
        <v>-2.4590999999999994</v>
      </c>
      <c r="F12" s="53">
        <f>P13</f>
        <v>-21.50029</v>
      </c>
      <c r="G12" s="73" t="str">
        <f>CONCATENATE(M14,"
(50 ~ 100)")</f>
        <v>自我调节
(50 ~ 100)</v>
      </c>
      <c r="H12" s="24">
        <f>R14</f>
        <v>-7.0705999999999989</v>
      </c>
      <c r="I12" s="52">
        <f>N14</f>
        <v>-7.5245000000000033</v>
      </c>
      <c r="J12" s="24">
        <f>T14</f>
        <v>0.98669999999999902</v>
      </c>
      <c r="K12" s="25">
        <f>P14</f>
        <v>6.5006800000000009</v>
      </c>
      <c r="L12" s="4"/>
      <c r="M12" s="27" t="str">
        <f>lang!B19</f>
        <v>自信</v>
      </c>
      <c r="N12" s="59">
        <f t="shared" si="4"/>
        <v>-9.9204000000000008</v>
      </c>
      <c r="O12" s="59">
        <f t="shared" si="5"/>
        <v>1.6346000000000007</v>
      </c>
      <c r="P12" s="59">
        <f t="shared" si="6"/>
        <v>5.5540999999999983</v>
      </c>
      <c r="Q12" s="59">
        <f t="shared" si="7"/>
        <v>0</v>
      </c>
      <c r="R12" s="59">
        <f t="shared" si="8"/>
        <v>-0.88690000000000424</v>
      </c>
      <c r="S12" s="59">
        <f t="shared" si="9"/>
        <v>0</v>
      </c>
      <c r="T12" s="59">
        <f t="shared" si="10"/>
        <v>-0.51010000000000844</v>
      </c>
      <c r="U12" s="15"/>
      <c r="V12" s="27" t="str">
        <f t="shared" si="11"/>
        <v>自信</v>
      </c>
      <c r="W12" s="59">
        <f>'M1'!B10*1</f>
        <v>67.113900000000001</v>
      </c>
      <c r="X12" s="59">
        <f>'M1'!C10*1</f>
        <v>10.4321</v>
      </c>
      <c r="Y12" s="59">
        <f>'M1'!D10*1</f>
        <v>15.543900000000001</v>
      </c>
      <c r="Z12" s="59">
        <f>'M1'!E10*1</f>
        <v>40</v>
      </c>
      <c r="AA12" s="59">
        <f>'M1'!F10*1</f>
        <v>53.763800000000003</v>
      </c>
      <c r="AB12" s="59">
        <f>'M1'!G10*1</f>
        <v>100</v>
      </c>
      <c r="AC12" s="59">
        <f>'M1'!H10*1</f>
        <v>85.137900000000002</v>
      </c>
      <c r="AE12" s="27" t="str">
        <f t="shared" si="12"/>
        <v>自信</v>
      </c>
      <c r="AF12" s="59">
        <f>'M2'!B10*1</f>
        <v>57.1935</v>
      </c>
      <c r="AG12" s="59">
        <f>'M2'!C10*1</f>
        <v>12.066700000000001</v>
      </c>
      <c r="AH12" s="59">
        <f>'M2'!D10*1</f>
        <v>21.097999999999999</v>
      </c>
      <c r="AI12" s="59">
        <f>'M2'!E10*1</f>
        <v>40</v>
      </c>
      <c r="AJ12" s="59">
        <f>'M2'!F10*1</f>
        <v>52.876899999999999</v>
      </c>
      <c r="AK12" s="59">
        <f>'M2'!G10*1</f>
        <v>100</v>
      </c>
      <c r="AL12" s="59">
        <f>'M2'!H10*1</f>
        <v>84.627799999999993</v>
      </c>
    </row>
    <row r="13" spans="2:38" ht="25.5" customHeight="1" thickBot="1">
      <c r="B13" s="72" t="str">
        <f>CONCATENATE(M15,"
(10 ~ 25)")</f>
        <v>抑郁
(10 ~ 25)</v>
      </c>
      <c r="C13" s="54">
        <f>R15</f>
        <v>-0.82399999999999984</v>
      </c>
      <c r="D13" s="55">
        <f>N15</f>
        <v>-0.51950000000000074</v>
      </c>
      <c r="E13" s="56">
        <f>T15</f>
        <v>-19.869399999999999</v>
      </c>
      <c r="F13" s="56">
        <f>P15</f>
        <v>-23.515819999999998</v>
      </c>
      <c r="G13" s="74" t="str">
        <f>CONCATENATE(M16,"
(10 ~ 50)")</f>
        <v>神经质
(10 ~ 50)</v>
      </c>
      <c r="H13" s="54">
        <f>R16</f>
        <v>2.3083369999999999</v>
      </c>
      <c r="I13" s="55">
        <f>N16</f>
        <v>-35.5242</v>
      </c>
      <c r="J13" s="56">
        <f>T16</f>
        <v>-26.063500000000005</v>
      </c>
      <c r="K13" s="57">
        <f>P16</f>
        <v>96.384599999999992</v>
      </c>
      <c r="M13" s="27" t="str">
        <f>lang!B20</f>
        <v>活力</v>
      </c>
      <c r="N13" s="59">
        <f t="shared" si="4"/>
        <v>2.3546000000000014</v>
      </c>
      <c r="O13" s="59">
        <f t="shared" si="5"/>
        <v>-4.4460699999999997</v>
      </c>
      <c r="P13" s="59">
        <f t="shared" si="6"/>
        <v>-21.50029</v>
      </c>
      <c r="Q13" s="59">
        <f t="shared" si="7"/>
        <v>0</v>
      </c>
      <c r="R13" s="59">
        <f t="shared" si="8"/>
        <v>13.173519999999998</v>
      </c>
      <c r="S13" s="59">
        <f t="shared" si="9"/>
        <v>0</v>
      </c>
      <c r="T13" s="59">
        <f t="shared" si="10"/>
        <v>-2.4590999999999994</v>
      </c>
      <c r="U13" s="14"/>
      <c r="V13" s="27" t="str">
        <f t="shared" si="11"/>
        <v>活力</v>
      </c>
      <c r="W13" s="59">
        <f>'M1'!B11*1</f>
        <v>21.3399</v>
      </c>
      <c r="X13" s="59">
        <f>'M1'!C11*1</f>
        <v>5.87575</v>
      </c>
      <c r="Y13" s="59">
        <f>'M1'!D11*1</f>
        <v>27.534099999999999</v>
      </c>
      <c r="Z13" s="59">
        <f>'M1'!E11*1</f>
        <v>10</v>
      </c>
      <c r="AA13" s="59">
        <f>'M1'!F11*1</f>
        <v>7.8896800000000002</v>
      </c>
      <c r="AB13" s="59">
        <f>'M1'!G11*1</f>
        <v>50</v>
      </c>
      <c r="AC13" s="59">
        <f>'M1'!H11*1</f>
        <v>29.926400000000001</v>
      </c>
      <c r="AE13" s="27" t="str">
        <f t="shared" si="12"/>
        <v>活力</v>
      </c>
      <c r="AF13" s="59">
        <f>'M2'!B11*1</f>
        <v>23.694500000000001</v>
      </c>
      <c r="AG13" s="59">
        <f>'M2'!C11*1</f>
        <v>1.4296800000000001</v>
      </c>
      <c r="AH13" s="59">
        <f>'M2'!D11*1</f>
        <v>6.0338099999999999</v>
      </c>
      <c r="AI13" s="59">
        <f>'M2'!E11*1</f>
        <v>10</v>
      </c>
      <c r="AJ13" s="59">
        <f>'M2'!F11*1</f>
        <v>21.063199999999998</v>
      </c>
      <c r="AK13" s="59">
        <f>'M2'!G11*1</f>
        <v>50</v>
      </c>
      <c r="AL13" s="59">
        <f>'M2'!H11*1</f>
        <v>27.467300000000002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-7.5245000000000033</v>
      </c>
      <c r="O14" s="59">
        <f t="shared" si="5"/>
        <v>3.1679300000000001</v>
      </c>
      <c r="P14" s="59">
        <f t="shared" si="6"/>
        <v>6.5006800000000009</v>
      </c>
      <c r="Q14" s="59">
        <f t="shared" si="7"/>
        <v>0</v>
      </c>
      <c r="R14" s="59">
        <f t="shared" si="8"/>
        <v>-7.0705999999999989</v>
      </c>
      <c r="S14" s="59">
        <f t="shared" si="9"/>
        <v>0</v>
      </c>
      <c r="T14" s="59">
        <f t="shared" si="10"/>
        <v>0.98669999999999902</v>
      </c>
      <c r="U14" s="14"/>
      <c r="V14" s="27" t="str">
        <f t="shared" si="11"/>
        <v>自我调节</v>
      </c>
      <c r="W14" s="59">
        <f>'M1'!B12*1</f>
        <v>64.227000000000004</v>
      </c>
      <c r="X14" s="59">
        <f>'M1'!C12*1</f>
        <v>4.4223600000000003</v>
      </c>
      <c r="Y14" s="59">
        <f>'M1'!D12*1</f>
        <v>6.8855199999999996</v>
      </c>
      <c r="Z14" s="59">
        <f>'M1'!E12*1</f>
        <v>50</v>
      </c>
      <c r="AA14" s="59">
        <f>'M1'!F12*1</f>
        <v>57.780799999999999</v>
      </c>
      <c r="AB14" s="59">
        <f>'M1'!G12*1</f>
        <v>100</v>
      </c>
      <c r="AC14" s="59">
        <f>'M1'!H12*1</f>
        <v>73.082499999999996</v>
      </c>
      <c r="AE14" s="27" t="str">
        <f t="shared" si="12"/>
        <v>自我调节</v>
      </c>
      <c r="AF14" s="59">
        <f>'M2'!B12*1</f>
        <v>56.702500000000001</v>
      </c>
      <c r="AG14" s="59">
        <f>'M2'!C12*1</f>
        <v>7.5902900000000004</v>
      </c>
      <c r="AH14" s="59">
        <f>'M2'!D12*1</f>
        <v>13.386200000000001</v>
      </c>
      <c r="AI14" s="59">
        <f>'M2'!E12*1</f>
        <v>50</v>
      </c>
      <c r="AJ14" s="59">
        <f>'M2'!F12*1</f>
        <v>50.7102</v>
      </c>
      <c r="AK14" s="59">
        <f>'M2'!G12*1</f>
        <v>100</v>
      </c>
      <c r="AL14" s="59">
        <f>'M2'!H12*1</f>
        <v>74.069199999999995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-0.51950000000000074</v>
      </c>
      <c r="O15" s="59">
        <f t="shared" si="5"/>
        <v>-3.5524200000000001</v>
      </c>
      <c r="P15" s="59">
        <f t="shared" si="6"/>
        <v>-23.515819999999998</v>
      </c>
      <c r="Q15" s="59">
        <f t="shared" si="7"/>
        <v>0</v>
      </c>
      <c r="R15" s="59">
        <f t="shared" si="8"/>
        <v>-0.82399999999999984</v>
      </c>
      <c r="S15" s="59">
        <f t="shared" si="9"/>
        <v>0</v>
      </c>
      <c r="T15" s="59">
        <f t="shared" si="10"/>
        <v>-19.869399999999999</v>
      </c>
      <c r="U15" s="14"/>
      <c r="V15" s="27" t="str">
        <f t="shared" si="11"/>
        <v>抑郁</v>
      </c>
      <c r="W15" s="59">
        <f>'M1'!B13*1</f>
        <v>14.8939</v>
      </c>
      <c r="X15" s="59">
        <f>'M1'!C13*1</f>
        <v>4.9359000000000002</v>
      </c>
      <c r="Y15" s="59">
        <f>'M1'!D13*1</f>
        <v>33.1404</v>
      </c>
      <c r="Z15" s="59">
        <f>'M1'!E13*1</f>
        <v>10</v>
      </c>
      <c r="AA15" s="59">
        <f>'M1'!F13*1</f>
        <v>12.804</v>
      </c>
      <c r="AB15" s="59">
        <f>'M1'!G13*1</f>
        <v>25</v>
      </c>
      <c r="AC15" s="59">
        <f>'M1'!H13*1</f>
        <v>37.938299999999998</v>
      </c>
      <c r="AE15" s="27" t="str">
        <f t="shared" si="12"/>
        <v>抑郁</v>
      </c>
      <c r="AF15" s="59">
        <f>'M2'!B13*1</f>
        <v>14.3744</v>
      </c>
      <c r="AG15" s="59">
        <f>'M2'!C13*1</f>
        <v>1.38348</v>
      </c>
      <c r="AH15" s="59">
        <f>'M2'!D13*1</f>
        <v>9.6245799999999999</v>
      </c>
      <c r="AI15" s="59">
        <f>'M2'!E13*1</f>
        <v>10</v>
      </c>
      <c r="AJ15" s="59">
        <f>'M2'!F13*1</f>
        <v>11.98</v>
      </c>
      <c r="AK15" s="59">
        <f>'M2'!G13*1</f>
        <v>25</v>
      </c>
      <c r="AL15" s="59">
        <f>'M2'!H13*1</f>
        <v>18.068899999999999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-35.5242</v>
      </c>
      <c r="O16" s="59">
        <f t="shared" si="5"/>
        <v>-0.26419999999999888</v>
      </c>
      <c r="P16" s="59">
        <f t="shared" si="6"/>
        <v>96.384599999999992</v>
      </c>
      <c r="Q16" s="59">
        <f t="shared" si="7"/>
        <v>0</v>
      </c>
      <c r="R16" s="59">
        <f t="shared" si="8"/>
        <v>2.3083369999999999</v>
      </c>
      <c r="S16" s="59">
        <f t="shared" si="9"/>
        <v>0</v>
      </c>
      <c r="T16" s="59">
        <f t="shared" si="10"/>
        <v>-26.063500000000005</v>
      </c>
      <c r="U16" s="15"/>
      <c r="V16" s="27" t="str">
        <f t="shared" si="11"/>
        <v>神经质</v>
      </c>
      <c r="W16" s="59">
        <f>'M1'!B14*1</f>
        <v>49.359000000000002</v>
      </c>
      <c r="X16" s="59">
        <f>'M1'!C14*1</f>
        <v>18.8948</v>
      </c>
      <c r="Y16" s="59">
        <f>'M1'!D14*1</f>
        <v>38.2804</v>
      </c>
      <c r="Z16" s="59">
        <f>'M1'!E14*1</f>
        <v>10</v>
      </c>
      <c r="AA16" s="59">
        <f>'M1'!F14*1</f>
        <v>0.109643</v>
      </c>
      <c r="AB16" s="59">
        <f>'M1'!G14*1</f>
        <v>50</v>
      </c>
      <c r="AC16" s="59">
        <f>'M1'!H14*1</f>
        <v>75.294600000000003</v>
      </c>
      <c r="AE16" s="27" t="str">
        <f t="shared" si="12"/>
        <v>神经质</v>
      </c>
      <c r="AF16" s="59">
        <f>'M2'!B14*1</f>
        <v>13.8348</v>
      </c>
      <c r="AG16" s="59">
        <f>'M2'!C14*1</f>
        <v>18.630600000000001</v>
      </c>
      <c r="AH16" s="59">
        <f>'M2'!D14*1</f>
        <v>134.66499999999999</v>
      </c>
      <c r="AI16" s="59">
        <f>'M2'!E14*1</f>
        <v>10</v>
      </c>
      <c r="AJ16" s="59">
        <f>'M2'!F14*1</f>
        <v>2.41798</v>
      </c>
      <c r="AK16" s="59">
        <f>'M2'!G14*1</f>
        <v>50</v>
      </c>
      <c r="AL16" s="59">
        <f>'M2'!H14*1</f>
        <v>49.231099999999998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-3.9889750000000008</v>
      </c>
      <c r="O17" s="22">
        <f>N17/(N17+N18+N19)</f>
        <v>0.2998243059144079</v>
      </c>
      <c r="P17" s="65">
        <f>SUM(P11:P14)/4</f>
        <v>-2.4465150000000002</v>
      </c>
      <c r="Q17" s="22">
        <f>P17/(P17+P18+P19)</f>
        <v>-0.10586666032004297</v>
      </c>
      <c r="R17" s="14"/>
      <c r="S17" s="14"/>
      <c r="T17" s="14"/>
      <c r="U17" s="14"/>
      <c r="V17" s="21" t="str">
        <f>M17</f>
        <v>Positive</v>
      </c>
      <c r="W17" s="65">
        <f>SUM(W11:W14)/4</f>
        <v>52.358699999999999</v>
      </c>
      <c r="X17" s="22">
        <f>W17/(W17+W18+W19)</f>
        <v>0.45699395510987739</v>
      </c>
      <c r="Y17" s="65">
        <f>SUM(Y11:Y14)/4</f>
        <v>14.2876075</v>
      </c>
      <c r="Z17" s="22">
        <f>Y17/(Y17+Y18+Y19)</f>
        <v>0.19124919857484107</v>
      </c>
      <c r="AA17" s="14"/>
      <c r="AB17" s="14"/>
      <c r="AC17" s="14"/>
      <c r="AE17" s="21" t="str">
        <f>V17</f>
        <v>Positive</v>
      </c>
      <c r="AF17" s="65">
        <f>SUM(AF11:AF14)/4</f>
        <v>48.369725000000003</v>
      </c>
      <c r="AG17" s="22">
        <f>AF17/(AF17+AF18+AF19)</f>
        <v>0.47764265174646181</v>
      </c>
      <c r="AH17" s="65">
        <f>SUM(AH11:AH14)/4</f>
        <v>11.8410925</v>
      </c>
      <c r="AI17" s="22">
        <f>AH17/(AH17+AH18+AH19)</f>
        <v>0.12105456606184924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8.7064500000000002</v>
      </c>
      <c r="O18" s="22">
        <f>N18/(N17+N18+N19)</f>
        <v>-0.6544050359374266</v>
      </c>
      <c r="P18" s="18">
        <f>SUM(P7:P10)/4</f>
        <v>-10.878474999999998</v>
      </c>
      <c r="Q18" s="22">
        <f>P18/(P17+P18+P19)</f>
        <v>-0.47073809791686505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30.086825000000005</v>
      </c>
      <c r="X18" s="22">
        <f>W18/(W17+W18+W19)</f>
        <v>0.26260195828866528</v>
      </c>
      <c r="Y18" s="18">
        <f>SUM(Y7:Y10)/4</f>
        <v>24.708750000000002</v>
      </c>
      <c r="Z18" s="22">
        <f>Y18/(Y17+Y18+Y19)</f>
        <v>0.33074317273106119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38.793275000000001</v>
      </c>
      <c r="AG18" s="22">
        <f>AF18/(AF17+AF18+AF19)</f>
        <v>0.38307686762597309</v>
      </c>
      <c r="AH18" s="18">
        <f>SUM(AH7:AH10)/4</f>
        <v>13.830275</v>
      </c>
      <c r="AI18" s="22">
        <f>AH18/(AH17+AH18+AH19)</f>
        <v>0.1413904957368623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-18.021850000000001</v>
      </c>
      <c r="O19" s="22">
        <f>N19/(N17+N18+N19)</f>
        <v>1.3545807300230188</v>
      </c>
      <c r="P19" s="18">
        <f>(P15+P16)/2</f>
        <v>36.434389999999993</v>
      </c>
      <c r="Q19" s="22">
        <f>P19/(P17+P18+P19)</f>
        <v>1.576604758236908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32.126449999999998</v>
      </c>
      <c r="X19" s="22">
        <f>W19/(W17+W18+W19)</f>
        <v>0.28040408660145727</v>
      </c>
      <c r="Y19" s="18">
        <f>(Y15+Y16)/2</f>
        <v>35.7104</v>
      </c>
      <c r="Z19" s="22">
        <f>Y19/(Y17+Y18+Y19)</f>
        <v>0.47800762869409769</v>
      </c>
      <c r="AA19" s="14"/>
      <c r="AB19" s="14"/>
      <c r="AC19" s="14"/>
      <c r="AE19" s="21" t="str">
        <f t="shared" si="14"/>
        <v>Physiological</v>
      </c>
      <c r="AF19" s="18">
        <f>(AF15+AF16)/2</f>
        <v>14.1046</v>
      </c>
      <c r="AG19" s="22">
        <f>AF19/(AF17+AF18+AF19)</f>
        <v>0.13928048062756496</v>
      </c>
      <c r="AH19" s="18">
        <f>(AH15+AH16)/2</f>
        <v>72.14479</v>
      </c>
      <c r="AI19" s="22">
        <f>AH19/(AH17+AH18+AH19)</f>
        <v>0.73755493820128848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1.66/1.84</v>
      </c>
      <c r="D24" s="44" t="str">
        <f>lang!B11</f>
        <v>频率方差</v>
      </c>
      <c r="E24" s="182" t="str">
        <f ca="1">CONCATENATE(ROUND('FH1'!L3,2),"/",ROUND('FH2'!L3,2))</f>
        <v>0.69/0.68</v>
      </c>
      <c r="F24" s="183"/>
      <c r="G24" s="174" t="str">
        <f>lang!B12</f>
        <v>生理变化率</v>
      </c>
      <c r="H24" s="175"/>
      <c r="I24" s="62" t="str">
        <f ca="1">CONCATENATE(info!M7,"-",info!M8)</f>
        <v>27.5-53.6</v>
      </c>
      <c r="J24" s="42" t="str">
        <f>lang!B13</f>
        <v>千卡l/分钟</v>
      </c>
      <c r="K24" s="41" t="str">
        <f ca="1">CONCATENATE(info!M5,"-",info!M6)</f>
        <v>2.2-4.1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3.0762999999999985</v>
      </c>
      <c r="F27" s="121"/>
      <c r="G27" s="135" t="str">
        <f>lang!B33</f>
        <v>稳定性</v>
      </c>
      <c r="H27" s="136"/>
      <c r="I27" s="137"/>
      <c r="J27" s="138">
        <f>dM!B19*100</f>
        <v>12.289200000000001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-0.98532028786600589</v>
      </c>
      <c r="C2">
        <f t="array" aca="1" ref="C2" ca="1">CORREL(FT_E02,FT_PH02)</f>
        <v>0.28847531645616864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2.22079</v>
      </c>
      <c r="G2" s="61">
        <f>IF(FT!B2&lt;&gt;"",FT!B2*100,"")</f>
        <v>53.555100000000003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2.2955100000000002</v>
      </c>
      <c r="G3" s="61">
        <f>IF(FT!B3&lt;&gt;"",FT!B3*100,"")</f>
        <v>52.590800000000002</v>
      </c>
      <c r="H3" s="61">
        <f t="shared" ref="H3:H66" si="1">(IF(F3&lt;&gt;"",1,""))</f>
        <v>1</v>
      </c>
      <c r="I3" t="str">
        <f>IF(FT!B3&lt;&gt;"",FT!E3,"")</f>
        <v>1 [0.409663]</v>
      </c>
      <c r="J3">
        <f>IF(FT!B3&lt;&gt;"",FT!C3,"")</f>
        <v>0.409663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0.36575863513513501</v>
      </c>
      <c r="V3">
        <f ca="1">AVERAGE(OFFSET(FT!B2,info!$L$3/2,0,info!$L$3/2,1))</f>
        <v>0.30807068918918923</v>
      </c>
      <c r="W3">
        <f ca="1">AVERAGE(OFFSET(FT!A2,0,0,info!$L$3/2,1))</f>
        <v>0.34936047297297301</v>
      </c>
      <c r="X3">
        <f ca="1">AVERAGE(OFFSET(FT!A2,info!$L$3/2,0,info!$L$3/2,1))</f>
        <v>0.38333652702702697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2.3728799999999999</v>
      </c>
      <c r="G4" s="61">
        <f>IF(FT!B4&lt;&gt;"",FT!B4*100,"")</f>
        <v>51.531199999999998</v>
      </c>
      <c r="H4" s="61">
        <f t="shared" si="1"/>
        <v>1</v>
      </c>
      <c r="I4" t="str">
        <f>IF(FT!B4&lt;&gt;"",FT!E4,"")</f>
        <v>1 [0.811656]</v>
      </c>
      <c r="J4">
        <f>IF(FT!B4&lt;&gt;"",FT!C4,"")</f>
        <v>0.81165600000000004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14.94065</v>
      </c>
      <c r="V4">
        <f>U4*3</f>
        <v>44.821950000000001</v>
      </c>
      <c r="W4">
        <f>U4</f>
        <v>14.94065</v>
      </c>
      <c r="X4">
        <f>V4</f>
        <v>44.821950000000001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2.4516499999999999</v>
      </c>
      <c r="G5" s="61">
        <f>IF(FT!B5&lt;&gt;"",FT!B5*100,"")</f>
        <v>50.400599999999997</v>
      </c>
      <c r="H5" s="61">
        <f t="shared" si="1"/>
        <v>1</v>
      </c>
      <c r="I5" t="str">
        <f>IF(FT!B5&lt;&gt;"",FT!E5,"")</f>
        <v>1 [1.219344]</v>
      </c>
      <c r="J5">
        <f>IF(FT!B5&lt;&gt;"",FT!C5,"")</f>
        <v>1.2193400000000001</v>
      </c>
      <c r="K5" t="s">
        <v>53</v>
      </c>
      <c r="L5" s="63">
        <f ca="1">MIN(FT_E)</f>
        <v>2.22079</v>
      </c>
      <c r="M5" s="63">
        <f ca="1">ROUND(L5,1)</f>
        <v>2.2000000000000002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36.575863513513504</v>
      </c>
      <c r="V5">
        <f ca="1">V3*100</f>
        <v>30.807068918918922</v>
      </c>
      <c r="W5">
        <f ca="1">W3*10</f>
        <v>3.4936047297297304</v>
      </c>
      <c r="X5">
        <f ca="1">X3*10</f>
        <v>3.8333652702702699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2.5338799999999999</v>
      </c>
      <c r="G6" s="61">
        <f>IF(FT!B6&lt;&gt;"",FT!B6*100,"")</f>
        <v>49.002899999999997</v>
      </c>
      <c r="H6" s="61">
        <f t="shared" si="1"/>
        <v>1</v>
      </c>
      <c r="I6" t="str">
        <f>IF(FT!B6&lt;&gt;"",FT!E6,"")</f>
        <v>1 [1.625869]</v>
      </c>
      <c r="J6">
        <f>IF(FT!B6&lt;&gt;"",FT!C6,"")</f>
        <v>1.6258699999999999</v>
      </c>
      <c r="K6" t="s">
        <v>54</v>
      </c>
      <c r="L6" s="63">
        <f ca="1">MAX(FT_E)</f>
        <v>4.0660499999999997</v>
      </c>
      <c r="M6" s="63">
        <f ca="1">ROUND(L6,1)</f>
        <v>4.0999999999999996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2.6192599999999997</v>
      </c>
      <c r="G7" s="61">
        <f>IF(FT!B7&lt;&gt;"",FT!B7*100,"")</f>
        <v>47.527799999999999</v>
      </c>
      <c r="H7" s="61">
        <f t="shared" si="1"/>
        <v>1</v>
      </c>
      <c r="I7" t="str">
        <f>IF(FT!B7&lt;&gt;"",FT!E7,"")</f>
        <v>1 [2.031591]</v>
      </c>
      <c r="J7">
        <f>IF(FT!B7&lt;&gt;"",FT!C7,"")</f>
        <v>2.03159</v>
      </c>
      <c r="K7" t="s">
        <v>55</v>
      </c>
      <c r="L7" s="63">
        <f ca="1">MIN(FT_PH)</f>
        <v>27.481299999999997</v>
      </c>
      <c r="M7" s="63">
        <f ca="1">ROUND(L7,1)</f>
        <v>27.5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11315</v>
      </c>
      <c r="D8" s="61">
        <f>FH!B8*1</f>
        <v>11315</v>
      </c>
      <c r="E8">
        <f t="shared" si="3"/>
        <v>6</v>
      </c>
      <c r="F8" s="61">
        <f>IF(FT!A8&lt;&gt;"",FT!A8*10,"")</f>
        <v>2.70248</v>
      </c>
      <c r="G8" s="61">
        <f>IF(FT!B8&lt;&gt;"",FT!B8*100,"")</f>
        <v>46.278100000000002</v>
      </c>
      <c r="H8" s="61">
        <f t="shared" si="1"/>
        <v>1</v>
      </c>
      <c r="I8" t="str">
        <f>IF(FT!B8&lt;&gt;"",FT!E8,"")</f>
        <v>1 [2.435247]</v>
      </c>
      <c r="J8">
        <f>IF(FT!B8&lt;&gt;"",FT!C8,"")</f>
        <v>2.4352499999999999</v>
      </c>
      <c r="K8" t="s">
        <v>56</v>
      </c>
      <c r="L8" s="63">
        <f ca="1">MAX(FT_PH)</f>
        <v>53.555100000000003</v>
      </c>
      <c r="M8" s="63">
        <f ca="1">ROUND(L8,1)</f>
        <v>53.6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2.7824900000000001</v>
      </c>
      <c r="G9" s="61">
        <f>IF(FT!B9&lt;&gt;"",FT!B9*100,"")</f>
        <v>45.352499999999999</v>
      </c>
      <c r="H9" s="61">
        <f t="shared" si="1"/>
        <v>1</v>
      </c>
      <c r="I9" t="str">
        <f>IF(FT!B9&lt;&gt;"",FT!E9,"")</f>
        <v>1 [2.843201]</v>
      </c>
      <c r="J9">
        <f>IF(FT!B9&lt;&gt;"",FT!C9,"")</f>
        <v>2.8431999999999999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10622</v>
      </c>
      <c r="D10" s="61">
        <f>FH!B10*1</f>
        <v>10622</v>
      </c>
      <c r="E10">
        <f t="shared" si="3"/>
        <v>8</v>
      </c>
      <c r="F10" s="61">
        <f>IF(FT!A10&lt;&gt;"",FT!A10*10,"")</f>
        <v>2.8613200000000001</v>
      </c>
      <c r="G10" s="61">
        <f>IF(FT!B10&lt;&gt;"",FT!B10*100,"")</f>
        <v>44.569199999999995</v>
      </c>
      <c r="H10" s="61">
        <f t="shared" si="1"/>
        <v>1</v>
      </c>
      <c r="I10" t="str">
        <f>IF(FT!B10&lt;&gt;"",FT!E10,"")</f>
        <v>1 [3.253046]</v>
      </c>
      <c r="J10">
        <f>IF(FT!B10&lt;&gt;"",FT!C10,"")</f>
        <v>3.25305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2.94394</v>
      </c>
      <c r="G11" s="61">
        <f>IF(FT!B11&lt;&gt;"",FT!B11*100,"")</f>
        <v>43.568400000000004</v>
      </c>
      <c r="H11" s="61">
        <f t="shared" si="1"/>
        <v>1</v>
      </c>
      <c r="I11" t="str">
        <f>IF(FT!B11&lt;&gt;"",FT!E11,"")</f>
        <v>1 [3.655864]</v>
      </c>
      <c r="J11">
        <f>IF(FT!B11&lt;&gt;"",FT!C11,"")</f>
        <v>3.6558600000000001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3.02678</v>
      </c>
      <c r="G12" s="61">
        <f>IF(FT!B12&lt;&gt;"",FT!B12*100,"")</f>
        <v>42.424700000000001</v>
      </c>
      <c r="H12" s="61">
        <f t="shared" si="1"/>
        <v>1</v>
      </c>
      <c r="I12" t="str">
        <f>IF(FT!B12&lt;&gt;"",FT!E12,"")</f>
        <v>1 [4.058010]</v>
      </c>
      <c r="J12">
        <f>IF(FT!B12&lt;&gt;"",FT!C12,"")</f>
        <v>4.0580100000000003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10126</v>
      </c>
      <c r="D13" s="61">
        <f>FH!B13*1</f>
        <v>10126</v>
      </c>
      <c r="E13">
        <f t="shared" si="3"/>
        <v>11</v>
      </c>
      <c r="F13" s="61">
        <f>IF(FT!A13&lt;&gt;"",FT!A13*10,"")</f>
        <v>3.1094599999999999</v>
      </c>
      <c r="G13" s="61">
        <f>IF(FT!B13&lt;&gt;"",FT!B13*100,"")</f>
        <v>41.241799999999998</v>
      </c>
      <c r="H13" s="61">
        <f t="shared" si="1"/>
        <v>1</v>
      </c>
      <c r="I13" t="str">
        <f>IF(FT!B13&lt;&gt;"",FT!E13,"")</f>
        <v>1 [4.468701]</v>
      </c>
      <c r="J13">
        <f>IF(FT!B13&lt;&gt;"",FT!C13,"")</f>
        <v>4.4687000000000001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3.1948400000000001</v>
      </c>
      <c r="G14" s="61">
        <f>IF(FT!B14&lt;&gt;"",FT!B14*100,"")</f>
        <v>39.806100000000001</v>
      </c>
      <c r="H14" s="61">
        <f t="shared" si="1"/>
        <v>1</v>
      </c>
      <c r="I14" t="str">
        <f>IF(FT!B14&lt;&gt;"",FT!E14,"")</f>
        <v>1 [4.875814]</v>
      </c>
      <c r="J14">
        <f>IF(FT!B14&lt;&gt;"",FT!C14,"")</f>
        <v>4.8758100000000004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13207</v>
      </c>
      <c r="D15" s="61">
        <f>FH!B15*1</f>
        <v>13207</v>
      </c>
      <c r="E15">
        <f t="shared" si="3"/>
        <v>13</v>
      </c>
      <c r="F15" s="61">
        <f>IF(FT!A15&lt;&gt;"",FT!A15*10,"")</f>
        <v>3.2812400000000004</v>
      </c>
      <c r="G15" s="61">
        <f>IF(FT!B15&lt;&gt;"",FT!B15*100,"")</f>
        <v>38.336100000000002</v>
      </c>
      <c r="H15" s="61">
        <f t="shared" si="1"/>
        <v>1</v>
      </c>
      <c r="I15" t="str">
        <f>IF(FT!B15&lt;&gt;"",FT!E15,"")</f>
        <v>1 [5.280583]</v>
      </c>
      <c r="J15">
        <f>IF(FT!B15&lt;&gt;"",FT!C15,"")</f>
        <v>5.2805799999999996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3.3552200000000001</v>
      </c>
      <c r="G16" s="61">
        <f>IF(FT!B16&lt;&gt;"",FT!B16*100,"")</f>
        <v>37.148900000000005</v>
      </c>
      <c r="H16" s="61">
        <f t="shared" si="1"/>
        <v>1</v>
      </c>
      <c r="I16" t="str">
        <f>IF(FT!B16&lt;&gt;"",FT!E16,"")</f>
        <v>1 [5.687385]</v>
      </c>
      <c r="J16">
        <f>IF(FT!B16&lt;&gt;"",FT!C16,"")</f>
        <v>5.6873800000000001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3.4249900000000002</v>
      </c>
      <c r="G17" s="61">
        <f>IF(FT!B17&lt;&gt;"",FT!B17*100,"")</f>
        <v>36.149500000000003</v>
      </c>
      <c r="H17" s="61">
        <f t="shared" si="1"/>
        <v>1</v>
      </c>
      <c r="I17" t="str">
        <f>IF(FT!B17&lt;&gt;"",FT!E17,"")</f>
        <v>1 [6.090736]</v>
      </c>
      <c r="J17">
        <f>IF(FT!B17&lt;&gt;"",FT!C17,"")</f>
        <v>6.0907400000000003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18278</v>
      </c>
      <c r="D18" s="61">
        <f>FH!B18*1</f>
        <v>18278</v>
      </c>
      <c r="E18">
        <f t="shared" si="3"/>
        <v>16</v>
      </c>
      <c r="F18" s="61">
        <f>IF(FT!A18&lt;&gt;"",FT!A18*10,"")</f>
        <v>3.4935999999999998</v>
      </c>
      <c r="G18" s="61">
        <f>IF(FT!B18&lt;&gt;"",FT!B18*100,"")</f>
        <v>35.406300000000002</v>
      </c>
      <c r="H18" s="61">
        <f t="shared" si="1"/>
        <v>1</v>
      </c>
      <c r="I18" t="str">
        <f>IF(FT!B18&lt;&gt;"",FT!E18,"")</f>
        <v>1 [6.501255]</v>
      </c>
      <c r="J18">
        <f>IF(FT!B18&lt;&gt;"",FT!C18,"")</f>
        <v>6.5012600000000003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3.5563099999999999</v>
      </c>
      <c r="G19" s="61">
        <f>IF(FT!B19&lt;&gt;"",FT!B19*100,"")</f>
        <v>34.809600000000003</v>
      </c>
      <c r="H19" s="61">
        <f t="shared" si="1"/>
        <v>1</v>
      </c>
      <c r="I19" t="str">
        <f>IF(FT!B19&lt;&gt;"",FT!E19,"")</f>
        <v>1 [6.907400]</v>
      </c>
      <c r="J19">
        <f>IF(FT!B19&lt;&gt;"",FT!C19,"")</f>
        <v>6.9074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3.6154299999999999</v>
      </c>
      <c r="G20" s="61">
        <f>IF(FT!B20&lt;&gt;"",FT!B20*100,"")</f>
        <v>34.372999999999998</v>
      </c>
      <c r="H20" s="61">
        <f t="shared" si="1"/>
        <v>1</v>
      </c>
      <c r="I20" t="str">
        <f>IF(FT!B20&lt;&gt;"",FT!E20,"")</f>
        <v>1 [7.315088]</v>
      </c>
      <c r="J20">
        <f>IF(FT!B20&lt;&gt;"",FT!C20,"")</f>
        <v>7.3150899999999996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24125</v>
      </c>
      <c r="D21" s="61">
        <f>FH!B21*1</f>
        <v>24125</v>
      </c>
      <c r="E21">
        <f t="shared" si="3"/>
        <v>19</v>
      </c>
      <c r="F21" s="61">
        <f>IF(FT!A21&lt;&gt;"",FT!A21*10,"")</f>
        <v>3.6761300000000001</v>
      </c>
      <c r="G21" s="61">
        <f>IF(FT!B21&lt;&gt;"",FT!B21*100,"")</f>
        <v>33.928699999999999</v>
      </c>
      <c r="H21" s="61">
        <f t="shared" si="1"/>
        <v>1</v>
      </c>
      <c r="I21" t="str">
        <f>IF(FT!B21&lt;&gt;"",FT!E21,"")</f>
        <v>1 [7.720042]</v>
      </c>
      <c r="J21">
        <f>IF(FT!B21&lt;&gt;"",FT!C21,"")</f>
        <v>7.72004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3.7384499999999998</v>
      </c>
      <c r="G22" s="61">
        <f>IF(FT!B22&lt;&gt;"",FT!B22*100,"")</f>
        <v>33.3934</v>
      </c>
      <c r="H22" s="61">
        <f t="shared" si="1"/>
        <v>1</v>
      </c>
      <c r="I22" t="str">
        <f>IF(FT!B22&lt;&gt;"",FT!E22,"")</f>
        <v>1 [8.127258]</v>
      </c>
      <c r="J22">
        <f>IF(FT!B22&lt;&gt;"",FT!C22,"")</f>
        <v>8.1272599999999997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27488</v>
      </c>
      <c r="D23" s="61">
        <f>FH!B23*1</f>
        <v>27488</v>
      </c>
      <c r="E23">
        <f t="shared" si="3"/>
        <v>21</v>
      </c>
      <c r="F23" s="61">
        <f>IF(FT!A23&lt;&gt;"",FT!A23*10,"")</f>
        <v>3.7962600000000002</v>
      </c>
      <c r="G23" s="61">
        <f>IF(FT!B23&lt;&gt;"",FT!B23*100,"")</f>
        <v>32.972099999999998</v>
      </c>
      <c r="H23" s="61">
        <f t="shared" si="1"/>
        <v>1</v>
      </c>
      <c r="I23" t="str">
        <f>IF(FT!B23&lt;&gt;"",FT!E23,"")</f>
        <v>1 [8.529067]</v>
      </c>
      <c r="J23">
        <f>IF(FT!B23&lt;&gt;"",FT!C23,"")</f>
        <v>8.5290700000000008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3.8504</v>
      </c>
      <c r="G24" s="61">
        <f>IF(FT!B24&lt;&gt;"",FT!B24*100,"")</f>
        <v>32.5608</v>
      </c>
      <c r="H24" s="61">
        <f t="shared" si="1"/>
        <v>1</v>
      </c>
      <c r="I24" t="str">
        <f>IF(FT!B24&lt;&gt;"",FT!E24,"")</f>
        <v>1 [8.938771]</v>
      </c>
      <c r="J24">
        <f>IF(FT!B24&lt;&gt;"",FT!C24,"")</f>
        <v>8.9387699999999999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3.8989600000000002</v>
      </c>
      <c r="G25" s="61">
        <f>IF(FT!B25&lt;&gt;"",FT!B25*100,"")</f>
        <v>32.316200000000002</v>
      </c>
      <c r="H25" s="61">
        <f t="shared" si="1"/>
        <v>1</v>
      </c>
      <c r="I25" t="str">
        <f>IF(FT!B25&lt;&gt;"",FT!E25,"")</f>
        <v>1 [9.344825]</v>
      </c>
      <c r="J25">
        <f>IF(FT!B25&lt;&gt;"",FT!C25,"")</f>
        <v>9.3448200000000003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33237</v>
      </c>
      <c r="D26" s="61">
        <f>FH!B26*1</f>
        <v>33237</v>
      </c>
      <c r="E26">
        <f t="shared" si="3"/>
        <v>24</v>
      </c>
      <c r="F26" s="61">
        <f>IF(FT!A26&lt;&gt;"",FT!A26*10,"")</f>
        <v>3.9422099999999998</v>
      </c>
      <c r="G26" s="61">
        <f>IF(FT!B26&lt;&gt;"",FT!B26*100,"")</f>
        <v>32.157200000000003</v>
      </c>
      <c r="H26" s="61">
        <f t="shared" si="1"/>
        <v>1</v>
      </c>
      <c r="I26" t="str">
        <f>IF(FT!B26&lt;&gt;"",FT!E26,"")</f>
        <v>1 [9.749633]</v>
      </c>
      <c r="J26">
        <f>IF(FT!B26&lt;&gt;"",FT!C26,"")</f>
        <v>9.7496299999999998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3.9779399999999998</v>
      </c>
      <c r="G27" s="61">
        <f>IF(FT!B27&lt;&gt;"",FT!B27*100,"")</f>
        <v>32.1006</v>
      </c>
      <c r="H27" s="61">
        <f t="shared" si="1"/>
        <v>1</v>
      </c>
      <c r="I27" t="str">
        <f>IF(FT!B27&lt;&gt;"",FT!E27,"")</f>
        <v>1 [10.155368]</v>
      </c>
      <c r="J27">
        <f>IF(FT!B27&lt;&gt;"",FT!C27,"")</f>
        <v>10.1554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38742</v>
      </c>
      <c r="D28" s="61">
        <f>FH!B28*1</f>
        <v>38742</v>
      </c>
      <c r="E28">
        <f t="shared" si="3"/>
        <v>26</v>
      </c>
      <c r="F28" s="61">
        <f>IF(FT!A28&lt;&gt;"",FT!A28*10,"")</f>
        <v>4.0075500000000002</v>
      </c>
      <c r="G28" s="61">
        <f>IF(FT!B28&lt;&gt;"",FT!B28*100,"")</f>
        <v>32.036799999999999</v>
      </c>
      <c r="H28" s="61">
        <f t="shared" si="1"/>
        <v>1</v>
      </c>
      <c r="I28" t="str">
        <f>IF(FT!B28&lt;&gt;"",FT!E28,"")</f>
        <v>1 [10.559502]</v>
      </c>
      <c r="J28">
        <f>IF(FT!B28&lt;&gt;"",FT!C28,"")</f>
        <v>10.5595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4.0327600000000006</v>
      </c>
      <c r="G29" s="61">
        <f>IF(FT!B29&lt;&gt;"",FT!B29*100,"")</f>
        <v>31.916099999999997</v>
      </c>
      <c r="H29" s="61">
        <f t="shared" si="1"/>
        <v>1</v>
      </c>
      <c r="I29" t="str">
        <f>IF(FT!B29&lt;&gt;"",FT!E29,"")</f>
        <v>1 [10.964809]</v>
      </c>
      <c r="J29">
        <f>IF(FT!B29&lt;&gt;"",FT!C29,"")</f>
        <v>10.9648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4.0496400000000001</v>
      </c>
      <c r="G30" s="61">
        <f>IF(FT!B30&lt;&gt;"",FT!B30*100,"")</f>
        <v>31.7942</v>
      </c>
      <c r="H30" s="61">
        <f t="shared" si="1"/>
        <v>1</v>
      </c>
      <c r="I30" t="str">
        <f>IF(FT!B30&lt;&gt;"",FT!E30,"")</f>
        <v>1 [11.375470]</v>
      </c>
      <c r="J30">
        <f>IF(FT!B30&lt;&gt;"",FT!C30,"")</f>
        <v>11.375500000000001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41357</v>
      </c>
      <c r="D31" s="61">
        <f>FH!B31*1</f>
        <v>41357</v>
      </c>
      <c r="E31">
        <f t="shared" si="3"/>
        <v>29</v>
      </c>
      <c r="F31" s="61">
        <f>IF(FT!A31&lt;&gt;"",FT!A31*10,"")</f>
        <v>4.0584600000000002</v>
      </c>
      <c r="G31" s="61">
        <f>IF(FT!B31&lt;&gt;"",FT!B31*100,"")</f>
        <v>31.668400000000002</v>
      </c>
      <c r="H31" s="61">
        <f t="shared" si="1"/>
        <v>1</v>
      </c>
      <c r="I31" t="str">
        <f>IF(FT!B31&lt;&gt;"",FT!E31,"")</f>
        <v>1 [11.779836]</v>
      </c>
      <c r="J31">
        <f>IF(FT!B31&lt;&gt;"",FT!C31,"")</f>
        <v>11.7798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4.0616099999999999</v>
      </c>
      <c r="G32" s="61">
        <f>IF(FT!B32&lt;&gt;"",FT!B32*100,"")</f>
        <v>31.521999999999998</v>
      </c>
      <c r="H32" s="61">
        <f t="shared" si="1"/>
        <v>1</v>
      </c>
      <c r="I32" t="str">
        <f>IF(FT!B32&lt;&gt;"",FT!E32,"")</f>
        <v>1 [12.187055]</v>
      </c>
      <c r="J32">
        <f>IF(FT!B32&lt;&gt;"",FT!C32,"")</f>
        <v>12.187099999999999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43521</v>
      </c>
      <c r="D33" s="61">
        <f>FH!B33*1</f>
        <v>43521</v>
      </c>
      <c r="E33">
        <f t="shared" si="3"/>
        <v>31</v>
      </c>
      <c r="F33" s="61">
        <f>IF(FT!A33&lt;&gt;"",FT!A33*10,"")</f>
        <v>4.0618100000000004</v>
      </c>
      <c r="G33" s="61">
        <f>IF(FT!B33&lt;&gt;"",FT!B33*100,"")</f>
        <v>31.3962</v>
      </c>
      <c r="H33" s="61">
        <f t="shared" si="1"/>
        <v>1</v>
      </c>
      <c r="I33" t="str">
        <f>IF(FT!B33&lt;&gt;"",FT!E33,"")</f>
        <v>1 [12.592783]</v>
      </c>
      <c r="J33">
        <f>IF(FT!B33&lt;&gt;"",FT!C33,"")</f>
        <v>12.5928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4.0614099999999995</v>
      </c>
      <c r="G34" s="61">
        <f>IF(FT!B34&lt;&gt;"",FT!B34*100,"")</f>
        <v>31.255800000000001</v>
      </c>
      <c r="H34" s="61">
        <f t="shared" si="1"/>
        <v>1</v>
      </c>
      <c r="I34" t="str">
        <f>IF(FT!B34&lt;&gt;"",FT!E34,"")</f>
        <v>1 [13.000803]</v>
      </c>
      <c r="J34">
        <f>IF(FT!B34&lt;&gt;"",FT!C34,"")</f>
        <v>13.0008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4.05802</v>
      </c>
      <c r="G35" s="61">
        <f>IF(FT!B35&lt;&gt;"",FT!B35*100,"")</f>
        <v>31.127300000000002</v>
      </c>
      <c r="H35" s="61">
        <f t="shared" si="1"/>
        <v>1</v>
      </c>
      <c r="I35" t="str">
        <f>IF(FT!B35&lt;&gt;"",FT!E35,"")</f>
        <v>1 [13.405594]</v>
      </c>
      <c r="J35">
        <f>IF(FT!B35&lt;&gt;"",FT!C35,"")</f>
        <v>13.4056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50421</v>
      </c>
      <c r="D36" s="61">
        <f>FH!B36*1</f>
        <v>50421</v>
      </c>
      <c r="E36">
        <f t="shared" si="3"/>
        <v>34</v>
      </c>
      <c r="F36" s="61">
        <f>IF(FT!A36&lt;&gt;"",FT!A36*10,"")</f>
        <v>4.0460600000000007</v>
      </c>
      <c r="G36" s="61">
        <f>IF(FT!B36&lt;&gt;"",FT!B36*100,"")</f>
        <v>31.0183</v>
      </c>
      <c r="H36" s="61">
        <f t="shared" si="1"/>
        <v>1</v>
      </c>
      <c r="I36" t="str">
        <f>IF(FT!B36&lt;&gt;"",FT!E36,"")</f>
        <v>1 [13.810826]</v>
      </c>
      <c r="J36">
        <f>IF(FT!B36&lt;&gt;"",FT!C36,"")</f>
        <v>13.8108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4.0273900000000005</v>
      </c>
      <c r="G37" s="61">
        <f>IF(FT!B37&lt;&gt;"",FT!B37*100,"")</f>
        <v>30.862699999999997</v>
      </c>
      <c r="H37" s="61">
        <f t="shared" si="1"/>
        <v>1</v>
      </c>
      <c r="I37" t="str">
        <f>IF(FT!B37&lt;&gt;"",FT!E37,"")</f>
        <v>1 [14.218604]</v>
      </c>
      <c r="J37">
        <f>IF(FT!B37&lt;&gt;"",FT!C37,"")</f>
        <v>14.2186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4.0043899999999999</v>
      </c>
      <c r="G38" s="61">
        <f>IF(FT!B38&lt;&gt;"",FT!B38*100,"")</f>
        <v>30.704700000000003</v>
      </c>
      <c r="H38" s="61">
        <f t="shared" si="1"/>
        <v>1</v>
      </c>
      <c r="I38" t="str">
        <f>IF(FT!B38&lt;&gt;"",FT!E38,"")</f>
        <v>1 [14.626529]</v>
      </c>
      <c r="J38">
        <f>IF(FT!B38&lt;&gt;"",FT!C38,"")</f>
        <v>14.6265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64177</v>
      </c>
      <c r="D39" s="61">
        <f>FH!B39*1</f>
        <v>64177</v>
      </c>
      <c r="E39">
        <f t="shared" si="3"/>
        <v>37</v>
      </c>
      <c r="F39" s="61">
        <f>IF(FT!A39&lt;&gt;"",FT!A39*10,"")</f>
        <v>3.9718300000000002</v>
      </c>
      <c r="G39" s="61">
        <f>IF(FT!B39&lt;&gt;"",FT!B39*100,"")</f>
        <v>30.612299999999998</v>
      </c>
      <c r="H39" s="61">
        <f t="shared" si="1"/>
        <v>1</v>
      </c>
      <c r="I39" t="str">
        <f>IF(FT!B39&lt;&gt;"",FT!E39,"")</f>
        <v>1 [15.033449]</v>
      </c>
      <c r="J39">
        <f>IF(FT!B39&lt;&gt;"",FT!C39,"")</f>
        <v>15.0334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3.9337400000000002</v>
      </c>
      <c r="G40" s="61">
        <f>IF(FT!B40&lt;&gt;"",FT!B40*100,"")</f>
        <v>30.688500000000001</v>
      </c>
      <c r="H40" s="61">
        <f t="shared" si="1"/>
        <v>1</v>
      </c>
      <c r="I40" t="str">
        <f>IF(FT!B40&lt;&gt;"",FT!E40,"")</f>
        <v>1 [15.436374]</v>
      </c>
      <c r="J40">
        <f>IF(FT!B40&lt;&gt;"",FT!C40,"")</f>
        <v>15.436400000000001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75633</v>
      </c>
      <c r="D41" s="61">
        <f>FH!B41*1</f>
        <v>75633</v>
      </c>
      <c r="E41">
        <f t="shared" si="3"/>
        <v>39</v>
      </c>
      <c r="F41" s="61">
        <f>IF(FT!A41&lt;&gt;"",FT!A41*10,"")</f>
        <v>3.8957599999999997</v>
      </c>
      <c r="G41" s="61">
        <f>IF(FT!B41&lt;&gt;"",FT!B41*100,"")</f>
        <v>30.970799999999997</v>
      </c>
      <c r="H41" s="61">
        <f t="shared" si="1"/>
        <v>1</v>
      </c>
      <c r="I41" t="str">
        <f>IF(FT!B41&lt;&gt;"",FT!E41,"")</f>
        <v>1 [15.839702]</v>
      </c>
      <c r="J41">
        <f>IF(FT!B41&lt;&gt;"",FT!C41,"")</f>
        <v>15.839700000000001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3.8602799999999999</v>
      </c>
      <c r="G42" s="61">
        <f>IF(FT!B42&lt;&gt;"",FT!B42*100,"")</f>
        <v>31.341100000000001</v>
      </c>
      <c r="H42" s="61">
        <f t="shared" si="1"/>
        <v>1</v>
      </c>
      <c r="I42" t="str">
        <f>IF(FT!B42&lt;&gt;"",FT!E42,"")</f>
        <v>1 [16.251120]</v>
      </c>
      <c r="J42">
        <f>IF(FT!B42&lt;&gt;"",FT!C42,"")</f>
        <v>16.251100000000001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3.8262200000000002</v>
      </c>
      <c r="G43" s="61">
        <f>IF(FT!B43&lt;&gt;"",FT!B43*100,"")</f>
        <v>31.685799999999997</v>
      </c>
      <c r="H43" s="61">
        <f t="shared" si="1"/>
        <v>1</v>
      </c>
      <c r="I43" t="str">
        <f>IF(FT!B43&lt;&gt;"",FT!E43,"")</f>
        <v>1 [16.659031]</v>
      </c>
      <c r="J43">
        <f>IF(FT!B43&lt;&gt;"",FT!C43,"")</f>
        <v>16.658999999999999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101762</v>
      </c>
      <c r="D44" s="61">
        <f>FH!B44*1</f>
        <v>101762</v>
      </c>
      <c r="E44">
        <f t="shared" si="3"/>
        <v>42</v>
      </c>
      <c r="F44" s="61">
        <f>IF(FT!A44&lt;&gt;"",FT!A44*10,"")</f>
        <v>3.7934000000000001</v>
      </c>
      <c r="G44" s="61">
        <f>IF(FT!B44&lt;&gt;"",FT!B44*100,"")</f>
        <v>31.977599999999999</v>
      </c>
      <c r="H44" s="61">
        <f t="shared" si="1"/>
        <v>1</v>
      </c>
      <c r="I44" t="str">
        <f>IF(FT!B44&lt;&gt;"",FT!E44,"")</f>
        <v>1 [17.060957]</v>
      </c>
      <c r="J44">
        <f>IF(FT!B44&lt;&gt;"",FT!C44,"")</f>
        <v>17.061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3.7611600000000003</v>
      </c>
      <c r="G45" s="61">
        <f>IF(FT!B45&lt;&gt;"",FT!B45*100,"")</f>
        <v>32.210799999999999</v>
      </c>
      <c r="H45" s="61">
        <f t="shared" si="1"/>
        <v>1</v>
      </c>
      <c r="I45" t="str">
        <f>IF(FT!B45&lt;&gt;"",FT!E45,"")</f>
        <v>1 [17.468873]</v>
      </c>
      <c r="J45">
        <f>IF(FT!B45&lt;&gt;"",FT!C45,"")</f>
        <v>17.468900000000001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112012</v>
      </c>
      <c r="D46" s="61">
        <f>FH!B46*1</f>
        <v>112012</v>
      </c>
      <c r="E46">
        <f t="shared" si="3"/>
        <v>44</v>
      </c>
      <c r="F46" s="61">
        <f>IF(FT!A46&lt;&gt;"",FT!A46*10,"")</f>
        <v>3.7278199999999999</v>
      </c>
      <c r="G46" s="61">
        <f>IF(FT!B46&lt;&gt;"",FT!B46*100,"")</f>
        <v>32.486699999999999</v>
      </c>
      <c r="H46" s="61">
        <f t="shared" si="1"/>
        <v>1</v>
      </c>
      <c r="I46" t="str">
        <f>IF(FT!B46&lt;&gt;"",FT!E46,"")</f>
        <v>1 [17.871851]</v>
      </c>
      <c r="J46">
        <f>IF(FT!B46&lt;&gt;"",FT!C46,"")</f>
        <v>17.8719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3.6908999999999996</v>
      </c>
      <c r="G47" s="61">
        <f>IF(FT!B47&lt;&gt;"",FT!B47*100,"")</f>
        <v>32.918500000000002</v>
      </c>
      <c r="H47" s="61">
        <f t="shared" si="1"/>
        <v>1</v>
      </c>
      <c r="I47" t="str">
        <f>IF(FT!B47&lt;&gt;"",FT!E47,"")</f>
        <v>1 [18.278927]</v>
      </c>
      <c r="J47">
        <f>IF(FT!B47&lt;&gt;"",FT!C47,"")</f>
        <v>18.2789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3.6536600000000004</v>
      </c>
      <c r="G48" s="61">
        <f>IF(FT!B48&lt;&gt;"",FT!B48*100,"")</f>
        <v>33.42</v>
      </c>
      <c r="H48" s="61">
        <f t="shared" si="1"/>
        <v>1</v>
      </c>
      <c r="I48" t="str">
        <f>IF(FT!B48&lt;&gt;"",FT!E48,"")</f>
        <v>1 [18.685174]</v>
      </c>
      <c r="J48">
        <f>IF(FT!B48&lt;&gt;"",FT!C48,"")</f>
        <v>18.685199999999998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116520</v>
      </c>
      <c r="D49" s="61">
        <f>FH!B49*1</f>
        <v>116520</v>
      </c>
      <c r="E49">
        <f t="shared" si="3"/>
        <v>47</v>
      </c>
      <c r="F49" s="61">
        <f>IF(FT!A49&lt;&gt;"",FT!A49*10,"")</f>
        <v>3.6145300000000002</v>
      </c>
      <c r="G49" s="61">
        <f>IF(FT!B49&lt;&gt;"",FT!B49*100,"")</f>
        <v>34.0047</v>
      </c>
      <c r="H49" s="61">
        <f t="shared" si="1"/>
        <v>1</v>
      </c>
      <c r="I49" t="str">
        <f>IF(FT!B49&lt;&gt;"",FT!E49,"")</f>
        <v>1 [19.090938]</v>
      </c>
      <c r="J49">
        <f>IF(FT!B49&lt;&gt;"",FT!C49,"")</f>
        <v>19.090900000000001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3.5777700000000001</v>
      </c>
      <c r="G50" s="61">
        <f>IF(FT!B50&lt;&gt;"",FT!B50*100,"")</f>
        <v>34.569899999999997</v>
      </c>
      <c r="H50" s="61">
        <f t="shared" si="1"/>
        <v>1</v>
      </c>
      <c r="I50" t="str">
        <f>IF(FT!B50&lt;&gt;"",FT!E50,"")</f>
        <v>1 [19.498385]</v>
      </c>
      <c r="J50">
        <f>IF(FT!B50&lt;&gt;"",FT!C50,"")</f>
        <v>19.4984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126167</v>
      </c>
      <c r="D51" s="61">
        <f>FH!B51*1</f>
        <v>126167</v>
      </c>
      <c r="E51">
        <f t="shared" si="3"/>
        <v>49</v>
      </c>
      <c r="F51" s="61">
        <f>IF(FT!A51&lt;&gt;"",FT!A51*10,"")</f>
        <v>3.5445799999999998</v>
      </c>
      <c r="G51" s="61">
        <f>IF(FT!B51&lt;&gt;"",FT!B51*100,"")</f>
        <v>35.124300000000005</v>
      </c>
      <c r="H51" s="61">
        <f t="shared" si="1"/>
        <v>1</v>
      </c>
      <c r="I51" t="str">
        <f>IF(FT!B51&lt;&gt;"",FT!E51,"")</f>
        <v>1 [19.907954]</v>
      </c>
      <c r="J51">
        <f>IF(FT!B51&lt;&gt;"",FT!C51,"")</f>
        <v>19.908000000000001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3.5209800000000002</v>
      </c>
      <c r="G52" s="61">
        <f>IF(FT!B52&lt;&gt;"",FT!B52*100,"")</f>
        <v>35.537199999999999</v>
      </c>
      <c r="H52" s="61">
        <f t="shared" si="1"/>
        <v>1</v>
      </c>
      <c r="I52" t="str">
        <f>IF(FT!B52&lt;&gt;"",FT!E52,"")</f>
        <v>1 [20.314260]</v>
      </c>
      <c r="J52">
        <f>IF(FT!B52&lt;&gt;"",FT!C52,"")</f>
        <v>20.314299999999999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3.4944199999999999</v>
      </c>
      <c r="G53" s="61">
        <f>IF(FT!B53&lt;&gt;"",FT!B53*100,"")</f>
        <v>35.966099999999997</v>
      </c>
      <c r="H53" s="61">
        <f t="shared" si="1"/>
        <v>1</v>
      </c>
      <c r="I53" t="str">
        <f>IF(FT!B53&lt;&gt;"",FT!E53,"")</f>
        <v>1 [20.721163]</v>
      </c>
      <c r="J53">
        <f>IF(FT!B53&lt;&gt;"",FT!C53,"")</f>
        <v>20.7212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140116</v>
      </c>
      <c r="D54" s="61">
        <f>FH!B54*1</f>
        <v>140116</v>
      </c>
      <c r="E54">
        <f t="shared" si="3"/>
        <v>52</v>
      </c>
      <c r="F54" s="61">
        <f>IF(FT!A54&lt;&gt;"",FT!A54*10,"")</f>
        <v>3.4676900000000002</v>
      </c>
      <c r="G54" s="61">
        <f>IF(FT!B54&lt;&gt;"",FT!B54*100,"")</f>
        <v>36.4589</v>
      </c>
      <c r="H54" s="61">
        <f t="shared" si="1"/>
        <v>1</v>
      </c>
      <c r="I54" t="str">
        <f>IF(FT!B54&lt;&gt;"",FT!E54,"")</f>
        <v>1 [21.124238]</v>
      </c>
      <c r="J54">
        <f>IF(FT!B54&lt;&gt;"",FT!C54,"")</f>
        <v>21.124199999999998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3.44584</v>
      </c>
      <c r="G55" s="61">
        <f>IF(FT!B55&lt;&gt;"",FT!B55*100,"")</f>
        <v>36.801499999999997</v>
      </c>
      <c r="H55" s="61">
        <f t="shared" si="1"/>
        <v>1</v>
      </c>
      <c r="I55" t="str">
        <f>IF(FT!B55&lt;&gt;"",FT!E55,"")</f>
        <v>1 [21.528959]</v>
      </c>
      <c r="J55">
        <f>IF(FT!B55&lt;&gt;"",FT!C55,"")</f>
        <v>21.529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3.4294599999999997</v>
      </c>
      <c r="G56" s="61">
        <f>IF(FT!B56&lt;&gt;"",FT!B56*100,"")</f>
        <v>37.054400000000001</v>
      </c>
      <c r="H56" s="61">
        <f t="shared" si="1"/>
        <v>1</v>
      </c>
      <c r="I56" t="str">
        <f>IF(FT!B56&lt;&gt;"",FT!E56,"")</f>
        <v>1 [21.936070]</v>
      </c>
      <c r="J56">
        <f>IF(FT!B56&lt;&gt;"",FT!C56,"")</f>
        <v>21.9361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150265</v>
      </c>
      <c r="D57" s="61">
        <f>FH!B57*1</f>
        <v>150265</v>
      </c>
      <c r="E57">
        <f t="shared" si="3"/>
        <v>55</v>
      </c>
      <c r="F57" s="61">
        <f>IF(FT!A57&lt;&gt;"",FT!A57*10,"")</f>
        <v>3.4135900000000001</v>
      </c>
      <c r="G57" s="61">
        <f>IF(FT!B57&lt;&gt;"",FT!B57*100,"")</f>
        <v>37.3431</v>
      </c>
      <c r="H57" s="61">
        <f t="shared" si="1"/>
        <v>1</v>
      </c>
      <c r="I57" t="str">
        <f>IF(FT!B57&lt;&gt;"",FT!E57,"")</f>
        <v>1 [22.342092]</v>
      </c>
      <c r="J57">
        <f>IF(FT!B57&lt;&gt;"",FT!C57,"")</f>
        <v>22.342099999999999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3.4000000000000004</v>
      </c>
      <c r="G58" s="61">
        <f>IF(FT!B58&lt;&gt;"",FT!B58*100,"")</f>
        <v>37.645400000000002</v>
      </c>
      <c r="H58" s="61">
        <f t="shared" si="1"/>
        <v>1</v>
      </c>
      <c r="I58" t="str">
        <f>IF(FT!B58&lt;&gt;"",FT!E58,"")</f>
        <v>1 [22.749751]</v>
      </c>
      <c r="J58">
        <f>IF(FT!B58&lt;&gt;"",FT!C58,"")</f>
        <v>22.7498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145764</v>
      </c>
      <c r="D59" s="61">
        <f>FH!B59*1</f>
        <v>145764</v>
      </c>
      <c r="E59">
        <f t="shared" si="3"/>
        <v>57</v>
      </c>
      <c r="F59" s="61">
        <f>IF(FT!A59&lt;&gt;"",FT!A59*10,"")</f>
        <v>3.3858800000000002</v>
      </c>
      <c r="G59" s="61">
        <f>IF(FT!B59&lt;&gt;"",FT!B59*100,"")</f>
        <v>37.878499999999995</v>
      </c>
      <c r="H59" s="61">
        <f t="shared" si="1"/>
        <v>1</v>
      </c>
      <c r="I59" t="str">
        <f>IF(FT!B59&lt;&gt;"",FT!E59,"")</f>
        <v>1 [23.155612]</v>
      </c>
      <c r="J59">
        <f>IF(FT!B59&lt;&gt;"",FT!C59,"")</f>
        <v>23.1556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3.3765400000000003</v>
      </c>
      <c r="G60" s="61">
        <f>IF(FT!B60&lt;&gt;"",FT!B60*100,"")</f>
        <v>38.049399999999999</v>
      </c>
      <c r="H60" s="61">
        <f t="shared" si="1"/>
        <v>1</v>
      </c>
      <c r="I60" t="str">
        <f>IF(FT!B60&lt;&gt;"",FT!E60,"")</f>
        <v>1 [23.558450]</v>
      </c>
      <c r="J60">
        <f>IF(FT!B60&lt;&gt;"",FT!C60,"")</f>
        <v>23.558499999999999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3.37568</v>
      </c>
      <c r="G61" s="61">
        <f>IF(FT!B61&lt;&gt;"",FT!B61*100,"")</f>
        <v>38.067799999999998</v>
      </c>
      <c r="H61" s="61">
        <f t="shared" si="1"/>
        <v>1</v>
      </c>
      <c r="I61" t="str">
        <f>IF(FT!B61&lt;&gt;"",FT!E61,"")</f>
        <v>1 [23.967816]</v>
      </c>
      <c r="J61">
        <f>IF(FT!B61&lt;&gt;"",FT!C61,"")</f>
        <v>23.9678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141881</v>
      </c>
      <c r="D62" s="61">
        <f>FH!B62*1</f>
        <v>141881</v>
      </c>
      <c r="E62">
        <f t="shared" si="3"/>
        <v>60</v>
      </c>
      <c r="F62" s="61">
        <f>IF(FT!A62&lt;&gt;"",FT!A62*10,"")</f>
        <v>3.3715299999999999</v>
      </c>
      <c r="G62" s="61">
        <f>IF(FT!B62&lt;&gt;"",FT!B62*100,"")</f>
        <v>38.159100000000002</v>
      </c>
      <c r="H62" s="61">
        <f t="shared" si="1"/>
        <v>1</v>
      </c>
      <c r="I62" t="str">
        <f>IF(FT!B62&lt;&gt;"",FT!E62,"")</f>
        <v>1 [24.374628]</v>
      </c>
      <c r="J62">
        <f>IF(FT!B62&lt;&gt;"",FT!C62,"")</f>
        <v>24.374600000000001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3.3755200000000003</v>
      </c>
      <c r="G63" s="61">
        <f>IF(FT!B63&lt;&gt;"",FT!B63*100,"")</f>
        <v>38.148700000000005</v>
      </c>
      <c r="H63" s="61">
        <f t="shared" si="1"/>
        <v>1</v>
      </c>
      <c r="I63" t="str">
        <f>IF(FT!B63&lt;&gt;"",FT!E63,"")</f>
        <v>1 [24.778212]</v>
      </c>
      <c r="J63">
        <f>IF(FT!B63&lt;&gt;"",FT!C63,"")</f>
        <v>24.778199999999998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139680</v>
      </c>
      <c r="D64" s="61">
        <f>FH!B64*1</f>
        <v>139680</v>
      </c>
      <c r="E64">
        <f t="shared" si="3"/>
        <v>62</v>
      </c>
      <c r="F64" s="61">
        <f>IF(FT!A64&lt;&gt;"",FT!A64*10,"")</f>
        <v>3.3902799999999997</v>
      </c>
      <c r="G64" s="61">
        <f>IF(FT!B64&lt;&gt;"",FT!B64*100,"")</f>
        <v>37.934200000000004</v>
      </c>
      <c r="H64" s="61">
        <f t="shared" si="1"/>
        <v>1</v>
      </c>
      <c r="I64" t="str">
        <f>IF(FT!B64&lt;&gt;"",FT!E64,"")</f>
        <v>1 [25.187213]</v>
      </c>
      <c r="J64">
        <f>IF(FT!B64&lt;&gt;"",FT!C64,"")</f>
        <v>25.187200000000001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3.3960499999999998</v>
      </c>
      <c r="G65" s="61">
        <f>IF(FT!B65&lt;&gt;"",FT!B65*100,"")</f>
        <v>37.838699999999996</v>
      </c>
      <c r="H65" s="61">
        <f t="shared" si="1"/>
        <v>1</v>
      </c>
      <c r="I65" t="str">
        <f>IF(FT!B65&lt;&gt;"",FT!E65,"")</f>
        <v>1 [25.589993]</v>
      </c>
      <c r="J65">
        <f>IF(FT!B65&lt;&gt;"",FT!C65,"")</f>
        <v>25.59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3.4054600000000002</v>
      </c>
      <c r="G66" s="61">
        <f>IF(FT!B66&lt;&gt;"",FT!B66*100,"")</f>
        <v>37.698700000000002</v>
      </c>
      <c r="H66" s="61">
        <f t="shared" si="1"/>
        <v>1</v>
      </c>
      <c r="I66" t="str">
        <f>IF(FT!B66&lt;&gt;"",FT!E66,"")</f>
        <v>1 [25.997044]</v>
      </c>
      <c r="J66">
        <f>IF(FT!B66&lt;&gt;"",FT!C66,"")</f>
        <v>25.997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143470</v>
      </c>
      <c r="D67" s="61">
        <f>FH!B67*1</f>
        <v>143470</v>
      </c>
      <c r="E67">
        <f t="shared" si="3"/>
        <v>65</v>
      </c>
      <c r="F67" s="61">
        <f>IF(FT!A67&lt;&gt;"",FT!A67*10,"")</f>
        <v>3.41323</v>
      </c>
      <c r="G67" s="61">
        <f>IF(FT!B67&lt;&gt;"",FT!B67*100,"")</f>
        <v>37.533000000000001</v>
      </c>
      <c r="H67" s="61">
        <f t="shared" ref="H67:H130" si="9">(IF(F67&lt;&gt;"",1,""))</f>
        <v>1</v>
      </c>
      <c r="I67" t="str">
        <f>IF(FT!B67&lt;&gt;"",FT!E67,"")</f>
        <v>1 [26.407432]</v>
      </c>
      <c r="J67">
        <f>IF(FT!B67&lt;&gt;"",FT!C67,"")</f>
        <v>26.407399999999999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3.4228999999999998</v>
      </c>
      <c r="G68" s="61">
        <f>IF(FT!B68&lt;&gt;"",FT!B68*100,"")</f>
        <v>37.322699999999998</v>
      </c>
      <c r="H68" s="61">
        <f t="shared" si="9"/>
        <v>1</v>
      </c>
      <c r="I68" t="str">
        <f>IF(FT!B68&lt;&gt;"",FT!E68,"")</f>
        <v>1 [26.811972]</v>
      </c>
      <c r="J68">
        <f>IF(FT!B68&lt;&gt;"",FT!C68,"")</f>
        <v>26.812000000000001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135665</v>
      </c>
      <c r="D69" s="61">
        <f>FH!B69*1</f>
        <v>135665</v>
      </c>
      <c r="E69">
        <f t="shared" si="11"/>
        <v>67</v>
      </c>
      <c r="F69" s="61">
        <f>IF(FT!A69&lt;&gt;"",FT!A69*10,"")</f>
        <v>3.43919</v>
      </c>
      <c r="G69" s="61">
        <f>IF(FT!B69&lt;&gt;"",FT!B69*100,"")</f>
        <v>36.947899999999997</v>
      </c>
      <c r="H69" s="61">
        <f t="shared" si="9"/>
        <v>1</v>
      </c>
      <c r="I69" t="str">
        <f>IF(FT!B69&lt;&gt;"",FT!E69,"")</f>
        <v>1 [27.218912]</v>
      </c>
      <c r="J69">
        <f>IF(FT!B69&lt;&gt;"",FT!C69,"")</f>
        <v>27.218900000000001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3.4546700000000001</v>
      </c>
      <c r="G70" s="61">
        <f>IF(FT!B70&lt;&gt;"",FT!B70*100,"")</f>
        <v>36.596200000000003</v>
      </c>
      <c r="H70" s="61">
        <f t="shared" si="9"/>
        <v>1</v>
      </c>
      <c r="I70" t="str">
        <f>IF(FT!B70&lt;&gt;"",FT!E70,"")</f>
        <v>1 [27.622703]</v>
      </c>
      <c r="J70">
        <f>IF(FT!B70&lt;&gt;"",FT!C70,"")</f>
        <v>27.622699999999998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3.4708199999999998</v>
      </c>
      <c r="G71" s="61">
        <f>IF(FT!B71&lt;&gt;"",FT!B71*100,"")</f>
        <v>36.191099999999999</v>
      </c>
      <c r="H71" s="61">
        <f t="shared" si="9"/>
        <v>1</v>
      </c>
      <c r="I71" t="str">
        <f>IF(FT!B71&lt;&gt;"",FT!E71,"")</f>
        <v>1 [28.029687]</v>
      </c>
      <c r="J71">
        <f>IF(FT!B71&lt;&gt;"",FT!C71,"")</f>
        <v>28.029699999999998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129796</v>
      </c>
      <c r="D72" s="61">
        <f>FH!B72*1</f>
        <v>129796</v>
      </c>
      <c r="E72">
        <f t="shared" si="11"/>
        <v>70</v>
      </c>
      <c r="F72" s="61">
        <f>IF(FT!A72&lt;&gt;"",FT!A72*10,"")</f>
        <v>3.4869400000000002</v>
      </c>
      <c r="G72" s="61">
        <f>IF(FT!B72&lt;&gt;"",FT!B72*100,"")</f>
        <v>35.740699999999997</v>
      </c>
      <c r="H72" s="61">
        <f t="shared" si="9"/>
        <v>1</v>
      </c>
      <c r="I72" t="str">
        <f>IF(FT!B72&lt;&gt;"",FT!E72,"")</f>
        <v>1 [28.437571]</v>
      </c>
      <c r="J72">
        <f>IF(FT!B72&lt;&gt;"",FT!C72,"")</f>
        <v>28.4376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3.4993800000000004</v>
      </c>
      <c r="G73" s="61">
        <f>IF(FT!B73&lt;&gt;"",FT!B73*100,"")</f>
        <v>35.431200000000004</v>
      </c>
      <c r="H73" s="61">
        <f t="shared" si="9"/>
        <v>1</v>
      </c>
      <c r="I73" t="str">
        <f>IF(FT!B73&lt;&gt;"",FT!E73,"")</f>
        <v>1 [28.843403]</v>
      </c>
      <c r="J73">
        <f>IF(FT!B73&lt;&gt;"",FT!C73,"")</f>
        <v>28.843399999999999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3.5169199999999998</v>
      </c>
      <c r="G74" s="61">
        <f>IF(FT!B74&lt;&gt;"",FT!B74*100,"")</f>
        <v>34.873699999999999</v>
      </c>
      <c r="H74" s="61">
        <f t="shared" si="9"/>
        <v>1</v>
      </c>
      <c r="I74" t="str">
        <f>IF(FT!B74&lt;&gt;"",FT!E74,"")</f>
        <v>1 [29.249411]</v>
      </c>
      <c r="J74">
        <f>IF(FT!B74&lt;&gt;"",FT!C74,"")</f>
        <v>29.249400000000001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129833</v>
      </c>
      <c r="D75" s="61">
        <f>FH!B75*1</f>
        <v>129833</v>
      </c>
      <c r="E75">
        <f t="shared" si="11"/>
        <v>73</v>
      </c>
      <c r="F75" s="61">
        <f>IF(FT!A75&lt;&gt;"",FT!A75*10,"")</f>
        <v>3.5306100000000002</v>
      </c>
      <c r="G75" s="61">
        <f>IF(FT!B75&lt;&gt;"",FT!B75*100,"")</f>
        <v>34.580599999999997</v>
      </c>
      <c r="H75" s="61">
        <f t="shared" si="9"/>
        <v>1</v>
      </c>
      <c r="I75" t="str">
        <f>IF(FT!B75&lt;&gt;"",FT!E75,"")</f>
        <v>1 [29.654350]</v>
      </c>
      <c r="J75">
        <f>IF(FT!B75&lt;&gt;"",FT!C75,"")</f>
        <v>29.654399999999999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3.5478900000000002</v>
      </c>
      <c r="G76" s="61">
        <f>IF(FT!B76&lt;&gt;"",FT!B76*100,"")</f>
        <v>34.098800000000004</v>
      </c>
      <c r="H76" s="61">
        <f t="shared" si="9"/>
        <v>1</v>
      </c>
      <c r="I76" t="str">
        <f>IF(FT!B76&lt;&gt;"",FT!E76,"")</f>
        <v>2 [30.061205]</v>
      </c>
      <c r="J76">
        <f>IF(FT!B76&lt;&gt;"",FT!C76,"")</f>
        <v>30.061199999999999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136061</v>
      </c>
      <c r="D77" s="61">
        <f>FH!B77*1</f>
        <v>136061</v>
      </c>
      <c r="E77">
        <f t="shared" si="11"/>
        <v>75</v>
      </c>
      <c r="F77" s="61">
        <f>IF(FT!A77&lt;&gt;"",FT!A77*10,"")</f>
        <v>3.5623500000000003</v>
      </c>
      <c r="G77" s="61">
        <f>IF(FT!B77&lt;&gt;"",FT!B77*100,"")</f>
        <v>33.701999999999998</v>
      </c>
      <c r="H77" s="61">
        <f t="shared" si="9"/>
        <v>1</v>
      </c>
      <c r="I77" t="str">
        <f>IF(FT!B77&lt;&gt;"",FT!E77,"")</f>
        <v>2 [30.528196]</v>
      </c>
      <c r="J77">
        <f>IF(FT!B77&lt;&gt;"",FT!C77,"")</f>
        <v>30.528199999999998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3.5780499999999997</v>
      </c>
      <c r="G78" s="61">
        <f>IF(FT!B78&lt;&gt;"",FT!B78*100,"")</f>
        <v>33.307700000000004</v>
      </c>
      <c r="H78" s="61">
        <f t="shared" si="9"/>
        <v>1</v>
      </c>
      <c r="I78" t="str">
        <f>IF(FT!B78&lt;&gt;"",FT!E78,"")</f>
        <v>2 [30.921385]</v>
      </c>
      <c r="J78">
        <f>IF(FT!B78&lt;&gt;"",FT!C78,"")</f>
        <v>30.921399999999998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3.5937099999999997</v>
      </c>
      <c r="G79" s="61">
        <f>IF(FT!B79&lt;&gt;"",FT!B79*100,"")</f>
        <v>32.933</v>
      </c>
      <c r="H79" s="61">
        <f t="shared" si="9"/>
        <v>1</v>
      </c>
      <c r="I79" t="str">
        <f>IF(FT!B79&lt;&gt;"",FT!E79,"")</f>
        <v>2 [31.323041]</v>
      </c>
      <c r="J79">
        <f>IF(FT!B79&lt;&gt;"",FT!C79,"")</f>
        <v>31.323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136174</v>
      </c>
      <c r="D80" s="61">
        <f>FH!B80*1</f>
        <v>136174</v>
      </c>
      <c r="E80">
        <f t="shared" si="11"/>
        <v>78</v>
      </c>
      <c r="F80" s="61">
        <f>IF(FT!A80&lt;&gt;"",FT!A80*10,"")</f>
        <v>3.6106799999999999</v>
      </c>
      <c r="G80" s="61">
        <f>IF(FT!B80&lt;&gt;"",FT!B80*100,"")</f>
        <v>32.522800000000004</v>
      </c>
      <c r="H80" s="61">
        <f t="shared" si="9"/>
        <v>1</v>
      </c>
      <c r="I80" t="str">
        <f>IF(FT!B80&lt;&gt;"",FT!E80,"")</f>
        <v>2 [31.735152]</v>
      </c>
      <c r="J80">
        <f>IF(FT!B80&lt;&gt;"",FT!C80,"")</f>
        <v>31.735199999999999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3.6272100000000003</v>
      </c>
      <c r="G81" s="61">
        <f>IF(FT!B81&lt;&gt;"",FT!B81*100,"")</f>
        <v>32.040800000000004</v>
      </c>
      <c r="H81" s="61">
        <f t="shared" si="9"/>
        <v>1</v>
      </c>
      <c r="I81" t="str">
        <f>IF(FT!B81&lt;&gt;"",FT!E81,"")</f>
        <v>2 [32.138205]</v>
      </c>
      <c r="J81">
        <f>IF(FT!B81&lt;&gt;"",FT!C81,"")</f>
        <v>32.138199999999998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138469</v>
      </c>
      <c r="D82" s="61">
        <f>FH!B82*1</f>
        <v>138469</v>
      </c>
      <c r="E82">
        <f t="shared" si="11"/>
        <v>80</v>
      </c>
      <c r="F82" s="61">
        <f>IF(FT!A82&lt;&gt;"",FT!A82*10,"")</f>
        <v>3.6428400000000001</v>
      </c>
      <c r="G82" s="61">
        <f>IF(FT!B82&lt;&gt;"",FT!B82*100,"")</f>
        <v>31.5457</v>
      </c>
      <c r="H82" s="61">
        <f t="shared" si="9"/>
        <v>1</v>
      </c>
      <c r="I82" t="str">
        <f>IF(FT!B82&lt;&gt;"",FT!E82,"")</f>
        <v>2 [32.548070]</v>
      </c>
      <c r="J82">
        <f>IF(FT!B82&lt;&gt;"",FT!C82,"")</f>
        <v>32.548099999999998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3.6572199999999997</v>
      </c>
      <c r="G83" s="61">
        <f>IF(FT!B83&lt;&gt;"",FT!B83*100,"")</f>
        <v>31.055</v>
      </c>
      <c r="H83" s="61">
        <f t="shared" si="9"/>
        <v>1</v>
      </c>
      <c r="I83" t="str">
        <f>IF(FT!B83&lt;&gt;"",FT!E83,"")</f>
        <v>2 [32.950338]</v>
      </c>
      <c r="J83">
        <f>IF(FT!B83&lt;&gt;"",FT!C83,"")</f>
        <v>32.950299999999999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3.6681300000000001</v>
      </c>
      <c r="G84" s="61">
        <f>IF(FT!B84&lt;&gt;"",FT!B84*100,"")</f>
        <v>30.642500000000002</v>
      </c>
      <c r="H84" s="61">
        <f t="shared" si="9"/>
        <v>1</v>
      </c>
      <c r="I84" t="str">
        <f>IF(FT!B84&lt;&gt;"",FT!E84,"")</f>
        <v>2 [33.354622]</v>
      </c>
      <c r="J84">
        <f>IF(FT!B84&lt;&gt;"",FT!C84,"")</f>
        <v>33.354599999999998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137730</v>
      </c>
      <c r="D85" s="61">
        <f>FH!B85*1</f>
        <v>137730</v>
      </c>
      <c r="E85">
        <f t="shared" si="11"/>
        <v>83</v>
      </c>
      <c r="F85" s="61">
        <f>IF(FT!A85&lt;&gt;"",FT!A85*10,"")</f>
        <v>3.67896</v>
      </c>
      <c r="G85" s="61">
        <f>IF(FT!B85&lt;&gt;"",FT!B85*100,"")</f>
        <v>30.2529</v>
      </c>
      <c r="H85" s="61">
        <f t="shared" si="9"/>
        <v>1</v>
      </c>
      <c r="I85" t="str">
        <f>IF(FT!B85&lt;&gt;"",FT!E85,"")</f>
        <v>2 [33.762833]</v>
      </c>
      <c r="J85">
        <f>IF(FT!B85&lt;&gt;"",FT!C85,"")</f>
        <v>33.762799999999999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3.69048</v>
      </c>
      <c r="G86" s="61">
        <f>IF(FT!B86&lt;&gt;"",FT!B86*100,"")</f>
        <v>29.817900000000002</v>
      </c>
      <c r="H86" s="61">
        <f t="shared" si="9"/>
        <v>1</v>
      </c>
      <c r="I86" t="str">
        <f>IF(FT!B86&lt;&gt;"",FT!E86,"")</f>
        <v>2 [34.174080]</v>
      </c>
      <c r="J86">
        <f>IF(FT!B86&lt;&gt;"",FT!C86,"")</f>
        <v>34.174100000000003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3.69956</v>
      </c>
      <c r="G87" s="61">
        <f>IF(FT!B87&lt;&gt;"",FT!B87*100,"")</f>
        <v>29.408800000000003</v>
      </c>
      <c r="H87" s="61">
        <f t="shared" si="9"/>
        <v>1</v>
      </c>
      <c r="I87" t="str">
        <f>IF(FT!B87&lt;&gt;"",FT!E87,"")</f>
        <v>2 [34.576692]</v>
      </c>
      <c r="J87">
        <f>IF(FT!B87&lt;&gt;"",FT!C87,"")</f>
        <v>34.576700000000002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138466</v>
      </c>
      <c r="D88" s="61">
        <f>FH!B88*1</f>
        <v>138466</v>
      </c>
      <c r="E88">
        <f t="shared" si="11"/>
        <v>86</v>
      </c>
      <c r="F88" s="61">
        <f>IF(FT!A88&lt;&gt;"",FT!A88*10,"")</f>
        <v>3.7078600000000002</v>
      </c>
      <c r="G88" s="61">
        <f>IF(FT!B88&lt;&gt;"",FT!B88*100,"")</f>
        <v>29.035499999999999</v>
      </c>
      <c r="H88" s="61">
        <f t="shared" si="9"/>
        <v>1</v>
      </c>
      <c r="I88" t="str">
        <f>IF(FT!B88&lt;&gt;"",FT!E88,"")</f>
        <v>2 [34.980350]</v>
      </c>
      <c r="J88">
        <f>IF(FT!B88&lt;&gt;"",FT!C88,"")</f>
        <v>34.9803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3.71549</v>
      </c>
      <c r="G89" s="61">
        <f>IF(FT!B89&lt;&gt;"",FT!B89*100,"")</f>
        <v>28.693200000000001</v>
      </c>
      <c r="H89" s="61">
        <f t="shared" si="9"/>
        <v>1</v>
      </c>
      <c r="I89" t="str">
        <f>IF(FT!B89&lt;&gt;"",FT!E89,"")</f>
        <v>2 [35.391543]</v>
      </c>
      <c r="J89">
        <f>IF(FT!B89&lt;&gt;"",FT!C89,"")</f>
        <v>35.391500000000001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131501</v>
      </c>
      <c r="D90" s="61">
        <f>FH!B90*1</f>
        <v>131501</v>
      </c>
      <c r="E90">
        <f t="shared" si="11"/>
        <v>88</v>
      </c>
      <c r="F90" s="61">
        <f>IF(FT!A90&lt;&gt;"",FT!A90*10,"")</f>
        <v>3.72499</v>
      </c>
      <c r="G90" s="61">
        <f>IF(FT!B90&lt;&gt;"",FT!B90*100,"")</f>
        <v>28.307500000000001</v>
      </c>
      <c r="H90" s="61">
        <f t="shared" si="9"/>
        <v>1</v>
      </c>
      <c r="I90" t="str">
        <f>IF(FT!B90&lt;&gt;"",FT!E90,"")</f>
        <v>2 [35.796671]</v>
      </c>
      <c r="J90">
        <f>IF(FT!B90&lt;&gt;"",FT!C90,"")</f>
        <v>35.796700000000001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3.7378499999999999</v>
      </c>
      <c r="G91" s="61">
        <f>IF(FT!B91&lt;&gt;"",FT!B91*100,"")</f>
        <v>27.999700000000001</v>
      </c>
      <c r="H91" s="61">
        <f t="shared" si="9"/>
        <v>1</v>
      </c>
      <c r="I91" t="str">
        <f>IF(FT!B91&lt;&gt;"",FT!E91,"")</f>
        <v>2 [36.200150]</v>
      </c>
      <c r="J91">
        <f>IF(FT!B91&lt;&gt;"",FT!C91,"")</f>
        <v>36.200200000000002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3.7516100000000003</v>
      </c>
      <c r="G92" s="61">
        <f>IF(FT!B92&lt;&gt;"",FT!B92*100,"")</f>
        <v>27.757100000000001</v>
      </c>
      <c r="H92" s="61">
        <f t="shared" si="9"/>
        <v>1</v>
      </c>
      <c r="I92" t="str">
        <f>IF(FT!B92&lt;&gt;"",FT!E92,"")</f>
        <v>2 [36.610295]</v>
      </c>
      <c r="J92">
        <f>IF(FT!B92&lt;&gt;"",FT!C92,"")</f>
        <v>36.610300000000002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119756</v>
      </c>
      <c r="D93" s="61">
        <f>FH!B93*1</f>
        <v>119756</v>
      </c>
      <c r="E93">
        <f t="shared" si="11"/>
        <v>91</v>
      </c>
      <c r="F93" s="61">
        <f>IF(FT!A93&lt;&gt;"",FT!A93*10,"")</f>
        <v>3.7640000000000002</v>
      </c>
      <c r="G93" s="61">
        <f>IF(FT!B93&lt;&gt;"",FT!B93*100,"")</f>
        <v>27.539899999999999</v>
      </c>
      <c r="H93" s="61">
        <f t="shared" si="9"/>
        <v>1</v>
      </c>
      <c r="I93" t="str">
        <f>IF(FT!B93&lt;&gt;"",FT!E93,"")</f>
        <v>2 [37.011883]</v>
      </c>
      <c r="J93">
        <f>IF(FT!B93&lt;&gt;"",FT!C93,"")</f>
        <v>37.011899999999997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3.7743500000000001</v>
      </c>
      <c r="G94" s="61">
        <f>IF(FT!B94&lt;&gt;"",FT!B94*100,"")</f>
        <v>27.481299999999997</v>
      </c>
      <c r="H94" s="61">
        <f t="shared" si="9"/>
        <v>1</v>
      </c>
      <c r="I94" t="str">
        <f>IF(FT!B94&lt;&gt;"",FT!E94,"")</f>
        <v>2 [37.419047]</v>
      </c>
      <c r="J94">
        <f>IF(FT!B94&lt;&gt;"",FT!C94,"")</f>
        <v>37.418999999999997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119402</v>
      </c>
      <c r="D95" s="61">
        <f>FH!B95*1</f>
        <v>119402</v>
      </c>
      <c r="E95">
        <f t="shared" si="11"/>
        <v>93</v>
      </c>
      <c r="F95" s="61">
        <f>IF(FT!A95&lt;&gt;"",FT!A95*10,"")</f>
        <v>3.7811299999999997</v>
      </c>
      <c r="G95" s="61">
        <f>IF(FT!B95&lt;&gt;"",FT!B95*100,"")</f>
        <v>27.508899999999997</v>
      </c>
      <c r="H95" s="61">
        <f t="shared" si="9"/>
        <v>1</v>
      </c>
      <c r="I95" t="str">
        <f>IF(FT!B95&lt;&gt;"",FT!E95,"")</f>
        <v>2 [37.829196]</v>
      </c>
      <c r="J95">
        <f>IF(FT!B95&lt;&gt;"",FT!C95,"")</f>
        <v>37.8292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3.7834600000000003</v>
      </c>
      <c r="G96" s="61">
        <f>IF(FT!B96&lt;&gt;"",FT!B96*100,"")</f>
        <v>27.6403</v>
      </c>
      <c r="H96" s="61">
        <f t="shared" si="9"/>
        <v>1</v>
      </c>
      <c r="I96" t="str">
        <f>IF(FT!B96&lt;&gt;"",FT!E96,"")</f>
        <v>2 [38.232225]</v>
      </c>
      <c r="J96">
        <f>IF(FT!B96&lt;&gt;"",FT!C96,"")</f>
        <v>38.232199999999999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3.7856099999999997</v>
      </c>
      <c r="G97" s="61">
        <f>IF(FT!B97&lt;&gt;"",FT!B97*100,"")</f>
        <v>27.847100000000001</v>
      </c>
      <c r="H97" s="61">
        <f t="shared" si="9"/>
        <v>1</v>
      </c>
      <c r="I97" t="str">
        <f>IF(FT!B97&lt;&gt;"",FT!E97,"")</f>
        <v>2 [38.637502]</v>
      </c>
      <c r="J97">
        <f>IF(FT!B97&lt;&gt;"",FT!C97,"")</f>
        <v>38.637500000000003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111439</v>
      </c>
      <c r="D98" s="61">
        <f>FH!B98*1</f>
        <v>111439</v>
      </c>
      <c r="E98">
        <f t="shared" si="11"/>
        <v>96</v>
      </c>
      <c r="F98" s="61">
        <f>IF(FT!A98&lt;&gt;"",FT!A98*10,"")</f>
        <v>3.7913599999999996</v>
      </c>
      <c r="G98" s="61">
        <f>IF(FT!B98&lt;&gt;"",FT!B98*100,"")</f>
        <v>28.044400000000003</v>
      </c>
      <c r="H98" s="61">
        <f t="shared" si="9"/>
        <v>1</v>
      </c>
      <c r="I98" t="str">
        <f>IF(FT!B98&lt;&gt;"",FT!E98,"")</f>
        <v>2 [39.044845]</v>
      </c>
      <c r="J98">
        <f>IF(FT!B98&lt;&gt;"",FT!C98,"")</f>
        <v>39.044800000000002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3.79705</v>
      </c>
      <c r="G99" s="61">
        <f>IF(FT!B99&lt;&gt;"",FT!B99*100,"")</f>
        <v>28.183200000000003</v>
      </c>
      <c r="H99" s="61">
        <f t="shared" si="9"/>
        <v>1</v>
      </c>
      <c r="I99" t="str">
        <f>IF(FT!B99&lt;&gt;"",FT!E99,"")</f>
        <v>2 [39.453617]</v>
      </c>
      <c r="J99">
        <f>IF(FT!B99&lt;&gt;"",FT!C99,"")</f>
        <v>39.453600000000002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115730</v>
      </c>
      <c r="D100" s="61">
        <f>FH!B100*1</f>
        <v>115730</v>
      </c>
      <c r="E100">
        <f t="shared" si="11"/>
        <v>98</v>
      </c>
      <c r="F100" s="61">
        <f>IF(FT!A100&lt;&gt;"",FT!A100*10,"")</f>
        <v>3.8023400000000001</v>
      </c>
      <c r="G100" s="61">
        <f>IF(FT!B100&lt;&gt;"",FT!B100*100,"")</f>
        <v>28.291300000000003</v>
      </c>
      <c r="H100" s="61">
        <f t="shared" si="9"/>
        <v>1</v>
      </c>
      <c r="I100" t="str">
        <f>IF(FT!B100&lt;&gt;"",FT!E100,"")</f>
        <v>2 [39.859462]</v>
      </c>
      <c r="J100">
        <f>IF(FT!B100&lt;&gt;"",FT!C100,"")</f>
        <v>39.859499999999997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3.8053999999999997</v>
      </c>
      <c r="G101" s="61">
        <f>IF(FT!B101&lt;&gt;"",FT!B101*100,"")</f>
        <v>28.447600000000001</v>
      </c>
      <c r="H101" s="61">
        <f t="shared" si="9"/>
        <v>1</v>
      </c>
      <c r="I101" t="str">
        <f>IF(FT!B101&lt;&gt;"",FT!E101,"")</f>
        <v>2 [40.263113]</v>
      </c>
      <c r="J101">
        <f>IF(FT!B101&lt;&gt;"",FT!C101,"")</f>
        <v>40.263100000000001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3.8078499999999997</v>
      </c>
      <c r="G102" s="61">
        <f>IF(FT!B102&lt;&gt;"",FT!B102*100,"")</f>
        <v>28.624699999999997</v>
      </c>
      <c r="H102" s="61">
        <f t="shared" si="9"/>
        <v>1</v>
      </c>
      <c r="I102" t="str">
        <f>IF(FT!B102&lt;&gt;"",FT!E102,"")</f>
        <v>2 [40.669363]</v>
      </c>
      <c r="J102">
        <f>IF(FT!B102&lt;&gt;"",FT!C102,"")</f>
        <v>40.669400000000003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116288</v>
      </c>
      <c r="D103" s="61">
        <f>FH!B103*1</f>
        <v>116288</v>
      </c>
      <c r="E103">
        <f t="shared" si="11"/>
        <v>101</v>
      </c>
      <c r="F103" s="61">
        <f>IF(FT!A103&lt;&gt;"",FT!A103*10,"")</f>
        <v>3.8125300000000002</v>
      </c>
      <c r="G103" s="61">
        <f>IF(FT!B103&lt;&gt;"",FT!B103*100,"")</f>
        <v>28.766500000000001</v>
      </c>
      <c r="H103" s="61">
        <f t="shared" si="9"/>
        <v>1</v>
      </c>
      <c r="I103" t="str">
        <f>IF(FT!B103&lt;&gt;"",FT!E103,"")</f>
        <v>2 [41.075152]</v>
      </c>
      <c r="J103">
        <f>IF(FT!B103&lt;&gt;"",FT!C103,"")</f>
        <v>41.075200000000002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3.81515</v>
      </c>
      <c r="G104" s="61">
        <f>IF(FT!B104&lt;&gt;"",FT!B104*100,"")</f>
        <v>28.944300000000002</v>
      </c>
      <c r="H104" s="61">
        <f t="shared" si="9"/>
        <v>1</v>
      </c>
      <c r="I104" t="str">
        <f>IF(FT!B104&lt;&gt;"",FT!E104,"")</f>
        <v>2 [41.487263]</v>
      </c>
      <c r="J104">
        <f>IF(FT!B104&lt;&gt;"",FT!C104,"")</f>
        <v>41.487299999999998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3.8171200000000001</v>
      </c>
      <c r="G105" s="61">
        <f>IF(FT!B105&lt;&gt;"",FT!B105*100,"")</f>
        <v>29.139799999999997</v>
      </c>
      <c r="H105" s="61">
        <f t="shared" si="9"/>
        <v>1</v>
      </c>
      <c r="I105" t="str">
        <f>IF(FT!B105&lt;&gt;"",FT!E105,"")</f>
        <v>2 [41.889173]</v>
      </c>
      <c r="J105">
        <f>IF(FT!B105&lt;&gt;"",FT!C105,"")</f>
        <v>41.889200000000002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128740</v>
      </c>
      <c r="D106" s="61">
        <f>FH!B106*1</f>
        <v>128740</v>
      </c>
      <c r="E106">
        <f t="shared" si="11"/>
        <v>104</v>
      </c>
      <c r="F106" s="61">
        <f>IF(FT!A106&lt;&gt;"",FT!A106*10,"")</f>
        <v>3.8187199999999999</v>
      </c>
      <c r="G106" s="61">
        <f>IF(FT!B106&lt;&gt;"",FT!B106*100,"")</f>
        <v>29.291699999999999</v>
      </c>
      <c r="H106" s="61">
        <f t="shared" si="9"/>
        <v>1</v>
      </c>
      <c r="I106" t="str">
        <f>IF(FT!B106&lt;&gt;"",FT!E106,"")</f>
        <v>2 [42.294944]</v>
      </c>
      <c r="J106">
        <f>IF(FT!B106&lt;&gt;"",FT!C106,"")</f>
        <v>42.294899999999998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3.8229800000000003</v>
      </c>
      <c r="G107" s="61">
        <f>IF(FT!B107&lt;&gt;"",FT!B107*100,"")</f>
        <v>29.401699999999998</v>
      </c>
      <c r="H107" s="61">
        <f t="shared" si="9"/>
        <v>1</v>
      </c>
      <c r="I107" t="str">
        <f>IF(FT!B107&lt;&gt;"",FT!E107,"")</f>
        <v>2 [42.700001]</v>
      </c>
      <c r="J107">
        <f>IF(FT!B107&lt;&gt;"",FT!C107,"")</f>
        <v>42.7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136024</v>
      </c>
      <c r="D108" s="61">
        <f>FH!B108*1</f>
        <v>136024</v>
      </c>
      <c r="E108">
        <f t="shared" si="11"/>
        <v>106</v>
      </c>
      <c r="F108" s="61">
        <f>IF(FT!A108&lt;&gt;"",FT!A108*10,"")</f>
        <v>3.8269199999999999</v>
      </c>
      <c r="G108" s="61">
        <f>IF(FT!B108&lt;&gt;"",FT!B108*100,"")</f>
        <v>29.524499999999996</v>
      </c>
      <c r="H108" s="61">
        <f t="shared" si="9"/>
        <v>1</v>
      </c>
      <c r="I108" t="str">
        <f>IF(FT!B108&lt;&gt;"",FT!E108,"")</f>
        <v>2 [43.105326]</v>
      </c>
      <c r="J108">
        <f>IF(FT!B108&lt;&gt;"",FT!C108,"")</f>
        <v>43.1053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3.82884</v>
      </c>
      <c r="G109" s="61">
        <f>IF(FT!B109&lt;&gt;"",FT!B109*100,"")</f>
        <v>29.628900000000002</v>
      </c>
      <c r="H109" s="61">
        <f t="shared" si="9"/>
        <v>1</v>
      </c>
      <c r="I109" t="str">
        <f>IF(FT!B109&lt;&gt;"",FT!E109,"")</f>
        <v>2 [43.514047]</v>
      </c>
      <c r="J109">
        <f>IF(FT!B109&lt;&gt;"",FT!C109,"")</f>
        <v>43.514000000000003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3.82789</v>
      </c>
      <c r="G110" s="61">
        <f>IF(FT!B110&lt;&gt;"",FT!B110*100,"")</f>
        <v>29.737599999999997</v>
      </c>
      <c r="H110" s="61">
        <f t="shared" si="9"/>
        <v>1</v>
      </c>
      <c r="I110" t="str">
        <f>IF(FT!B110&lt;&gt;"",FT!E110,"")</f>
        <v>2 [43.920546]</v>
      </c>
      <c r="J110">
        <f>IF(FT!B110&lt;&gt;"",FT!C110,"")</f>
        <v>43.920499999999997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133386</v>
      </c>
      <c r="D111" s="61">
        <f>FH!B111*1</f>
        <v>133386</v>
      </c>
      <c r="E111">
        <f t="shared" si="11"/>
        <v>109</v>
      </c>
      <c r="F111" s="61">
        <f>IF(FT!A111&lt;&gt;"",FT!A111*10,"")</f>
        <v>3.8270900000000001</v>
      </c>
      <c r="G111" s="61">
        <f>IF(FT!B111&lt;&gt;"",FT!B111*100,"")</f>
        <v>29.804199999999998</v>
      </c>
      <c r="H111" s="61">
        <f t="shared" si="9"/>
        <v>1</v>
      </c>
      <c r="I111" t="str">
        <f>IF(FT!B111&lt;&gt;"",FT!E111,"")</f>
        <v>2 [44.326486]</v>
      </c>
      <c r="J111">
        <f>IF(FT!B111&lt;&gt;"",FT!C111,"")</f>
        <v>44.326500000000003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3.82599</v>
      </c>
      <c r="G112" s="61">
        <f>IF(FT!B112&lt;&gt;"",FT!B112*100,"")</f>
        <v>29.9145</v>
      </c>
      <c r="H112" s="61">
        <f t="shared" si="9"/>
        <v>1</v>
      </c>
      <c r="I112" t="str">
        <f>IF(FT!B112&lt;&gt;"",FT!E112,"")</f>
        <v>2 [44.734455]</v>
      </c>
      <c r="J112">
        <f>IF(FT!B112&lt;&gt;"",FT!C112,"")</f>
        <v>44.734499999999997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142780</v>
      </c>
      <c r="D113" s="61">
        <f>FH!B113*1</f>
        <v>142780</v>
      </c>
      <c r="E113">
        <f t="shared" si="11"/>
        <v>111</v>
      </c>
      <c r="F113" s="61">
        <f>IF(FT!A113&lt;&gt;"",FT!A113*10,"")</f>
        <v>3.8244299999999996</v>
      </c>
      <c r="G113" s="61">
        <f>IF(FT!B113&lt;&gt;"",FT!B113*100,"")</f>
        <v>30.062200000000001</v>
      </c>
      <c r="H113" s="61">
        <f t="shared" si="9"/>
        <v>1</v>
      </c>
      <c r="I113" t="str">
        <f>IF(FT!B113&lt;&gt;"",FT!E113,"")</f>
        <v>2 [45.141435]</v>
      </c>
      <c r="J113">
        <f>IF(FT!B113&lt;&gt;"",FT!C113,"")</f>
        <v>45.141399999999997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3.8243899999999997</v>
      </c>
      <c r="G114" s="61">
        <f>IF(FT!B114&lt;&gt;"",FT!B114*100,"")</f>
        <v>30.1402</v>
      </c>
      <c r="H114" s="61">
        <f t="shared" si="9"/>
        <v>1</v>
      </c>
      <c r="I114" t="str">
        <f>IF(FT!B114&lt;&gt;"",FT!E114,"")</f>
        <v>2 [45.549224]</v>
      </c>
      <c r="J114">
        <f>IF(FT!B114&lt;&gt;"",FT!C114,"")</f>
        <v>45.549199999999999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3.8277800000000002</v>
      </c>
      <c r="G115" s="61">
        <f>IF(FT!B115&lt;&gt;"",FT!B115*100,"")</f>
        <v>30.197800000000001</v>
      </c>
      <c r="H115" s="61">
        <f t="shared" si="9"/>
        <v>1</v>
      </c>
      <c r="I115" t="str">
        <f>IF(FT!B115&lt;&gt;"",FT!E115,"")</f>
        <v>2 [45.949239]</v>
      </c>
      <c r="J115">
        <f>IF(FT!B115&lt;&gt;"",FT!C115,"")</f>
        <v>45.949199999999998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160813</v>
      </c>
      <c r="D116" s="61">
        <f>FH!B116*1</f>
        <v>160813</v>
      </c>
      <c r="E116">
        <f t="shared" si="11"/>
        <v>114</v>
      </c>
      <c r="F116" s="61">
        <f>IF(FT!A116&lt;&gt;"",FT!A116*10,"")</f>
        <v>3.8313100000000002</v>
      </c>
      <c r="G116" s="61">
        <f>IF(FT!B116&lt;&gt;"",FT!B116*100,"")</f>
        <v>30.255900000000004</v>
      </c>
      <c r="H116" s="61">
        <f t="shared" si="9"/>
        <v>1</v>
      </c>
      <c r="I116" t="str">
        <f>IF(FT!B116&lt;&gt;"",FT!E116,"")</f>
        <v>2 [46.359086]</v>
      </c>
      <c r="J116">
        <f>IF(FT!B116&lt;&gt;"",FT!C116,"")</f>
        <v>46.359099999999998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3.8331999999999997</v>
      </c>
      <c r="G117" s="61">
        <f>IF(FT!B117&lt;&gt;"",FT!B117*100,"")</f>
        <v>30.456100000000003</v>
      </c>
      <c r="H117" s="61">
        <f t="shared" si="9"/>
        <v>1</v>
      </c>
      <c r="I117" t="str">
        <f>IF(FT!B117&lt;&gt;"",FT!E117,"")</f>
        <v>2 [46.762352]</v>
      </c>
      <c r="J117">
        <f>IF(FT!B117&lt;&gt;"",FT!C117,"")</f>
        <v>46.7624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167845</v>
      </c>
      <c r="D118" s="61">
        <f>FH!B118*1</f>
        <v>167845</v>
      </c>
      <c r="E118">
        <f t="shared" si="11"/>
        <v>116</v>
      </c>
      <c r="F118" s="61">
        <f>IF(FT!A118&lt;&gt;"",FT!A118*10,"")</f>
        <v>3.8348300000000002</v>
      </c>
      <c r="G118" s="61">
        <f>IF(FT!B118&lt;&gt;"",FT!B118*100,"")</f>
        <v>30.680499999999999</v>
      </c>
      <c r="H118" s="61">
        <f t="shared" si="9"/>
        <v>1</v>
      </c>
      <c r="I118" t="str">
        <f>IF(FT!B118&lt;&gt;"",FT!E118,"")</f>
        <v>2 [47.169152]</v>
      </c>
      <c r="J118">
        <f>IF(FT!B118&lt;&gt;"",FT!C118,"")</f>
        <v>47.169199999999996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3.8390300000000002</v>
      </c>
      <c r="G119" s="61">
        <f>IF(FT!B119&lt;&gt;"",FT!B119*100,"")</f>
        <v>30.831299999999999</v>
      </c>
      <c r="H119" s="61">
        <f t="shared" si="9"/>
        <v>1</v>
      </c>
      <c r="I119" t="str">
        <f>IF(FT!B119&lt;&gt;"",FT!E119,"")</f>
        <v>2 [47.579777]</v>
      </c>
      <c r="J119">
        <f>IF(FT!B119&lt;&gt;"",FT!C119,"")</f>
        <v>47.579799999999999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3.8445800000000001</v>
      </c>
      <c r="G120" s="61">
        <f>IF(FT!B120&lt;&gt;"",FT!B120*100,"")</f>
        <v>31.013300000000001</v>
      </c>
      <c r="H120" s="61">
        <f t="shared" si="9"/>
        <v>1</v>
      </c>
      <c r="I120" t="str">
        <f>IF(FT!B120&lt;&gt;"",FT!E120,"")</f>
        <v>2 [47.985754]</v>
      </c>
      <c r="J120">
        <f>IF(FT!B120&lt;&gt;"",FT!C120,"")</f>
        <v>47.985799999999998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173489</v>
      </c>
      <c r="D121" s="61">
        <f>FH!B121*1</f>
        <v>173489</v>
      </c>
      <c r="E121">
        <f t="shared" si="11"/>
        <v>119</v>
      </c>
      <c r="F121" s="61">
        <f>IF(FT!A121&lt;&gt;"",FT!A121*10,"")</f>
        <v>3.8506499999999999</v>
      </c>
      <c r="G121" s="61">
        <f>IF(FT!B121&lt;&gt;"",FT!B121*100,"")</f>
        <v>31.228899999999999</v>
      </c>
      <c r="H121" s="61">
        <f t="shared" si="9"/>
        <v>1</v>
      </c>
      <c r="I121" t="str">
        <f>IF(FT!B121&lt;&gt;"",FT!E121,"")</f>
        <v>2 [48.392713]</v>
      </c>
      <c r="J121">
        <f>IF(FT!B121&lt;&gt;"",FT!C121,"")</f>
        <v>48.392699999999998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3.8586</v>
      </c>
      <c r="G122" s="61">
        <f>IF(FT!B122&lt;&gt;"",FT!B122*100,"")</f>
        <v>31.403700000000001</v>
      </c>
      <c r="H122" s="61">
        <f t="shared" si="9"/>
        <v>1</v>
      </c>
      <c r="I122" t="str">
        <f>IF(FT!B122&lt;&gt;"",FT!E122,"")</f>
        <v>2 [48.794588]</v>
      </c>
      <c r="J122">
        <f>IF(FT!B122&lt;&gt;"",FT!C122,"")</f>
        <v>48.794600000000003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3.8701699999999999</v>
      </c>
      <c r="G123" s="61">
        <f>IF(FT!B123&lt;&gt;"",FT!B123*100,"")</f>
        <v>31.467600000000001</v>
      </c>
      <c r="H123" s="61">
        <f t="shared" si="9"/>
        <v>1</v>
      </c>
      <c r="I123" t="str">
        <f>IF(FT!B123&lt;&gt;"",FT!E123,"")</f>
        <v>2 [49.201661]</v>
      </c>
      <c r="J123">
        <f>IF(FT!B123&lt;&gt;"",FT!C123,"")</f>
        <v>49.201700000000002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164813</v>
      </c>
      <c r="D124" s="61">
        <f>FH!B124*1</f>
        <v>164813</v>
      </c>
      <c r="E124">
        <f t="shared" si="11"/>
        <v>122</v>
      </c>
      <c r="F124" s="61">
        <f>IF(FT!A124&lt;&gt;"",FT!A124*10,"")</f>
        <v>3.8829099999999999</v>
      </c>
      <c r="G124" s="61">
        <f>IF(FT!B124&lt;&gt;"",FT!B124*100,"")</f>
        <v>31.541799999999999</v>
      </c>
      <c r="H124" s="61">
        <f t="shared" si="9"/>
        <v>1</v>
      </c>
      <c r="I124" t="str">
        <f>IF(FT!B124&lt;&gt;"",FT!E124,"")</f>
        <v>2 [49.609373]</v>
      </c>
      <c r="J124">
        <f>IF(FT!B124&lt;&gt;"",FT!C124,"")</f>
        <v>49.609400000000001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3.89364</v>
      </c>
      <c r="G125" s="61">
        <f>IF(FT!B125&lt;&gt;"",FT!B125*100,"")</f>
        <v>31.659399999999998</v>
      </c>
      <c r="H125" s="61">
        <f t="shared" si="9"/>
        <v>1</v>
      </c>
      <c r="I125" t="str">
        <f>IF(FT!B125&lt;&gt;"",FT!E125,"")</f>
        <v>2 [50.016314]</v>
      </c>
      <c r="J125">
        <f>IF(FT!B125&lt;&gt;"",FT!C125,"")</f>
        <v>50.016300000000001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158819</v>
      </c>
      <c r="D126" s="61">
        <f>FH!B126*1</f>
        <v>158819</v>
      </c>
      <c r="E126">
        <f t="shared" si="11"/>
        <v>124</v>
      </c>
      <c r="F126" s="61">
        <f>IF(FT!A126&lt;&gt;"",FT!A126*10,"")</f>
        <v>3.8993499999999996</v>
      </c>
      <c r="G126" s="61">
        <f>IF(FT!B126&lt;&gt;"",FT!B126*100,"")</f>
        <v>31.6647</v>
      </c>
      <c r="H126" s="61">
        <f t="shared" si="9"/>
        <v>1</v>
      </c>
      <c r="I126" t="str">
        <f>IF(FT!B126&lt;&gt;"",FT!E126,"")</f>
        <v>2 [50.421161]</v>
      </c>
      <c r="J126">
        <f>IF(FT!B126&lt;&gt;"",FT!C126,"")</f>
        <v>50.421199999999999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3.9040900000000001</v>
      </c>
      <c r="G127" s="61">
        <f>IF(FT!B127&lt;&gt;"",FT!B127*100,"")</f>
        <v>31.676500000000001</v>
      </c>
      <c r="H127" s="61">
        <f t="shared" si="9"/>
        <v>1</v>
      </c>
      <c r="I127" t="str">
        <f>IF(FT!B127&lt;&gt;"",FT!E127,"")</f>
        <v>2 [50.826128]</v>
      </c>
      <c r="J127">
        <f>IF(FT!B127&lt;&gt;"",FT!C127,"")</f>
        <v>50.826099999999997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3.9070800000000001</v>
      </c>
      <c r="G128" s="61">
        <f>IF(FT!B128&lt;&gt;"",FT!B128*100,"")</f>
        <v>31.695600000000002</v>
      </c>
      <c r="H128" s="61">
        <f t="shared" si="9"/>
        <v>1</v>
      </c>
      <c r="I128" t="str">
        <f>IF(FT!B128&lt;&gt;"",FT!E128,"")</f>
        <v>2 [51.232277]</v>
      </c>
      <c r="J128">
        <f>IF(FT!B128&lt;&gt;"",FT!C128,"")</f>
        <v>51.232300000000002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146761</v>
      </c>
      <c r="D129" s="61">
        <f>FH!B129*1</f>
        <v>146761</v>
      </c>
      <c r="E129">
        <f t="shared" si="11"/>
        <v>127</v>
      </c>
      <c r="F129" s="61">
        <f>IF(FT!A129&lt;&gt;"",FT!A129*10,"")</f>
        <v>3.91133</v>
      </c>
      <c r="G129" s="61">
        <f>IF(FT!B129&lt;&gt;"",FT!B129*100,"")</f>
        <v>31.675900000000002</v>
      </c>
      <c r="H129" s="61">
        <f t="shared" si="9"/>
        <v>1</v>
      </c>
      <c r="I129" t="str">
        <f>IF(FT!B129&lt;&gt;"",FT!E129,"")</f>
        <v>2 [51.641819]</v>
      </c>
      <c r="J129">
        <f>IF(FT!B129&lt;&gt;"",FT!C129,"")</f>
        <v>51.641800000000003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3.91439</v>
      </c>
      <c r="G130" s="61">
        <f>IF(FT!B130&lt;&gt;"",FT!B130*100,"")</f>
        <v>31.682500000000001</v>
      </c>
      <c r="H130" s="61">
        <f t="shared" si="9"/>
        <v>1</v>
      </c>
      <c r="I130" t="str">
        <f>IF(FT!B130&lt;&gt;"",FT!E130,"")</f>
        <v>2 [52.046981]</v>
      </c>
      <c r="J130">
        <f>IF(FT!B130&lt;&gt;"",FT!C130,"")</f>
        <v>52.046999999999997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138625</v>
      </c>
      <c r="D131" s="61">
        <f>FH!B131*1</f>
        <v>138625</v>
      </c>
      <c r="E131">
        <f t="shared" si="11"/>
        <v>129</v>
      </c>
      <c r="F131" s="61">
        <f>IF(FT!A131&lt;&gt;"",FT!A131*10,"")</f>
        <v>3.9175500000000003</v>
      </c>
      <c r="G131" s="61">
        <f>IF(FT!B131&lt;&gt;"",FT!B131*100,"")</f>
        <v>31.736999999999998</v>
      </c>
      <c r="H131" s="61">
        <f t="shared" ref="H131:H194" si="13">(IF(F131&lt;&gt;"",1,""))</f>
        <v>1</v>
      </c>
      <c r="I131" t="str">
        <f>IF(FT!B131&lt;&gt;"",FT!E131,"")</f>
        <v>2 [52.451848]</v>
      </c>
      <c r="J131">
        <f>IF(FT!B131&lt;&gt;"",FT!C131,"")</f>
        <v>52.451799999999999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3.9195200000000003</v>
      </c>
      <c r="G132" s="61">
        <f>IF(FT!B132&lt;&gt;"",FT!B132*100,"")</f>
        <v>31.8307</v>
      </c>
      <c r="H132" s="61">
        <f t="shared" si="13"/>
        <v>1</v>
      </c>
      <c r="I132" t="str">
        <f>IF(FT!B132&lt;&gt;"",FT!E132,"")</f>
        <v>2 [52.856892]</v>
      </c>
      <c r="J132">
        <f>IF(FT!B132&lt;&gt;"",FT!C132,"")</f>
        <v>52.856900000000003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3.92361</v>
      </c>
      <c r="G133" s="61">
        <f>IF(FT!B133&lt;&gt;"",FT!B133*100,"")</f>
        <v>31.9133</v>
      </c>
      <c r="H133" s="61">
        <f t="shared" si="13"/>
        <v>1</v>
      </c>
      <c r="I133" t="str">
        <f>IF(FT!B133&lt;&gt;"",FT!E133,"")</f>
        <v>2 [53.263530]</v>
      </c>
      <c r="J133">
        <f>IF(FT!B133&lt;&gt;"",FT!C133,"")</f>
        <v>53.263500000000001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127617</v>
      </c>
      <c r="D134" s="61">
        <f>FH!B134*1</f>
        <v>127617</v>
      </c>
      <c r="E134">
        <f t="shared" si="15"/>
        <v>132</v>
      </c>
      <c r="F134" s="61">
        <f>IF(FT!A134&lt;&gt;"",FT!A134*10,"")</f>
        <v>3.9326499999999998</v>
      </c>
      <c r="G134" s="61">
        <f>IF(FT!B134&lt;&gt;"",FT!B134*100,"")</f>
        <v>31.988899999999997</v>
      </c>
      <c r="H134" s="61">
        <f t="shared" si="13"/>
        <v>1</v>
      </c>
      <c r="I134" t="str">
        <f>IF(FT!B134&lt;&gt;"",FT!E134,"")</f>
        <v>2 [53.669703]</v>
      </c>
      <c r="J134">
        <f>IF(FT!B134&lt;&gt;"",FT!C134,"")</f>
        <v>53.669699999999999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3.9434000000000005</v>
      </c>
      <c r="G135" s="61">
        <f>IF(FT!B135&lt;&gt;"",FT!B135*100,"")</f>
        <v>32.057200000000002</v>
      </c>
      <c r="H135" s="61">
        <f t="shared" si="13"/>
        <v>1</v>
      </c>
      <c r="I135" t="str">
        <f>IF(FT!B135&lt;&gt;"",FT!E135,"")</f>
        <v>2 [54.078396]</v>
      </c>
      <c r="J135">
        <f>IF(FT!B135&lt;&gt;"",FT!C135,"")</f>
        <v>54.078400000000002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116426</v>
      </c>
      <c r="D136" s="61">
        <f>FH!B136*1</f>
        <v>116426</v>
      </c>
      <c r="E136">
        <f t="shared" si="15"/>
        <v>134</v>
      </c>
      <c r="F136" s="61">
        <f>IF(FT!A136&lt;&gt;"",FT!A136*10,"")</f>
        <v>3.9528000000000003</v>
      </c>
      <c r="G136" s="61">
        <f>IF(FT!B136&lt;&gt;"",FT!B136*100,"")</f>
        <v>32.238799999999998</v>
      </c>
      <c r="H136" s="61">
        <f t="shared" si="13"/>
        <v>1</v>
      </c>
      <c r="I136" t="str">
        <f>IF(FT!B136&lt;&gt;"",FT!E136,"")</f>
        <v>2 [54.485345]</v>
      </c>
      <c r="J136">
        <f>IF(FT!B136&lt;&gt;"",FT!C136,"")</f>
        <v>54.485300000000002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3.96428</v>
      </c>
      <c r="G137" s="61">
        <f>IF(FT!B137&lt;&gt;"",FT!B137*100,"")</f>
        <v>32.367100000000001</v>
      </c>
      <c r="H137" s="61">
        <f t="shared" si="13"/>
        <v>1</v>
      </c>
      <c r="I137" t="str">
        <f>IF(FT!B137&lt;&gt;"",FT!E137,"")</f>
        <v>2 [54.887698]</v>
      </c>
      <c r="J137">
        <f>IF(FT!B137&lt;&gt;"",FT!C137,"")</f>
        <v>54.887700000000002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3.97682</v>
      </c>
      <c r="G138" s="61">
        <f>IF(FT!B138&lt;&gt;"",FT!B138*100,"")</f>
        <v>32.461600000000004</v>
      </c>
      <c r="H138" s="61">
        <f t="shared" si="13"/>
        <v>1</v>
      </c>
      <c r="I138" t="str">
        <f>IF(FT!B138&lt;&gt;"",FT!E138,"")</f>
        <v>2 [55.294170]</v>
      </c>
      <c r="J138">
        <f>IF(FT!B138&lt;&gt;"",FT!C138,"")</f>
        <v>55.294199999999996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107213</v>
      </c>
      <c r="D139" s="61">
        <f>FH!B139*1</f>
        <v>107213</v>
      </c>
      <c r="E139">
        <f t="shared" si="15"/>
        <v>137</v>
      </c>
      <c r="F139" s="61">
        <f>IF(FT!A139&lt;&gt;"",FT!A139*10,"")</f>
        <v>3.98759</v>
      </c>
      <c r="G139" s="61">
        <f>IF(FT!B139&lt;&gt;"",FT!B139*100,"")</f>
        <v>32.684800000000003</v>
      </c>
      <c r="H139" s="61">
        <f t="shared" si="13"/>
        <v>1</v>
      </c>
      <c r="I139" t="str">
        <f>IF(FT!B139&lt;&gt;"",FT!E139,"")</f>
        <v>2 [55.701067]</v>
      </c>
      <c r="J139">
        <f>IF(FT!B139&lt;&gt;"",FT!C139,"")</f>
        <v>55.701099999999997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3.99254</v>
      </c>
      <c r="G140" s="61">
        <f>IF(FT!B140&lt;&gt;"",FT!B140*100,"")</f>
        <v>32.971299999999999</v>
      </c>
      <c r="H140" s="61">
        <f t="shared" si="13"/>
        <v>1</v>
      </c>
      <c r="I140" t="str">
        <f>IF(FT!B140&lt;&gt;"",FT!E140,"")</f>
        <v>2 [56.112184]</v>
      </c>
      <c r="J140">
        <f>IF(FT!B140&lt;&gt;"",FT!C140,"")</f>
        <v>56.112200000000001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3.9991300000000001</v>
      </c>
      <c r="G141" s="61">
        <f>IF(FT!B141&lt;&gt;"",FT!B141*100,"")</f>
        <v>33.301099999999998</v>
      </c>
      <c r="H141" s="61">
        <f t="shared" si="13"/>
        <v>1</v>
      </c>
      <c r="I141" t="str">
        <f>IF(FT!B141&lt;&gt;"",FT!E141,"")</f>
        <v>2 [56.519935]</v>
      </c>
      <c r="J141">
        <f>IF(FT!B141&lt;&gt;"",FT!C141,"")</f>
        <v>56.5199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92637</v>
      </c>
      <c r="D142" s="61">
        <f>FH!B142*1</f>
        <v>92637</v>
      </c>
      <c r="E142">
        <f t="shared" si="15"/>
        <v>140</v>
      </c>
      <c r="F142" s="61">
        <f>IF(FT!A142&lt;&gt;"",FT!A142*10,"")</f>
        <v>4.00861</v>
      </c>
      <c r="G142" s="61">
        <f>IF(FT!B142&lt;&gt;"",FT!B142*100,"")</f>
        <v>33.414200000000001</v>
      </c>
      <c r="H142" s="61">
        <f t="shared" si="13"/>
        <v>1</v>
      </c>
      <c r="I142" t="str">
        <f>IF(FT!B142&lt;&gt;"",FT!E142,"")</f>
        <v>2 [56.921931]</v>
      </c>
      <c r="J142">
        <f>IF(FT!B142&lt;&gt;"",FT!C142,"")</f>
        <v>56.921900000000001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4.0190299999999999</v>
      </c>
      <c r="G143" s="61">
        <f>IF(FT!B143&lt;&gt;"",FT!B143*100,"")</f>
        <v>33.470700000000001</v>
      </c>
      <c r="H143" s="61">
        <f t="shared" si="13"/>
        <v>1</v>
      </c>
      <c r="I143" t="str">
        <f>IF(FT!B143&lt;&gt;"",FT!E143,"")</f>
        <v>2 [57.326911]</v>
      </c>
      <c r="J143">
        <f>IF(FT!B143&lt;&gt;"",FT!C143,"")</f>
        <v>57.326900000000002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79630</v>
      </c>
      <c r="D144" s="61">
        <f>FH!B144*1</f>
        <v>79630</v>
      </c>
      <c r="E144">
        <f t="shared" si="15"/>
        <v>142</v>
      </c>
      <c r="F144" s="61">
        <f>IF(FT!A144&lt;&gt;"",FT!A144*10,"")</f>
        <v>4.0256400000000001</v>
      </c>
      <c r="G144" s="61">
        <f>IF(FT!B144&lt;&gt;"",FT!B144*100,"")</f>
        <v>33.607900000000001</v>
      </c>
      <c r="H144" s="61">
        <f t="shared" si="13"/>
        <v>1</v>
      </c>
      <c r="I144" t="str">
        <f>IF(FT!B144&lt;&gt;"",FT!E144,"")</f>
        <v>2 [57.734695]</v>
      </c>
      <c r="J144">
        <f>IF(FT!B144&lt;&gt;"",FT!C144,"")</f>
        <v>57.734699999999997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4.0328400000000002</v>
      </c>
      <c r="G145" s="61">
        <f>IF(FT!B145&lt;&gt;"",FT!B145*100,"")</f>
        <v>33.612900000000003</v>
      </c>
      <c r="H145" s="61">
        <f t="shared" si="13"/>
        <v>1</v>
      </c>
      <c r="I145" t="str">
        <f>IF(FT!B145&lt;&gt;"",FT!E145,"")</f>
        <v>2 [58.142631]</v>
      </c>
      <c r="J145">
        <f>IF(FT!B145&lt;&gt;"",FT!C145,"")</f>
        <v>58.142600000000002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4.0498799999999999</v>
      </c>
      <c r="G146" s="61">
        <f>IF(FT!B146&lt;&gt;"",FT!B146*100,"")</f>
        <v>33.393099999999997</v>
      </c>
      <c r="H146" s="61">
        <f t="shared" si="13"/>
        <v>1</v>
      </c>
      <c r="I146" t="str">
        <f>IF(FT!B146&lt;&gt;"",FT!E146,"")</f>
        <v>2 [58.548417]</v>
      </c>
      <c r="J146">
        <f>IF(FT!B146&lt;&gt;"",FT!C146,"")</f>
        <v>58.548400000000001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67840</v>
      </c>
      <c r="D147" s="61">
        <f>FH!B147*1</f>
        <v>67840</v>
      </c>
      <c r="E147">
        <f t="shared" si="15"/>
        <v>145</v>
      </c>
      <c r="F147" s="61">
        <f>IF(FT!A147&lt;&gt;"",FT!A147*10,"")</f>
        <v>4.0660499999999997</v>
      </c>
      <c r="G147" s="61">
        <f>IF(FT!B147&lt;&gt;"",FT!B147*100,"")</f>
        <v>33.148499999999999</v>
      </c>
      <c r="H147" s="61">
        <f t="shared" si="13"/>
        <v>1</v>
      </c>
      <c r="I147" t="str">
        <f>IF(FT!B147&lt;&gt;"",FT!E147,"")</f>
        <v>2 [58.952612]</v>
      </c>
      <c r="J147">
        <f>IF(FT!B147&lt;&gt;"",FT!C147,"")</f>
        <v>58.952599999999997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4.0617599999999996</v>
      </c>
      <c r="G148" s="61">
        <f>IF(FT!B148&lt;&gt;"",FT!B148*100,"")</f>
        <v>33.403100000000002</v>
      </c>
      <c r="H148" s="61">
        <f t="shared" si="13"/>
        <v>1</v>
      </c>
      <c r="I148" t="str">
        <f>IF(FT!B148&lt;&gt;"",FT!E148,"")</f>
        <v>2 [59.358301]</v>
      </c>
      <c r="J148">
        <f>IF(FT!B148&lt;&gt;"",FT!C148,"")</f>
        <v>59.3583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51039</v>
      </c>
      <c r="D149" s="61">
        <f>FH!B149*1</f>
        <v>51039</v>
      </c>
      <c r="E149">
        <f t="shared" si="15"/>
        <v>147</v>
      </c>
      <c r="F149" s="61">
        <f>IF(FT!A149&lt;&gt;"",FT!A149*10,"")</f>
        <v>4.0329100000000002</v>
      </c>
      <c r="G149" s="61">
        <f>IF(FT!B149&lt;&gt;"",FT!B149*100,"")</f>
        <v>33.903700000000001</v>
      </c>
      <c r="H149" s="61">
        <f t="shared" si="13"/>
        <v>1</v>
      </c>
      <c r="I149" t="str">
        <f>IF(FT!B149&lt;&gt;"",FT!E149,"")</f>
        <v>2 [59.762600]</v>
      </c>
      <c r="J149">
        <f>IF(FT!B149&lt;&gt;"",FT!C149,"")</f>
        <v>59.762599999999999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40744</v>
      </c>
      <c r="D152" s="61">
        <f>FH!B152*1</f>
        <v>40744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32527</v>
      </c>
      <c r="D154" s="61">
        <f>FH!B154*1</f>
        <v>32527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27020</v>
      </c>
      <c r="D157" s="61">
        <f>FH!B157*1</f>
        <v>27020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18984</v>
      </c>
      <c r="D160" s="61">
        <f>FH!B160*1</f>
        <v>18984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15283</v>
      </c>
      <c r="D162" s="61">
        <f>FH!B162*1</f>
        <v>15283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13551</v>
      </c>
      <c r="D165" s="61">
        <f>FH!B165*1</f>
        <v>13551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11366</v>
      </c>
      <c r="D167" s="61">
        <f>FH!B167*1</f>
        <v>11366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12120</v>
      </c>
      <c r="D170" s="61">
        <f>FH!B170*1</f>
        <v>12120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11316</v>
      </c>
      <c r="D173" s="61">
        <f>FH!B173*1</f>
        <v>11316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9494</v>
      </c>
      <c r="D175" s="61">
        <f>FH!B175*1</f>
        <v>9494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13119</v>
      </c>
      <c r="D178" s="61">
        <f>FH!B178*1</f>
        <v>13119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7922</v>
      </c>
      <c r="D180" s="61">
        <f>FH!B180*1</f>
        <v>7922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5473</v>
      </c>
      <c r="D183" s="61">
        <f>FH!B183*1</f>
        <v>5473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3506</v>
      </c>
      <c r="D185" s="61">
        <f>FH!B185*1</f>
        <v>3506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3535</v>
      </c>
      <c r="D188" s="61">
        <f>FH!B188*1</f>
        <v>3535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1674</v>
      </c>
      <c r="D191" s="61">
        <f>FH!B191*1</f>
        <v>1674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107</v>
      </c>
      <c r="D193" s="61">
        <f>FH!B193*1</f>
        <v>107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411</v>
      </c>
      <c r="D196" s="61">
        <f>FH!B196*1</f>
        <v>411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49.550800000000002</v>
      </c>
      <c r="C5" s="66">
        <v>10.6343</v>
      </c>
      <c r="D5" s="66">
        <v>21.461400000000001</v>
      </c>
      <c r="E5" s="66">
        <v>20</v>
      </c>
      <c r="F5" s="66">
        <v>14.1546</v>
      </c>
      <c r="G5" s="66">
        <v>50</v>
      </c>
      <c r="H5" s="66">
        <v>57.949100000000001</v>
      </c>
    </row>
    <row r="6" spans="1:8">
      <c r="A6" s="58" t="s">
        <v>303</v>
      </c>
      <c r="B6" s="66">
        <v>34.753900000000002</v>
      </c>
      <c r="C6" s="66">
        <v>7.94787</v>
      </c>
      <c r="D6" s="66">
        <v>22.869</v>
      </c>
      <c r="E6" s="66">
        <v>20</v>
      </c>
      <c r="F6" s="66">
        <v>21.5336</v>
      </c>
      <c r="G6" s="66">
        <v>40</v>
      </c>
      <c r="H6" s="66">
        <v>43.141199999999998</v>
      </c>
    </row>
    <row r="7" spans="1:8">
      <c r="A7" s="58" t="s">
        <v>304</v>
      </c>
      <c r="B7" s="66">
        <v>24.229800000000001</v>
      </c>
      <c r="C7" s="66">
        <v>6.1753200000000001</v>
      </c>
      <c r="D7" s="66">
        <v>25.486499999999999</v>
      </c>
      <c r="E7" s="66">
        <v>15</v>
      </c>
      <c r="F7" s="66">
        <v>2.30017</v>
      </c>
      <c r="G7" s="66">
        <v>40</v>
      </c>
      <c r="H7" s="66">
        <v>35.877400000000002</v>
      </c>
    </row>
    <row r="8" spans="1:8">
      <c r="A8" s="58" t="s">
        <v>305</v>
      </c>
      <c r="B8" s="66">
        <v>32.1509</v>
      </c>
      <c r="C8" s="66">
        <v>5.4365399999999999</v>
      </c>
      <c r="D8" s="66">
        <v>16.909400000000002</v>
      </c>
      <c r="E8" s="66">
        <v>20</v>
      </c>
      <c r="F8" s="66">
        <v>20.311699999999998</v>
      </c>
      <c r="G8" s="66">
        <v>50</v>
      </c>
      <c r="H8" s="66">
        <v>42.529299999999999</v>
      </c>
    </row>
    <row r="9" spans="1:8">
      <c r="A9" s="58" t="s">
        <v>306</v>
      </c>
      <c r="B9" s="66">
        <v>56.553600000000003</v>
      </c>
      <c r="C9" s="66">
        <v>4.0776700000000003</v>
      </c>
      <c r="D9" s="66">
        <v>7.21028</v>
      </c>
      <c r="E9" s="66">
        <v>50</v>
      </c>
      <c r="F9" s="66">
        <v>48.127299999999998</v>
      </c>
      <c r="G9" s="66">
        <v>100</v>
      </c>
      <c r="H9" s="66">
        <v>68.934200000000004</v>
      </c>
    </row>
    <row r="10" spans="1:8">
      <c r="A10" s="58" t="s">
        <v>307</v>
      </c>
      <c r="B10" s="66">
        <v>65.512</v>
      </c>
      <c r="C10" s="66">
        <v>12.022</v>
      </c>
      <c r="D10" s="66">
        <v>18.3508</v>
      </c>
      <c r="E10" s="66">
        <v>40</v>
      </c>
      <c r="F10" s="66">
        <v>52.876899999999999</v>
      </c>
      <c r="G10" s="66">
        <v>100</v>
      </c>
      <c r="H10" s="66">
        <v>85.137900000000002</v>
      </c>
    </row>
    <row r="11" spans="1:8">
      <c r="A11" s="58" t="s">
        <v>308</v>
      </c>
      <c r="B11" s="66">
        <v>23.4161</v>
      </c>
      <c r="C11" s="66">
        <v>4.4707999999999997</v>
      </c>
      <c r="D11" s="66">
        <v>19.0929</v>
      </c>
      <c r="E11" s="66">
        <v>10</v>
      </c>
      <c r="F11" s="66">
        <v>7.8896800000000002</v>
      </c>
      <c r="G11" s="66">
        <v>50</v>
      </c>
      <c r="H11" s="66">
        <v>29.926400000000001</v>
      </c>
    </row>
    <row r="12" spans="1:8">
      <c r="A12" s="58" t="s">
        <v>309</v>
      </c>
      <c r="B12" s="66">
        <v>61.893500000000003</v>
      </c>
      <c r="C12" s="66">
        <v>6.7111200000000002</v>
      </c>
      <c r="D12" s="66">
        <v>10.843</v>
      </c>
      <c r="E12" s="66">
        <v>50</v>
      </c>
      <c r="F12" s="66">
        <v>50.7102</v>
      </c>
      <c r="G12" s="66">
        <v>100</v>
      </c>
      <c r="H12" s="66">
        <v>74.069199999999995</v>
      </c>
    </row>
    <row r="13" spans="1:8">
      <c r="A13" s="58" t="s">
        <v>310</v>
      </c>
      <c r="B13" s="66">
        <v>14.679</v>
      </c>
      <c r="C13" s="66">
        <v>3.6999300000000002</v>
      </c>
      <c r="D13" s="66">
        <v>25.2056</v>
      </c>
      <c r="E13" s="66">
        <v>10</v>
      </c>
      <c r="F13" s="66">
        <v>11.98</v>
      </c>
      <c r="G13" s="66">
        <v>25</v>
      </c>
      <c r="H13" s="66">
        <v>37.938299999999998</v>
      </c>
    </row>
    <row r="14" spans="1:8">
      <c r="A14" s="58" t="s">
        <v>311</v>
      </c>
      <c r="B14" s="66">
        <v>36.999299999999998</v>
      </c>
      <c r="C14" s="66">
        <v>18.869199999999999</v>
      </c>
      <c r="D14" s="66">
        <v>50.998800000000003</v>
      </c>
      <c r="E14" s="66">
        <v>10</v>
      </c>
      <c r="F14" s="66">
        <v>0.109643</v>
      </c>
      <c r="G14" s="66">
        <v>50</v>
      </c>
      <c r="H14" s="66">
        <v>75.294600000000003</v>
      </c>
    </row>
    <row r="15" spans="1:8">
      <c r="A15" s="58" t="s">
        <v>312</v>
      </c>
      <c r="B15" s="66">
        <v>8.0771200000000001E-2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0.170042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21.8428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0.416462</v>
      </c>
      <c r="C18" s="66">
        <v>4.6417399999999998E-2</v>
      </c>
      <c r="D18" s="66">
        <v>0.111456</v>
      </c>
      <c r="E18" s="66">
        <v>0</v>
      </c>
      <c r="F18" s="66">
        <v>0.37004500000000001</v>
      </c>
      <c r="G18" s="66">
        <v>0</v>
      </c>
      <c r="H18" s="66">
        <v>0.46288000000000001</v>
      </c>
    </row>
    <row r="19" spans="1:8">
      <c r="A19" s="58" t="s">
        <v>316</v>
      </c>
      <c r="B19" s="66">
        <v>0.64382300000000003</v>
      </c>
      <c r="C19" s="66">
        <v>7.67655E-2</v>
      </c>
      <c r="D19" s="66">
        <v>0.11923400000000001</v>
      </c>
      <c r="E19" s="66">
        <v>0</v>
      </c>
      <c r="F19" s="66">
        <v>0.56705700000000003</v>
      </c>
      <c r="G19" s="66">
        <v>0</v>
      </c>
      <c r="H19" s="66">
        <v>0.72058800000000001</v>
      </c>
    </row>
    <row r="20" spans="1:8">
      <c r="A20" s="58" t="s">
        <v>317</v>
      </c>
      <c r="B20" s="66">
        <v>1.1115699999999999E-2</v>
      </c>
      <c r="C20" s="66">
        <v>0.26310499999999998</v>
      </c>
      <c r="D20" s="66">
        <v>23.669699999999999</v>
      </c>
      <c r="E20" s="66">
        <v>0</v>
      </c>
      <c r="F20" s="66">
        <v>6.8874000000000001E-3</v>
      </c>
      <c r="G20" s="66">
        <v>0</v>
      </c>
      <c r="H20" s="66">
        <v>2.5547900000000001</v>
      </c>
    </row>
    <row r="21" spans="1:8">
      <c r="A21" s="58" t="s">
        <v>318</v>
      </c>
      <c r="B21" s="66">
        <v>0.11745899999999999</v>
      </c>
      <c r="C21" s="66">
        <v>1.75806</v>
      </c>
      <c r="D21" s="66">
        <v>14.9673</v>
      </c>
      <c r="E21" s="66">
        <v>0</v>
      </c>
      <c r="F21" s="66">
        <v>8.8278300000000001E-3</v>
      </c>
      <c r="G21" s="66">
        <v>0</v>
      </c>
      <c r="H21" s="66">
        <v>14.2067</v>
      </c>
    </row>
    <row r="22" spans="1:8">
      <c r="A22" s="58" t="s">
        <v>319</v>
      </c>
      <c r="B22" s="66">
        <v>32.017699999999998</v>
      </c>
      <c r="C22" s="66">
        <v>48.655999999999999</v>
      </c>
      <c r="D22" s="66">
        <v>1.51966</v>
      </c>
      <c r="E22" s="66">
        <v>0</v>
      </c>
      <c r="F22" s="66">
        <v>15.409599999999999</v>
      </c>
      <c r="G22" s="66">
        <v>0</v>
      </c>
      <c r="H22" s="66">
        <v>302.51400000000001</v>
      </c>
    </row>
    <row r="23" spans="1:8">
      <c r="A23" s="58" t="s">
        <v>320</v>
      </c>
      <c r="B23" s="66">
        <v>17.610399999999998</v>
      </c>
      <c r="C23" s="66">
        <v>13.787100000000001</v>
      </c>
      <c r="D23" s="66">
        <v>0.78289200000000003</v>
      </c>
      <c r="E23" s="66">
        <v>0</v>
      </c>
      <c r="F23" s="66">
        <v>8.1206999999999994</v>
      </c>
      <c r="G23" s="66">
        <v>0</v>
      </c>
      <c r="H23" s="66">
        <v>46.324199999999998</v>
      </c>
    </row>
    <row r="24" spans="1:8">
      <c r="A24" s="58" t="s">
        <v>321</v>
      </c>
      <c r="B24" s="66">
        <v>1.1565499999999999E-2</v>
      </c>
      <c r="C24" s="66">
        <v>0.249167</v>
      </c>
      <c r="D24" s="66">
        <v>21.5441</v>
      </c>
      <c r="E24" s="66">
        <v>0</v>
      </c>
      <c r="F24" s="66">
        <v>8.5390299999999995E-3</v>
      </c>
      <c r="G24" s="66">
        <v>0</v>
      </c>
      <c r="H24" s="66">
        <v>2.2451400000000001</v>
      </c>
    </row>
    <row r="25" spans="1:8">
      <c r="A25" s="58" t="s">
        <v>322</v>
      </c>
      <c r="B25" s="66">
        <v>0.11665200000000001</v>
      </c>
      <c r="C25" s="66">
        <v>1.3867499999999999</v>
      </c>
      <c r="D25" s="66">
        <v>11.8879</v>
      </c>
      <c r="E25" s="66">
        <v>0</v>
      </c>
      <c r="F25" s="66">
        <v>3.4250000000000003E-2</v>
      </c>
      <c r="G25" s="66">
        <v>0</v>
      </c>
      <c r="H25" s="66">
        <v>7.8185500000000001</v>
      </c>
    </row>
    <row r="26" spans="1:8">
      <c r="A26" s="58" t="s">
        <v>323</v>
      </c>
      <c r="B26" s="66">
        <v>1.95313E-3</v>
      </c>
      <c r="C26" s="66">
        <v>1.8871599999999999E-2</v>
      </c>
      <c r="D26" s="66">
        <v>9.6622400000000006</v>
      </c>
      <c r="E26" s="66">
        <v>0</v>
      </c>
      <c r="F26" s="66">
        <v>1.18829E-3</v>
      </c>
      <c r="G26" s="66">
        <v>0</v>
      </c>
      <c r="H26" s="66">
        <v>0.152144</v>
      </c>
    </row>
    <row r="27" spans="1:8">
      <c r="A27" s="58" t="s">
        <v>324</v>
      </c>
      <c r="B27" s="196">
        <v>-9.8476899999999999E-6</v>
      </c>
      <c r="C27" s="66">
        <v>2.1896099999999998E-3</v>
      </c>
      <c r="D27" s="66">
        <v>-222.34700000000001</v>
      </c>
      <c r="E27" s="66">
        <v>0</v>
      </c>
      <c r="F27" s="66">
        <v>-1.7742299999999999E-2</v>
      </c>
      <c r="G27" s="66">
        <v>0</v>
      </c>
      <c r="H27" s="66">
        <v>2.3942999999999999E-2</v>
      </c>
    </row>
    <row r="28" spans="1:8">
      <c r="A28" s="58" t="s">
        <v>325</v>
      </c>
      <c r="B28" s="66">
        <v>1.91016E-2</v>
      </c>
      <c r="C28" s="66">
        <v>4.9237700000000002E-2</v>
      </c>
      <c r="D28" s="66">
        <v>2.57768</v>
      </c>
      <c r="E28" s="66">
        <v>0</v>
      </c>
      <c r="F28" s="66">
        <v>1.52669E-3</v>
      </c>
      <c r="G28" s="66">
        <v>0</v>
      </c>
      <c r="H28" s="66">
        <v>0.31357699999999999</v>
      </c>
    </row>
    <row r="29" spans="1:8">
      <c r="A29" s="58" t="s">
        <v>326</v>
      </c>
      <c r="B29" s="66">
        <v>70.578699999999998</v>
      </c>
      <c r="C29" s="66">
        <v>17.2135</v>
      </c>
      <c r="D29" s="66">
        <v>0.243891</v>
      </c>
      <c r="E29" s="66">
        <v>0</v>
      </c>
      <c r="F29" s="66">
        <v>48.104900000000001</v>
      </c>
      <c r="G29" s="66">
        <v>0</v>
      </c>
      <c r="H29" s="66">
        <v>142.48599999999999</v>
      </c>
    </row>
    <row r="30" spans="1:8">
      <c r="A30" s="58" t="s">
        <v>327</v>
      </c>
      <c r="B30" s="66">
        <v>28.722899999999999</v>
      </c>
      <c r="C30" s="66">
        <v>4.6459999999999999</v>
      </c>
      <c r="D30" s="66">
        <v>0.16175300000000001</v>
      </c>
      <c r="E30" s="66">
        <v>0</v>
      </c>
      <c r="F30" s="66">
        <v>13.080399999999999</v>
      </c>
      <c r="G30" s="66">
        <v>0</v>
      </c>
      <c r="H30" s="66">
        <v>32.293900000000001</v>
      </c>
    </row>
    <row r="31" spans="1:8">
      <c r="A31" s="58" t="s">
        <v>328</v>
      </c>
      <c r="B31" s="66">
        <v>91.482299999999995</v>
      </c>
      <c r="C31" s="66">
        <v>39.112699999999997</v>
      </c>
      <c r="D31" s="66">
        <v>0.42754399999999998</v>
      </c>
      <c r="E31" s="66">
        <v>0</v>
      </c>
      <c r="F31" s="66">
        <v>33.604100000000003</v>
      </c>
      <c r="G31" s="66">
        <v>0</v>
      </c>
      <c r="H31" s="66">
        <v>170.61099999999999</v>
      </c>
    </row>
    <row r="32" spans="1:8">
      <c r="A32" s="58" t="s">
        <v>329</v>
      </c>
      <c r="B32" s="66">
        <v>0.24229800000000001</v>
      </c>
      <c r="C32" s="66">
        <v>6.1753200000000001E-2</v>
      </c>
      <c r="D32" s="66">
        <v>0.25486500000000001</v>
      </c>
      <c r="E32" s="66">
        <v>0.15</v>
      </c>
      <c r="F32" s="66">
        <v>2.30017E-2</v>
      </c>
      <c r="G32" s="66">
        <v>0.4</v>
      </c>
      <c r="H32" s="66">
        <v>0.35877399999999998</v>
      </c>
    </row>
    <row r="33" spans="1:8">
      <c r="A33" s="58" t="s">
        <v>330</v>
      </c>
      <c r="B33" s="66">
        <v>0.27227899999999999</v>
      </c>
      <c r="C33" s="66">
        <v>6.3718700000000003E-2</v>
      </c>
      <c r="D33" s="66">
        <v>0.234019</v>
      </c>
      <c r="E33" s="66">
        <v>0</v>
      </c>
      <c r="F33" s="66">
        <v>0.11233700000000001</v>
      </c>
      <c r="G33" s="66">
        <v>0</v>
      </c>
      <c r="H33" s="66">
        <v>0.42258499999999999</v>
      </c>
    </row>
    <row r="34" spans="1:8">
      <c r="A34" s="58" t="s">
        <v>331</v>
      </c>
      <c r="B34" s="66">
        <v>0.14679</v>
      </c>
      <c r="C34" s="66">
        <v>3.6999299999999999E-2</v>
      </c>
      <c r="D34" s="66">
        <v>0.252056</v>
      </c>
      <c r="E34" s="66">
        <v>0.1</v>
      </c>
      <c r="F34" s="66">
        <v>0.1198</v>
      </c>
      <c r="G34" s="66">
        <v>0.25</v>
      </c>
      <c r="H34" s="66">
        <v>0.37938300000000003</v>
      </c>
    </row>
    <row r="35" spans="1:8">
      <c r="A35" s="58" t="s">
        <v>332</v>
      </c>
      <c r="B35" s="66">
        <v>5.75846E-2</v>
      </c>
      <c r="C35" s="66">
        <v>1.8665999999999999E-2</v>
      </c>
      <c r="D35" s="66">
        <v>0.32414900000000002</v>
      </c>
      <c r="E35" s="66">
        <v>0</v>
      </c>
      <c r="F35" s="66">
        <v>2.6244E-2</v>
      </c>
      <c r="G35" s="66">
        <v>0</v>
      </c>
      <c r="H35" s="66">
        <v>0.17405200000000001</v>
      </c>
    </row>
    <row r="36" spans="1:8">
      <c r="A36" s="58" t="s">
        <v>333</v>
      </c>
      <c r="B36" s="66">
        <v>0.14468600000000001</v>
      </c>
      <c r="C36" s="66">
        <v>7.4066800000000002E-2</v>
      </c>
      <c r="D36" s="66">
        <v>0.51191299999999995</v>
      </c>
      <c r="E36" s="66">
        <v>0</v>
      </c>
      <c r="F36" s="66">
        <v>3.6052099999999997E-2</v>
      </c>
      <c r="G36" s="66">
        <v>0</v>
      </c>
      <c r="H36" s="66">
        <v>0.60212900000000003</v>
      </c>
    </row>
    <row r="37" spans="1:8">
      <c r="A37" s="58" t="s">
        <v>334</v>
      </c>
      <c r="B37" s="66">
        <v>0.36999300000000002</v>
      </c>
      <c r="C37" s="66">
        <v>0.188692</v>
      </c>
      <c r="D37" s="66">
        <v>0.509988</v>
      </c>
      <c r="E37" s="66">
        <v>0.1</v>
      </c>
      <c r="F37" s="66">
        <v>1.09643E-3</v>
      </c>
      <c r="G37" s="66">
        <v>0.5</v>
      </c>
      <c r="H37" s="66">
        <v>0.752946</v>
      </c>
    </row>
    <row r="38" spans="1:8">
      <c r="A38" s="58" t="s">
        <v>335</v>
      </c>
      <c r="B38" s="66">
        <v>-3.7428300000000001</v>
      </c>
      <c r="C38" s="66">
        <v>31.6648</v>
      </c>
      <c r="D38" s="66">
        <v>-8.4601299999999995</v>
      </c>
      <c r="E38" s="66">
        <v>0</v>
      </c>
      <c r="F38" s="66">
        <v>-147.40799999999999</v>
      </c>
      <c r="G38" s="66">
        <v>0</v>
      </c>
      <c r="H38" s="66">
        <v>114.768</v>
      </c>
    </row>
    <row r="39" spans="1:8">
      <c r="A39" s="58" t="s">
        <v>336</v>
      </c>
      <c r="B39" s="66">
        <v>-0.981236</v>
      </c>
      <c r="C39" s="66">
        <v>7.1280200000000002</v>
      </c>
      <c r="D39" s="66">
        <v>-7.2643300000000002</v>
      </c>
      <c r="E39" s="66">
        <v>0</v>
      </c>
      <c r="F39" s="66">
        <v>-49.835999999999999</v>
      </c>
      <c r="G39" s="66">
        <v>0</v>
      </c>
      <c r="H39" s="66">
        <v>14.5046</v>
      </c>
    </row>
    <row r="40" spans="1:8">
      <c r="A40" s="58" t="s">
        <v>337</v>
      </c>
      <c r="B40" s="66">
        <v>0.143007</v>
      </c>
      <c r="C40" s="66">
        <v>1.0503899999999999</v>
      </c>
      <c r="D40" s="66">
        <v>7.34504</v>
      </c>
      <c r="E40" s="66">
        <v>0</v>
      </c>
      <c r="F40" s="66">
        <v>-2.4258600000000001</v>
      </c>
      <c r="G40" s="66">
        <v>0</v>
      </c>
      <c r="H40" s="66">
        <v>2.7621099999999998</v>
      </c>
    </row>
    <row r="41" spans="1:8">
      <c r="A41" s="58" t="s">
        <v>338</v>
      </c>
      <c r="B41" s="66">
        <v>-3.63884E-3</v>
      </c>
      <c r="C41" s="66">
        <v>0.253002</v>
      </c>
      <c r="D41" s="66">
        <v>-69.528099999999995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2.5083899999999999E-2</v>
      </c>
      <c r="C42" s="66">
        <v>5.7525899999999998E-2</v>
      </c>
      <c r="D42" s="66">
        <v>2.2933400000000002</v>
      </c>
      <c r="E42" s="66">
        <v>0</v>
      </c>
      <c r="F42" s="66">
        <v>-0.146925</v>
      </c>
      <c r="G42" s="66">
        <v>0</v>
      </c>
      <c r="H42" s="66">
        <v>0.17182900000000001</v>
      </c>
    </row>
    <row r="43" spans="1:8">
      <c r="A43" s="58" t="s">
        <v>340</v>
      </c>
      <c r="B43" s="66">
        <v>1.67747E-2</v>
      </c>
      <c r="C43" s="66">
        <v>3.3614199999999997E-2</v>
      </c>
      <c r="D43" s="66">
        <v>2.00387</v>
      </c>
      <c r="E43" s="66">
        <v>0</v>
      </c>
      <c r="F43" s="66">
        <v>-6.0710300000000002E-2</v>
      </c>
      <c r="G43" s="66">
        <v>0</v>
      </c>
      <c r="H43" s="66">
        <v>9.5622899999999997E-2</v>
      </c>
    </row>
    <row r="44" spans="1:8">
      <c r="A44" s="58" t="s">
        <v>341</v>
      </c>
      <c r="B44" s="66">
        <v>4.9340799999999998</v>
      </c>
      <c r="C44" s="66">
        <v>8.4616600000000002</v>
      </c>
      <c r="D44" s="66">
        <v>1.7149399999999999</v>
      </c>
      <c r="E44" s="66">
        <v>0</v>
      </c>
      <c r="F44" s="66">
        <v>-12.5959</v>
      </c>
      <c r="G44" s="66">
        <v>0</v>
      </c>
      <c r="H44" s="66">
        <v>20.967600000000001</v>
      </c>
    </row>
    <row r="45" spans="1:8">
      <c r="A45" s="58" t="s">
        <v>342</v>
      </c>
      <c r="B45" s="66">
        <v>53.394399999999997</v>
      </c>
      <c r="C45" s="66">
        <v>9.3206600000000002</v>
      </c>
      <c r="D45" s="66">
        <v>0.174563</v>
      </c>
      <c r="E45" s="66">
        <v>0</v>
      </c>
      <c r="F45" s="66">
        <v>24.308499999999999</v>
      </c>
      <c r="G45" s="66">
        <v>0</v>
      </c>
      <c r="H45" s="66">
        <v>76.368799999999993</v>
      </c>
    </row>
    <row r="46" spans="1:8">
      <c r="A46" s="58" t="s">
        <v>343</v>
      </c>
      <c r="B46" s="66">
        <v>34.296999999999997</v>
      </c>
      <c r="C46" s="66">
        <v>7.8665500000000002</v>
      </c>
      <c r="D46" s="66">
        <v>0.22936500000000001</v>
      </c>
      <c r="E46" s="66">
        <v>0</v>
      </c>
      <c r="F46" s="66">
        <v>10.8719</v>
      </c>
      <c r="G46" s="66">
        <v>0</v>
      </c>
      <c r="H46" s="66">
        <v>41.945999999999998</v>
      </c>
    </row>
    <row r="47" spans="1:8">
      <c r="A47" s="58" t="s">
        <v>344</v>
      </c>
      <c r="B47" s="66">
        <v>0.76696900000000001</v>
      </c>
      <c r="C47" s="66">
        <v>1.5051099999999999</v>
      </c>
      <c r="D47" s="66">
        <v>1.9624200000000001</v>
      </c>
      <c r="E47" s="66">
        <v>0</v>
      </c>
      <c r="F47" s="66">
        <v>0.31224099999999999</v>
      </c>
      <c r="G47" s="66">
        <v>0</v>
      </c>
      <c r="H47" s="66">
        <v>13.862500000000001</v>
      </c>
    </row>
    <row r="48" spans="1:8">
      <c r="A48" s="58" t="s">
        <v>345</v>
      </c>
      <c r="B48" s="66">
        <v>0.759301</v>
      </c>
      <c r="C48" s="66">
        <v>0.14033699999999999</v>
      </c>
      <c r="D48" s="66">
        <v>0.18482399999999999</v>
      </c>
      <c r="E48" s="66">
        <v>0</v>
      </c>
      <c r="F48" s="66">
        <v>0.50320600000000004</v>
      </c>
      <c r="G48" s="66">
        <v>0</v>
      </c>
      <c r="H48" s="66">
        <v>1.18011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13.868499999999997</v>
      </c>
      <c r="C5" s="66">
        <f>'M2'!C5-'M1'!C5</f>
        <v>-6.5646799999999992</v>
      </c>
      <c r="D5" s="66">
        <f>'M2'!D5-'M1'!D5</f>
        <v>-22.031899999999997</v>
      </c>
      <c r="E5" s="66">
        <f>'M2'!E5-'M1'!E5</f>
        <v>0</v>
      </c>
      <c r="F5" s="66">
        <f>'M2'!F5-'M1'!F5</f>
        <v>19.952500000000001</v>
      </c>
      <c r="G5" s="66">
        <f>'M2'!G5-'M1'!G5</f>
        <v>0</v>
      </c>
      <c r="H5" s="66">
        <f>'M2'!H5-'M1'!H5</f>
        <v>-3.4356000000000009</v>
      </c>
    </row>
    <row r="6" spans="1:8">
      <c r="A6" s="66" t="s">
        <v>244</v>
      </c>
      <c r="B6" s="66">
        <f>'M2'!B6-'M1'!B6</f>
        <v>10.716300000000004</v>
      </c>
      <c r="C6" s="66">
        <f>'M2'!C6-'M1'!C6</f>
        <v>1.7504999999999997</v>
      </c>
      <c r="D6" s="66">
        <f>'M2'!D6-'M1'!D6</f>
        <v>-0.63620000000000232</v>
      </c>
      <c r="E6" s="66">
        <f>'M2'!E6-'M1'!E6</f>
        <v>0</v>
      </c>
      <c r="F6" s="66">
        <f>'M2'!F6-'M1'!F6</f>
        <v>1.5855999999999995</v>
      </c>
      <c r="G6" s="66">
        <f>'M2'!G6-'M1'!G6</f>
        <v>0</v>
      </c>
      <c r="H6" s="66">
        <f>'M2'!H6-'M1'!H6</f>
        <v>6.8001999999999967</v>
      </c>
    </row>
    <row r="7" spans="1:8">
      <c r="A7" s="66" t="s">
        <v>245</v>
      </c>
      <c r="B7" s="66">
        <f>'M2'!B7-'M1'!B7</f>
        <v>1.7794000000000025</v>
      </c>
      <c r="C7" s="66">
        <f>'M2'!C7-'M1'!C7</f>
        <v>-3.8765700000000001</v>
      </c>
      <c r="D7" s="66">
        <f>'M2'!D7-'M1'!D7</f>
        <v>-18.1233</v>
      </c>
      <c r="E7" s="66">
        <f>'M2'!E7-'M1'!E7</f>
        <v>0</v>
      </c>
      <c r="F7" s="66">
        <f>'M2'!F7-'M1'!F7</f>
        <v>15.43493</v>
      </c>
      <c r="G7" s="66">
        <f>'M2'!G7-'M1'!G7</f>
        <v>0</v>
      </c>
      <c r="H7" s="66">
        <f>'M2'!H7-'M1'!H7</f>
        <v>-0.70710000000000406</v>
      </c>
    </row>
    <row r="8" spans="1:8">
      <c r="A8" s="66" t="s">
        <v>246</v>
      </c>
      <c r="B8" s="66">
        <f>'M2'!B8-'M1'!B8</f>
        <v>8.4615999999999971</v>
      </c>
      <c r="C8" s="66">
        <f>'M2'!C8-'M1'!C8</f>
        <v>0.15068999999999999</v>
      </c>
      <c r="D8" s="66">
        <f>'M2'!D8-'M1'!D8</f>
        <v>-2.7225000000000001</v>
      </c>
      <c r="E8" s="66">
        <f>'M2'!E8-'M1'!E8</f>
        <v>0</v>
      </c>
      <c r="F8" s="66">
        <f>'M2'!F8-'M1'!F8</f>
        <v>7.2765000000000022</v>
      </c>
      <c r="G8" s="66">
        <f>'M2'!G8-'M1'!G8</f>
        <v>0</v>
      </c>
      <c r="H8" s="66">
        <f>'M2'!H8-'M1'!H8</f>
        <v>3.5754000000000019</v>
      </c>
    </row>
    <row r="9" spans="1:8">
      <c r="A9" s="66" t="s">
        <v>247</v>
      </c>
      <c r="B9" s="66">
        <f>'M2'!B9-'M1'!B9</f>
        <v>-0.86560000000000059</v>
      </c>
      <c r="C9" s="66">
        <f>'M2'!C9-'M1'!C9</f>
        <v>-0.25253000000000014</v>
      </c>
      <c r="D9" s="66">
        <f>'M2'!D9-'M1'!D9</f>
        <v>-0.34055000000000035</v>
      </c>
      <c r="E9" s="66">
        <f>'M2'!E9-'M1'!E9</f>
        <v>0</v>
      </c>
      <c r="F9" s="66">
        <f>'M2'!F9-'M1'!F9</f>
        <v>-0.62519999999999953</v>
      </c>
      <c r="G9" s="66">
        <f>'M2'!G9-'M1'!G9</f>
        <v>0</v>
      </c>
      <c r="H9" s="66">
        <f>'M2'!H9-'M1'!H9</f>
        <v>-3.2754000000000048</v>
      </c>
    </row>
    <row r="10" spans="1:8">
      <c r="A10" s="66" t="s">
        <v>248</v>
      </c>
      <c r="B10" s="66">
        <f>'M2'!B10-'M1'!B10</f>
        <v>-9.9204000000000008</v>
      </c>
      <c r="C10" s="66">
        <f>'M2'!C10-'M1'!C10</f>
        <v>1.6346000000000007</v>
      </c>
      <c r="D10" s="66">
        <f>'M2'!D10-'M1'!D10</f>
        <v>5.5540999999999983</v>
      </c>
      <c r="E10" s="66">
        <f>'M2'!E10-'M1'!E10</f>
        <v>0</v>
      </c>
      <c r="F10" s="66">
        <f>'M2'!F10-'M1'!F10</f>
        <v>-0.88690000000000424</v>
      </c>
      <c r="G10" s="66">
        <f>'M2'!G10-'M1'!G10</f>
        <v>0</v>
      </c>
      <c r="H10" s="66">
        <f>'M2'!H10-'M1'!H10</f>
        <v>-0.51010000000000844</v>
      </c>
    </row>
    <row r="11" spans="1:8">
      <c r="A11" s="66" t="s">
        <v>249</v>
      </c>
      <c r="B11" s="66">
        <f>'M2'!B11-'M1'!B11</f>
        <v>2.3546000000000014</v>
      </c>
      <c r="C11" s="66">
        <f>'M2'!C11-'M1'!C11</f>
        <v>-4.4460699999999997</v>
      </c>
      <c r="D11" s="66">
        <f>'M2'!D11-'M1'!D11</f>
        <v>-21.50029</v>
      </c>
      <c r="E11" s="66">
        <f>'M2'!E11-'M1'!E11</f>
        <v>0</v>
      </c>
      <c r="F11" s="66">
        <f>'M2'!F11-'M1'!F11</f>
        <v>13.173519999999998</v>
      </c>
      <c r="G11" s="66">
        <f>'M2'!G11-'M1'!G11</f>
        <v>0</v>
      </c>
      <c r="H11" s="66">
        <f>'M2'!H11-'M1'!H11</f>
        <v>-2.4590999999999994</v>
      </c>
    </row>
    <row r="12" spans="1:8">
      <c r="A12" s="66" t="s">
        <v>250</v>
      </c>
      <c r="B12" s="66">
        <f>'M2'!B12-'M1'!B12</f>
        <v>-7.5245000000000033</v>
      </c>
      <c r="C12" s="66">
        <f>'M2'!C12-'M1'!C12</f>
        <v>3.1679300000000001</v>
      </c>
      <c r="D12" s="66">
        <f>'M2'!D12-'M1'!D12</f>
        <v>6.5006800000000009</v>
      </c>
      <c r="E12" s="66">
        <f>'M2'!E12-'M1'!E12</f>
        <v>0</v>
      </c>
      <c r="F12" s="66">
        <f>'M2'!F12-'M1'!F12</f>
        <v>-7.0705999999999989</v>
      </c>
      <c r="G12" s="66">
        <f>'M2'!G12-'M1'!G12</f>
        <v>0</v>
      </c>
      <c r="H12" s="66">
        <f>'M2'!H12-'M1'!H12</f>
        <v>0.98669999999999902</v>
      </c>
    </row>
    <row r="13" spans="1:8">
      <c r="A13" s="66" t="s">
        <v>251</v>
      </c>
      <c r="B13" s="66">
        <f>'M2'!B13-'M1'!B13</f>
        <v>-0.51950000000000074</v>
      </c>
      <c r="C13" s="66">
        <f>'M2'!C13-'M1'!C13</f>
        <v>-3.5524200000000001</v>
      </c>
      <c r="D13" s="66">
        <f>'M2'!D13-'M1'!D13</f>
        <v>-23.515819999999998</v>
      </c>
      <c r="E13" s="66">
        <f>'M2'!E13-'M1'!E13</f>
        <v>0</v>
      </c>
      <c r="F13" s="66">
        <f>'M2'!F13-'M1'!F13</f>
        <v>-0.82399999999999984</v>
      </c>
      <c r="G13" s="66">
        <f>'M2'!G13-'M1'!G13</f>
        <v>0</v>
      </c>
      <c r="H13" s="66">
        <f>'M2'!H13-'M1'!H13</f>
        <v>-19.869399999999999</v>
      </c>
    </row>
    <row r="14" spans="1:8">
      <c r="A14" s="66" t="s">
        <v>252</v>
      </c>
      <c r="B14" s="66">
        <f>'M2'!B14-'M1'!B14</f>
        <v>-35.5242</v>
      </c>
      <c r="C14" s="66">
        <f>'M2'!C14-'M1'!C14</f>
        <v>-0.26419999999999888</v>
      </c>
      <c r="D14" s="66">
        <f>'M2'!D14-'M1'!D14</f>
        <v>96.384599999999992</v>
      </c>
      <c r="E14" s="66">
        <f>'M2'!E14-'M1'!E14</f>
        <v>0</v>
      </c>
      <c r="F14" s="66">
        <f>'M2'!F14-'M1'!F14</f>
        <v>2.3083369999999999</v>
      </c>
      <c r="G14" s="66">
        <f>'M2'!G14-'M1'!G14</f>
        <v>0</v>
      </c>
      <c r="H14" s="66">
        <f>'M2'!H14-'M1'!H14</f>
        <v>-26.063500000000005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3.0762999999999985E-2</v>
      </c>
      <c r="C18" s="66">
        <f>'M2'!C18-'M1'!C18</f>
        <v>4.6417399999999998E-2</v>
      </c>
      <c r="D18" s="66">
        <f>'M2'!D18-'M1'!D18</f>
        <v>0.111456</v>
      </c>
      <c r="E18" s="66">
        <f>'M2'!E18-'M1'!E18</f>
        <v>0</v>
      </c>
      <c r="F18" s="66">
        <f>'M2'!F18-'M1'!F18</f>
        <v>0.37004500000000001</v>
      </c>
      <c r="G18" s="66">
        <f>'M2'!G18-'M1'!G18</f>
        <v>0</v>
      </c>
      <c r="H18" s="66">
        <f>'M2'!H18-'M1'!H18</f>
        <v>0.46288000000000001</v>
      </c>
    </row>
    <row r="19" spans="1:8">
      <c r="A19" s="66" t="s">
        <v>256</v>
      </c>
      <c r="B19" s="66">
        <f>'M2'!B19-'M1'!B19</f>
        <v>0.122892</v>
      </c>
      <c r="C19" s="66">
        <f>'M2'!C19-'M1'!C19</f>
        <v>7.67655E-2</v>
      </c>
      <c r="D19" s="66">
        <f>'M2'!D19-'M1'!D19</f>
        <v>0.11923400000000001</v>
      </c>
      <c r="E19" s="66">
        <f>'M2'!E19-'M1'!E19</f>
        <v>0</v>
      </c>
      <c r="F19" s="66">
        <f>'M2'!F19-'M1'!F19</f>
        <v>0.56705700000000003</v>
      </c>
      <c r="G19" s="66">
        <f>'M2'!G19-'M1'!G19</f>
        <v>0</v>
      </c>
      <c r="H19" s="66">
        <f>'M2'!H19-'M1'!H19</f>
        <v>0.72058800000000001</v>
      </c>
    </row>
    <row r="20" spans="1:8">
      <c r="A20" s="66" t="s">
        <v>63</v>
      </c>
      <c r="B20" s="66">
        <f>'M2'!B20-'M1'!B20</f>
        <v>-9.2670000000000079E-4</v>
      </c>
      <c r="C20" s="66">
        <f>'M2'!C20-'M1'!C20</f>
        <v>-0.36145407000000002</v>
      </c>
      <c r="D20" s="66">
        <f>'M2'!D20-'M1'!D20</f>
        <v>-31.138739999999999</v>
      </c>
      <c r="E20" s="66">
        <f>'M2'!E20-'M1'!E20</f>
        <v>0</v>
      </c>
      <c r="F20" s="66">
        <f>'M2'!F20-'M1'!F20</f>
        <v>-6.4197999999999946E-4</v>
      </c>
      <c r="G20" s="66">
        <f>'M2'!G20-'M1'!G20</f>
        <v>0</v>
      </c>
      <c r="H20" s="66">
        <f>'M2'!H20-'M1'!H20</f>
        <v>-2.4985173000000001</v>
      </c>
    </row>
    <row r="21" spans="1:8">
      <c r="A21" s="66" t="s">
        <v>64</v>
      </c>
      <c r="B21" s="66">
        <f>'M2'!B21-'M1'!B21</f>
        <v>-5.0384700000000004E-2</v>
      </c>
      <c r="C21" s="66">
        <f>'M2'!C21-'M1'!C21</f>
        <v>-2.338463</v>
      </c>
      <c r="D21" s="66">
        <f>'M2'!D21-'M1'!D21</f>
        <v>-16.986039999999999</v>
      </c>
      <c r="E21" s="66">
        <f>'M2'!E21-'M1'!E21</f>
        <v>0</v>
      </c>
      <c r="F21" s="66">
        <f>'M2'!F21-'M1'!F21</f>
        <v>-2.1282699999999998E-3</v>
      </c>
      <c r="G21" s="66">
        <f>'M2'!G21-'M1'!G21</f>
        <v>0</v>
      </c>
      <c r="H21" s="66">
        <f>'M2'!H21-'M1'!H21</f>
        <v>-13.820214</v>
      </c>
    </row>
    <row r="22" spans="1:8">
      <c r="A22" s="66" t="s">
        <v>65</v>
      </c>
      <c r="B22" s="66">
        <f>'M2'!B22-'M1'!B22</f>
        <v>-3.1012000000000022</v>
      </c>
      <c r="C22" s="66">
        <f>'M2'!C22-'M1'!C22</f>
        <v>-57.853569999999998</v>
      </c>
      <c r="D22" s="66">
        <f>'M2'!D22-'M1'!D22</f>
        <v>-1.6734610000000001</v>
      </c>
      <c r="E22" s="66">
        <f>'M2'!E22-'M1'!E22</f>
        <v>0</v>
      </c>
      <c r="F22" s="66">
        <f>'M2'!F22-'M1'!F22</f>
        <v>-0.74929999999999986</v>
      </c>
      <c r="G22" s="66">
        <f>'M2'!G22-'M1'!G22</f>
        <v>0</v>
      </c>
      <c r="H22" s="66">
        <f>'M2'!H22-'M1'!H22</f>
        <v>-253.71850000000001</v>
      </c>
    </row>
    <row r="23" spans="1:8">
      <c r="A23" s="66" t="s">
        <v>66</v>
      </c>
      <c r="B23" s="66">
        <f>'M2'!B23-'M1'!B23</f>
        <v>-1.009800000000002</v>
      </c>
      <c r="C23" s="66">
        <f>'M2'!C23-'M1'!C23</f>
        <v>-4.4521000000000015</v>
      </c>
      <c r="D23" s="66">
        <f>'M2'!D23-'M1'!D23</f>
        <v>-0.20493099999999997</v>
      </c>
      <c r="E23" s="66">
        <f>'M2'!E23-'M1'!E23</f>
        <v>0</v>
      </c>
      <c r="F23" s="66">
        <f>'M2'!F23-'M1'!F23</f>
        <v>6.3283000000000005</v>
      </c>
      <c r="G23" s="66">
        <f>'M2'!G23-'M1'!G23</f>
        <v>0</v>
      </c>
      <c r="H23" s="66">
        <f>'M2'!H23-'M1'!H23</f>
        <v>-0.11229999999999762</v>
      </c>
    </row>
    <row r="24" spans="1:8">
      <c r="A24" s="66" t="s">
        <v>67</v>
      </c>
      <c r="B24" s="66">
        <f>'M2'!B24-'M1'!B24</f>
        <v>-8.0419999999999971E-4</v>
      </c>
      <c r="C24" s="66">
        <f>'M2'!C24-'M1'!C24</f>
        <v>-0.34270400999999995</v>
      </c>
      <c r="D24" s="66">
        <f>'M2'!D24-'M1'!D24</f>
        <v>-28.598171000000001</v>
      </c>
      <c r="E24" s="66">
        <f>'M2'!E24-'M1'!E24</f>
        <v>0</v>
      </c>
      <c r="F24" s="66">
        <f>'M2'!F24-'M1'!F24</f>
        <v>-3.0729999999999646E-5</v>
      </c>
      <c r="G24" s="66">
        <f>'M2'!G24-'M1'!G24</f>
        <v>0</v>
      </c>
      <c r="H24" s="66">
        <f>'M2'!H24-'M1'!H24</f>
        <v>-2.2211326000000002</v>
      </c>
    </row>
    <row r="25" spans="1:8">
      <c r="A25" s="66" t="s">
        <v>68</v>
      </c>
      <c r="B25" s="66">
        <f>'M2'!B25-'M1'!B25</f>
        <v>-2.6402000000000009E-2</v>
      </c>
      <c r="C25" s="66">
        <f>'M2'!C25-'M1'!C25</f>
        <v>-1.8479392000000001</v>
      </c>
      <c r="D25" s="66">
        <f>'M2'!D25-'M1'!D25</f>
        <v>-14.031914</v>
      </c>
      <c r="E25" s="66">
        <f>'M2'!E25-'M1'!E25</f>
        <v>0</v>
      </c>
      <c r="F25" s="66">
        <f>'M2'!F25-'M1'!F25</f>
        <v>-9.1576999999999978E-3</v>
      </c>
      <c r="G25" s="66">
        <f>'M2'!G25-'M1'!G25</f>
        <v>0</v>
      </c>
      <c r="H25" s="66">
        <f>'M2'!H25-'M1'!H25</f>
        <v>-7.6295190000000002</v>
      </c>
    </row>
    <row r="26" spans="1:8">
      <c r="A26" s="66" t="s">
        <v>69</v>
      </c>
      <c r="B26" s="66">
        <f>'M2'!B26-'M1'!B26</f>
        <v>-2.3305999999999999E-4</v>
      </c>
      <c r="C26" s="66">
        <f>'M2'!C26-'M1'!C26</f>
        <v>-2.5439412000000002E-2</v>
      </c>
      <c r="D26" s="66">
        <f>'M2'!D26-'M1'!D26</f>
        <v>-12.130334999999999</v>
      </c>
      <c r="E26" s="66">
        <f>'M2'!E26-'M1'!E26</f>
        <v>0</v>
      </c>
      <c r="F26" s="66">
        <f>'M2'!F26-'M1'!F26</f>
        <v>-8.2059999999999902E-5</v>
      </c>
      <c r="G26" s="66">
        <f>'M2'!G26-'M1'!G26</f>
        <v>0</v>
      </c>
      <c r="H26" s="66">
        <f>'M2'!H26-'M1'!H26</f>
        <v>-0.14723657000000001</v>
      </c>
    </row>
    <row r="27" spans="1:8">
      <c r="A27" s="66" t="s">
        <v>70</v>
      </c>
      <c r="B27" s="66">
        <f>'M2'!B27-'M1'!B27</f>
        <v>-8.2063999999999999E-6</v>
      </c>
      <c r="C27" s="66">
        <f>'M2'!C27-'M1'!C27</f>
        <v>-2.6885310000000001E-3</v>
      </c>
      <c r="D27" s="66">
        <f>'M2'!D27-'M1'!D27</f>
        <v>594.77369999999996</v>
      </c>
      <c r="E27" s="66">
        <f>'M2'!E27-'M1'!E27</f>
        <v>0</v>
      </c>
      <c r="F27" s="66">
        <f>'M2'!F27-'M1'!F27</f>
        <v>1.5506869999999999E-2</v>
      </c>
      <c r="G27" s="66">
        <f>'M2'!G27-'M1'!G27</f>
        <v>0</v>
      </c>
      <c r="H27" s="66">
        <f>'M2'!H27-'M1'!H27</f>
        <v>-2.2022699999999999E-2</v>
      </c>
    </row>
    <row r="28" spans="1:8">
      <c r="A28" s="66" t="s">
        <v>71</v>
      </c>
      <c r="B28" s="66">
        <f>'M2'!B28-'M1'!B28</f>
        <v>-6.2076999999999983E-3</v>
      </c>
      <c r="C28" s="66">
        <f>'M2'!C28-'M1'!C28</f>
        <v>-5.5533700000000005E-2</v>
      </c>
      <c r="D28" s="66">
        <f>'M2'!D28-'M1'!D28</f>
        <v>-2.3473680000000003</v>
      </c>
      <c r="E28" s="66">
        <f>'M2'!E28-'M1'!E28</f>
        <v>0</v>
      </c>
      <c r="F28" s="66">
        <f>'M2'!F28-'M1'!F28</f>
        <v>-4.6223999999999983E-4</v>
      </c>
      <c r="G28" s="66">
        <f>'M2'!G28-'M1'!G28</f>
        <v>0</v>
      </c>
      <c r="H28" s="66">
        <f>'M2'!H28-'M1'!H28</f>
        <v>-0.26723589999999997</v>
      </c>
    </row>
    <row r="29" spans="1:8">
      <c r="A29" s="66" t="s">
        <v>72</v>
      </c>
      <c r="B29" s="66">
        <f>'M2'!B29-'M1'!B29</f>
        <v>-5.8400000000000034</v>
      </c>
      <c r="C29" s="66">
        <f>'M2'!C29-'M1'!C29</f>
        <v>-6.6749000000000009</v>
      </c>
      <c r="D29" s="66">
        <f>'M2'!D29-'M1'!D29</f>
        <v>-7.4573E-2</v>
      </c>
      <c r="E29" s="66">
        <f>'M2'!E29-'M1'!E29</f>
        <v>0</v>
      </c>
      <c r="F29" s="66">
        <f>'M2'!F29-'M1'!F29</f>
        <v>5.3913000000000011</v>
      </c>
      <c r="G29" s="66">
        <f>'M2'!G29-'M1'!G29</f>
        <v>0</v>
      </c>
      <c r="H29" s="66">
        <f>'M2'!H29-'M1'!H29</f>
        <v>-39.304999999999993</v>
      </c>
    </row>
    <row r="30" spans="1:8">
      <c r="A30" s="66" t="s">
        <v>73</v>
      </c>
      <c r="B30" s="66">
        <f>'M2'!B30-'M1'!B30</f>
        <v>-5.7800000000000296E-2</v>
      </c>
      <c r="C30" s="66">
        <f>'M2'!C30-'M1'!C30</f>
        <v>-3.4823200000000001</v>
      </c>
      <c r="D30" s="66">
        <f>'M2'!D30-'M1'!D30</f>
        <v>-0.12091199999999999</v>
      </c>
      <c r="E30" s="66">
        <f>'M2'!E30-'M1'!E30</f>
        <v>0</v>
      </c>
      <c r="F30" s="66">
        <f>'M2'!F30-'M1'!F30</f>
        <v>8.8056999999999999</v>
      </c>
      <c r="G30" s="66">
        <f>'M2'!G30-'M1'!G30</f>
        <v>0</v>
      </c>
      <c r="H30" s="66">
        <f>'M2'!H30-'M1'!H30</f>
        <v>0.1647000000000034</v>
      </c>
    </row>
    <row r="31" spans="1:8">
      <c r="A31" s="66" t="s">
        <v>74</v>
      </c>
      <c r="B31" s="66">
        <f>'M2'!B31-'M1'!B31</f>
        <v>-9.6647999999999996</v>
      </c>
      <c r="C31" s="66">
        <f>'M2'!C31-'M1'!C31</f>
        <v>-12.8521</v>
      </c>
      <c r="D31" s="66">
        <f>'M2'!D31-'M1'!D31</f>
        <v>-9.357099999999996E-2</v>
      </c>
      <c r="E31" s="66">
        <f>'M2'!E31-'M1'!E31</f>
        <v>0</v>
      </c>
      <c r="F31" s="66">
        <f>'M2'!F31-'M1'!F31</f>
        <v>47.785799999999995</v>
      </c>
      <c r="G31" s="66">
        <f>'M2'!G31-'M1'!G31</f>
        <v>0</v>
      </c>
      <c r="H31" s="66">
        <f>'M2'!H31-'M1'!H31</f>
        <v>4.6529999999999916</v>
      </c>
    </row>
    <row r="32" spans="1:8">
      <c r="A32" s="66" t="s">
        <v>75</v>
      </c>
      <c r="B32" s="66">
        <f>'M2'!B32-'M1'!B32</f>
        <v>1.7794000000000004E-2</v>
      </c>
      <c r="C32" s="66">
        <f>'M2'!C32-'M1'!C32</f>
        <v>-3.8765699999999993E-2</v>
      </c>
      <c r="D32" s="66">
        <f>'M2'!D32-'M1'!D32</f>
        <v>-0.18123300000000001</v>
      </c>
      <c r="E32" s="66">
        <f>'M2'!E32-'M1'!E32</f>
        <v>0</v>
      </c>
      <c r="F32" s="66">
        <f>'M2'!F32-'M1'!F32</f>
        <v>0.15434930000000002</v>
      </c>
      <c r="G32" s="66">
        <f>'M2'!G32-'M1'!G32</f>
        <v>0</v>
      </c>
      <c r="H32" s="66">
        <f>'M2'!H32-'M1'!H32</f>
        <v>-7.070999999999994E-3</v>
      </c>
    </row>
    <row r="33" spans="1:8">
      <c r="A33" s="66" t="s">
        <v>76</v>
      </c>
      <c r="B33" s="66">
        <f>'M2'!B33-'M1'!B33</f>
        <v>4.2076000000000002E-2</v>
      </c>
      <c r="C33" s="66">
        <f>'M2'!C33-'M1'!C33</f>
        <v>1.8959299999999998E-2</v>
      </c>
      <c r="D33" s="66">
        <f>'M2'!D33-'M1'!D33</f>
        <v>3.4712000000000021E-2</v>
      </c>
      <c r="E33" s="66">
        <f>'M2'!E33-'M1'!E33</f>
        <v>0</v>
      </c>
      <c r="F33" s="66">
        <f>'M2'!F33-'M1'!F33</f>
        <v>4.8988999999999991E-2</v>
      </c>
      <c r="G33" s="66">
        <f>'M2'!G33-'M1'!G33</f>
        <v>0</v>
      </c>
      <c r="H33" s="66">
        <f>'M2'!H33-'M1'!H33</f>
        <v>-4.4754999999999989E-2</v>
      </c>
    </row>
    <row r="34" spans="1:8">
      <c r="A34" s="66" t="s">
        <v>77</v>
      </c>
      <c r="B34" s="66">
        <f>'M2'!B34-'M1'!B34</f>
        <v>-5.1949999999999774E-3</v>
      </c>
      <c r="C34" s="66">
        <f>'M2'!C34-'M1'!C34</f>
        <v>-3.5524199999999999E-2</v>
      </c>
      <c r="D34" s="66">
        <f>'M2'!D34-'M1'!D34</f>
        <v>-0.23515819999999998</v>
      </c>
      <c r="E34" s="66">
        <f>'M2'!E34-'M1'!E34</f>
        <v>0</v>
      </c>
      <c r="F34" s="66">
        <f>'M2'!F34-'M1'!F34</f>
        <v>-8.2399999999999834E-3</v>
      </c>
      <c r="G34" s="66">
        <f>'M2'!G34-'M1'!G34</f>
        <v>0</v>
      </c>
      <c r="H34" s="66">
        <f>'M2'!H34-'M1'!H34</f>
        <v>-0.19869400000000004</v>
      </c>
    </row>
    <row r="35" spans="1:8">
      <c r="A35" s="66" t="s">
        <v>78</v>
      </c>
      <c r="B35" s="66">
        <f>'M2'!B35-'M1'!B35</f>
        <v>-4.0091000000000016E-3</v>
      </c>
      <c r="C35" s="66">
        <f>'M2'!C35-'M1'!C35</f>
        <v>-9.6210000000000011E-3</v>
      </c>
      <c r="D35" s="66">
        <f>'M2'!D35-'M1'!D35</f>
        <v>-0.14343699999999998</v>
      </c>
      <c r="E35" s="66">
        <f>'M2'!E35-'M1'!E35</f>
        <v>0</v>
      </c>
      <c r="F35" s="66">
        <f>'M2'!F35-'M1'!F35</f>
        <v>-5.3984000000000011E-3</v>
      </c>
      <c r="G35" s="66">
        <f>'M2'!G35-'M1'!G35</f>
        <v>0</v>
      </c>
      <c r="H35" s="66">
        <f>'M2'!H35-'M1'!H35</f>
        <v>-8.9558600000000016E-2</v>
      </c>
    </row>
    <row r="36" spans="1:8">
      <c r="A36" s="66" t="s">
        <v>79</v>
      </c>
      <c r="B36" s="66">
        <f>'M2'!B36-'M1'!B36</f>
        <v>2.3399999999998422E-4</v>
      </c>
      <c r="C36" s="66">
        <f>'M2'!C36-'M1'!C36</f>
        <v>-2.3773599999999999E-2</v>
      </c>
      <c r="D36" s="66">
        <f>'M2'!D36-'M1'!D36</f>
        <v>-0.16516500000000001</v>
      </c>
      <c r="E36" s="66">
        <f>'M2'!E36-'M1'!E36</f>
        <v>0</v>
      </c>
      <c r="F36" s="66">
        <f>'M2'!F36-'M1'!F36</f>
        <v>-2.0870000000000055E-3</v>
      </c>
      <c r="G36" s="66">
        <f>'M2'!G36-'M1'!G36</f>
        <v>0</v>
      </c>
      <c r="H36" s="66">
        <f>'M2'!H36-'M1'!H36</f>
        <v>-0.29223700000000002</v>
      </c>
    </row>
    <row r="37" spans="1:8">
      <c r="A37" s="66" t="s">
        <v>80</v>
      </c>
      <c r="B37" s="66">
        <f>'M2'!B37-'M1'!B37</f>
        <v>-0.35524199999999995</v>
      </c>
      <c r="C37" s="66">
        <f>'M2'!C37-'M1'!C37</f>
        <v>-2.6420000000000055E-3</v>
      </c>
      <c r="D37" s="66">
        <f>'M2'!D37-'M1'!D37</f>
        <v>0.96384599999999998</v>
      </c>
      <c r="E37" s="66">
        <f>'M2'!E37-'M1'!E37</f>
        <v>0</v>
      </c>
      <c r="F37" s="66">
        <f>'M2'!F37-'M1'!F37</f>
        <v>2.3083370000000002E-2</v>
      </c>
      <c r="G37" s="66">
        <f>'M2'!G37-'M1'!G37</f>
        <v>0</v>
      </c>
      <c r="H37" s="66">
        <f>'M2'!H37-'M1'!H37</f>
        <v>-0.26063500000000001</v>
      </c>
    </row>
    <row r="38" spans="1:8">
      <c r="A38" s="66" t="s">
        <v>81</v>
      </c>
      <c r="B38" s="66">
        <f>'M2'!B38-'M1'!B38</f>
        <v>-3.6372399999999998</v>
      </c>
      <c r="C38" s="66">
        <f>'M2'!C38-'M1'!C38</f>
        <v>-2.5972000000000008</v>
      </c>
      <c r="D38" s="66">
        <f>'M2'!D38-'M1'!D38</f>
        <v>9.9062699999999992</v>
      </c>
      <c r="E38" s="66">
        <f>'M2'!E38-'M1'!E38</f>
        <v>0</v>
      </c>
      <c r="F38" s="66">
        <f>'M2'!F38-'M1'!F38</f>
        <v>-6.5149999999999864</v>
      </c>
      <c r="G38" s="66">
        <f>'M2'!G38-'M1'!G38</f>
        <v>0</v>
      </c>
      <c r="H38" s="66">
        <f>'M2'!H38-'M1'!H38</f>
        <v>33.185599999999994</v>
      </c>
    </row>
    <row r="39" spans="1:8">
      <c r="A39" s="66" t="s">
        <v>82</v>
      </c>
      <c r="B39" s="66">
        <f>'M2'!B39-'M1'!B39</f>
        <v>-3.8517600000000001</v>
      </c>
      <c r="C39" s="66">
        <f>'M2'!C39-'M1'!C39</f>
        <v>-6.7985800000000003</v>
      </c>
      <c r="D39" s="66">
        <f>'M2'!D39-'M1'!D39</f>
        <v>-9.6154500000000009</v>
      </c>
      <c r="E39" s="66">
        <f>'M2'!E39-'M1'!E39</f>
        <v>0</v>
      </c>
      <c r="F39" s="66">
        <f>'M2'!F39-'M1'!F39</f>
        <v>39.7181</v>
      </c>
      <c r="G39" s="66">
        <f>'M2'!G39-'M1'!G39</f>
        <v>0</v>
      </c>
      <c r="H39" s="66">
        <f>'M2'!H39-'M1'!H39</f>
        <v>-9.8719199999999994</v>
      </c>
    </row>
    <row r="40" spans="1:8">
      <c r="A40" s="66" t="s">
        <v>83</v>
      </c>
      <c r="B40" s="66">
        <f>'M2'!B40-'M1'!B40</f>
        <v>-1.2386710000000001</v>
      </c>
      <c r="C40" s="66">
        <f>'M2'!C40-'M1'!C40</f>
        <v>0.30647100000000005</v>
      </c>
      <c r="D40" s="66">
        <f>'M2'!D40-'M1'!D40</f>
        <v>-2.4751799999999999</v>
      </c>
      <c r="E40" s="66">
        <f>'M2'!E40-'M1'!E40</f>
        <v>0</v>
      </c>
      <c r="F40" s="66">
        <f>'M2'!F40-'M1'!F40</f>
        <v>-1.4706570000000001</v>
      </c>
      <c r="G40" s="66">
        <f>'M2'!G40-'M1'!G40</f>
        <v>0</v>
      </c>
      <c r="H40" s="66">
        <f>'M2'!H40-'M1'!H40</f>
        <v>-0.81579999999999986</v>
      </c>
    </row>
    <row r="41" spans="1:8">
      <c r="A41" s="66" t="s">
        <v>84</v>
      </c>
      <c r="B41" s="66">
        <f>'M2'!B41-'M1'!B41</f>
        <v>-2.9479889999999998E-2</v>
      </c>
      <c r="C41" s="66">
        <f>'M2'!C41-'M1'!C41</f>
        <v>2.1305000000000018E-2</v>
      </c>
      <c r="D41" s="66">
        <f>'M2'!D41-'M1'!D41</f>
        <v>-130.67454999999998</v>
      </c>
      <c r="E41" s="66">
        <f>'M2'!E41-'M1'!E41</f>
        <v>0</v>
      </c>
      <c r="F41" s="66">
        <f>'M2'!F41-'M1'!F41</f>
        <v>0.45972500000000005</v>
      </c>
      <c r="G41" s="66">
        <f>'M2'!G41-'M1'!G41</f>
        <v>0</v>
      </c>
      <c r="H41" s="66">
        <f>'M2'!H41-'M1'!H41</f>
        <v>0.37638400000000005</v>
      </c>
    </row>
    <row r="42" spans="1:8">
      <c r="A42" s="66" t="s">
        <v>85</v>
      </c>
      <c r="B42" s="66">
        <f>'M2'!B42-'M1'!B42</f>
        <v>-4.3296839999999996E-2</v>
      </c>
      <c r="C42" s="66">
        <f>'M2'!C42-'M1'!C42</f>
        <v>2.2763000000000019E-3</v>
      </c>
      <c r="D42" s="66">
        <f>'M2'!D42-'M1'!D42</f>
        <v>48.160879999999999</v>
      </c>
      <c r="E42" s="66">
        <f>'M2'!E42-'M1'!E42</f>
        <v>0</v>
      </c>
      <c r="F42" s="66">
        <f>'M2'!F42-'M1'!F42</f>
        <v>-3.0947000000000002E-2</v>
      </c>
      <c r="G42" s="66">
        <f>'M2'!G42-'M1'!G42</f>
        <v>0</v>
      </c>
      <c r="H42" s="66">
        <f>'M2'!H42-'M1'!H42</f>
        <v>-4.1776000000000008E-2</v>
      </c>
    </row>
    <row r="43" spans="1:8">
      <c r="A43" s="66" t="s">
        <v>86</v>
      </c>
      <c r="B43" s="66">
        <f>'M2'!B43-'M1'!B43</f>
        <v>1.1598999999999998E-2</v>
      </c>
      <c r="C43" s="66">
        <f>'M2'!C43-'M1'!C43</f>
        <v>1.8553099999999999E-2</v>
      </c>
      <c r="D43" s="66">
        <f>'M2'!D43-'M1'!D43</f>
        <v>-0.20388000000000028</v>
      </c>
      <c r="E43" s="66">
        <f>'M2'!E43-'M1'!E43</f>
        <v>0</v>
      </c>
      <c r="F43" s="66">
        <f>'M2'!F43-'M1'!F43</f>
        <v>-3.0329000000000002E-2</v>
      </c>
      <c r="G43" s="66">
        <f>'M2'!G43-'M1'!G43</f>
        <v>0</v>
      </c>
      <c r="H43" s="66">
        <f>'M2'!H43-'M1'!H43</f>
        <v>-2.0989800000000003E-2</v>
      </c>
    </row>
    <row r="44" spans="1:8">
      <c r="A44" s="66" t="s">
        <v>87</v>
      </c>
      <c r="B44" s="66">
        <f>'M2'!B44-'M1'!B44</f>
        <v>-11.02031</v>
      </c>
      <c r="C44" s="66">
        <f>'M2'!C44-'M1'!C44</f>
        <v>-0.35035000000000061</v>
      </c>
      <c r="D44" s="66">
        <f>'M2'!D44-'M1'!D44</f>
        <v>-5.7887350000000009</v>
      </c>
      <c r="E44" s="66">
        <f>'M2'!E44-'M1'!E44</f>
        <v>0</v>
      </c>
      <c r="F44" s="66">
        <f>'M2'!F44-'M1'!F44</f>
        <v>-4.3699300000000001</v>
      </c>
      <c r="G44" s="66">
        <f>'M2'!G44-'M1'!G44</f>
        <v>0</v>
      </c>
      <c r="H44" s="66">
        <f>'M2'!H44-'M1'!H44</f>
        <v>-0.19270000000000209</v>
      </c>
    </row>
    <row r="45" spans="1:8">
      <c r="A45" s="66" t="s">
        <v>88</v>
      </c>
      <c r="B45" s="66">
        <f>'M2'!B45-'M1'!B45</f>
        <v>2.1687000000000012</v>
      </c>
      <c r="C45" s="66">
        <f>'M2'!C45-'M1'!C45</f>
        <v>-3.645620000000001</v>
      </c>
      <c r="D45" s="66">
        <f>'M2'!D45-'M1'!D45</f>
        <v>-7.5227000000000016E-2</v>
      </c>
      <c r="E45" s="66">
        <f>'M2'!E45-'M1'!E45</f>
        <v>0</v>
      </c>
      <c r="F45" s="66">
        <f>'M2'!F45-'M1'!F45</f>
        <v>18.584300000000002</v>
      </c>
      <c r="G45" s="66">
        <f>'M2'!G45-'M1'!G45</f>
        <v>0</v>
      </c>
      <c r="H45" s="66">
        <f>'M2'!H45-'M1'!H45</f>
        <v>3.3485999999999905</v>
      </c>
    </row>
    <row r="46" spans="1:8">
      <c r="A46" s="66" t="s">
        <v>89</v>
      </c>
      <c r="B46" s="66">
        <f>'M2'!B46-'M1'!B46</f>
        <v>11.034700000000001</v>
      </c>
      <c r="C46" s="66">
        <f>'M2'!C46-'M1'!C46</f>
        <v>-2.8808999999999996</v>
      </c>
      <c r="D46" s="66">
        <f>'M2'!D46-'M1'!D46</f>
        <v>-0.14244600000000002</v>
      </c>
      <c r="E46" s="66">
        <f>'M2'!E46-'M1'!E46</f>
        <v>0</v>
      </c>
      <c r="F46" s="66">
        <f>'M2'!F46-'M1'!F46</f>
        <v>17.233699999999999</v>
      </c>
      <c r="G46" s="66">
        <f>'M2'!G46-'M1'!G46</f>
        <v>0</v>
      </c>
      <c r="H46" s="66">
        <f>'M2'!H46-'M1'!H46</f>
        <v>1.9557000000000002</v>
      </c>
    </row>
    <row r="47" spans="1:8">
      <c r="A47" s="66" t="s">
        <v>90</v>
      </c>
      <c r="B47" s="66">
        <f>'M2'!B47-'M1'!B47</f>
        <v>-0.13636899999999996</v>
      </c>
      <c r="C47" s="66">
        <f>'M2'!C47-'M1'!C47</f>
        <v>-1.8725780000000001</v>
      </c>
      <c r="D47" s="66">
        <f>'M2'!D47-'M1'!D47</f>
        <v>-2.1649539999999998</v>
      </c>
      <c r="E47" s="66">
        <f>'M2'!E47-'M1'!E47</f>
        <v>0</v>
      </c>
      <c r="F47" s="66">
        <f>'M2'!F47-'M1'!F47</f>
        <v>-0.14599299999999998</v>
      </c>
      <c r="G47" s="66">
        <f>'M2'!G47-'M1'!G47</f>
        <v>0</v>
      </c>
      <c r="H47" s="66">
        <f>'M2'!H47-'M1'!H47</f>
        <v>-12.630370000000001</v>
      </c>
    </row>
    <row r="48" spans="1:8">
      <c r="A48" s="66" t="s">
        <v>91</v>
      </c>
      <c r="B48" s="66">
        <f>'M2'!B48-'M1'!B48</f>
        <v>-0.20517000000000007</v>
      </c>
      <c r="C48" s="66">
        <f>'M2'!C48-'M1'!C48</f>
        <v>-6.4213200000000012E-2</v>
      </c>
      <c r="D48" s="66">
        <f>'M2'!D48-'M1'!D48</f>
        <v>-4.6446999999999988E-2</v>
      </c>
      <c r="E48" s="66">
        <f>'M2'!E48-'M1'!E48</f>
        <v>0</v>
      </c>
      <c r="F48" s="66">
        <f>'M2'!F48-'M1'!F48</f>
        <v>1.9563999999999915E-2</v>
      </c>
      <c r="G48" s="66">
        <f>'M2'!G48-'M1'!G48</f>
        <v>0</v>
      </c>
      <c r="H48" s="66">
        <f>'M2'!H48-'M1'!H48</f>
        <v>-0.32372299999999998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36.748100000000001</v>
      </c>
      <c r="C5" s="66">
        <v>12.1549</v>
      </c>
      <c r="D5" s="66">
        <v>33.076099999999997</v>
      </c>
      <c r="E5" s="66">
        <v>20</v>
      </c>
      <c r="F5" s="66">
        <v>14.1546</v>
      </c>
      <c r="G5" s="66">
        <v>50</v>
      </c>
      <c r="H5" s="66">
        <v>57.949100000000001</v>
      </c>
    </row>
    <row r="6" spans="1:8">
      <c r="A6" s="66" t="s">
        <v>303</v>
      </c>
      <c r="B6" s="66">
        <v>31.215299999999999</v>
      </c>
      <c r="C6" s="66">
        <v>5.87601</v>
      </c>
      <c r="D6" s="66">
        <v>18.824200000000001</v>
      </c>
      <c r="E6" s="66">
        <v>20</v>
      </c>
      <c r="F6" s="66">
        <v>21.5336</v>
      </c>
      <c r="G6" s="66">
        <v>40</v>
      </c>
      <c r="H6" s="66">
        <v>36.341000000000001</v>
      </c>
    </row>
    <row r="7" spans="1:8">
      <c r="A7" s="66" t="s">
        <v>304</v>
      </c>
      <c r="B7" s="66">
        <v>22.843399999999999</v>
      </c>
      <c r="C7" s="66">
        <v>7.5216099999999999</v>
      </c>
      <c r="D7" s="66">
        <v>32.9268</v>
      </c>
      <c r="E7" s="66">
        <v>15</v>
      </c>
      <c r="F7" s="66">
        <v>2.30017</v>
      </c>
      <c r="G7" s="66">
        <v>40</v>
      </c>
      <c r="H7" s="66">
        <v>35.877400000000002</v>
      </c>
    </row>
    <row r="8" spans="1:8">
      <c r="A8" s="66" t="s">
        <v>305</v>
      </c>
      <c r="B8" s="66">
        <v>29.540500000000002</v>
      </c>
      <c r="C8" s="66">
        <v>4.1380100000000004</v>
      </c>
      <c r="D8" s="66">
        <v>14.007899999999999</v>
      </c>
      <c r="E8" s="66">
        <v>20</v>
      </c>
      <c r="F8" s="66">
        <v>20.311699999999998</v>
      </c>
      <c r="G8" s="66">
        <v>50</v>
      </c>
      <c r="H8" s="66">
        <v>38.953899999999997</v>
      </c>
    </row>
    <row r="9" spans="1:8">
      <c r="A9" s="66" t="s">
        <v>306</v>
      </c>
      <c r="B9" s="66">
        <v>56.753999999999998</v>
      </c>
      <c r="C9" s="66">
        <v>4.0788500000000001</v>
      </c>
      <c r="D9" s="66">
        <v>7.1869100000000001</v>
      </c>
      <c r="E9" s="66">
        <v>50</v>
      </c>
      <c r="F9" s="66">
        <v>48.752499999999998</v>
      </c>
      <c r="G9" s="66">
        <v>100</v>
      </c>
      <c r="H9" s="66">
        <v>68.934200000000004</v>
      </c>
    </row>
    <row r="10" spans="1:8">
      <c r="A10" s="66" t="s">
        <v>307</v>
      </c>
      <c r="B10" s="66">
        <v>67.113900000000001</v>
      </c>
      <c r="C10" s="66">
        <v>10.4321</v>
      </c>
      <c r="D10" s="66">
        <v>15.543900000000001</v>
      </c>
      <c r="E10" s="66">
        <v>40</v>
      </c>
      <c r="F10" s="66">
        <v>53.763800000000003</v>
      </c>
      <c r="G10" s="66">
        <v>100</v>
      </c>
      <c r="H10" s="66">
        <v>85.137900000000002</v>
      </c>
    </row>
    <row r="11" spans="1:8">
      <c r="A11" s="66" t="s">
        <v>308</v>
      </c>
      <c r="B11" s="66">
        <v>21.3399</v>
      </c>
      <c r="C11" s="66">
        <v>5.87575</v>
      </c>
      <c r="D11" s="66">
        <v>27.534099999999999</v>
      </c>
      <c r="E11" s="66">
        <v>10</v>
      </c>
      <c r="F11" s="66">
        <v>7.8896800000000002</v>
      </c>
      <c r="G11" s="66">
        <v>50</v>
      </c>
      <c r="H11" s="66">
        <v>29.926400000000001</v>
      </c>
    </row>
    <row r="12" spans="1:8">
      <c r="A12" s="66" t="s">
        <v>309</v>
      </c>
      <c r="B12" s="66">
        <v>64.227000000000004</v>
      </c>
      <c r="C12" s="66">
        <v>4.4223600000000003</v>
      </c>
      <c r="D12" s="66">
        <v>6.8855199999999996</v>
      </c>
      <c r="E12" s="66">
        <v>50</v>
      </c>
      <c r="F12" s="66">
        <v>57.780799999999999</v>
      </c>
      <c r="G12" s="66">
        <v>100</v>
      </c>
      <c r="H12" s="66">
        <v>73.082499999999996</v>
      </c>
    </row>
    <row r="13" spans="1:8">
      <c r="A13" s="66" t="s">
        <v>310</v>
      </c>
      <c r="B13" s="66">
        <v>14.8939</v>
      </c>
      <c r="C13" s="66">
        <v>4.9359000000000002</v>
      </c>
      <c r="D13" s="66">
        <v>33.1404</v>
      </c>
      <c r="E13" s="66">
        <v>10</v>
      </c>
      <c r="F13" s="66">
        <v>12.804</v>
      </c>
      <c r="G13" s="66">
        <v>25</v>
      </c>
      <c r="H13" s="66">
        <v>37.938299999999998</v>
      </c>
    </row>
    <row r="14" spans="1:8">
      <c r="A14" s="66" t="s">
        <v>311</v>
      </c>
      <c r="B14" s="66">
        <v>49.359000000000002</v>
      </c>
      <c r="C14" s="66">
        <v>18.8948</v>
      </c>
      <c r="D14" s="66">
        <v>38.2804</v>
      </c>
      <c r="E14" s="66">
        <v>10</v>
      </c>
      <c r="F14" s="66">
        <v>0.109643</v>
      </c>
      <c r="G14" s="66">
        <v>50</v>
      </c>
      <c r="H14" s="66">
        <v>75.294600000000003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0.38569900000000001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0.52093100000000003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66">
        <v>1.15966E-2</v>
      </c>
      <c r="C20" s="66">
        <v>0.36548900000000001</v>
      </c>
      <c r="D20" s="66">
        <v>31.5169</v>
      </c>
      <c r="E20" s="66">
        <v>0</v>
      </c>
      <c r="F20" s="66">
        <v>7.5293799999999996E-3</v>
      </c>
      <c r="G20" s="66">
        <v>0</v>
      </c>
      <c r="H20" s="66">
        <v>2.5547900000000001</v>
      </c>
    </row>
    <row r="21" spans="1:8">
      <c r="A21" s="66" t="s">
        <v>318</v>
      </c>
      <c r="B21" s="66">
        <v>0.13463600000000001</v>
      </c>
      <c r="C21" s="66">
        <v>2.4246400000000001</v>
      </c>
      <c r="D21" s="66">
        <v>18.008900000000001</v>
      </c>
      <c r="E21" s="66">
        <v>0</v>
      </c>
      <c r="F21" s="66">
        <v>1.09561E-2</v>
      </c>
      <c r="G21" s="66">
        <v>0</v>
      </c>
      <c r="H21" s="66">
        <v>14.2067</v>
      </c>
    </row>
    <row r="22" spans="1:8">
      <c r="A22" s="66" t="s">
        <v>319</v>
      </c>
      <c r="B22" s="66">
        <v>34.098700000000001</v>
      </c>
      <c r="C22" s="66">
        <v>65.757599999999996</v>
      </c>
      <c r="D22" s="66">
        <v>1.92845</v>
      </c>
      <c r="E22" s="66">
        <v>0</v>
      </c>
      <c r="F22" s="66">
        <v>16.158899999999999</v>
      </c>
      <c r="G22" s="66">
        <v>0</v>
      </c>
      <c r="H22" s="66">
        <v>302.51400000000001</v>
      </c>
    </row>
    <row r="23" spans="1:8">
      <c r="A23" s="66" t="s">
        <v>320</v>
      </c>
      <c r="B23" s="66">
        <v>18.568200000000001</v>
      </c>
      <c r="C23" s="66">
        <v>15.700900000000001</v>
      </c>
      <c r="D23" s="66">
        <v>0.84558100000000003</v>
      </c>
      <c r="E23" s="66">
        <v>0</v>
      </c>
      <c r="F23" s="66">
        <v>8.1206999999999994</v>
      </c>
      <c r="G23" s="66">
        <v>0</v>
      </c>
      <c r="H23" s="66">
        <v>46.324199999999998</v>
      </c>
    </row>
    <row r="24" spans="1:8">
      <c r="A24" s="66" t="s">
        <v>321</v>
      </c>
      <c r="B24" s="66">
        <v>1.19766E-2</v>
      </c>
      <c r="C24" s="66">
        <v>0.34541699999999997</v>
      </c>
      <c r="D24" s="66">
        <v>28.841000000000001</v>
      </c>
      <c r="E24" s="66">
        <v>0</v>
      </c>
      <c r="F24" s="66">
        <v>8.5697599999999992E-3</v>
      </c>
      <c r="G24" s="66">
        <v>0</v>
      </c>
      <c r="H24" s="66">
        <v>2.2451400000000001</v>
      </c>
    </row>
    <row r="25" spans="1:8">
      <c r="A25" s="66" t="s">
        <v>322</v>
      </c>
      <c r="B25" s="66">
        <v>0.13105600000000001</v>
      </c>
      <c r="C25" s="66">
        <v>1.8835200000000001</v>
      </c>
      <c r="D25" s="66">
        <v>14.3719</v>
      </c>
      <c r="E25" s="66">
        <v>0</v>
      </c>
      <c r="F25" s="66">
        <v>4.34077E-2</v>
      </c>
      <c r="G25" s="66">
        <v>0</v>
      </c>
      <c r="H25" s="66">
        <v>7.8185500000000001</v>
      </c>
    </row>
    <row r="26" spans="1:8">
      <c r="A26" s="66" t="s">
        <v>323</v>
      </c>
      <c r="B26" s="66">
        <v>2.09099E-3</v>
      </c>
      <c r="C26" s="66">
        <v>2.6037600000000001E-2</v>
      </c>
      <c r="D26" s="66">
        <v>12.452299999999999</v>
      </c>
      <c r="E26" s="66">
        <v>0</v>
      </c>
      <c r="F26" s="66">
        <v>1.27035E-3</v>
      </c>
      <c r="G26" s="66">
        <v>0</v>
      </c>
      <c r="H26" s="66">
        <v>0.152144</v>
      </c>
    </row>
    <row r="27" spans="1:8">
      <c r="A27" s="66" t="s">
        <v>324</v>
      </c>
      <c r="B27" s="196">
        <v>-4.9239000000000004E-6</v>
      </c>
      <c r="C27" s="66">
        <v>3.0726600000000001E-3</v>
      </c>
      <c r="D27" s="66">
        <v>-624.029</v>
      </c>
      <c r="E27" s="66">
        <v>0</v>
      </c>
      <c r="F27" s="66">
        <v>-1.7742299999999999E-2</v>
      </c>
      <c r="G27" s="66">
        <v>0</v>
      </c>
      <c r="H27" s="66">
        <v>2.3942999999999999E-2</v>
      </c>
    </row>
    <row r="28" spans="1:8">
      <c r="A28" s="66" t="s">
        <v>325</v>
      </c>
      <c r="B28" s="66">
        <v>2.1829399999999999E-2</v>
      </c>
      <c r="C28" s="66">
        <v>6.6334900000000002E-2</v>
      </c>
      <c r="D28" s="66">
        <v>3.0387900000000001</v>
      </c>
      <c r="E28" s="66">
        <v>0</v>
      </c>
      <c r="F28" s="66">
        <v>1.9889299999999999E-3</v>
      </c>
      <c r="G28" s="66">
        <v>0</v>
      </c>
      <c r="H28" s="66">
        <v>0.31357699999999999</v>
      </c>
    </row>
    <row r="29" spans="1:8">
      <c r="A29" s="66" t="s">
        <v>326</v>
      </c>
      <c r="B29" s="66">
        <v>74.39</v>
      </c>
      <c r="C29" s="66">
        <v>19.909500000000001</v>
      </c>
      <c r="D29" s="66">
        <v>0.26763700000000001</v>
      </c>
      <c r="E29" s="66">
        <v>0</v>
      </c>
      <c r="F29" s="66">
        <v>48.104900000000001</v>
      </c>
      <c r="G29" s="66">
        <v>0</v>
      </c>
      <c r="H29" s="66">
        <v>142.48599999999999</v>
      </c>
    </row>
    <row r="30" spans="1:8">
      <c r="A30" s="66" t="s">
        <v>327</v>
      </c>
      <c r="B30" s="66">
        <v>28.7607</v>
      </c>
      <c r="C30" s="66">
        <v>5.85846</v>
      </c>
      <c r="D30" s="66">
        <v>0.20369599999999999</v>
      </c>
      <c r="E30" s="66">
        <v>0</v>
      </c>
      <c r="F30" s="66">
        <v>13.080399999999999</v>
      </c>
      <c r="G30" s="66">
        <v>0</v>
      </c>
      <c r="H30" s="66">
        <v>32.129199999999997</v>
      </c>
    </row>
    <row r="31" spans="1:8">
      <c r="A31" s="66" t="s">
        <v>328</v>
      </c>
      <c r="B31" s="66">
        <v>101.021</v>
      </c>
      <c r="C31" s="66">
        <v>44.985199999999999</v>
      </c>
      <c r="D31" s="66">
        <v>0.44530599999999998</v>
      </c>
      <c r="E31" s="66">
        <v>0</v>
      </c>
      <c r="F31" s="66">
        <v>33.604100000000003</v>
      </c>
      <c r="G31" s="66">
        <v>0</v>
      </c>
      <c r="H31" s="66">
        <v>165.958</v>
      </c>
    </row>
    <row r="32" spans="1:8">
      <c r="A32" s="66" t="s">
        <v>329</v>
      </c>
      <c r="B32" s="66">
        <v>0.228434</v>
      </c>
      <c r="C32" s="66">
        <v>7.5216099999999994E-2</v>
      </c>
      <c r="D32" s="66">
        <v>0.32926800000000001</v>
      </c>
      <c r="E32" s="66">
        <v>0.15</v>
      </c>
      <c r="F32" s="66">
        <v>2.30017E-2</v>
      </c>
      <c r="G32" s="66">
        <v>0.4</v>
      </c>
      <c r="H32" s="66">
        <v>0.35877399999999998</v>
      </c>
    </row>
    <row r="33" spans="1:8">
      <c r="A33" s="66" t="s">
        <v>330</v>
      </c>
      <c r="B33" s="66">
        <v>0.269957</v>
      </c>
      <c r="C33" s="66">
        <v>5.2150000000000002E-2</v>
      </c>
      <c r="D33" s="66">
        <v>0.19317899999999999</v>
      </c>
      <c r="E33" s="66">
        <v>0</v>
      </c>
      <c r="F33" s="66">
        <v>0.11233700000000001</v>
      </c>
      <c r="G33" s="66">
        <v>0</v>
      </c>
      <c r="H33" s="66">
        <v>0.42258499999999999</v>
      </c>
    </row>
    <row r="34" spans="1:8">
      <c r="A34" s="66" t="s">
        <v>331</v>
      </c>
      <c r="B34" s="66">
        <v>0.14893899999999999</v>
      </c>
      <c r="C34" s="66">
        <v>4.9359E-2</v>
      </c>
      <c r="D34" s="66">
        <v>0.33140399999999998</v>
      </c>
      <c r="E34" s="66">
        <v>0.1</v>
      </c>
      <c r="F34" s="66">
        <v>0.12803999999999999</v>
      </c>
      <c r="G34" s="66">
        <v>0.25</v>
      </c>
      <c r="H34" s="66">
        <v>0.37938300000000003</v>
      </c>
    </row>
    <row r="35" spans="1:8">
      <c r="A35" s="66" t="s">
        <v>332</v>
      </c>
      <c r="B35" s="66">
        <v>6.0638400000000002E-2</v>
      </c>
      <c r="C35" s="66">
        <v>2.2661400000000002E-2</v>
      </c>
      <c r="D35" s="66">
        <v>0.37371399999999999</v>
      </c>
      <c r="E35" s="66">
        <v>0</v>
      </c>
      <c r="F35" s="66">
        <v>3.1642400000000001E-2</v>
      </c>
      <c r="G35" s="66">
        <v>0</v>
      </c>
      <c r="H35" s="66">
        <v>0.17405200000000001</v>
      </c>
    </row>
    <row r="36" spans="1:8">
      <c r="A36" s="66" t="s">
        <v>333</v>
      </c>
      <c r="B36" s="66">
        <v>0.144541</v>
      </c>
      <c r="C36" s="66">
        <v>8.5176000000000002E-2</v>
      </c>
      <c r="D36" s="66">
        <v>0.58928800000000003</v>
      </c>
      <c r="E36" s="66">
        <v>0</v>
      </c>
      <c r="F36" s="66">
        <v>3.8139100000000002E-2</v>
      </c>
      <c r="G36" s="66">
        <v>0</v>
      </c>
      <c r="H36" s="66">
        <v>0.60212900000000003</v>
      </c>
    </row>
    <row r="37" spans="1:8">
      <c r="A37" s="66" t="s">
        <v>334</v>
      </c>
      <c r="B37" s="66">
        <v>0.49358999999999997</v>
      </c>
      <c r="C37" s="66">
        <v>0.188948</v>
      </c>
      <c r="D37" s="66">
        <v>0.38280399999999998</v>
      </c>
      <c r="E37" s="66">
        <v>0.1</v>
      </c>
      <c r="F37" s="66">
        <v>1.09643E-3</v>
      </c>
      <c r="G37" s="66">
        <v>0.5</v>
      </c>
      <c r="H37" s="66">
        <v>0.752946</v>
      </c>
    </row>
    <row r="38" spans="1:8">
      <c r="A38" s="66" t="s">
        <v>335</v>
      </c>
      <c r="B38" s="66">
        <v>-2.1800299999999999</v>
      </c>
      <c r="C38" s="66">
        <v>32.9833</v>
      </c>
      <c r="D38" s="66">
        <v>-15.1297</v>
      </c>
      <c r="E38" s="66">
        <v>0</v>
      </c>
      <c r="F38" s="66">
        <v>-140.893</v>
      </c>
      <c r="G38" s="66">
        <v>0</v>
      </c>
      <c r="H38" s="66">
        <v>81.582400000000007</v>
      </c>
    </row>
    <row r="39" spans="1:8">
      <c r="A39" s="66" t="s">
        <v>336</v>
      </c>
      <c r="B39" s="66">
        <v>1.1214900000000001</v>
      </c>
      <c r="C39" s="66">
        <v>9.6233500000000003</v>
      </c>
      <c r="D39" s="66">
        <v>8.5808400000000002</v>
      </c>
      <c r="E39" s="66">
        <v>0</v>
      </c>
      <c r="F39" s="66">
        <v>-49.835999999999999</v>
      </c>
      <c r="G39" s="66">
        <v>0</v>
      </c>
      <c r="H39" s="66">
        <v>14.5046</v>
      </c>
    </row>
    <row r="40" spans="1:8">
      <c r="A40" s="66" t="s">
        <v>337</v>
      </c>
      <c r="B40" s="66">
        <v>0.40839599999999998</v>
      </c>
      <c r="C40" s="66">
        <v>0.57652499999999995</v>
      </c>
      <c r="D40" s="66">
        <v>1.41168</v>
      </c>
      <c r="E40" s="66">
        <v>0</v>
      </c>
      <c r="F40" s="66">
        <v>-0.95520300000000002</v>
      </c>
      <c r="G40" s="66">
        <v>0</v>
      </c>
      <c r="H40" s="66">
        <v>2.7621099999999998</v>
      </c>
    </row>
    <row r="41" spans="1:8">
      <c r="A41" s="66" t="s">
        <v>338</v>
      </c>
      <c r="B41" s="66">
        <v>1.99899E-3</v>
      </c>
      <c r="C41" s="66">
        <v>0.24206</v>
      </c>
      <c r="D41" s="66">
        <v>121.09099999999999</v>
      </c>
      <c r="E41" s="66">
        <v>0</v>
      </c>
      <c r="F41" s="66">
        <v>-1</v>
      </c>
      <c r="G41" s="66">
        <v>0</v>
      </c>
      <c r="H41" s="66">
        <v>0.62361599999999995</v>
      </c>
    </row>
    <row r="42" spans="1:8">
      <c r="A42" s="66" t="s">
        <v>339</v>
      </c>
      <c r="B42" s="66">
        <v>4.4451699999999997E-2</v>
      </c>
      <c r="C42" s="66">
        <v>5.4765399999999999E-2</v>
      </c>
      <c r="D42" s="66">
        <v>1.2320199999999999</v>
      </c>
      <c r="E42" s="66">
        <v>0</v>
      </c>
      <c r="F42" s="66">
        <v>-0.115978</v>
      </c>
      <c r="G42" s="66">
        <v>0</v>
      </c>
      <c r="H42" s="66">
        <v>0.17182900000000001</v>
      </c>
    </row>
    <row r="43" spans="1:8">
      <c r="A43" s="66" t="s">
        <v>340</v>
      </c>
      <c r="B43" s="66">
        <v>1.1459E-2</v>
      </c>
      <c r="C43" s="66">
        <v>2.2973400000000001E-2</v>
      </c>
      <c r="D43" s="66">
        <v>2.0048400000000002</v>
      </c>
      <c r="E43" s="66">
        <v>0</v>
      </c>
      <c r="F43" s="66">
        <v>-3.03813E-2</v>
      </c>
      <c r="G43" s="66">
        <v>0</v>
      </c>
      <c r="H43" s="66">
        <v>9.5622899999999997E-2</v>
      </c>
    </row>
    <row r="44" spans="1:8">
      <c r="A44" s="66" t="s">
        <v>341</v>
      </c>
      <c r="B44" s="66">
        <v>9.5480400000000003</v>
      </c>
      <c r="C44" s="66">
        <v>7.6875600000000004</v>
      </c>
      <c r="D44" s="66">
        <v>0.805145</v>
      </c>
      <c r="E44" s="66">
        <v>0</v>
      </c>
      <c r="F44" s="66">
        <v>-8.2259700000000002</v>
      </c>
      <c r="G44" s="66">
        <v>0</v>
      </c>
      <c r="H44" s="66">
        <v>20.967600000000001</v>
      </c>
    </row>
    <row r="45" spans="1:8">
      <c r="A45" s="66" t="s">
        <v>342</v>
      </c>
      <c r="B45" s="66">
        <v>52.208799999999997</v>
      </c>
      <c r="C45" s="66">
        <v>10.712400000000001</v>
      </c>
      <c r="D45" s="66">
        <v>0.20518500000000001</v>
      </c>
      <c r="E45" s="66">
        <v>0</v>
      </c>
      <c r="F45" s="66">
        <v>24.308499999999999</v>
      </c>
      <c r="G45" s="66">
        <v>0</v>
      </c>
      <c r="H45" s="66">
        <v>73.020200000000003</v>
      </c>
    </row>
    <row r="46" spans="1:8">
      <c r="A46" s="66" t="s">
        <v>343</v>
      </c>
      <c r="B46" s="66">
        <v>29.175699999999999</v>
      </c>
      <c r="C46" s="66">
        <v>7.5271499999999998</v>
      </c>
      <c r="D46" s="66">
        <v>0.257994</v>
      </c>
      <c r="E46" s="66">
        <v>0</v>
      </c>
      <c r="F46" s="66">
        <v>10.8719</v>
      </c>
      <c r="G46" s="66">
        <v>0</v>
      </c>
      <c r="H46" s="66">
        <v>39.990299999999998</v>
      </c>
    </row>
    <row r="47" spans="1:8">
      <c r="A47" s="66" t="s">
        <v>344</v>
      </c>
      <c r="B47" s="66">
        <v>0.84926299999999999</v>
      </c>
      <c r="C47" s="66">
        <v>2.0501</v>
      </c>
      <c r="D47" s="66">
        <v>2.4139699999999999</v>
      </c>
      <c r="E47" s="66">
        <v>0</v>
      </c>
      <c r="F47" s="66">
        <v>0.45823399999999997</v>
      </c>
      <c r="G47" s="66">
        <v>0</v>
      </c>
      <c r="H47" s="66">
        <v>13.862500000000001</v>
      </c>
    </row>
    <row r="48" spans="1:8">
      <c r="A48" s="66" t="s">
        <v>345</v>
      </c>
      <c r="B48" s="66">
        <v>0.89897400000000005</v>
      </c>
      <c r="C48" s="66">
        <v>0.14015900000000001</v>
      </c>
      <c r="D48" s="66">
        <v>0.15590999999999999</v>
      </c>
      <c r="E48" s="66">
        <v>0</v>
      </c>
      <c r="F48" s="66">
        <v>0.50320600000000004</v>
      </c>
      <c r="G48" s="66">
        <v>0</v>
      </c>
      <c r="H48" s="66">
        <v>1.18011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294</v>
      </c>
      <c r="D1" s="66" t="s">
        <v>295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50.616599999999998</v>
      </c>
      <c r="C5" s="66">
        <v>5.5902200000000004</v>
      </c>
      <c r="D5" s="66">
        <v>11.0442</v>
      </c>
      <c r="E5" s="66">
        <v>20</v>
      </c>
      <c r="F5" s="66">
        <v>34.107100000000003</v>
      </c>
      <c r="G5" s="66">
        <v>50</v>
      </c>
      <c r="H5" s="66">
        <v>54.513500000000001</v>
      </c>
    </row>
    <row r="6" spans="1:8">
      <c r="A6" s="66" t="s">
        <v>303</v>
      </c>
      <c r="B6" s="66">
        <v>41.931600000000003</v>
      </c>
      <c r="C6" s="66">
        <v>7.6265099999999997</v>
      </c>
      <c r="D6" s="66">
        <v>18.187999999999999</v>
      </c>
      <c r="E6" s="66">
        <v>20</v>
      </c>
      <c r="F6" s="66">
        <v>23.119199999999999</v>
      </c>
      <c r="G6" s="66">
        <v>40</v>
      </c>
      <c r="H6" s="66">
        <v>43.141199999999998</v>
      </c>
    </row>
    <row r="7" spans="1:8">
      <c r="A7" s="66" t="s">
        <v>304</v>
      </c>
      <c r="B7" s="66">
        <v>24.622800000000002</v>
      </c>
      <c r="C7" s="66">
        <v>3.6450399999999998</v>
      </c>
      <c r="D7" s="66">
        <v>14.8035</v>
      </c>
      <c r="E7" s="66">
        <v>15</v>
      </c>
      <c r="F7" s="66">
        <v>17.735099999999999</v>
      </c>
      <c r="G7" s="66">
        <v>40</v>
      </c>
      <c r="H7" s="66">
        <v>35.170299999999997</v>
      </c>
    </row>
    <row r="8" spans="1:8">
      <c r="A8" s="66" t="s">
        <v>305</v>
      </c>
      <c r="B8" s="66">
        <v>38.002099999999999</v>
      </c>
      <c r="C8" s="66">
        <v>4.2887000000000004</v>
      </c>
      <c r="D8" s="66">
        <v>11.285399999999999</v>
      </c>
      <c r="E8" s="66">
        <v>20</v>
      </c>
      <c r="F8" s="66">
        <v>27.588200000000001</v>
      </c>
      <c r="G8" s="66">
        <v>50</v>
      </c>
      <c r="H8" s="66">
        <v>42.529299999999999</v>
      </c>
    </row>
    <row r="9" spans="1:8">
      <c r="A9" s="66" t="s">
        <v>306</v>
      </c>
      <c r="B9" s="66">
        <v>55.888399999999997</v>
      </c>
      <c r="C9" s="66">
        <v>3.8263199999999999</v>
      </c>
      <c r="D9" s="66">
        <v>6.8463599999999998</v>
      </c>
      <c r="E9" s="66">
        <v>50</v>
      </c>
      <c r="F9" s="66">
        <v>48.127299999999998</v>
      </c>
      <c r="G9" s="66">
        <v>100</v>
      </c>
      <c r="H9" s="66">
        <v>65.658799999999999</v>
      </c>
    </row>
    <row r="10" spans="1:8">
      <c r="A10" s="66" t="s">
        <v>307</v>
      </c>
      <c r="B10" s="66">
        <v>57.1935</v>
      </c>
      <c r="C10" s="66">
        <v>12.066700000000001</v>
      </c>
      <c r="D10" s="66">
        <v>21.097999999999999</v>
      </c>
      <c r="E10" s="66">
        <v>40</v>
      </c>
      <c r="F10" s="66">
        <v>52.876899999999999</v>
      </c>
      <c r="G10" s="66">
        <v>100</v>
      </c>
      <c r="H10" s="66">
        <v>84.627799999999993</v>
      </c>
    </row>
    <row r="11" spans="1:8">
      <c r="A11" s="66" t="s">
        <v>308</v>
      </c>
      <c r="B11" s="66">
        <v>23.694500000000001</v>
      </c>
      <c r="C11" s="66">
        <v>1.4296800000000001</v>
      </c>
      <c r="D11" s="66">
        <v>6.0338099999999999</v>
      </c>
      <c r="E11" s="66">
        <v>10</v>
      </c>
      <c r="F11" s="66">
        <v>21.063199999999998</v>
      </c>
      <c r="G11" s="66">
        <v>50</v>
      </c>
      <c r="H11" s="66">
        <v>27.467300000000002</v>
      </c>
    </row>
    <row r="12" spans="1:8">
      <c r="A12" s="66" t="s">
        <v>309</v>
      </c>
      <c r="B12" s="66">
        <v>56.702500000000001</v>
      </c>
      <c r="C12" s="66">
        <v>7.5902900000000004</v>
      </c>
      <c r="D12" s="66">
        <v>13.386200000000001</v>
      </c>
      <c r="E12" s="66">
        <v>50</v>
      </c>
      <c r="F12" s="66">
        <v>50.7102</v>
      </c>
      <c r="G12" s="66">
        <v>100</v>
      </c>
      <c r="H12" s="66">
        <v>74.069199999999995</v>
      </c>
    </row>
    <row r="13" spans="1:8">
      <c r="A13" s="66" t="s">
        <v>310</v>
      </c>
      <c r="B13" s="66">
        <v>14.3744</v>
      </c>
      <c r="C13" s="66">
        <v>1.38348</v>
      </c>
      <c r="D13" s="66">
        <v>9.6245799999999999</v>
      </c>
      <c r="E13" s="66">
        <v>10</v>
      </c>
      <c r="F13" s="66">
        <v>11.98</v>
      </c>
      <c r="G13" s="66">
        <v>25</v>
      </c>
      <c r="H13" s="66">
        <v>18.068899999999999</v>
      </c>
    </row>
    <row r="14" spans="1:8">
      <c r="A14" s="66" t="s">
        <v>311</v>
      </c>
      <c r="B14" s="66">
        <v>13.8348</v>
      </c>
      <c r="C14" s="66">
        <v>18.630600000000001</v>
      </c>
      <c r="D14" s="66">
        <v>134.66499999999999</v>
      </c>
      <c r="E14" s="66">
        <v>10</v>
      </c>
      <c r="F14" s="66">
        <v>2.41798</v>
      </c>
      <c r="G14" s="66">
        <v>50</v>
      </c>
      <c r="H14" s="66">
        <v>49.231099999999998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0.416462</v>
      </c>
      <c r="C18" s="66">
        <v>4.6417399999999998E-2</v>
      </c>
      <c r="D18" s="66">
        <v>0.111456</v>
      </c>
      <c r="E18" s="66">
        <v>0</v>
      </c>
      <c r="F18" s="66">
        <v>0.37004500000000001</v>
      </c>
      <c r="G18" s="66">
        <v>0</v>
      </c>
      <c r="H18" s="66">
        <v>0.46288000000000001</v>
      </c>
    </row>
    <row r="19" spans="1:8">
      <c r="A19" s="66" t="s">
        <v>316</v>
      </c>
      <c r="B19" s="66">
        <v>0.64382300000000003</v>
      </c>
      <c r="C19" s="66">
        <v>7.67655E-2</v>
      </c>
      <c r="D19" s="66">
        <v>0.11923400000000001</v>
      </c>
      <c r="E19" s="66">
        <v>0</v>
      </c>
      <c r="F19" s="66">
        <v>0.56705700000000003</v>
      </c>
      <c r="G19" s="66">
        <v>0</v>
      </c>
      <c r="H19" s="66">
        <v>0.72058800000000001</v>
      </c>
    </row>
    <row r="20" spans="1:8">
      <c r="A20" s="66" t="s">
        <v>317</v>
      </c>
      <c r="B20" s="66">
        <v>1.06699E-2</v>
      </c>
      <c r="C20" s="66">
        <v>4.0349299999999999E-3</v>
      </c>
      <c r="D20" s="66">
        <v>0.37816</v>
      </c>
      <c r="E20" s="66">
        <v>0</v>
      </c>
      <c r="F20" s="66">
        <v>6.8874000000000001E-3</v>
      </c>
      <c r="G20" s="66">
        <v>0</v>
      </c>
      <c r="H20" s="66">
        <v>5.6272700000000002E-2</v>
      </c>
    </row>
    <row r="21" spans="1:8">
      <c r="A21" s="66" t="s">
        <v>318</v>
      </c>
      <c r="B21" s="66">
        <v>8.4251300000000001E-2</v>
      </c>
      <c r="C21" s="66">
        <v>8.6177000000000004E-2</v>
      </c>
      <c r="D21" s="66">
        <v>1.0228600000000001</v>
      </c>
      <c r="E21" s="66">
        <v>0</v>
      </c>
      <c r="F21" s="66">
        <v>8.8278300000000001E-3</v>
      </c>
      <c r="G21" s="66">
        <v>0</v>
      </c>
      <c r="H21" s="66">
        <v>0.386486</v>
      </c>
    </row>
    <row r="22" spans="1:8">
      <c r="A22" s="66" t="s">
        <v>319</v>
      </c>
      <c r="B22" s="66">
        <v>30.997499999999999</v>
      </c>
      <c r="C22" s="66">
        <v>7.9040299999999997</v>
      </c>
      <c r="D22" s="66">
        <v>0.25498900000000002</v>
      </c>
      <c r="E22" s="66">
        <v>0</v>
      </c>
      <c r="F22" s="66">
        <v>15.409599999999999</v>
      </c>
      <c r="G22" s="66">
        <v>0</v>
      </c>
      <c r="H22" s="66">
        <v>48.795499999999997</v>
      </c>
    </row>
    <row r="23" spans="1:8">
      <c r="A23" s="66" t="s">
        <v>320</v>
      </c>
      <c r="B23" s="66">
        <v>17.558399999999999</v>
      </c>
      <c r="C23" s="66">
        <v>11.248799999999999</v>
      </c>
      <c r="D23" s="66">
        <v>0.64065000000000005</v>
      </c>
      <c r="E23" s="66">
        <v>0</v>
      </c>
      <c r="F23" s="66">
        <v>14.449</v>
      </c>
      <c r="G23" s="66">
        <v>0</v>
      </c>
      <c r="H23" s="66">
        <v>46.2119</v>
      </c>
    </row>
    <row r="24" spans="1:8">
      <c r="A24" s="66" t="s">
        <v>321</v>
      </c>
      <c r="B24" s="66">
        <v>1.1172400000000001E-2</v>
      </c>
      <c r="C24" s="66">
        <v>2.7129900000000002E-3</v>
      </c>
      <c r="D24" s="66">
        <v>0.24282899999999999</v>
      </c>
      <c r="E24" s="66">
        <v>0</v>
      </c>
      <c r="F24" s="66">
        <v>8.5390299999999995E-3</v>
      </c>
      <c r="G24" s="66">
        <v>0</v>
      </c>
      <c r="H24" s="66">
        <v>2.4007400000000002E-2</v>
      </c>
    </row>
    <row r="25" spans="1:8">
      <c r="A25" s="66" t="s">
        <v>322</v>
      </c>
      <c r="B25" s="66">
        <v>0.104654</v>
      </c>
      <c r="C25" s="66">
        <v>3.5580800000000003E-2</v>
      </c>
      <c r="D25" s="66">
        <v>0.33998600000000001</v>
      </c>
      <c r="E25" s="66">
        <v>0</v>
      </c>
      <c r="F25" s="66">
        <v>3.4250000000000003E-2</v>
      </c>
      <c r="G25" s="66">
        <v>0</v>
      </c>
      <c r="H25" s="66">
        <v>0.189031</v>
      </c>
    </row>
    <row r="26" spans="1:8">
      <c r="A26" s="66" t="s">
        <v>323</v>
      </c>
      <c r="B26" s="66">
        <v>1.85793E-3</v>
      </c>
      <c r="C26" s="66">
        <v>5.9818800000000004E-4</v>
      </c>
      <c r="D26" s="66">
        <v>0.321965</v>
      </c>
      <c r="E26" s="66">
        <v>0</v>
      </c>
      <c r="F26" s="66">
        <v>1.18829E-3</v>
      </c>
      <c r="G26" s="66">
        <v>0</v>
      </c>
      <c r="H26" s="66">
        <v>4.90743E-3</v>
      </c>
    </row>
    <row r="27" spans="1:8">
      <c r="A27" s="66" t="s">
        <v>324</v>
      </c>
      <c r="B27" s="196">
        <v>-1.31303E-5</v>
      </c>
      <c r="C27" s="66">
        <v>3.8412899999999998E-4</v>
      </c>
      <c r="D27" s="66">
        <v>-29.255299999999998</v>
      </c>
      <c r="E27" s="66">
        <v>0</v>
      </c>
      <c r="F27" s="66">
        <v>-2.2354300000000001E-3</v>
      </c>
      <c r="G27" s="66">
        <v>0</v>
      </c>
      <c r="H27" s="66">
        <v>1.9203E-3</v>
      </c>
    </row>
    <row r="28" spans="1:8">
      <c r="A28" s="66" t="s">
        <v>325</v>
      </c>
      <c r="B28" s="66">
        <v>1.5621700000000001E-2</v>
      </c>
      <c r="C28" s="66">
        <v>1.08012E-2</v>
      </c>
      <c r="D28" s="66">
        <v>0.69142199999999998</v>
      </c>
      <c r="E28" s="66">
        <v>0</v>
      </c>
      <c r="F28" s="66">
        <v>1.52669E-3</v>
      </c>
      <c r="G28" s="66">
        <v>0</v>
      </c>
      <c r="H28" s="66">
        <v>4.6341100000000003E-2</v>
      </c>
    </row>
    <row r="29" spans="1:8">
      <c r="A29" s="66" t="s">
        <v>326</v>
      </c>
      <c r="B29" s="66">
        <v>68.55</v>
      </c>
      <c r="C29" s="66">
        <v>13.2346</v>
      </c>
      <c r="D29" s="66">
        <v>0.19306400000000001</v>
      </c>
      <c r="E29" s="66">
        <v>0</v>
      </c>
      <c r="F29" s="66">
        <v>53.496200000000002</v>
      </c>
      <c r="G29" s="66">
        <v>0</v>
      </c>
      <c r="H29" s="66">
        <v>103.181</v>
      </c>
    </row>
    <row r="30" spans="1:8">
      <c r="A30" s="66" t="s">
        <v>327</v>
      </c>
      <c r="B30" s="66">
        <v>28.7029</v>
      </c>
      <c r="C30" s="66">
        <v>2.3761399999999999</v>
      </c>
      <c r="D30" s="66">
        <v>8.2783999999999996E-2</v>
      </c>
      <c r="E30" s="66">
        <v>0</v>
      </c>
      <c r="F30" s="66">
        <v>21.886099999999999</v>
      </c>
      <c r="G30" s="66">
        <v>0</v>
      </c>
      <c r="H30" s="66">
        <v>32.293900000000001</v>
      </c>
    </row>
    <row r="31" spans="1:8">
      <c r="A31" s="66" t="s">
        <v>328</v>
      </c>
      <c r="B31" s="66">
        <v>91.356200000000001</v>
      </c>
      <c r="C31" s="66">
        <v>32.133099999999999</v>
      </c>
      <c r="D31" s="66">
        <v>0.35173500000000002</v>
      </c>
      <c r="E31" s="66">
        <v>0</v>
      </c>
      <c r="F31" s="66">
        <v>81.389899999999997</v>
      </c>
      <c r="G31" s="66">
        <v>0</v>
      </c>
      <c r="H31" s="66">
        <v>170.61099999999999</v>
      </c>
    </row>
    <row r="32" spans="1:8">
      <c r="A32" s="66" t="s">
        <v>329</v>
      </c>
      <c r="B32" s="66">
        <v>0.246228</v>
      </c>
      <c r="C32" s="66">
        <v>3.6450400000000001E-2</v>
      </c>
      <c r="D32" s="66">
        <v>0.148035</v>
      </c>
      <c r="E32" s="66">
        <v>0.15</v>
      </c>
      <c r="F32" s="66">
        <v>0.17735100000000001</v>
      </c>
      <c r="G32" s="66">
        <v>0.4</v>
      </c>
      <c r="H32" s="66">
        <v>0.35170299999999999</v>
      </c>
    </row>
    <row r="33" spans="1:8">
      <c r="A33" s="66" t="s">
        <v>330</v>
      </c>
      <c r="B33" s="66">
        <v>0.312033</v>
      </c>
      <c r="C33" s="66">
        <v>7.11093E-2</v>
      </c>
      <c r="D33" s="66">
        <v>0.22789100000000001</v>
      </c>
      <c r="E33" s="66">
        <v>0</v>
      </c>
      <c r="F33" s="66">
        <v>0.161326</v>
      </c>
      <c r="G33" s="66">
        <v>0</v>
      </c>
      <c r="H33" s="66">
        <v>0.37783</v>
      </c>
    </row>
    <row r="34" spans="1:8">
      <c r="A34" s="66" t="s">
        <v>331</v>
      </c>
      <c r="B34" s="66">
        <v>0.14374400000000001</v>
      </c>
      <c r="C34" s="66">
        <v>1.38348E-2</v>
      </c>
      <c r="D34" s="66">
        <v>9.6245800000000006E-2</v>
      </c>
      <c r="E34" s="66">
        <v>0.1</v>
      </c>
      <c r="F34" s="66">
        <v>0.1198</v>
      </c>
      <c r="G34" s="66">
        <v>0.25</v>
      </c>
      <c r="H34" s="66">
        <v>0.18068899999999999</v>
      </c>
    </row>
    <row r="35" spans="1:8">
      <c r="A35" s="66" t="s">
        <v>332</v>
      </c>
      <c r="B35" s="66">
        <v>5.66293E-2</v>
      </c>
      <c r="C35" s="66">
        <v>1.3040400000000001E-2</v>
      </c>
      <c r="D35" s="66">
        <v>0.23027700000000001</v>
      </c>
      <c r="E35" s="66">
        <v>0</v>
      </c>
      <c r="F35" s="66">
        <v>2.6244E-2</v>
      </c>
      <c r="G35" s="66">
        <v>0</v>
      </c>
      <c r="H35" s="66">
        <v>8.4493399999999996E-2</v>
      </c>
    </row>
    <row r="36" spans="1:8">
      <c r="A36" s="66" t="s">
        <v>333</v>
      </c>
      <c r="B36" s="66">
        <v>0.14477499999999999</v>
      </c>
      <c r="C36" s="66">
        <v>6.1402400000000003E-2</v>
      </c>
      <c r="D36" s="66">
        <v>0.42412300000000003</v>
      </c>
      <c r="E36" s="66">
        <v>0</v>
      </c>
      <c r="F36" s="66">
        <v>3.6052099999999997E-2</v>
      </c>
      <c r="G36" s="66">
        <v>0</v>
      </c>
      <c r="H36" s="66">
        <v>0.309892</v>
      </c>
    </row>
    <row r="37" spans="1:8">
      <c r="A37" s="66" t="s">
        <v>334</v>
      </c>
      <c r="B37" s="66">
        <v>0.138348</v>
      </c>
      <c r="C37" s="66">
        <v>0.186306</v>
      </c>
      <c r="D37" s="66">
        <v>1.3466499999999999</v>
      </c>
      <c r="E37" s="66">
        <v>0.1</v>
      </c>
      <c r="F37" s="66">
        <v>2.4179800000000001E-2</v>
      </c>
      <c r="G37" s="66">
        <v>0.5</v>
      </c>
      <c r="H37" s="66">
        <v>0.492311</v>
      </c>
    </row>
    <row r="38" spans="1:8">
      <c r="A38" s="66" t="s">
        <v>335</v>
      </c>
      <c r="B38" s="66">
        <v>-5.8172699999999997</v>
      </c>
      <c r="C38" s="66">
        <v>30.386099999999999</v>
      </c>
      <c r="D38" s="66">
        <v>-5.2234299999999996</v>
      </c>
      <c r="E38" s="66">
        <v>0</v>
      </c>
      <c r="F38" s="66">
        <v>-147.40799999999999</v>
      </c>
      <c r="G38" s="66">
        <v>0</v>
      </c>
      <c r="H38" s="66">
        <v>114.768</v>
      </c>
    </row>
    <row r="39" spans="1:8">
      <c r="A39" s="66" t="s">
        <v>336</v>
      </c>
      <c r="B39" s="66">
        <v>-2.73027</v>
      </c>
      <c r="C39" s="66">
        <v>2.82477</v>
      </c>
      <c r="D39" s="66">
        <v>-1.03461</v>
      </c>
      <c r="E39" s="66">
        <v>0</v>
      </c>
      <c r="F39" s="66">
        <v>-10.117900000000001</v>
      </c>
      <c r="G39" s="66">
        <v>0</v>
      </c>
      <c r="H39" s="66">
        <v>4.6326799999999997</v>
      </c>
    </row>
    <row r="40" spans="1:8">
      <c r="A40" s="66" t="s">
        <v>337</v>
      </c>
      <c r="B40" s="66">
        <v>-0.83027499999999999</v>
      </c>
      <c r="C40" s="66">
        <v>0.882996</v>
      </c>
      <c r="D40" s="66">
        <v>-1.0634999999999999</v>
      </c>
      <c r="E40" s="66">
        <v>0</v>
      </c>
      <c r="F40" s="66">
        <v>-2.4258600000000001</v>
      </c>
      <c r="G40" s="66">
        <v>0</v>
      </c>
      <c r="H40" s="66">
        <v>1.94631</v>
      </c>
    </row>
    <row r="41" spans="1:8">
      <c r="A41" s="66" t="s">
        <v>338</v>
      </c>
      <c r="B41" s="66">
        <v>-2.7480899999999999E-2</v>
      </c>
      <c r="C41" s="66">
        <v>0.26336500000000002</v>
      </c>
      <c r="D41" s="66">
        <v>-9.5835500000000007</v>
      </c>
      <c r="E41" s="66">
        <v>0</v>
      </c>
      <c r="F41" s="66">
        <v>-0.54027499999999995</v>
      </c>
      <c r="G41" s="66">
        <v>0</v>
      </c>
      <c r="H41" s="66">
        <v>1</v>
      </c>
    </row>
    <row r="42" spans="1:8">
      <c r="A42" s="66" t="s">
        <v>339</v>
      </c>
      <c r="B42" s="66">
        <v>1.15486E-3</v>
      </c>
      <c r="C42" s="66">
        <v>5.7041700000000001E-2</v>
      </c>
      <c r="D42" s="66">
        <v>49.392899999999997</v>
      </c>
      <c r="E42" s="66">
        <v>0</v>
      </c>
      <c r="F42" s="66">
        <v>-0.146925</v>
      </c>
      <c r="G42" s="66">
        <v>0</v>
      </c>
      <c r="H42" s="66">
        <v>0.130053</v>
      </c>
    </row>
    <row r="43" spans="1:8">
      <c r="A43" s="66" t="s">
        <v>340</v>
      </c>
      <c r="B43" s="66">
        <v>2.3057999999999999E-2</v>
      </c>
      <c r="C43" s="66">
        <v>4.1526500000000001E-2</v>
      </c>
      <c r="D43" s="66">
        <v>1.8009599999999999</v>
      </c>
      <c r="E43" s="66">
        <v>0</v>
      </c>
      <c r="F43" s="66">
        <v>-6.0710300000000002E-2</v>
      </c>
      <c r="G43" s="66">
        <v>0</v>
      </c>
      <c r="H43" s="66">
        <v>7.4633099999999994E-2</v>
      </c>
    </row>
    <row r="44" spans="1:8">
      <c r="A44" s="66" t="s">
        <v>341</v>
      </c>
      <c r="B44" s="66">
        <v>-1.47227</v>
      </c>
      <c r="C44" s="66">
        <v>7.3372099999999998</v>
      </c>
      <c r="D44" s="66">
        <v>-4.9835900000000004</v>
      </c>
      <c r="E44" s="66">
        <v>0</v>
      </c>
      <c r="F44" s="66">
        <v>-12.5959</v>
      </c>
      <c r="G44" s="66">
        <v>0</v>
      </c>
      <c r="H44" s="66">
        <v>20.774899999999999</v>
      </c>
    </row>
    <row r="45" spans="1:8">
      <c r="A45" s="66" t="s">
        <v>342</v>
      </c>
      <c r="B45" s="66">
        <v>54.377499999999998</v>
      </c>
      <c r="C45" s="66">
        <v>7.0667799999999996</v>
      </c>
      <c r="D45" s="66">
        <v>0.12995799999999999</v>
      </c>
      <c r="E45" s="66">
        <v>0</v>
      </c>
      <c r="F45" s="66">
        <v>42.892800000000001</v>
      </c>
      <c r="G45" s="66">
        <v>0</v>
      </c>
      <c r="H45" s="66">
        <v>76.368799999999993</v>
      </c>
    </row>
    <row r="46" spans="1:8">
      <c r="A46" s="66" t="s">
        <v>343</v>
      </c>
      <c r="B46" s="66">
        <v>40.2104</v>
      </c>
      <c r="C46" s="66">
        <v>4.6462500000000002</v>
      </c>
      <c r="D46" s="66">
        <v>0.115548</v>
      </c>
      <c r="E46" s="66">
        <v>0</v>
      </c>
      <c r="F46" s="66">
        <v>28.105599999999999</v>
      </c>
      <c r="G46" s="66">
        <v>0</v>
      </c>
      <c r="H46" s="66">
        <v>41.945999999999998</v>
      </c>
    </row>
    <row r="47" spans="1:8">
      <c r="A47" s="66" t="s">
        <v>344</v>
      </c>
      <c r="B47" s="66">
        <v>0.71289400000000003</v>
      </c>
      <c r="C47" s="66">
        <v>0.17752200000000001</v>
      </c>
      <c r="D47" s="66">
        <v>0.24901599999999999</v>
      </c>
      <c r="E47" s="66">
        <v>0</v>
      </c>
      <c r="F47" s="66">
        <v>0.31224099999999999</v>
      </c>
      <c r="G47" s="66">
        <v>0</v>
      </c>
      <c r="H47" s="66">
        <v>1.2321299999999999</v>
      </c>
    </row>
    <row r="48" spans="1:8">
      <c r="A48" s="66" t="s">
        <v>345</v>
      </c>
      <c r="B48" s="66">
        <v>0.69380399999999998</v>
      </c>
      <c r="C48" s="66">
        <v>7.5945799999999994E-2</v>
      </c>
      <c r="D48" s="66">
        <v>0.109463</v>
      </c>
      <c r="E48" s="66">
        <v>0</v>
      </c>
      <c r="F48" s="66">
        <v>0.52276999999999996</v>
      </c>
      <c r="G48" s="66">
        <v>0</v>
      </c>
      <c r="H48" s="66">
        <v>0.85638700000000001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346</v>
      </c>
      <c r="B1" s="60" t="s">
        <v>347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90.698827236960454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1.7511667176734251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0.69038932115840268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11315</v>
      </c>
      <c r="B8" s="66">
        <v>11315</v>
      </c>
      <c r="D8">
        <f t="shared" si="0"/>
        <v>6.5220273331450404E-2</v>
      </c>
      <c r="E8">
        <f t="shared" si="0"/>
        <v>6.5220273331450404E-2</v>
      </c>
      <c r="G8">
        <f t="shared" ca="1" si="1"/>
        <v>6</v>
      </c>
      <c r="H8">
        <f t="shared" ca="1" si="2"/>
        <v>0.3913216399887024</v>
      </c>
      <c r="I8">
        <f t="shared" ca="1" si="3"/>
        <v>467.88315373946421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10622</v>
      </c>
      <c r="B10" s="66">
        <v>10622</v>
      </c>
      <c r="D10">
        <f t="shared" si="0"/>
        <v>6.1225783767270545E-2</v>
      </c>
      <c r="E10">
        <f t="shared" si="0"/>
        <v>6.1225783767270545E-2</v>
      </c>
      <c r="G10">
        <f t="shared" ca="1" si="1"/>
        <v>8</v>
      </c>
      <c r="H10">
        <f t="shared" ca="1" si="2"/>
        <v>0.48980627013816436</v>
      </c>
      <c r="I10">
        <f t="shared" ca="1" si="3"/>
        <v>418.72901447404507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10126</v>
      </c>
      <c r="B13" s="66">
        <v>10126</v>
      </c>
      <c r="D13">
        <f t="shared" si="0"/>
        <v>5.8366812881508336E-2</v>
      </c>
      <c r="E13">
        <f t="shared" si="0"/>
        <v>5.8366812881508336E-2</v>
      </c>
      <c r="G13">
        <f t="shared" ca="1" si="1"/>
        <v>11</v>
      </c>
      <c r="H13">
        <f t="shared" ca="1" si="2"/>
        <v>0.6420349416965917</v>
      </c>
      <c r="I13">
        <f t="shared" ca="1" si="3"/>
        <v>370.74033751649961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13207</v>
      </c>
      <c r="B15" s="66">
        <v>13207</v>
      </c>
      <c r="D15">
        <f t="shared" si="0"/>
        <v>7.6125863887624004E-2</v>
      </c>
      <c r="E15">
        <f t="shared" si="0"/>
        <v>7.6125863887624004E-2</v>
      </c>
      <c r="G15">
        <f t="shared" ca="1" si="1"/>
        <v>13</v>
      </c>
      <c r="H15">
        <f t="shared" ca="1" si="2"/>
        <v>0.98963623053911209</v>
      </c>
      <c r="I15">
        <f t="shared" ca="1" si="3"/>
        <v>459.58004315584941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18278</v>
      </c>
      <c r="B18" s="66">
        <v>18278</v>
      </c>
      <c r="D18">
        <f t="shared" si="0"/>
        <v>0.1053553827620195</v>
      </c>
      <c r="E18">
        <f t="shared" si="0"/>
        <v>0.1053553827620195</v>
      </c>
      <c r="G18">
        <f t="shared" ca="1" si="1"/>
        <v>16</v>
      </c>
      <c r="H18">
        <f t="shared" ca="1" si="2"/>
        <v>1.685686124192312</v>
      </c>
      <c r="I18">
        <f t="shared" ca="1" si="3"/>
        <v>587.87405854072165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24125</v>
      </c>
      <c r="B21" s="66">
        <v>24125</v>
      </c>
      <c r="D21">
        <f t="shared" si="0"/>
        <v>0.13905780769962361</v>
      </c>
      <c r="E21">
        <f t="shared" si="0"/>
        <v>0.13905780769962361</v>
      </c>
      <c r="G21">
        <f t="shared" ca="1" si="1"/>
        <v>19</v>
      </c>
      <c r="H21">
        <f t="shared" ca="1" si="2"/>
        <v>2.6420983462928485</v>
      </c>
      <c r="I21">
        <f t="shared" ca="1" si="3"/>
        <v>714.8575072778475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27488</v>
      </c>
      <c r="B23" s="66">
        <v>27488</v>
      </c>
      <c r="D23">
        <f t="shared" si="0"/>
        <v>0.158442321991596</v>
      </c>
      <c r="E23">
        <f t="shared" si="0"/>
        <v>0.158442321991596</v>
      </c>
      <c r="G23">
        <f t="shared" ca="1" si="1"/>
        <v>21</v>
      </c>
      <c r="H23">
        <f t="shared" ca="1" si="2"/>
        <v>3.3272887618235161</v>
      </c>
      <c r="I23">
        <f t="shared" ca="1" si="3"/>
        <v>769.70115760937097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33237</v>
      </c>
      <c r="B26" s="66">
        <v>33237</v>
      </c>
      <c r="D26">
        <f t="shared" si="0"/>
        <v>0.19157986961709389</v>
      </c>
      <c r="E26">
        <f t="shared" si="0"/>
        <v>0.19157986961709389</v>
      </c>
      <c r="G26">
        <f t="shared" ca="1" si="1"/>
        <v>24</v>
      </c>
      <c r="H26">
        <f t="shared" ca="1" si="2"/>
        <v>4.5979168708102538</v>
      </c>
      <c r="I26">
        <f t="shared" ca="1" si="3"/>
        <v>852.28779438707284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38742</v>
      </c>
      <c r="B28" s="66">
        <v>38742</v>
      </c>
      <c r="D28">
        <f t="shared" si="0"/>
        <v>0.22331098801653132</v>
      </c>
      <c r="E28">
        <f t="shared" si="0"/>
        <v>0.22331098801653132</v>
      </c>
      <c r="G28">
        <f t="shared" ca="1" si="1"/>
        <v>26</v>
      </c>
      <c r="H28">
        <f t="shared" ca="1" si="2"/>
        <v>5.806085688429814</v>
      </c>
      <c r="I28">
        <f t="shared" ca="1" si="3"/>
        <v>934.76600545428221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41357</v>
      </c>
      <c r="B31" s="66">
        <v>41357</v>
      </c>
      <c r="D31">
        <f t="shared" si="0"/>
        <v>0.23838398976303973</v>
      </c>
      <c r="E31">
        <f t="shared" si="0"/>
        <v>0.23838398976303973</v>
      </c>
      <c r="G31">
        <f t="shared" ca="1" si="1"/>
        <v>29</v>
      </c>
      <c r="H31">
        <f t="shared" ca="1" si="2"/>
        <v>6.9131357031281526</v>
      </c>
      <c r="I31">
        <f t="shared" ca="1" si="3"/>
        <v>907.46712843402543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43521</v>
      </c>
      <c r="B33" s="66">
        <v>43521</v>
      </c>
      <c r="D33">
        <f t="shared" si="0"/>
        <v>0.2508574030630184</v>
      </c>
      <c r="E33">
        <f t="shared" si="0"/>
        <v>0.2508574030630184</v>
      </c>
      <c r="G33">
        <f t="shared" ca="1" si="1"/>
        <v>31</v>
      </c>
      <c r="H33">
        <f t="shared" ca="1" si="2"/>
        <v>7.7765794949535705</v>
      </c>
      <c r="I33">
        <f t="shared" ca="1" si="3"/>
        <v>894.04323499080908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50421</v>
      </c>
      <c r="B36" s="66">
        <v>50421</v>
      </c>
      <c r="D36">
        <f t="shared" si="0"/>
        <v>0.29062937707866204</v>
      </c>
      <c r="E36">
        <f t="shared" si="0"/>
        <v>0.29062937707866204</v>
      </c>
      <c r="G36">
        <f t="shared" ca="1" si="1"/>
        <v>34</v>
      </c>
      <c r="H36">
        <f t="shared" ca="1" si="2"/>
        <v>9.8813988206745087</v>
      </c>
      <c r="I36">
        <f t="shared" ca="1" si="3"/>
        <v>934.30282728913119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64177</v>
      </c>
      <c r="B39" s="66">
        <v>64177</v>
      </c>
      <c r="D39">
        <f t="shared" si="0"/>
        <v>0.36991970672492203</v>
      </c>
      <c r="E39">
        <f t="shared" si="0"/>
        <v>0.36991970672492203</v>
      </c>
      <c r="G39">
        <f t="shared" ca="1" si="1"/>
        <v>37</v>
      </c>
      <c r="H39">
        <f t="shared" ca="1" si="2"/>
        <v>13.687029148822115</v>
      </c>
      <c r="I39">
        <f t="shared" ca="1" si="3"/>
        <v>1066.687166450022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75633</v>
      </c>
      <c r="B41" s="66">
        <v>75633</v>
      </c>
      <c r="D41">
        <f t="shared" si="0"/>
        <v>0.43595271169930083</v>
      </c>
      <c r="E41">
        <f t="shared" si="0"/>
        <v>0.43595271169930083</v>
      </c>
      <c r="G41">
        <f t="shared" ca="1" si="1"/>
        <v>39</v>
      </c>
      <c r="H41">
        <f t="shared" ca="1" si="2"/>
        <v>17.002155756272732</v>
      </c>
      <c r="I41">
        <f t="shared" ca="1" si="3"/>
        <v>1165.200778935442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101762</v>
      </c>
      <c r="B44" s="66">
        <v>101762</v>
      </c>
      <c r="D44">
        <f t="shared" si="0"/>
        <v>0.58656168402607656</v>
      </c>
      <c r="E44">
        <f t="shared" si="0"/>
        <v>0.58656168402607656</v>
      </c>
      <c r="G44">
        <f t="shared" ca="1" si="1"/>
        <v>42</v>
      </c>
      <c r="H44">
        <f t="shared" ca="1" si="2"/>
        <v>24.635590729095217</v>
      </c>
      <c r="I44">
        <f t="shared" ca="1" si="3"/>
        <v>1391.0754799426477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112012</v>
      </c>
      <c r="B46" s="66">
        <v>112012</v>
      </c>
      <c r="D46">
        <f t="shared" si="0"/>
        <v>0.64564323962902548</v>
      </c>
      <c r="E46">
        <f t="shared" si="0"/>
        <v>0.64564323962902548</v>
      </c>
      <c r="G46">
        <f t="shared" ca="1" si="1"/>
        <v>44</v>
      </c>
      <c r="H46">
        <f t="shared" ca="1" si="2"/>
        <v>28.40830254367712</v>
      </c>
      <c r="I46">
        <f t="shared" ca="1" si="3"/>
        <v>1408.0061645408148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116520</v>
      </c>
      <c r="B49" s="66">
        <v>116520</v>
      </c>
      <c r="D49">
        <f t="shared" si="0"/>
        <v>0.67162759598591271</v>
      </c>
      <c r="E49">
        <f t="shared" si="0"/>
        <v>0.67162759598591271</v>
      </c>
      <c r="G49">
        <f t="shared" ca="1" si="1"/>
        <v>47</v>
      </c>
      <c r="H49">
        <f t="shared" ca="1" si="2"/>
        <v>31.566497011337898</v>
      </c>
      <c r="I49">
        <f t="shared" ca="1" si="3"/>
        <v>1282.5316632162485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126167</v>
      </c>
      <c r="B51" s="66">
        <v>126167</v>
      </c>
      <c r="D51">
        <f t="shared" si="0"/>
        <v>0.72723342690314663</v>
      </c>
      <c r="E51">
        <f t="shared" si="0"/>
        <v>0.72723342690314663</v>
      </c>
      <c r="G51">
        <f t="shared" ca="1" si="1"/>
        <v>49</v>
      </c>
      <c r="H51">
        <f t="shared" ca="1" si="2"/>
        <v>35.634437918254186</v>
      </c>
      <c r="I51">
        <f t="shared" ca="1" si="3"/>
        <v>1264.5078051426483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140116</v>
      </c>
      <c r="B54" s="66">
        <v>140116</v>
      </c>
      <c r="D54">
        <f t="shared" si="0"/>
        <v>0.80763621901100358</v>
      </c>
      <c r="E54">
        <f t="shared" si="0"/>
        <v>0.80763621901100358</v>
      </c>
      <c r="G54">
        <f t="shared" ca="1" si="1"/>
        <v>52</v>
      </c>
      <c r="H54">
        <f t="shared" ca="1" si="2"/>
        <v>41.997083388572186</v>
      </c>
      <c r="I54">
        <f t="shared" ca="1" si="3"/>
        <v>1209.515379320185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150265</v>
      </c>
      <c r="B57" s="66">
        <v>150265</v>
      </c>
      <c r="D57">
        <f t="shared" si="0"/>
        <v>0.86613560513923071</v>
      </c>
      <c r="E57">
        <f t="shared" si="0"/>
        <v>0.86613560513923071</v>
      </c>
      <c r="G57">
        <f t="shared" ca="1" si="1"/>
        <v>55</v>
      </c>
      <c r="H57">
        <f t="shared" ca="1" si="2"/>
        <v>47.63745828265769</v>
      </c>
      <c r="I57">
        <f t="shared" ca="1" si="3"/>
        <v>1103.8086424768569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145764</v>
      </c>
      <c r="B59" s="66">
        <v>145764</v>
      </c>
      <c r="D59">
        <f t="shared" si="0"/>
        <v>0.84019159716177971</v>
      </c>
      <c r="E59">
        <f t="shared" si="0"/>
        <v>0.84019159716177971</v>
      </c>
      <c r="G59">
        <f t="shared" ca="1" si="1"/>
        <v>57</v>
      </c>
      <c r="H59">
        <f t="shared" ca="1" si="2"/>
        <v>47.890921038221443</v>
      </c>
      <c r="I59">
        <f t="shared" ca="1" si="3"/>
        <v>954.1307838393418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141881</v>
      </c>
      <c r="B62" s="66">
        <v>141881</v>
      </c>
      <c r="D62">
        <f t="shared" si="0"/>
        <v>0.8178097746831211</v>
      </c>
      <c r="E62">
        <f t="shared" si="0"/>
        <v>0.8178097746831211</v>
      </c>
      <c r="G62">
        <f t="shared" ca="1" si="1"/>
        <v>60</v>
      </c>
      <c r="H62">
        <f t="shared" ca="1" si="2"/>
        <v>49.068586480987264</v>
      </c>
      <c r="I62">
        <f t="shared" ca="1" si="3"/>
        <v>770.71864710535283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139680</v>
      </c>
      <c r="B64" s="66">
        <v>139680</v>
      </c>
      <c r="D64">
        <f t="shared" si="0"/>
        <v>0.80512309137755134</v>
      </c>
      <c r="E64">
        <f t="shared" si="0"/>
        <v>0.80512309137755134</v>
      </c>
      <c r="G64">
        <f t="shared" ca="1" si="1"/>
        <v>62</v>
      </c>
      <c r="H64">
        <f t="shared" ca="1" si="2"/>
        <v>49.91763166540818</v>
      </c>
      <c r="I64">
        <f t="shared" ca="1" si="3"/>
        <v>663.11764209625881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143470</v>
      </c>
      <c r="B67" s="66">
        <v>143470</v>
      </c>
      <c r="D67">
        <f t="shared" ref="D67:E130" si="4">IFERROR( A67/MAX(A$2:A$257), 0 )</f>
        <v>0.82696885681512944</v>
      </c>
      <c r="E67">
        <f t="shared" si="4"/>
        <v>0.82696885681512944</v>
      </c>
      <c r="G67">
        <f t="shared" ref="G67:G130" ca="1" si="5">CELL("row",D67)-2</f>
        <v>65</v>
      </c>
      <c r="H67">
        <f t="shared" ref="H67:H130" ca="1" si="6">D67*G67</f>
        <v>53.752975692983412</v>
      </c>
      <c r="I67">
        <f t="shared" ref="I67:I130" ca="1" si="7">D67*((G67-$L$1)^2)</f>
        <v>546.15481167579503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135665</v>
      </c>
      <c r="B69" s="66">
        <v>135665</v>
      </c>
      <c r="D69">
        <f t="shared" si="4"/>
        <v>0.78198041374381089</v>
      </c>
      <c r="E69">
        <f t="shared" si="4"/>
        <v>0.78198041374381089</v>
      </c>
      <c r="G69">
        <f t="shared" ca="1" si="5"/>
        <v>67</v>
      </c>
      <c r="H69">
        <f t="shared" ca="1" si="6"/>
        <v>52.392687720835326</v>
      </c>
      <c r="I69">
        <f t="shared" ca="1" si="7"/>
        <v>439.18711018702152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129796</v>
      </c>
      <c r="B72" s="66">
        <v>129796</v>
      </c>
      <c r="D72">
        <f t="shared" si="4"/>
        <v>0.74815117961369304</v>
      </c>
      <c r="E72">
        <f t="shared" si="4"/>
        <v>0.74815117961369304</v>
      </c>
      <c r="G72">
        <f t="shared" ca="1" si="5"/>
        <v>70</v>
      </c>
      <c r="H72">
        <f t="shared" ca="1" si="6"/>
        <v>52.370582572958511</v>
      </c>
      <c r="I72">
        <f t="shared" ca="1" si="7"/>
        <v>320.53897545392863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129833</v>
      </c>
      <c r="B75" s="66">
        <v>129833</v>
      </c>
      <c r="D75">
        <f t="shared" si="4"/>
        <v>0.74836444961928417</v>
      </c>
      <c r="E75">
        <f t="shared" si="4"/>
        <v>0.74836444961928417</v>
      </c>
      <c r="G75">
        <f t="shared" ca="1" si="5"/>
        <v>73</v>
      </c>
      <c r="H75">
        <f t="shared" ca="1" si="6"/>
        <v>54.630604822207744</v>
      </c>
      <c r="I75">
        <f t="shared" ca="1" si="7"/>
        <v>234.42403049300742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136061</v>
      </c>
      <c r="B77" s="66">
        <v>136061</v>
      </c>
      <c r="D77">
        <f t="shared" si="4"/>
        <v>0.78426297920905652</v>
      </c>
      <c r="E77">
        <f t="shared" si="4"/>
        <v>0.78426297920905652</v>
      </c>
      <c r="G77">
        <f t="shared" ca="1" si="5"/>
        <v>75</v>
      </c>
      <c r="H77">
        <f t="shared" ca="1" si="6"/>
        <v>58.81972344067924</v>
      </c>
      <c r="I77">
        <f t="shared" ca="1" si="7"/>
        <v>193.28410252834615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136174</v>
      </c>
      <c r="B80" s="66">
        <v>136174</v>
      </c>
      <c r="D80">
        <f t="shared" si="4"/>
        <v>0.78491431733424022</v>
      </c>
      <c r="E80">
        <f t="shared" si="4"/>
        <v>0.78491431733424022</v>
      </c>
      <c r="G80">
        <f t="shared" ca="1" si="5"/>
        <v>78</v>
      </c>
      <c r="H80">
        <f t="shared" ca="1" si="6"/>
        <v>61.223316752070737</v>
      </c>
      <c r="I80">
        <f t="shared" ca="1" si="7"/>
        <v>126.57545015247496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138469</v>
      </c>
      <c r="B82" s="66">
        <v>138469</v>
      </c>
      <c r="D82">
        <f t="shared" si="4"/>
        <v>0.79814282173509554</v>
      </c>
      <c r="E82">
        <f t="shared" si="4"/>
        <v>0.79814282173509554</v>
      </c>
      <c r="G82">
        <f t="shared" ca="1" si="5"/>
        <v>80</v>
      </c>
      <c r="H82">
        <f t="shared" ca="1" si="6"/>
        <v>63.851425738807642</v>
      </c>
      <c r="I82">
        <f t="shared" ca="1" si="7"/>
        <v>91.359341664800851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137730</v>
      </c>
      <c r="B85" s="66">
        <v>137730</v>
      </c>
      <c r="D85">
        <f t="shared" si="4"/>
        <v>0.79388318567747806</v>
      </c>
      <c r="E85">
        <f t="shared" si="4"/>
        <v>0.79388318567747806</v>
      </c>
      <c r="G85">
        <f t="shared" ca="1" si="5"/>
        <v>83</v>
      </c>
      <c r="H85">
        <f t="shared" ca="1" si="6"/>
        <v>65.892304411230683</v>
      </c>
      <c r="I85">
        <f t="shared" ca="1" si="7"/>
        <v>47.054997203091951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138466</v>
      </c>
      <c r="B88" s="66">
        <v>138466</v>
      </c>
      <c r="D88">
        <f t="shared" si="4"/>
        <v>0.79812552957248006</v>
      </c>
      <c r="E88">
        <f t="shared" si="4"/>
        <v>0.79812552957248006</v>
      </c>
      <c r="G88">
        <f t="shared" ca="1" si="5"/>
        <v>86</v>
      </c>
      <c r="H88">
        <f t="shared" ca="1" si="6"/>
        <v>68.638795543233286</v>
      </c>
      <c r="I88">
        <f t="shared" ca="1" si="7"/>
        <v>17.621795532029701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131501</v>
      </c>
      <c r="B90" s="66">
        <v>131501</v>
      </c>
      <c r="D90">
        <f t="shared" si="4"/>
        <v>0.75797889203350066</v>
      </c>
      <c r="E90">
        <f t="shared" si="4"/>
        <v>0.75797889203350066</v>
      </c>
      <c r="G90">
        <f t="shared" ca="1" si="5"/>
        <v>88</v>
      </c>
      <c r="H90">
        <f t="shared" ca="1" si="6"/>
        <v>66.702142498948064</v>
      </c>
      <c r="I90">
        <f t="shared" ca="1" si="7"/>
        <v>5.5208669454296384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119756</v>
      </c>
      <c r="B93" s="66">
        <v>119756</v>
      </c>
      <c r="D93">
        <f t="shared" si="4"/>
        <v>0.69028007539382896</v>
      </c>
      <c r="E93">
        <f t="shared" si="4"/>
        <v>0.69028007539382896</v>
      </c>
      <c r="G93">
        <f t="shared" ca="1" si="5"/>
        <v>91</v>
      </c>
      <c r="H93">
        <f t="shared" ca="1" si="6"/>
        <v>62.815486860838433</v>
      </c>
      <c r="I93">
        <f t="shared" ca="1" si="7"/>
        <v>6.2611877153738116E-2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119402</v>
      </c>
      <c r="B95" s="66">
        <v>119402</v>
      </c>
      <c r="D95">
        <f t="shared" si="4"/>
        <v>0.68823960020520036</v>
      </c>
      <c r="E95">
        <f t="shared" si="4"/>
        <v>0.68823960020520036</v>
      </c>
      <c r="G95">
        <f t="shared" ca="1" si="5"/>
        <v>93</v>
      </c>
      <c r="H95">
        <f t="shared" ca="1" si="6"/>
        <v>64.006282819083637</v>
      </c>
      <c r="I95">
        <f t="shared" ca="1" si="7"/>
        <v>3.644501284712947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111439</v>
      </c>
      <c r="B98" s="66">
        <v>111439</v>
      </c>
      <c r="D98">
        <f t="shared" si="4"/>
        <v>0.64234043656946549</v>
      </c>
      <c r="E98">
        <f t="shared" si="4"/>
        <v>0.64234043656946549</v>
      </c>
      <c r="G98">
        <f t="shared" ca="1" si="5"/>
        <v>96</v>
      </c>
      <c r="H98">
        <f t="shared" ca="1" si="6"/>
        <v>61.664681910668691</v>
      </c>
      <c r="I98">
        <f t="shared" ca="1" si="7"/>
        <v>18.051328865795902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115730</v>
      </c>
      <c r="B100" s="66">
        <v>115730</v>
      </c>
      <c r="D100">
        <f t="shared" si="4"/>
        <v>0.66707399316383176</v>
      </c>
      <c r="E100">
        <f t="shared" si="4"/>
        <v>0.66707399316383176</v>
      </c>
      <c r="G100">
        <f t="shared" ca="1" si="5"/>
        <v>98</v>
      </c>
      <c r="H100">
        <f t="shared" ca="1" si="6"/>
        <v>65.37325133005551</v>
      </c>
      <c r="I100">
        <f t="shared" ca="1" si="7"/>
        <v>35.55979588114409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116288</v>
      </c>
      <c r="B103" s="66">
        <v>116288</v>
      </c>
      <c r="D103">
        <f t="shared" si="4"/>
        <v>0.67029033541031424</v>
      </c>
      <c r="E103">
        <f t="shared" si="4"/>
        <v>0.67029033541031424</v>
      </c>
      <c r="G103">
        <f t="shared" ca="1" si="5"/>
        <v>101</v>
      </c>
      <c r="H103">
        <f t="shared" ca="1" si="6"/>
        <v>67.699323876441738</v>
      </c>
      <c r="I103">
        <f t="shared" ca="1" si="7"/>
        <v>71.127296095240922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128740</v>
      </c>
      <c r="B106" s="66">
        <v>128740</v>
      </c>
      <c r="D106">
        <f t="shared" si="4"/>
        <v>0.74206433837303809</v>
      </c>
      <c r="E106">
        <f t="shared" si="4"/>
        <v>0.74206433837303809</v>
      </c>
      <c r="G106">
        <f t="shared" ca="1" si="5"/>
        <v>104</v>
      </c>
      <c r="H106">
        <f t="shared" ca="1" si="6"/>
        <v>77.174691190795954</v>
      </c>
      <c r="I106">
        <f t="shared" ca="1" si="7"/>
        <v>131.2869109011537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136024</v>
      </c>
      <c r="B108" s="66">
        <v>136024</v>
      </c>
      <c r="D108">
        <f t="shared" si="4"/>
        <v>0.78404970920346539</v>
      </c>
      <c r="E108">
        <f t="shared" si="4"/>
        <v>0.78404970920346539</v>
      </c>
      <c r="G108">
        <f t="shared" ca="1" si="5"/>
        <v>106</v>
      </c>
      <c r="H108">
        <f t="shared" ca="1" si="6"/>
        <v>83.109269175567334</v>
      </c>
      <c r="I108">
        <f t="shared" ca="1" si="7"/>
        <v>183.56633434411583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133386</v>
      </c>
      <c r="B111" s="66">
        <v>133386</v>
      </c>
      <c r="D111">
        <f t="shared" si="4"/>
        <v>0.76884413421023812</v>
      </c>
      <c r="E111">
        <f t="shared" si="4"/>
        <v>0.76884413421023812</v>
      </c>
      <c r="G111">
        <f t="shared" ca="1" si="5"/>
        <v>109</v>
      </c>
      <c r="H111">
        <f t="shared" ca="1" si="6"/>
        <v>83.804010628915961</v>
      </c>
      <c r="I111">
        <f t="shared" ca="1" si="7"/>
        <v>257.51121435772029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142780</v>
      </c>
      <c r="B113" s="66">
        <v>142780</v>
      </c>
      <c r="D113">
        <f t="shared" si="4"/>
        <v>0.82299165941356511</v>
      </c>
      <c r="E113">
        <f t="shared" si="4"/>
        <v>0.82299165941356511</v>
      </c>
      <c r="G113">
        <f t="shared" ca="1" si="5"/>
        <v>111</v>
      </c>
      <c r="H113">
        <f t="shared" ca="1" si="6"/>
        <v>91.352074194905725</v>
      </c>
      <c r="I113">
        <f t="shared" ca="1" si="7"/>
        <v>339.18582013217724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160813</v>
      </c>
      <c r="B116" s="66">
        <v>160813</v>
      </c>
      <c r="D116">
        <f t="shared" si="4"/>
        <v>0.92693484889531896</v>
      </c>
      <c r="E116">
        <f t="shared" si="4"/>
        <v>0.92693484889531896</v>
      </c>
      <c r="G116">
        <f t="shared" ca="1" si="5"/>
        <v>114</v>
      </c>
      <c r="H116">
        <f t="shared" ca="1" si="6"/>
        <v>105.67057277406636</v>
      </c>
      <c r="I116">
        <f t="shared" ca="1" si="7"/>
        <v>503.27431908343868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167845</v>
      </c>
      <c r="B118" s="66">
        <v>167845</v>
      </c>
      <c r="D118">
        <f t="shared" si="4"/>
        <v>0.9674676780660445</v>
      </c>
      <c r="E118">
        <f t="shared" si="4"/>
        <v>0.9674676780660445</v>
      </c>
      <c r="G118">
        <f t="shared" ca="1" si="5"/>
        <v>116</v>
      </c>
      <c r="H118">
        <f t="shared" ca="1" si="6"/>
        <v>112.22625065566116</v>
      </c>
      <c r="I118">
        <f t="shared" ca="1" si="7"/>
        <v>619.32379866686392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173489</v>
      </c>
      <c r="B121" s="66">
        <v>173489</v>
      </c>
      <c r="D121">
        <f t="shared" si="4"/>
        <v>1</v>
      </c>
      <c r="E121">
        <f t="shared" si="4"/>
        <v>1</v>
      </c>
      <c r="G121">
        <f t="shared" ca="1" si="5"/>
        <v>119</v>
      </c>
      <c r="H121">
        <f t="shared" ca="1" si="6"/>
        <v>119</v>
      </c>
      <c r="I121">
        <f t="shared" ca="1" si="7"/>
        <v>800.95637976341141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164813</v>
      </c>
      <c r="B124" s="66">
        <v>164813</v>
      </c>
      <c r="D124">
        <f t="shared" si="4"/>
        <v>0.94999106571598202</v>
      </c>
      <c r="E124">
        <f t="shared" si="4"/>
        <v>0.94999106571598202</v>
      </c>
      <c r="G124">
        <f t="shared" ca="1" si="5"/>
        <v>122</v>
      </c>
      <c r="H124">
        <f t="shared" ca="1" si="6"/>
        <v>115.89891001734981</v>
      </c>
      <c r="I124">
        <f t="shared" ca="1" si="7"/>
        <v>930.76649203993429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158819</v>
      </c>
      <c r="B126" s="66">
        <v>158819</v>
      </c>
      <c r="D126">
        <f t="shared" si="4"/>
        <v>0.91544132481021856</v>
      </c>
      <c r="E126">
        <f t="shared" si="4"/>
        <v>0.91544132481021856</v>
      </c>
      <c r="G126">
        <f t="shared" ca="1" si="5"/>
        <v>124</v>
      </c>
      <c r="H126">
        <f t="shared" ca="1" si="6"/>
        <v>113.51472427646711</v>
      </c>
      <c r="I126">
        <f t="shared" ca="1" si="7"/>
        <v>1015.1952334048673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146761</v>
      </c>
      <c r="B129" s="66">
        <v>146761</v>
      </c>
      <c r="D129">
        <f t="shared" si="4"/>
        <v>0.84593835920432991</v>
      </c>
      <c r="E129">
        <f t="shared" si="4"/>
        <v>0.84593835920432991</v>
      </c>
      <c r="G129">
        <f t="shared" ca="1" si="5"/>
        <v>127</v>
      </c>
      <c r="H129">
        <f t="shared" ca="1" si="6"/>
        <v>107.4341716189499</v>
      </c>
      <c r="I129">
        <f t="shared" ca="1" si="7"/>
        <v>1114.7565430919606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138625</v>
      </c>
      <c r="B131" s="66">
        <v>138625</v>
      </c>
      <c r="D131">
        <f t="shared" ref="D131:E194" si="8">IFERROR( A131/MAX(A$2:A$257), 0 )</f>
        <v>0.79904201419110144</v>
      </c>
      <c r="E131">
        <f t="shared" si="8"/>
        <v>0.79904201419110144</v>
      </c>
      <c r="G131">
        <f t="shared" ref="G131:G194" ca="1" si="9">CELL("row",D131)-2</f>
        <v>129</v>
      </c>
      <c r="H131">
        <f t="shared" ref="H131:H194" ca="1" si="10">D131*G131</f>
        <v>103.07641983065209</v>
      </c>
      <c r="I131">
        <f t="shared" ref="I131:I194" ca="1" si="11">D131*((G131-$L$1)^2)</f>
        <v>1172.1785221554685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127617</v>
      </c>
      <c r="B134" s="66">
        <v>127617</v>
      </c>
      <c r="D134">
        <f t="shared" si="8"/>
        <v>0.73559130550063689</v>
      </c>
      <c r="E134">
        <f t="shared" si="8"/>
        <v>0.73559130550063689</v>
      </c>
      <c r="G134">
        <f t="shared" ca="1" si="9"/>
        <v>132</v>
      </c>
      <c r="H134">
        <f t="shared" ca="1" si="10"/>
        <v>97.098052326084073</v>
      </c>
      <c r="I134">
        <f t="shared" ca="1" si="11"/>
        <v>1254.7619917878858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116426</v>
      </c>
      <c r="B136" s="66">
        <v>116426</v>
      </c>
      <c r="D136">
        <f t="shared" si="8"/>
        <v>0.67108577489062704</v>
      </c>
      <c r="E136">
        <f t="shared" si="8"/>
        <v>0.67108577489062704</v>
      </c>
      <c r="G136">
        <f t="shared" ca="1" si="9"/>
        <v>134</v>
      </c>
      <c r="H136">
        <f t="shared" ca="1" si="10"/>
        <v>89.925493835344028</v>
      </c>
      <c r="I136">
        <f t="shared" ca="1" si="11"/>
        <v>1258.2801657374484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107213</v>
      </c>
      <c r="B139" s="66">
        <v>107213</v>
      </c>
      <c r="D139">
        <f t="shared" si="8"/>
        <v>0.61798154349843504</v>
      </c>
      <c r="E139">
        <f t="shared" si="8"/>
        <v>0.61798154349843504</v>
      </c>
      <c r="G139">
        <f t="shared" ca="1" si="9"/>
        <v>137</v>
      </c>
      <c r="H139">
        <f t="shared" ca="1" si="10"/>
        <v>84.663471459285603</v>
      </c>
      <c r="I139">
        <f t="shared" ca="1" si="11"/>
        <v>1324.8279673036902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92637</v>
      </c>
      <c r="B142" s="66">
        <v>92637</v>
      </c>
      <c r="D142">
        <f t="shared" si="8"/>
        <v>0.53396468940393915</v>
      </c>
      <c r="E142">
        <f t="shared" si="8"/>
        <v>0.53396468940393915</v>
      </c>
      <c r="G142">
        <f t="shared" ca="1" si="9"/>
        <v>140</v>
      </c>
      <c r="H142">
        <f t="shared" ca="1" si="10"/>
        <v>74.755056516551477</v>
      </c>
      <c r="I142">
        <f t="shared" ca="1" si="11"/>
        <v>1297.8575833893233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79630</v>
      </c>
      <c r="B144" s="66">
        <v>79630</v>
      </c>
      <c r="D144">
        <f t="shared" si="8"/>
        <v>0.4589916363573483</v>
      </c>
      <c r="E144">
        <f t="shared" si="8"/>
        <v>0.4589916363573483</v>
      </c>
      <c r="G144">
        <f t="shared" ca="1" si="9"/>
        <v>142</v>
      </c>
      <c r="H144">
        <f t="shared" ca="1" si="10"/>
        <v>65.176812362743462</v>
      </c>
      <c r="I144">
        <f t="shared" ca="1" si="11"/>
        <v>1207.9789285091217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67840</v>
      </c>
      <c r="B147" s="66">
        <v>67840</v>
      </c>
      <c r="D147">
        <f t="shared" si="8"/>
        <v>0.39103343727844414</v>
      </c>
      <c r="E147">
        <f t="shared" si="8"/>
        <v>0.39103343727844414</v>
      </c>
      <c r="G147">
        <f t="shared" ca="1" si="9"/>
        <v>145</v>
      </c>
      <c r="H147">
        <f t="shared" ca="1" si="10"/>
        <v>56.699848405374404</v>
      </c>
      <c r="I147">
        <f t="shared" ca="1" si="11"/>
        <v>1153.0079828454204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51039</v>
      </c>
      <c r="B149" s="66">
        <v>51039</v>
      </c>
      <c r="D149">
        <f t="shared" si="8"/>
        <v>0.29419156257745449</v>
      </c>
      <c r="E149">
        <f t="shared" si="8"/>
        <v>0.29419156257745449</v>
      </c>
      <c r="G149">
        <f t="shared" ca="1" si="9"/>
        <v>147</v>
      </c>
      <c r="H149">
        <f t="shared" ca="1" si="10"/>
        <v>43.246159698885812</v>
      </c>
      <c r="I149">
        <f t="shared" ca="1" si="11"/>
        <v>932.53490330395698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40744</v>
      </c>
      <c r="B152" s="66">
        <v>40744</v>
      </c>
      <c r="D152">
        <f t="shared" si="8"/>
        <v>0.23485062453527314</v>
      </c>
      <c r="E152">
        <f t="shared" si="8"/>
        <v>0.23485062453527314</v>
      </c>
      <c r="G152">
        <f t="shared" ca="1" si="9"/>
        <v>150</v>
      </c>
      <c r="H152">
        <f t="shared" ca="1" si="10"/>
        <v>35.227593680290973</v>
      </c>
      <c r="I152">
        <f t="shared" ca="1" si="11"/>
        <v>825.88253829713699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32527</v>
      </c>
      <c r="B154" s="66">
        <v>32527</v>
      </c>
      <c r="D154">
        <f t="shared" si="8"/>
        <v>0.18748739113142621</v>
      </c>
      <c r="E154">
        <f t="shared" si="8"/>
        <v>0.18748739113142621</v>
      </c>
      <c r="G154">
        <f t="shared" ca="1" si="9"/>
        <v>152</v>
      </c>
      <c r="H154">
        <f t="shared" ca="1" si="10"/>
        <v>28.498083451976782</v>
      </c>
      <c r="I154">
        <f t="shared" ca="1" si="11"/>
        <v>704.54645211597312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27020</v>
      </c>
      <c r="B157" s="66">
        <v>27020</v>
      </c>
      <c r="D157">
        <f t="shared" si="8"/>
        <v>0.15574474462357843</v>
      </c>
      <c r="E157">
        <f t="shared" si="8"/>
        <v>0.15574474462357843</v>
      </c>
      <c r="G157">
        <f t="shared" ca="1" si="9"/>
        <v>155</v>
      </c>
      <c r="H157">
        <f t="shared" ca="1" si="10"/>
        <v>24.140435416654658</v>
      </c>
      <c r="I157">
        <f t="shared" ca="1" si="11"/>
        <v>643.94857841900659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18984</v>
      </c>
      <c r="B160" s="66">
        <v>18984</v>
      </c>
      <c r="D160">
        <f t="shared" si="8"/>
        <v>0.1094248050308665</v>
      </c>
      <c r="E160">
        <f t="shared" si="8"/>
        <v>0.1094248050308665</v>
      </c>
      <c r="G160">
        <f t="shared" ca="1" si="9"/>
        <v>158</v>
      </c>
      <c r="H160">
        <f t="shared" ca="1" si="10"/>
        <v>17.289119194876907</v>
      </c>
      <c r="I160">
        <f t="shared" ca="1" si="11"/>
        <v>495.63394846154472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15283</v>
      </c>
      <c r="B162" s="66">
        <v>15283</v>
      </c>
      <c r="D162">
        <f t="shared" si="8"/>
        <v>8.809204041754809E-2</v>
      </c>
      <c r="E162">
        <f t="shared" si="8"/>
        <v>8.809204041754809E-2</v>
      </c>
      <c r="G162">
        <f t="shared" ca="1" si="9"/>
        <v>160</v>
      </c>
      <c r="H162">
        <f t="shared" ca="1" si="10"/>
        <v>14.094726466807694</v>
      </c>
      <c r="I162">
        <f t="shared" ca="1" si="11"/>
        <v>423.07546222297645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13551</v>
      </c>
      <c r="B165" s="66">
        <v>13551</v>
      </c>
      <c r="D165">
        <f t="shared" si="8"/>
        <v>7.8108698534201021E-2</v>
      </c>
      <c r="E165">
        <f t="shared" si="8"/>
        <v>7.8108698534201021E-2</v>
      </c>
      <c r="G165">
        <f t="shared" ca="1" si="9"/>
        <v>163</v>
      </c>
      <c r="H165">
        <f t="shared" ca="1" si="10"/>
        <v>12.731717861074767</v>
      </c>
      <c r="I165">
        <f t="shared" ca="1" si="11"/>
        <v>408.31006466130702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11366</v>
      </c>
      <c r="B167" s="66">
        <v>11366</v>
      </c>
      <c r="D167">
        <f t="shared" si="8"/>
        <v>6.5514240095913862E-2</v>
      </c>
      <c r="E167">
        <f t="shared" si="8"/>
        <v>6.5514240095913862E-2</v>
      </c>
      <c r="G167">
        <f t="shared" ca="1" si="9"/>
        <v>165</v>
      </c>
      <c r="H167">
        <f t="shared" ca="1" si="10"/>
        <v>10.809849615825787</v>
      </c>
      <c r="I167">
        <f t="shared" ca="1" si="11"/>
        <v>361.68212473334921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12120</v>
      </c>
      <c r="B170" s="66">
        <v>12120</v>
      </c>
      <c r="D170">
        <f t="shared" si="8"/>
        <v>6.986033696660883E-2</v>
      </c>
      <c r="E170">
        <f t="shared" si="8"/>
        <v>6.986033696660883E-2</v>
      </c>
      <c r="G170">
        <f t="shared" ca="1" si="9"/>
        <v>168</v>
      </c>
      <c r="H170">
        <f t="shared" ca="1" si="10"/>
        <v>11.736536610390283</v>
      </c>
      <c r="I170">
        <f t="shared" ca="1" si="11"/>
        <v>417.44843928871796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11316</v>
      </c>
      <c r="B173" s="66">
        <v>11316</v>
      </c>
      <c r="D173">
        <f t="shared" si="8"/>
        <v>6.5226037385655578E-2</v>
      </c>
      <c r="E173">
        <f t="shared" si="8"/>
        <v>6.5226037385655578E-2</v>
      </c>
      <c r="G173">
        <f t="shared" ca="1" si="9"/>
        <v>171</v>
      </c>
      <c r="H173">
        <f t="shared" ca="1" si="10"/>
        <v>11.153652392947103</v>
      </c>
      <c r="I173">
        <f t="shared" ca="1" si="11"/>
        <v>420.59564454233146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9494</v>
      </c>
      <c r="B175" s="66">
        <v>9494</v>
      </c>
      <c r="D175">
        <f t="shared" si="8"/>
        <v>5.4723930623843585E-2</v>
      </c>
      <c r="E175">
        <f t="shared" si="8"/>
        <v>5.4723930623843585E-2</v>
      </c>
      <c r="G175">
        <f t="shared" ca="1" si="9"/>
        <v>173</v>
      </c>
      <c r="H175">
        <f t="shared" ca="1" si="10"/>
        <v>9.4672399979249402</v>
      </c>
      <c r="I175">
        <f t="shared" ca="1" si="11"/>
        <v>370.67161586268838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13119</v>
      </c>
      <c r="B178" s="66">
        <v>13119</v>
      </c>
      <c r="D178">
        <f t="shared" si="8"/>
        <v>7.561862711756942E-2</v>
      </c>
      <c r="E178">
        <f t="shared" si="8"/>
        <v>7.561862711756942E-2</v>
      </c>
      <c r="G178">
        <f t="shared" ca="1" si="9"/>
        <v>176</v>
      </c>
      <c r="H178">
        <f t="shared" ca="1" si="10"/>
        <v>13.308878372692218</v>
      </c>
      <c r="I178">
        <f t="shared" ca="1" si="11"/>
        <v>550.22306596178555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7922</v>
      </c>
      <c r="B180" s="66">
        <v>7922</v>
      </c>
      <c r="D180">
        <f t="shared" si="8"/>
        <v>4.5662837413323033E-2</v>
      </c>
      <c r="E180">
        <f t="shared" si="8"/>
        <v>4.5662837413323033E-2</v>
      </c>
      <c r="G180">
        <f t="shared" ca="1" si="9"/>
        <v>178</v>
      </c>
      <c r="H180">
        <f t="shared" ca="1" si="10"/>
        <v>8.1279850595715004</v>
      </c>
      <c r="I180">
        <f t="shared" ca="1" si="11"/>
        <v>348.01907633731275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5473</v>
      </c>
      <c r="B183" s="66">
        <v>5473</v>
      </c>
      <c r="D183">
        <f t="shared" si="8"/>
        <v>3.1546668664872123E-2</v>
      </c>
      <c r="E183">
        <f t="shared" si="8"/>
        <v>3.1546668664872123E-2</v>
      </c>
      <c r="G183">
        <f t="shared" ca="1" si="9"/>
        <v>181</v>
      </c>
      <c r="H183">
        <f t="shared" ca="1" si="10"/>
        <v>5.7099470283418539</v>
      </c>
      <c r="I183">
        <f t="shared" ca="1" si="11"/>
        <v>257.24105715306138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3506</v>
      </c>
      <c r="B185" s="66">
        <v>3506</v>
      </c>
      <c r="D185">
        <f t="shared" si="8"/>
        <v>2.0208774043311103E-2</v>
      </c>
      <c r="E185">
        <f t="shared" si="8"/>
        <v>2.0208774043311103E-2</v>
      </c>
      <c r="G185">
        <f t="shared" ca="1" si="9"/>
        <v>183</v>
      </c>
      <c r="H185">
        <f t="shared" ca="1" si="10"/>
        <v>3.6982056499259319</v>
      </c>
      <c r="I185">
        <f t="shared" ca="1" si="11"/>
        <v>172.16878168629856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3535</v>
      </c>
      <c r="B188" s="66">
        <v>3535</v>
      </c>
      <c r="D188">
        <f t="shared" si="8"/>
        <v>2.0375931615260912E-2</v>
      </c>
      <c r="E188">
        <f t="shared" si="8"/>
        <v>2.0375931615260912E-2</v>
      </c>
      <c r="G188">
        <f t="shared" ca="1" si="9"/>
        <v>186</v>
      </c>
      <c r="H188">
        <f t="shared" ca="1" si="10"/>
        <v>3.7899232804385297</v>
      </c>
      <c r="I188">
        <f t="shared" ca="1" si="11"/>
        <v>185.06059939585714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1674</v>
      </c>
      <c r="B191" s="66">
        <v>1674</v>
      </c>
      <c r="D191">
        <f t="shared" si="8"/>
        <v>9.6490267394474579E-3</v>
      </c>
      <c r="E191">
        <f t="shared" si="8"/>
        <v>9.6490267394474579E-3</v>
      </c>
      <c r="G191">
        <f t="shared" ca="1" si="9"/>
        <v>189</v>
      </c>
      <c r="H191">
        <f t="shared" ca="1" si="10"/>
        <v>1.8236660537555696</v>
      </c>
      <c r="I191">
        <f t="shared" ca="1" si="11"/>
        <v>93.239708733521439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107</v>
      </c>
      <c r="B193" s="66">
        <v>107</v>
      </c>
      <c r="D193">
        <f t="shared" si="8"/>
        <v>6.1675379995273475E-4</v>
      </c>
      <c r="E193">
        <f t="shared" si="8"/>
        <v>6.1675379995273475E-4</v>
      </c>
      <c r="G193">
        <f t="shared" ca="1" si="9"/>
        <v>191</v>
      </c>
      <c r="H193">
        <f t="shared" ca="1" si="10"/>
        <v>0.11779997579097233</v>
      </c>
      <c r="I193">
        <f t="shared" ca="1" si="11"/>
        <v>6.204743831410628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411</v>
      </c>
      <c r="B196" s="66">
        <v>411</v>
      </c>
      <c r="D196">
        <f t="shared" si="12"/>
        <v>2.3690262783231213E-3</v>
      </c>
      <c r="E196">
        <f t="shared" si="12"/>
        <v>2.3690262783231213E-3</v>
      </c>
      <c r="G196">
        <f t="shared" ca="1" si="13"/>
        <v>194</v>
      </c>
      <c r="H196">
        <f t="shared" ca="1" si="14"/>
        <v>0.4595910979946855</v>
      </c>
      <c r="I196">
        <f t="shared" ca="1" si="15"/>
        <v>25.280192824468124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346</v>
      </c>
      <c r="B1" s="66" t="s">
        <v>347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86.162302200769702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1.663577805012908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0.69220373253739476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4482</v>
      </c>
      <c r="B8" s="66">
        <v>4482</v>
      </c>
      <c r="D8">
        <f t="shared" si="0"/>
        <v>5.0772576917848564</v>
      </c>
      <c r="E8">
        <f t="shared" si="1"/>
        <v>5.0772576917848564</v>
      </c>
      <c r="G8">
        <f t="shared" ca="1" si="2"/>
        <v>6</v>
      </c>
      <c r="H8">
        <f t="shared" ca="1" si="3"/>
        <v>30.463546150709139</v>
      </c>
      <c r="I8">
        <f t="shared" ca="1" si="4"/>
        <v>32626.43098812766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3017</v>
      </c>
      <c r="B10" s="66">
        <v>3017</v>
      </c>
      <c r="D10">
        <f t="shared" si="0"/>
        <v>3.4176899723594181</v>
      </c>
      <c r="E10">
        <f t="shared" si="1"/>
        <v>3.4176899723594181</v>
      </c>
      <c r="G10">
        <f t="shared" ca="1" si="2"/>
        <v>8</v>
      </c>
      <c r="H10">
        <f t="shared" ca="1" si="3"/>
        <v>27.341519778875345</v>
      </c>
      <c r="I10">
        <f t="shared" ca="1" si="4"/>
        <v>20879.84880287265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4704</v>
      </c>
      <c r="B13" s="66">
        <v>4704</v>
      </c>
      <c r="D13">
        <f t="shared" si="0"/>
        <v>5.3287416738411348</v>
      </c>
      <c r="E13">
        <f t="shared" si="1"/>
        <v>5.3287416738411348</v>
      </c>
      <c r="G13">
        <f t="shared" ca="1" si="2"/>
        <v>11</v>
      </c>
      <c r="H13">
        <f t="shared" ca="1" si="3"/>
        <v>58.616158412252481</v>
      </c>
      <c r="I13">
        <f t="shared" ca="1" si="4"/>
        <v>30104.042260242513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6607</v>
      </c>
      <c r="B15" s="66">
        <v>6607</v>
      </c>
      <c r="D15">
        <f t="shared" si="0"/>
        <v>7.4844804929992295</v>
      </c>
      <c r="E15">
        <f t="shared" si="1"/>
        <v>7.4844804929992295</v>
      </c>
      <c r="G15">
        <f t="shared" ca="1" si="2"/>
        <v>13</v>
      </c>
      <c r="H15">
        <f t="shared" ca="1" si="3"/>
        <v>97.298246408989982</v>
      </c>
      <c r="I15">
        <f t="shared" ca="1" si="4"/>
        <v>40062.346861133003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8861</v>
      </c>
      <c r="B18" s="66">
        <v>8861</v>
      </c>
      <c r="D18">
        <f t="shared" si="0"/>
        <v>10.03783587838144</v>
      </c>
      <c r="E18">
        <f t="shared" si="1"/>
        <v>10.03783587838144</v>
      </c>
      <c r="G18">
        <f t="shared" ca="1" si="2"/>
        <v>16</v>
      </c>
      <c r="H18">
        <f t="shared" ca="1" si="3"/>
        <v>160.60537405410304</v>
      </c>
      <c r="I18">
        <f t="shared" ca="1" si="4"/>
        <v>49413.743020349371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12935</v>
      </c>
      <c r="B21" s="66">
        <v>12935</v>
      </c>
      <c r="D21">
        <f t="shared" si="0"/>
        <v>14.652906792333138</v>
      </c>
      <c r="E21">
        <f t="shared" si="1"/>
        <v>14.652906792333138</v>
      </c>
      <c r="G21">
        <f t="shared" ca="1" si="2"/>
        <v>19</v>
      </c>
      <c r="H21">
        <f t="shared" ca="1" si="3"/>
        <v>278.4052290543296</v>
      </c>
      <c r="I21">
        <f t="shared" ca="1" si="4"/>
        <v>66095.963246407511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15301</v>
      </c>
      <c r="B23" s="66">
        <v>15301</v>
      </c>
      <c r="D23">
        <f t="shared" si="0"/>
        <v>17.333136979473469</v>
      </c>
      <c r="E23">
        <f t="shared" si="1"/>
        <v>17.333136979473469</v>
      </c>
      <c r="G23">
        <f t="shared" ca="1" si="2"/>
        <v>21</v>
      </c>
      <c r="H23">
        <f t="shared" ca="1" si="3"/>
        <v>363.99587656894283</v>
      </c>
      <c r="I23">
        <f t="shared" ca="1" si="4"/>
        <v>73598.677143987006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18438</v>
      </c>
      <c r="B26" s="66">
        <v>18438</v>
      </c>
      <c r="D26">
        <f t="shared" si="0"/>
        <v>20.886764239430875</v>
      </c>
      <c r="E26">
        <f t="shared" si="1"/>
        <v>20.886764239430875</v>
      </c>
      <c r="G26">
        <f t="shared" ca="1" si="2"/>
        <v>24</v>
      </c>
      <c r="H26">
        <f t="shared" ca="1" si="3"/>
        <v>501.28234174634099</v>
      </c>
      <c r="I26">
        <f t="shared" ca="1" si="4"/>
        <v>80709.627943181418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23196</v>
      </c>
      <c r="B28" s="66">
        <v>23196</v>
      </c>
      <c r="D28">
        <f t="shared" si="0"/>
        <v>26.276677692691106</v>
      </c>
      <c r="E28">
        <f t="shared" si="1"/>
        <v>26.276677692691106</v>
      </c>
      <c r="G28">
        <f t="shared" ca="1" si="2"/>
        <v>26</v>
      </c>
      <c r="H28">
        <f t="shared" ca="1" si="3"/>
        <v>683.19362000996875</v>
      </c>
      <c r="I28">
        <f t="shared" ca="1" si="4"/>
        <v>95108.503388259502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24618</v>
      </c>
      <c r="B31" s="66">
        <v>24618</v>
      </c>
      <c r="D31">
        <f t="shared" si="0"/>
        <v>27.887534550727263</v>
      </c>
      <c r="E31">
        <f t="shared" si="1"/>
        <v>27.887534550727263</v>
      </c>
      <c r="G31">
        <f t="shared" ca="1" si="2"/>
        <v>29</v>
      </c>
      <c r="H31">
        <f t="shared" ca="1" si="3"/>
        <v>808.73850197109061</v>
      </c>
      <c r="I31">
        <f t="shared" ca="1" si="4"/>
        <v>91123.322107275162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26347</v>
      </c>
      <c r="B33" s="66">
        <v>26347</v>
      </c>
      <c r="D33">
        <f t="shared" si="0"/>
        <v>29.846164302868278</v>
      </c>
      <c r="E33">
        <f t="shared" si="1"/>
        <v>29.846164302868278</v>
      </c>
      <c r="G33">
        <f t="shared" ca="1" si="2"/>
        <v>31</v>
      </c>
      <c r="H33">
        <f t="shared" ca="1" si="3"/>
        <v>925.23109338891663</v>
      </c>
      <c r="I33">
        <f t="shared" ca="1" si="4"/>
        <v>90818.284020565043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31081</v>
      </c>
      <c r="B36" s="66">
        <v>31081</v>
      </c>
      <c r="D36">
        <f t="shared" si="0"/>
        <v>35.208890298608907</v>
      </c>
      <c r="E36">
        <f t="shared" si="1"/>
        <v>35.208890298608907</v>
      </c>
      <c r="G36">
        <f t="shared" ca="1" si="2"/>
        <v>34</v>
      </c>
      <c r="H36">
        <f t="shared" ca="1" si="3"/>
        <v>1197.1022701527029</v>
      </c>
      <c r="I36">
        <f t="shared" ca="1" si="4"/>
        <v>95800.072799921574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37806</v>
      </c>
      <c r="B39" s="66">
        <v>37806</v>
      </c>
      <c r="D39">
        <f t="shared" si="0"/>
        <v>42.82704245774616</v>
      </c>
      <c r="E39">
        <f t="shared" si="1"/>
        <v>42.82704245774616</v>
      </c>
      <c r="G39">
        <f t="shared" ca="1" si="2"/>
        <v>37</v>
      </c>
      <c r="H39">
        <f t="shared" ca="1" si="3"/>
        <v>1584.6005709366079</v>
      </c>
      <c r="I39">
        <f t="shared" ca="1" si="4"/>
        <v>103510.04756903656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49259</v>
      </c>
      <c r="B41" s="66">
        <v>49259</v>
      </c>
      <c r="D41">
        <f t="shared" si="0"/>
        <v>55.801123748244144</v>
      </c>
      <c r="E41">
        <f t="shared" si="1"/>
        <v>55.801123748244144</v>
      </c>
      <c r="G41">
        <f t="shared" ca="1" si="2"/>
        <v>39</v>
      </c>
      <c r="H41">
        <f t="shared" ca="1" si="3"/>
        <v>2176.2438261815219</v>
      </c>
      <c r="I41">
        <f t="shared" ca="1" si="4"/>
        <v>124117.47692115487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67814</v>
      </c>
      <c r="B44" s="66">
        <v>67814</v>
      </c>
      <c r="D44">
        <f t="shared" si="0"/>
        <v>76.820426843083055</v>
      </c>
      <c r="E44">
        <f t="shared" si="1"/>
        <v>76.820426843083055</v>
      </c>
      <c r="G44">
        <f t="shared" ca="1" si="2"/>
        <v>42</v>
      </c>
      <c r="H44">
        <f t="shared" ca="1" si="3"/>
        <v>3226.4579274094885</v>
      </c>
      <c r="I44">
        <f t="shared" ca="1" si="4"/>
        <v>149823.56491421038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74415</v>
      </c>
      <c r="B46" s="66">
        <v>74415</v>
      </c>
      <c r="D46">
        <f t="shared" si="0"/>
        <v>84.298110471702387</v>
      </c>
      <c r="E46">
        <f t="shared" si="1"/>
        <v>84.298110471702387</v>
      </c>
      <c r="G46">
        <f t="shared" ca="1" si="2"/>
        <v>44</v>
      </c>
      <c r="H46">
        <f t="shared" ca="1" si="3"/>
        <v>3709.1168607549052</v>
      </c>
      <c r="I46">
        <f t="shared" ca="1" si="4"/>
        <v>149853.35603670173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78641</v>
      </c>
      <c r="B49" s="66">
        <v>78641</v>
      </c>
      <c r="D49">
        <f t="shared" si="0"/>
        <v>89.085368616611532</v>
      </c>
      <c r="E49">
        <f t="shared" si="1"/>
        <v>89.085368616611532</v>
      </c>
      <c r="G49">
        <f t="shared" ca="1" si="2"/>
        <v>47</v>
      </c>
      <c r="H49">
        <f t="shared" ca="1" si="3"/>
        <v>4187.0123249807421</v>
      </c>
      <c r="I49">
        <f t="shared" ca="1" si="4"/>
        <v>136628.97496089875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78840</v>
      </c>
      <c r="B51" s="66">
        <v>78840</v>
      </c>
      <c r="D51">
        <f t="shared" si="0"/>
        <v>89.3107979518782</v>
      </c>
      <c r="E51">
        <f t="shared" si="1"/>
        <v>89.3107979518782</v>
      </c>
      <c r="G51">
        <f t="shared" ca="1" si="2"/>
        <v>49</v>
      </c>
      <c r="H51">
        <f t="shared" ca="1" si="3"/>
        <v>4376.2290996420315</v>
      </c>
      <c r="I51">
        <f t="shared" ca="1" si="4"/>
        <v>123341.49011199811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87586</v>
      </c>
      <c r="B54" s="66">
        <v>87586</v>
      </c>
      <c r="D54">
        <f t="shared" si="0"/>
        <v>99.21836059631157</v>
      </c>
      <c r="E54">
        <f t="shared" si="1"/>
        <v>99.21836059631157</v>
      </c>
      <c r="G54">
        <f t="shared" ca="1" si="2"/>
        <v>52</v>
      </c>
      <c r="H54">
        <f t="shared" ca="1" si="3"/>
        <v>5159.3547510082017</v>
      </c>
      <c r="I54">
        <f t="shared" ca="1" si="4"/>
        <v>115794.06682296998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87057</v>
      </c>
      <c r="B57" s="66">
        <v>87057</v>
      </c>
      <c r="D57">
        <f t="shared" si="0"/>
        <v>98.619103720150434</v>
      </c>
      <c r="E57">
        <f t="shared" si="1"/>
        <v>98.619103720150434</v>
      </c>
      <c r="G57">
        <f t="shared" ca="1" si="2"/>
        <v>55</v>
      </c>
      <c r="H57">
        <f t="shared" ca="1" si="3"/>
        <v>5424.0507046082739</v>
      </c>
      <c r="I57">
        <f t="shared" ca="1" si="4"/>
        <v>95767.93454937257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88276</v>
      </c>
      <c r="B59" s="66">
        <v>88276</v>
      </c>
      <c r="D59">
        <f t="shared" si="0"/>
        <v>100</v>
      </c>
      <c r="E59">
        <f t="shared" si="1"/>
        <v>100</v>
      </c>
      <c r="G59">
        <f t="shared" ca="1" si="2"/>
        <v>57</v>
      </c>
      <c r="H59">
        <f t="shared" ca="1" si="3"/>
        <v>5700</v>
      </c>
      <c r="I59">
        <f t="shared" ca="1" si="4"/>
        <v>85043.986964901735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80405</v>
      </c>
      <c r="B62" s="66">
        <v>80405</v>
      </c>
      <c r="D62">
        <f t="shared" si="0"/>
        <v>91.083646744301959</v>
      </c>
      <c r="E62">
        <f t="shared" si="1"/>
        <v>91.083646744301959</v>
      </c>
      <c r="G62">
        <f t="shared" ca="1" si="2"/>
        <v>60</v>
      </c>
      <c r="H62">
        <f t="shared" ca="1" si="3"/>
        <v>5465.0188046581179</v>
      </c>
      <c r="I62">
        <f t="shared" ca="1" si="4"/>
        <v>62343.664493647106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79902</v>
      </c>
      <c r="B64" s="66">
        <v>79902</v>
      </c>
      <c r="D64">
        <f t="shared" si="0"/>
        <v>90.513842947120395</v>
      </c>
      <c r="E64">
        <f t="shared" si="1"/>
        <v>90.513842947120395</v>
      </c>
      <c r="G64">
        <f t="shared" ca="1" si="2"/>
        <v>62</v>
      </c>
      <c r="H64">
        <f t="shared" ca="1" si="3"/>
        <v>5611.8582627214646</v>
      </c>
      <c r="I64">
        <f t="shared" ca="1" si="4"/>
        <v>52843.50645728939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81404</v>
      </c>
      <c r="B67" s="66">
        <v>81404</v>
      </c>
      <c r="D67">
        <f t="shared" ref="D67:D130" si="5">IFERROR( 100*A67/MAX(A$2:A$257), 0 )</f>
        <v>92.215324663555208</v>
      </c>
      <c r="E67">
        <f t="shared" ref="E67:E130" si="6">IFERROR( 100*B67/MAX(B$2:B$257), 0 )</f>
        <v>92.215324663555208</v>
      </c>
      <c r="G67">
        <f t="shared" ref="G67:G130" ca="1" si="7">CELL("row",D67)-2</f>
        <v>65</v>
      </c>
      <c r="H67">
        <f t="shared" ref="H67:H130" ca="1" si="8">D67*G67</f>
        <v>5993.9961031310886</v>
      </c>
      <c r="I67">
        <f t="shared" ref="I67:I130" ca="1" si="9">D67*((G67-$L$1)^2)</f>
        <v>41297.990818892227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76811</v>
      </c>
      <c r="B69" s="66">
        <v>76811</v>
      </c>
      <c r="D69">
        <f t="shared" si="5"/>
        <v>87.012324980742221</v>
      </c>
      <c r="E69">
        <f t="shared" si="6"/>
        <v>87.012324980742221</v>
      </c>
      <c r="G69">
        <f t="shared" ca="1" si="7"/>
        <v>67</v>
      </c>
      <c r="H69">
        <f t="shared" ca="1" si="8"/>
        <v>5829.8257737097292</v>
      </c>
      <c r="I69">
        <f t="shared" ca="1" si="9"/>
        <v>31950.388486954831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77009</v>
      </c>
      <c r="B72" s="66">
        <v>77009</v>
      </c>
      <c r="D72">
        <f t="shared" si="5"/>
        <v>87.236621505278904</v>
      </c>
      <c r="E72">
        <f t="shared" si="6"/>
        <v>87.236621505278904</v>
      </c>
      <c r="G72">
        <f t="shared" ca="1" si="7"/>
        <v>70</v>
      </c>
      <c r="H72">
        <f t="shared" ca="1" si="8"/>
        <v>6106.5635053695232</v>
      </c>
      <c r="I72">
        <f t="shared" ca="1" si="9"/>
        <v>22787.95135387337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79449</v>
      </c>
      <c r="B75" s="66">
        <v>79449</v>
      </c>
      <c r="D75">
        <f t="shared" si="5"/>
        <v>90.000679686437991</v>
      </c>
      <c r="E75">
        <f t="shared" si="6"/>
        <v>90.000679686437991</v>
      </c>
      <c r="G75">
        <f t="shared" ca="1" si="7"/>
        <v>73</v>
      </c>
      <c r="H75">
        <f t="shared" ca="1" si="8"/>
        <v>6570.049617109973</v>
      </c>
      <c r="I75">
        <f t="shared" ca="1" si="9"/>
        <v>15592.275683286871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82379</v>
      </c>
      <c r="B77" s="66">
        <v>82379</v>
      </c>
      <c r="D77">
        <f t="shared" si="5"/>
        <v>93.319815125288869</v>
      </c>
      <c r="E77">
        <f t="shared" si="6"/>
        <v>93.319815125288869</v>
      </c>
      <c r="G77">
        <f t="shared" ca="1" si="7"/>
        <v>75</v>
      </c>
      <c r="H77">
        <f t="shared" ca="1" si="8"/>
        <v>6998.986134396665</v>
      </c>
      <c r="I77">
        <f t="shared" ca="1" si="9"/>
        <v>11627.368111283862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74448</v>
      </c>
      <c r="B80" s="66">
        <v>74448</v>
      </c>
      <c r="D80">
        <f t="shared" si="5"/>
        <v>84.335493225791836</v>
      </c>
      <c r="E80">
        <f t="shared" si="6"/>
        <v>84.335493225791836</v>
      </c>
      <c r="G80">
        <f t="shared" ca="1" si="7"/>
        <v>78</v>
      </c>
      <c r="H80">
        <f t="shared" ca="1" si="8"/>
        <v>6578.1684716117634</v>
      </c>
      <c r="I80">
        <f t="shared" ca="1" si="9"/>
        <v>5618.6985108388808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71790</v>
      </c>
      <c r="B82" s="66">
        <v>71790</v>
      </c>
      <c r="D82">
        <f t="shared" si="5"/>
        <v>81.324482305496403</v>
      </c>
      <c r="E82">
        <f t="shared" si="6"/>
        <v>81.324482305496403</v>
      </c>
      <c r="G82">
        <f t="shared" ca="1" si="7"/>
        <v>80</v>
      </c>
      <c r="H82">
        <f t="shared" ca="1" si="8"/>
        <v>6505.9585844397125</v>
      </c>
      <c r="I82">
        <f t="shared" ca="1" si="9"/>
        <v>3088.2133223221963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72695</v>
      </c>
      <c r="B85" s="66">
        <v>72695</v>
      </c>
      <c r="D85">
        <f t="shared" si="5"/>
        <v>82.349676016131227</v>
      </c>
      <c r="E85">
        <f t="shared" si="6"/>
        <v>82.349676016131227</v>
      </c>
      <c r="G85">
        <f t="shared" ca="1" si="7"/>
        <v>83</v>
      </c>
      <c r="H85">
        <f t="shared" ca="1" si="8"/>
        <v>6835.023109338892</v>
      </c>
      <c r="I85">
        <f t="shared" ca="1" si="9"/>
        <v>823.50954157159231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71853</v>
      </c>
      <c r="B88" s="66">
        <v>71853</v>
      </c>
      <c r="D88">
        <f t="shared" si="5"/>
        <v>81.395849381485348</v>
      </c>
      <c r="E88">
        <f t="shared" si="6"/>
        <v>81.395849381485348</v>
      </c>
      <c r="G88">
        <f t="shared" ca="1" si="7"/>
        <v>86</v>
      </c>
      <c r="H88">
        <f t="shared" ca="1" si="8"/>
        <v>7000.0430468077402</v>
      </c>
      <c r="I88">
        <f t="shared" ca="1" si="9"/>
        <v>2.1441298204885784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68940</v>
      </c>
      <c r="B90" s="66">
        <v>68940</v>
      </c>
      <c r="D90">
        <f t="shared" si="5"/>
        <v>78.09597172504418</v>
      </c>
      <c r="E90">
        <f t="shared" si="6"/>
        <v>78.09597172504418</v>
      </c>
      <c r="G90">
        <f t="shared" ca="1" si="7"/>
        <v>88</v>
      </c>
      <c r="H90">
        <f t="shared" ca="1" si="8"/>
        <v>6872.4455118038877</v>
      </c>
      <c r="I90">
        <f t="shared" ca="1" si="9"/>
        <v>263.74049900011113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61238</v>
      </c>
      <c r="B93" s="66">
        <v>61238</v>
      </c>
      <c r="D93">
        <f t="shared" si="5"/>
        <v>69.371063482713311</v>
      </c>
      <c r="E93">
        <f t="shared" si="6"/>
        <v>69.371063482713311</v>
      </c>
      <c r="G93">
        <f t="shared" ca="1" si="7"/>
        <v>91</v>
      </c>
      <c r="H93">
        <f t="shared" ca="1" si="8"/>
        <v>6312.766776926911</v>
      </c>
      <c r="I93">
        <f t="shared" ca="1" si="9"/>
        <v>1623.5131971957805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62066</v>
      </c>
      <c r="B95" s="66">
        <v>62066</v>
      </c>
      <c r="D95">
        <f t="shared" si="5"/>
        <v>70.309030767139433</v>
      </c>
      <c r="E95">
        <f t="shared" si="6"/>
        <v>70.309030767139433</v>
      </c>
      <c r="G95">
        <f t="shared" ca="1" si="7"/>
        <v>93</v>
      </c>
      <c r="H95">
        <f t="shared" ca="1" si="8"/>
        <v>6538.7398613439673</v>
      </c>
      <c r="I95">
        <f t="shared" ca="1" si="9"/>
        <v>3287.2362424010007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58484</v>
      </c>
      <c r="B98" s="66">
        <v>58484</v>
      </c>
      <c r="D98">
        <f t="shared" si="5"/>
        <v>66.251302732339482</v>
      </c>
      <c r="E98">
        <f t="shared" si="6"/>
        <v>66.251302732339482</v>
      </c>
      <c r="G98">
        <f t="shared" ca="1" si="7"/>
        <v>96</v>
      </c>
      <c r="H98">
        <f t="shared" ca="1" si="8"/>
        <v>6360.1250623045908</v>
      </c>
      <c r="I98">
        <f t="shared" ca="1" si="9"/>
        <v>6411.8208205939827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59192</v>
      </c>
      <c r="B100" s="66">
        <v>59192</v>
      </c>
      <c r="D100">
        <f t="shared" si="5"/>
        <v>67.053332729167607</v>
      </c>
      <c r="E100">
        <f t="shared" si="6"/>
        <v>67.053332729167607</v>
      </c>
      <c r="G100">
        <f t="shared" ca="1" si="7"/>
        <v>98</v>
      </c>
      <c r="H100">
        <f t="shared" ca="1" si="8"/>
        <v>6571.2266074584259</v>
      </c>
      <c r="I100">
        <f t="shared" ca="1" si="9"/>
        <v>9396.2565488829387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57534</v>
      </c>
      <c r="B103" s="66">
        <v>57534</v>
      </c>
      <c r="D103">
        <f t="shared" si="5"/>
        <v>65.175132538855408</v>
      </c>
      <c r="E103">
        <f t="shared" si="6"/>
        <v>65.175132538855408</v>
      </c>
      <c r="G103">
        <f t="shared" ca="1" si="7"/>
        <v>101</v>
      </c>
      <c r="H103">
        <f t="shared" ca="1" si="8"/>
        <v>6582.6883864243964</v>
      </c>
      <c r="I103">
        <f t="shared" ca="1" si="9"/>
        <v>14348.779641473529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61321</v>
      </c>
      <c r="B106" s="66">
        <v>61321</v>
      </c>
      <c r="D106">
        <f t="shared" si="5"/>
        <v>69.46508677330192</v>
      </c>
      <c r="E106">
        <f t="shared" si="6"/>
        <v>69.46508677330192</v>
      </c>
      <c r="G106">
        <f t="shared" ca="1" si="7"/>
        <v>104</v>
      </c>
      <c r="H106">
        <f t="shared" ca="1" si="8"/>
        <v>7224.3690244233994</v>
      </c>
      <c r="I106">
        <f t="shared" ca="1" si="9"/>
        <v>22102.641851610744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62810</v>
      </c>
      <c r="B108" s="66">
        <v>62810</v>
      </c>
      <c r="D108">
        <f t="shared" si="5"/>
        <v>71.151841950246947</v>
      </c>
      <c r="E108">
        <f t="shared" si="6"/>
        <v>71.151841950246947</v>
      </c>
      <c r="G108">
        <f t="shared" ca="1" si="7"/>
        <v>106</v>
      </c>
      <c r="H108">
        <f t="shared" ca="1" si="8"/>
        <v>7542.0952467261768</v>
      </c>
      <c r="I108">
        <f t="shared" ca="1" si="9"/>
        <v>28000.687040736975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57680</v>
      </c>
      <c r="B111" s="66">
        <v>57680</v>
      </c>
      <c r="D111">
        <f t="shared" si="5"/>
        <v>65.340522905432962</v>
      </c>
      <c r="E111">
        <f t="shared" si="6"/>
        <v>65.340522905432962</v>
      </c>
      <c r="G111">
        <f t="shared" ca="1" si="7"/>
        <v>109</v>
      </c>
      <c r="H111">
        <f t="shared" ca="1" si="8"/>
        <v>7122.1169966921925</v>
      </c>
      <c r="I111">
        <f t="shared" ca="1" si="9"/>
        <v>34079.031926632495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57946</v>
      </c>
      <c r="B113" s="66">
        <v>57946</v>
      </c>
      <c r="D113">
        <f t="shared" si="5"/>
        <v>65.6418505596085</v>
      </c>
      <c r="E113">
        <f t="shared" si="6"/>
        <v>65.6418505596085</v>
      </c>
      <c r="G113">
        <f t="shared" ca="1" si="7"/>
        <v>111</v>
      </c>
      <c r="H113">
        <f t="shared" ca="1" si="8"/>
        <v>7286.2454121165438</v>
      </c>
      <c r="I113">
        <f t="shared" ca="1" si="9"/>
        <v>40495.194897248897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56910</v>
      </c>
      <c r="B116" s="66">
        <v>56910</v>
      </c>
      <c r="D116">
        <f t="shared" si="5"/>
        <v>64.468258643345877</v>
      </c>
      <c r="E116">
        <f t="shared" si="6"/>
        <v>64.468258643345877</v>
      </c>
      <c r="G116">
        <f t="shared" ca="1" si="7"/>
        <v>114</v>
      </c>
      <c r="H116">
        <f t="shared" ca="1" si="8"/>
        <v>7349.3814853414297</v>
      </c>
      <c r="I116">
        <f t="shared" ca="1" si="9"/>
        <v>49958.865945108475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59580</v>
      </c>
      <c r="B118" s="66">
        <v>59580</v>
      </c>
      <c r="D118">
        <f t="shared" si="5"/>
        <v>67.492863292401111</v>
      </c>
      <c r="E118">
        <f t="shared" si="6"/>
        <v>67.492863292401111</v>
      </c>
      <c r="G118">
        <f t="shared" ca="1" si="7"/>
        <v>116</v>
      </c>
      <c r="H118">
        <f t="shared" ca="1" si="8"/>
        <v>7829.1721419185287</v>
      </c>
      <c r="I118">
        <f t="shared" ca="1" si="9"/>
        <v>60088.100445544791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63087</v>
      </c>
      <c r="B121" s="66">
        <v>63087</v>
      </c>
      <c r="D121">
        <f t="shared" si="5"/>
        <v>71.465630522452315</v>
      </c>
      <c r="E121">
        <f t="shared" si="6"/>
        <v>71.465630522452315</v>
      </c>
      <c r="G121">
        <f t="shared" ca="1" si="7"/>
        <v>119</v>
      </c>
      <c r="H121">
        <f t="shared" ca="1" si="8"/>
        <v>8504.4100321718252</v>
      </c>
      <c r="I121">
        <f t="shared" ca="1" si="9"/>
        <v>77062.418265432003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63829</v>
      </c>
      <c r="B124" s="66">
        <v>63829</v>
      </c>
      <c r="D124">
        <f t="shared" si="5"/>
        <v>72.306176084099874</v>
      </c>
      <c r="E124">
        <f t="shared" si="6"/>
        <v>72.306176084099874</v>
      </c>
      <c r="G124">
        <f t="shared" ca="1" si="7"/>
        <v>122</v>
      </c>
      <c r="H124">
        <f t="shared" ca="1" si="8"/>
        <v>8821.353482260185</v>
      </c>
      <c r="I124">
        <f t="shared" ca="1" si="9"/>
        <v>92865.756386046414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63250</v>
      </c>
      <c r="B126" s="66">
        <v>63250</v>
      </c>
      <c r="D126">
        <f t="shared" si="5"/>
        <v>71.65027867143958</v>
      </c>
      <c r="E126">
        <f t="shared" si="6"/>
        <v>71.65027867143958</v>
      </c>
      <c r="G126">
        <f t="shared" ca="1" si="7"/>
        <v>124</v>
      </c>
      <c r="H126">
        <f t="shared" ca="1" si="8"/>
        <v>8884.634555258508</v>
      </c>
      <c r="I126">
        <f t="shared" ca="1" si="9"/>
        <v>102581.08597203853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64141</v>
      </c>
      <c r="B129" s="66">
        <v>64141</v>
      </c>
      <c r="D129">
        <f t="shared" si="5"/>
        <v>72.659613031854633</v>
      </c>
      <c r="E129">
        <f t="shared" si="6"/>
        <v>72.659613031854633</v>
      </c>
      <c r="G129">
        <f t="shared" ca="1" si="7"/>
        <v>127</v>
      </c>
      <c r="H129">
        <f t="shared" ca="1" si="8"/>
        <v>9227.7708550455391</v>
      </c>
      <c r="I129">
        <f t="shared" ca="1" si="9"/>
        <v>121175.7126680161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57993</v>
      </c>
      <c r="B131" s="66">
        <v>57993</v>
      </c>
      <c r="D131">
        <f t="shared" ref="D131:D194" si="10">IFERROR( 100*A131/MAX(A$2:A$257), 0 )</f>
        <v>65.695092663917706</v>
      </c>
      <c r="E131">
        <f t="shared" ref="E131:E194" si="11">IFERROR( 100*B131/MAX(B$2:B$257), 0 )</f>
        <v>65.695092663917706</v>
      </c>
      <c r="G131">
        <f t="shared" ref="G131:G194" ca="1" si="12">CELL("row",D131)-2</f>
        <v>129</v>
      </c>
      <c r="H131">
        <f t="shared" ref="H131:H194" ca="1" si="13">D131*G131</f>
        <v>8474.6669536453846</v>
      </c>
      <c r="I131">
        <f t="shared" ref="I131:I194" ca="1" si="14">D131*((G131-$L$1)^2)</f>
        <v>120554.98547775757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53070</v>
      </c>
      <c r="B134" s="66">
        <v>53070</v>
      </c>
      <c r="D134">
        <f t="shared" si="10"/>
        <v>60.118265440210251</v>
      </c>
      <c r="E134">
        <f t="shared" si="11"/>
        <v>60.118265440210251</v>
      </c>
      <c r="G134">
        <f t="shared" ca="1" si="12"/>
        <v>132</v>
      </c>
      <c r="H134">
        <f t="shared" ca="1" si="13"/>
        <v>7935.6110381077533</v>
      </c>
      <c r="I134">
        <f t="shared" ca="1" si="14"/>
        <v>126314.15924265502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49917</v>
      </c>
      <c r="B136" s="66">
        <v>49917</v>
      </c>
      <c r="D136">
        <f t="shared" si="10"/>
        <v>56.54651320857311</v>
      </c>
      <c r="E136">
        <f t="shared" si="11"/>
        <v>56.54651320857311</v>
      </c>
      <c r="G136">
        <f t="shared" ca="1" si="12"/>
        <v>134</v>
      </c>
      <c r="H136">
        <f t="shared" ca="1" si="13"/>
        <v>7577.2327699487969</v>
      </c>
      <c r="I136">
        <f t="shared" ca="1" si="14"/>
        <v>129403.60412124873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46058</v>
      </c>
      <c r="B139" s="66">
        <v>46058</v>
      </c>
      <c r="D139">
        <f t="shared" si="10"/>
        <v>52.174996601567813</v>
      </c>
      <c r="E139">
        <f t="shared" si="11"/>
        <v>52.174996601567813</v>
      </c>
      <c r="G139">
        <f t="shared" ca="1" si="12"/>
        <v>137</v>
      </c>
      <c r="H139">
        <f t="shared" ca="1" si="13"/>
        <v>7147.9745344147905</v>
      </c>
      <c r="I139">
        <f t="shared" ca="1" si="14"/>
        <v>134844.79264376083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40790</v>
      </c>
      <c r="B142" s="66">
        <v>40790</v>
      </c>
      <c r="D142">
        <f t="shared" si="10"/>
        <v>46.207349676016129</v>
      </c>
      <c r="E142">
        <f t="shared" si="11"/>
        <v>46.207349676016129</v>
      </c>
      <c r="G142">
        <f t="shared" ca="1" si="12"/>
        <v>140</v>
      </c>
      <c r="H142">
        <f t="shared" ca="1" si="13"/>
        <v>6469.0289546422582</v>
      </c>
      <c r="I142">
        <f t="shared" ca="1" si="14"/>
        <v>133931.89695870187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34476</v>
      </c>
      <c r="B144" s="66">
        <v>34476</v>
      </c>
      <c r="D144">
        <f t="shared" si="10"/>
        <v>39.05478272690199</v>
      </c>
      <c r="E144">
        <f t="shared" si="11"/>
        <v>39.05478272690199</v>
      </c>
      <c r="G144">
        <f t="shared" ca="1" si="12"/>
        <v>142</v>
      </c>
      <c r="H144">
        <f t="shared" ca="1" si="13"/>
        <v>5545.7791472200825</v>
      </c>
      <c r="I144">
        <f t="shared" ca="1" si="14"/>
        <v>121766.89556786031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31691</v>
      </c>
      <c r="B147" s="66">
        <v>31691</v>
      </c>
      <c r="D147">
        <f t="shared" si="10"/>
        <v>35.899904843898682</v>
      </c>
      <c r="E147">
        <f t="shared" si="11"/>
        <v>35.899904843898682</v>
      </c>
      <c r="G147">
        <f t="shared" ca="1" si="12"/>
        <v>145</v>
      </c>
      <c r="H147">
        <f t="shared" ca="1" si="13"/>
        <v>5205.4862023653086</v>
      </c>
      <c r="I147">
        <f t="shared" ca="1" si="14"/>
        <v>124280.97167655842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29359</v>
      </c>
      <c r="B149" s="66">
        <v>29359</v>
      </c>
      <c r="D149">
        <f t="shared" si="10"/>
        <v>33.258190221577777</v>
      </c>
      <c r="E149">
        <f t="shared" si="11"/>
        <v>33.258190221577777</v>
      </c>
      <c r="G149">
        <f t="shared" ca="1" si="12"/>
        <v>147</v>
      </c>
      <c r="H149">
        <f t="shared" ca="1" si="13"/>
        <v>4888.9539625719335</v>
      </c>
      <c r="I149">
        <f t="shared" ca="1" si="14"/>
        <v>123096.06085096054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27157</v>
      </c>
      <c r="B152" s="66">
        <v>27157</v>
      </c>
      <c r="D152">
        <f t="shared" si="10"/>
        <v>30.763740994154695</v>
      </c>
      <c r="E152">
        <f t="shared" si="11"/>
        <v>30.763740994154695</v>
      </c>
      <c r="G152">
        <f t="shared" ca="1" si="12"/>
        <v>150</v>
      </c>
      <c r="H152">
        <f t="shared" ca="1" si="13"/>
        <v>4614.5611491232039</v>
      </c>
      <c r="I152">
        <f t="shared" ca="1" si="14"/>
        <v>125369.98656364816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20329</v>
      </c>
      <c r="B154" s="66">
        <v>20329</v>
      </c>
      <c r="D154">
        <f t="shared" si="10"/>
        <v>23.028909329829172</v>
      </c>
      <c r="E154">
        <f t="shared" si="11"/>
        <v>23.028909329829172</v>
      </c>
      <c r="G154">
        <f t="shared" ca="1" si="12"/>
        <v>152</v>
      </c>
      <c r="H154">
        <f t="shared" ca="1" si="13"/>
        <v>3500.3942181340344</v>
      </c>
      <c r="I154">
        <f t="shared" ca="1" si="14"/>
        <v>99821.166836512639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15915</v>
      </c>
      <c r="B157" s="66">
        <v>15915</v>
      </c>
      <c r="D157">
        <f t="shared" si="10"/>
        <v>18.028682767683176</v>
      </c>
      <c r="E157">
        <f t="shared" si="11"/>
        <v>18.028682767683176</v>
      </c>
      <c r="G157">
        <f t="shared" ca="1" si="12"/>
        <v>155</v>
      </c>
      <c r="H157">
        <f t="shared" ca="1" si="13"/>
        <v>2794.4458289908921</v>
      </c>
      <c r="I157">
        <f t="shared" ca="1" si="14"/>
        <v>85431.23247373596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11419</v>
      </c>
      <c r="B160" s="66">
        <v>11419</v>
      </c>
      <c r="D160">
        <f t="shared" si="10"/>
        <v>12.935565725678554</v>
      </c>
      <c r="E160">
        <f t="shared" si="11"/>
        <v>12.935565725678554</v>
      </c>
      <c r="G160">
        <f t="shared" ca="1" si="12"/>
        <v>158</v>
      </c>
      <c r="H160">
        <f t="shared" ca="1" si="13"/>
        <v>2043.8193846572115</v>
      </c>
      <c r="I160">
        <f t="shared" ca="1" si="14"/>
        <v>66755.989677537611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6641</v>
      </c>
      <c r="B162" s="66">
        <v>6641</v>
      </c>
      <c r="D162">
        <f t="shared" si="10"/>
        <v>7.5229960578186601</v>
      </c>
      <c r="E162">
        <f t="shared" si="11"/>
        <v>7.5229960578186601</v>
      </c>
      <c r="G162">
        <f t="shared" ca="1" si="12"/>
        <v>160</v>
      </c>
      <c r="H162">
        <f t="shared" ca="1" si="13"/>
        <v>1203.6793692509857</v>
      </c>
      <c r="I162">
        <f t="shared" ca="1" si="14"/>
        <v>41015.416758558313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5198</v>
      </c>
      <c r="B165" s="66">
        <v>5198</v>
      </c>
      <c r="D165">
        <f t="shared" si="10"/>
        <v>5.8883501744528521</v>
      </c>
      <c r="E165">
        <f t="shared" si="11"/>
        <v>5.8883501744528521</v>
      </c>
      <c r="G165">
        <f t="shared" ca="1" si="12"/>
        <v>163</v>
      </c>
      <c r="H165">
        <f t="shared" ca="1" si="13"/>
        <v>959.80107843581493</v>
      </c>
      <c r="I165">
        <f t="shared" ca="1" si="14"/>
        <v>34765.006697675701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5343</v>
      </c>
      <c r="B167" s="66">
        <v>5343</v>
      </c>
      <c r="D167">
        <f t="shared" si="10"/>
        <v>6.0526077303004211</v>
      </c>
      <c r="E167">
        <f t="shared" si="11"/>
        <v>6.0526077303004211</v>
      </c>
      <c r="G167">
        <f t="shared" ca="1" si="12"/>
        <v>165</v>
      </c>
      <c r="H167">
        <f t="shared" ca="1" si="13"/>
        <v>998.68027549956946</v>
      </c>
      <c r="I167">
        <f t="shared" ca="1" si="14"/>
        <v>37619.272736930528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5161</v>
      </c>
      <c r="B170" s="66">
        <v>5161</v>
      </c>
      <c r="D170">
        <f t="shared" si="10"/>
        <v>5.846436177443473</v>
      </c>
      <c r="E170">
        <f t="shared" si="11"/>
        <v>5.846436177443473</v>
      </c>
      <c r="G170">
        <f t="shared" ca="1" si="12"/>
        <v>168</v>
      </c>
      <c r="H170">
        <f t="shared" ca="1" si="13"/>
        <v>982.20127781050348</v>
      </c>
      <c r="I170">
        <f t="shared" ca="1" si="14"/>
        <v>39155.972992822855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6330</v>
      </c>
      <c r="B173" s="66">
        <v>6330</v>
      </c>
      <c r="D173">
        <f t="shared" si="10"/>
        <v>7.1706919207938737</v>
      </c>
      <c r="E173">
        <f t="shared" si="11"/>
        <v>7.1706919207938737</v>
      </c>
      <c r="G173">
        <f t="shared" ca="1" si="12"/>
        <v>171</v>
      </c>
      <c r="H173">
        <f t="shared" ca="1" si="13"/>
        <v>1226.1883184557523</v>
      </c>
      <c r="I173">
        <f t="shared" ca="1" si="14"/>
        <v>51610.588774570002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3433</v>
      </c>
      <c r="B175" s="66">
        <v>3433</v>
      </c>
      <c r="D175">
        <f t="shared" si="10"/>
        <v>3.8889392360324435</v>
      </c>
      <c r="E175">
        <f t="shared" si="11"/>
        <v>3.8889392360324435</v>
      </c>
      <c r="G175">
        <f t="shared" ca="1" si="12"/>
        <v>173</v>
      </c>
      <c r="H175">
        <f t="shared" ca="1" si="13"/>
        <v>672.78648783361268</v>
      </c>
      <c r="I175">
        <f t="shared" ca="1" si="14"/>
        <v>29325.657608963749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5549</v>
      </c>
      <c r="B178" s="66">
        <v>5549</v>
      </c>
      <c r="D178">
        <f t="shared" si="10"/>
        <v>6.2859667406769679</v>
      </c>
      <c r="E178">
        <f t="shared" si="11"/>
        <v>6.2859667406769679</v>
      </c>
      <c r="G178">
        <f t="shared" ca="1" si="12"/>
        <v>176</v>
      </c>
      <c r="H178">
        <f t="shared" ca="1" si="13"/>
        <v>1106.3301463591463</v>
      </c>
      <c r="I178">
        <f t="shared" ca="1" si="14"/>
        <v>50732.855461970961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4261</v>
      </c>
      <c r="B180" s="66">
        <v>4261</v>
      </c>
      <c r="D180">
        <f t="shared" si="10"/>
        <v>4.8269065204585617</v>
      </c>
      <c r="E180">
        <f t="shared" si="11"/>
        <v>4.8269065204585617</v>
      </c>
      <c r="G180">
        <f t="shared" ca="1" si="12"/>
        <v>178</v>
      </c>
      <c r="H180">
        <f t="shared" ca="1" si="13"/>
        <v>859.18936064162403</v>
      </c>
      <c r="I180">
        <f t="shared" ca="1" si="14"/>
        <v>40710.915110136819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2683</v>
      </c>
      <c r="B183" s="66">
        <v>2683</v>
      </c>
      <c r="D183">
        <f t="shared" si="10"/>
        <v>3.039331188545018</v>
      </c>
      <c r="E183">
        <f t="shared" si="11"/>
        <v>3.039331188545018</v>
      </c>
      <c r="G183">
        <f t="shared" ca="1" si="12"/>
        <v>181</v>
      </c>
      <c r="H183">
        <f t="shared" ca="1" si="13"/>
        <v>550.11894512664821</v>
      </c>
      <c r="I183">
        <f t="shared" ca="1" si="14"/>
        <v>27336.318911948172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1187</v>
      </c>
      <c r="B185" s="66">
        <v>1187</v>
      </c>
      <c r="D185">
        <f t="shared" si="10"/>
        <v>1.3446463364900991</v>
      </c>
      <c r="E185">
        <f t="shared" si="11"/>
        <v>1.3446463364900991</v>
      </c>
      <c r="G185">
        <f t="shared" ca="1" si="12"/>
        <v>183</v>
      </c>
      <c r="H185">
        <f t="shared" ca="1" si="13"/>
        <v>246.07027957768813</v>
      </c>
      <c r="I185">
        <f t="shared" ca="1" si="14"/>
        <v>12609.474423139185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1406</v>
      </c>
      <c r="B188" s="66">
        <v>1406</v>
      </c>
      <c r="D188">
        <f t="shared" si="10"/>
        <v>1.5927318863564275</v>
      </c>
      <c r="E188">
        <f t="shared" si="11"/>
        <v>1.5927318863564275</v>
      </c>
      <c r="G188">
        <f t="shared" ca="1" si="12"/>
        <v>186</v>
      </c>
      <c r="H188">
        <f t="shared" ca="1" si="13"/>
        <v>296.24813086229551</v>
      </c>
      <c r="I188">
        <f t="shared" ca="1" si="14"/>
        <v>15875.660041236248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926</v>
      </c>
      <c r="B191" s="66">
        <v>926</v>
      </c>
      <c r="D191">
        <f t="shared" si="10"/>
        <v>1.048982735964475</v>
      </c>
      <c r="E191">
        <f t="shared" si="11"/>
        <v>1.048982735964475</v>
      </c>
      <c r="G191">
        <f t="shared" ca="1" si="12"/>
        <v>189</v>
      </c>
      <c r="H191">
        <f t="shared" ca="1" si="13"/>
        <v>198.25773709728577</v>
      </c>
      <c r="I191">
        <f t="shared" ca="1" si="14"/>
        <v>11093.613523591945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346</v>
      </c>
      <c r="B1" s="66" t="s">
        <v>347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95.272836501585047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1.8394793567069365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0.6756816740785947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6833</v>
      </c>
      <c r="B8" s="66">
        <v>6833</v>
      </c>
      <c r="D8">
        <f t="shared" si="0"/>
        <v>6.1330915879797505</v>
      </c>
      <c r="E8">
        <f t="shared" si="1"/>
        <v>6.1330915879797505</v>
      </c>
      <c r="G8">
        <f t="shared" ca="1" si="2"/>
        <v>6</v>
      </c>
      <c r="H8">
        <f t="shared" ca="1" si="3"/>
        <v>36.798549527878507</v>
      </c>
      <c r="I8">
        <f t="shared" ca="1" si="4"/>
        <v>48878.527977224789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7605</v>
      </c>
      <c r="B10" s="66">
        <v>7605</v>
      </c>
      <c r="D10">
        <f t="shared" si="0"/>
        <v>6.8260151509711697</v>
      </c>
      <c r="E10">
        <f t="shared" si="1"/>
        <v>6.8260151509711697</v>
      </c>
      <c r="G10">
        <f t="shared" ca="1" si="2"/>
        <v>8</v>
      </c>
      <c r="H10">
        <f t="shared" ca="1" si="3"/>
        <v>54.608121207769358</v>
      </c>
      <c r="I10">
        <f t="shared" ca="1" si="4"/>
        <v>51990.671984886161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5422</v>
      </c>
      <c r="B13" s="66">
        <v>5422</v>
      </c>
      <c r="D13">
        <f t="shared" si="0"/>
        <v>4.8666211898179732</v>
      </c>
      <c r="E13">
        <f t="shared" si="1"/>
        <v>4.8666211898179732</v>
      </c>
      <c r="G13">
        <f t="shared" ca="1" si="2"/>
        <v>11</v>
      </c>
      <c r="H13">
        <f t="shared" ca="1" si="3"/>
        <v>53.532833087997702</v>
      </c>
      <c r="I13">
        <f t="shared" ca="1" si="4"/>
        <v>34562.31042464733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6600</v>
      </c>
      <c r="B15" s="66">
        <v>6600</v>
      </c>
      <c r="D15">
        <f t="shared" si="0"/>
        <v>5.9239579219473661</v>
      </c>
      <c r="E15">
        <f t="shared" si="1"/>
        <v>5.9239579219473661</v>
      </c>
      <c r="G15">
        <f t="shared" ca="1" si="2"/>
        <v>13</v>
      </c>
      <c r="H15">
        <f t="shared" ca="1" si="3"/>
        <v>77.011452985315756</v>
      </c>
      <c r="I15">
        <f t="shared" ca="1" si="4"/>
        <v>40098.202645773519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9417</v>
      </c>
      <c r="B18" s="66">
        <v>9417</v>
      </c>
      <c r="D18">
        <f t="shared" si="0"/>
        <v>8.4524108713603567</v>
      </c>
      <c r="E18">
        <f t="shared" si="1"/>
        <v>8.4524108713603567</v>
      </c>
      <c r="G18">
        <f t="shared" ca="1" si="2"/>
        <v>16</v>
      </c>
      <c r="H18">
        <f t="shared" ca="1" si="3"/>
        <v>135.23857394176571</v>
      </c>
      <c r="I18">
        <f t="shared" ca="1" si="4"/>
        <v>53116.493385079928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11190</v>
      </c>
      <c r="B21" s="66">
        <v>11190</v>
      </c>
      <c r="D21">
        <f t="shared" si="0"/>
        <v>10.043801385847125</v>
      </c>
      <c r="E21">
        <f t="shared" si="1"/>
        <v>10.043801385847125</v>
      </c>
      <c r="G21">
        <f t="shared" ca="1" si="2"/>
        <v>19</v>
      </c>
      <c r="H21">
        <f t="shared" ca="1" si="3"/>
        <v>190.83222633109537</v>
      </c>
      <c r="I21">
        <f t="shared" ca="1" si="4"/>
        <v>58430.27243895836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12205</v>
      </c>
      <c r="B23" s="66">
        <v>12205</v>
      </c>
      <c r="D23">
        <f t="shared" si="0"/>
        <v>10.954834308692062</v>
      </c>
      <c r="E23">
        <f t="shared" si="1"/>
        <v>10.954834308692062</v>
      </c>
      <c r="G23">
        <f t="shared" ca="1" si="2"/>
        <v>21</v>
      </c>
      <c r="H23">
        <f t="shared" ca="1" si="3"/>
        <v>230.05152048253331</v>
      </c>
      <c r="I23">
        <f t="shared" ca="1" si="4"/>
        <v>60431.842192494885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14799</v>
      </c>
      <c r="B26" s="66">
        <v>14799</v>
      </c>
      <c r="D26">
        <f t="shared" si="0"/>
        <v>13.2831292858938</v>
      </c>
      <c r="E26">
        <f t="shared" si="1"/>
        <v>13.2831292858938</v>
      </c>
      <c r="G26">
        <f t="shared" ca="1" si="2"/>
        <v>24</v>
      </c>
      <c r="H26">
        <f t="shared" ca="1" si="3"/>
        <v>318.7951028614512</v>
      </c>
      <c r="I26">
        <f t="shared" ca="1" si="4"/>
        <v>67475.868921575588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15546</v>
      </c>
      <c r="B28" s="66">
        <v>15546</v>
      </c>
      <c r="D28">
        <f t="shared" si="0"/>
        <v>13.953613614332388</v>
      </c>
      <c r="E28">
        <f t="shared" si="1"/>
        <v>13.953613614332388</v>
      </c>
      <c r="G28">
        <f t="shared" ca="1" si="2"/>
        <v>26</v>
      </c>
      <c r="H28">
        <f t="shared" ca="1" si="3"/>
        <v>362.7939539726421</v>
      </c>
      <c r="I28">
        <f t="shared" ca="1" si="4"/>
        <v>66959.566728412145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16739</v>
      </c>
      <c r="B31" s="66">
        <v>16739</v>
      </c>
      <c r="D31">
        <f t="shared" si="0"/>
        <v>15.02441388719348</v>
      </c>
      <c r="E31">
        <f t="shared" si="1"/>
        <v>15.02441388719348</v>
      </c>
      <c r="G31">
        <f t="shared" ca="1" si="2"/>
        <v>29</v>
      </c>
      <c r="H31">
        <f t="shared" ca="1" si="3"/>
        <v>435.70800272861095</v>
      </c>
      <c r="I31">
        <f t="shared" ca="1" si="4"/>
        <v>65988.560831409472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17268</v>
      </c>
      <c r="B33" s="66">
        <v>17268</v>
      </c>
      <c r="D33">
        <f t="shared" si="0"/>
        <v>15.499228090331382</v>
      </c>
      <c r="E33">
        <f t="shared" si="1"/>
        <v>15.499228090331382</v>
      </c>
      <c r="G33">
        <f t="shared" ca="1" si="2"/>
        <v>31</v>
      </c>
      <c r="H33">
        <f t="shared" ca="1" si="3"/>
        <v>480.47607080027285</v>
      </c>
      <c r="I33">
        <f t="shared" ca="1" si="4"/>
        <v>64027.272678451467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19521</v>
      </c>
      <c r="B36" s="66">
        <v>19521</v>
      </c>
      <c r="D36">
        <f t="shared" si="0"/>
        <v>17.521451908232507</v>
      </c>
      <c r="E36">
        <f t="shared" si="1"/>
        <v>17.521451908232507</v>
      </c>
      <c r="G36">
        <f t="shared" ca="1" si="2"/>
        <v>34</v>
      </c>
      <c r="H36">
        <f t="shared" ca="1" si="3"/>
        <v>595.72936487990523</v>
      </c>
      <c r="I36">
        <f t="shared" ca="1" si="4"/>
        <v>65781.846823391039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26845</v>
      </c>
      <c r="B39" s="66">
        <v>26845</v>
      </c>
      <c r="D39">
        <f t="shared" si="0"/>
        <v>24.095250062829855</v>
      </c>
      <c r="E39">
        <f t="shared" si="1"/>
        <v>24.095250062829855</v>
      </c>
      <c r="G39">
        <f t="shared" ca="1" si="2"/>
        <v>37</v>
      </c>
      <c r="H39">
        <f t="shared" ca="1" si="3"/>
        <v>891.52425232470466</v>
      </c>
      <c r="I39">
        <f t="shared" ca="1" si="4"/>
        <v>81820.806248816749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26804</v>
      </c>
      <c r="B41" s="66">
        <v>26804</v>
      </c>
      <c r="D41">
        <f t="shared" si="0"/>
        <v>24.058449718163214</v>
      </c>
      <c r="E41">
        <f t="shared" si="1"/>
        <v>24.058449718163214</v>
      </c>
      <c r="G41">
        <f t="shared" ca="1" si="2"/>
        <v>39</v>
      </c>
      <c r="H41">
        <f t="shared" ca="1" si="3"/>
        <v>938.2795390083653</v>
      </c>
      <c r="I41">
        <f t="shared" ca="1" si="4"/>
        <v>76184.259825823261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35225</v>
      </c>
      <c r="B44" s="66">
        <v>35225</v>
      </c>
      <c r="D44">
        <f t="shared" si="0"/>
        <v>31.616881484938787</v>
      </c>
      <c r="E44">
        <f t="shared" si="1"/>
        <v>31.616881484938787</v>
      </c>
      <c r="G44">
        <f t="shared" ca="1" si="2"/>
        <v>42</v>
      </c>
      <c r="H44">
        <f t="shared" ca="1" si="3"/>
        <v>1327.9090223674291</v>
      </c>
      <c r="I44">
        <f t="shared" ca="1" si="4"/>
        <v>89728.555013705394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39006</v>
      </c>
      <c r="B46" s="66">
        <v>39006</v>
      </c>
      <c r="D46">
        <f t="shared" si="0"/>
        <v>35.010591318708933</v>
      </c>
      <c r="E46">
        <f t="shared" si="1"/>
        <v>35.010591318708933</v>
      </c>
      <c r="G46">
        <f t="shared" ca="1" si="2"/>
        <v>44</v>
      </c>
      <c r="H46">
        <f t="shared" ca="1" si="3"/>
        <v>1540.4660180231931</v>
      </c>
      <c r="I46">
        <f t="shared" ca="1" si="4"/>
        <v>92039.475259747705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39064</v>
      </c>
      <c r="B49" s="66">
        <v>39064</v>
      </c>
      <c r="D49">
        <f t="shared" si="0"/>
        <v>35.062650342871507</v>
      </c>
      <c r="E49">
        <f t="shared" si="1"/>
        <v>35.062650342871507</v>
      </c>
      <c r="G49">
        <f t="shared" ca="1" si="2"/>
        <v>47</v>
      </c>
      <c r="H49">
        <f t="shared" ca="1" si="3"/>
        <v>1647.9445661149607</v>
      </c>
      <c r="I49">
        <f t="shared" ca="1" si="4"/>
        <v>81705.328047294621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49665</v>
      </c>
      <c r="B51" s="66">
        <v>49665</v>
      </c>
      <c r="D51">
        <f t="shared" si="0"/>
        <v>44.577783362653932</v>
      </c>
      <c r="E51">
        <f t="shared" si="1"/>
        <v>44.577783362653932</v>
      </c>
      <c r="G51">
        <f t="shared" ca="1" si="2"/>
        <v>49</v>
      </c>
      <c r="H51">
        <f t="shared" ca="1" si="3"/>
        <v>2184.3113847700429</v>
      </c>
      <c r="I51">
        <f t="shared" ca="1" si="4"/>
        <v>95448.853029138481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54422</v>
      </c>
      <c r="B54" s="66">
        <v>54422</v>
      </c>
      <c r="D54">
        <f t="shared" si="0"/>
        <v>48.847520913366601</v>
      </c>
      <c r="E54">
        <f t="shared" si="1"/>
        <v>48.847520913366601</v>
      </c>
      <c r="G54">
        <f t="shared" ca="1" si="2"/>
        <v>52</v>
      </c>
      <c r="H54">
        <f t="shared" ca="1" si="3"/>
        <v>2540.0710874950632</v>
      </c>
      <c r="I54">
        <f t="shared" ca="1" si="4"/>
        <v>91468.857624053067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65213</v>
      </c>
      <c r="B57" s="66">
        <v>65213</v>
      </c>
      <c r="D57">
        <f t="shared" si="0"/>
        <v>58.533192115750545</v>
      </c>
      <c r="E57">
        <f t="shared" si="1"/>
        <v>58.533192115750545</v>
      </c>
      <c r="G57">
        <f t="shared" ca="1" si="2"/>
        <v>55</v>
      </c>
      <c r="H57">
        <f t="shared" ca="1" si="3"/>
        <v>3219.3255663662799</v>
      </c>
      <c r="I57">
        <f t="shared" ca="1" si="4"/>
        <v>94935.06389085218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59583</v>
      </c>
      <c r="B59" s="66">
        <v>59583</v>
      </c>
      <c r="D59">
        <f t="shared" si="0"/>
        <v>53.479876494453023</v>
      </c>
      <c r="E59">
        <f t="shared" si="1"/>
        <v>53.479876494453023</v>
      </c>
      <c r="G59">
        <f t="shared" ca="1" si="2"/>
        <v>57</v>
      </c>
      <c r="H59">
        <f t="shared" ca="1" si="3"/>
        <v>3048.3529601838222</v>
      </c>
      <c r="I59">
        <f t="shared" ca="1" si="4"/>
        <v>78337.858629983224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62935</v>
      </c>
      <c r="B62" s="66">
        <v>62935</v>
      </c>
      <c r="D62">
        <f t="shared" si="0"/>
        <v>56.488529063296596</v>
      </c>
      <c r="E62">
        <f t="shared" si="1"/>
        <v>56.488529063296596</v>
      </c>
      <c r="G62">
        <f t="shared" ca="1" si="2"/>
        <v>60</v>
      </c>
      <c r="H62">
        <f t="shared" ca="1" si="3"/>
        <v>3389.3117437977958</v>
      </c>
      <c r="I62">
        <f t="shared" ca="1" si="4"/>
        <v>70281.502380344391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61166</v>
      </c>
      <c r="B64" s="66">
        <v>61166</v>
      </c>
      <c r="D64">
        <f t="shared" si="0"/>
        <v>54.900728826338273</v>
      </c>
      <c r="E64">
        <f t="shared" si="1"/>
        <v>54.900728826338273</v>
      </c>
      <c r="G64">
        <f t="shared" ca="1" si="2"/>
        <v>62</v>
      </c>
      <c r="H64">
        <f t="shared" ca="1" si="3"/>
        <v>3403.8451872329729</v>
      </c>
      <c r="I64">
        <f t="shared" ca="1" si="4"/>
        <v>60779.589392744747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63600</v>
      </c>
      <c r="B67" s="66">
        <v>63600</v>
      </c>
      <c r="D67">
        <f t="shared" ref="D67:D130" si="5">IFERROR(100*A67/MAX(A$2:A$257), 0 )</f>
        <v>57.085412702401896</v>
      </c>
      <c r="E67">
        <f t="shared" ref="E67:E130" si="6">IFERROR(100*B67/MAX(B$2:B$257), 0 )</f>
        <v>57.085412702401896</v>
      </c>
      <c r="G67">
        <f t="shared" ref="G67:G130" ca="1" si="7">CELL("row",D67)-2</f>
        <v>65</v>
      </c>
      <c r="H67">
        <f t="shared" ref="H67:H130" ca="1" si="8">D67*G67</f>
        <v>3710.5518256561231</v>
      </c>
      <c r="I67">
        <f t="shared" ref="I67:I130" ca="1" si="9">D67*((G67-$L$1)^2)</f>
        <v>52315.619913984243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60333</v>
      </c>
      <c r="B69" s="66">
        <v>60333</v>
      </c>
      <c r="D69">
        <f t="shared" si="5"/>
        <v>54.153053531037948</v>
      </c>
      <c r="E69">
        <f t="shared" si="6"/>
        <v>54.153053531037948</v>
      </c>
      <c r="G69">
        <f t="shared" ca="1" si="7"/>
        <v>67</v>
      </c>
      <c r="H69">
        <f t="shared" ca="1" si="8"/>
        <v>3628.2545865795423</v>
      </c>
      <c r="I69">
        <f t="shared" ca="1" si="9"/>
        <v>43287.421170288741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54201</v>
      </c>
      <c r="B72" s="66">
        <v>54201</v>
      </c>
      <c r="D72">
        <f t="shared" si="5"/>
        <v>48.64915807991958</v>
      </c>
      <c r="E72">
        <f t="shared" si="6"/>
        <v>48.64915807991958</v>
      </c>
      <c r="G72">
        <f t="shared" ca="1" si="7"/>
        <v>70</v>
      </c>
      <c r="H72">
        <f t="shared" ca="1" si="8"/>
        <v>3405.4410655943707</v>
      </c>
      <c r="I72">
        <f t="shared" ca="1" si="9"/>
        <v>31073.008536215024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52070</v>
      </c>
      <c r="B75" s="66">
        <v>52070</v>
      </c>
      <c r="D75">
        <f t="shared" si="5"/>
        <v>46.736437726636268</v>
      </c>
      <c r="E75">
        <f t="shared" si="6"/>
        <v>46.736437726636268</v>
      </c>
      <c r="G75">
        <f t="shared" ca="1" si="7"/>
        <v>73</v>
      </c>
      <c r="H75">
        <f t="shared" ca="1" si="8"/>
        <v>3411.7599540444476</v>
      </c>
      <c r="I75">
        <f t="shared" ca="1" si="9"/>
        <v>23184.976780039389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55842</v>
      </c>
      <c r="B77" s="66">
        <v>55842</v>
      </c>
      <c r="D77">
        <f t="shared" si="5"/>
        <v>50.122069435967397</v>
      </c>
      <c r="E77">
        <f t="shared" si="6"/>
        <v>50.122069435967397</v>
      </c>
      <c r="G77">
        <f t="shared" ca="1" si="7"/>
        <v>75</v>
      </c>
      <c r="H77">
        <f t="shared" ca="1" si="8"/>
        <v>3759.1552076975549</v>
      </c>
      <c r="I77">
        <f t="shared" ca="1" si="9"/>
        <v>20599.564052120404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63467</v>
      </c>
      <c r="B80" s="66">
        <v>63467</v>
      </c>
      <c r="D80">
        <f t="shared" si="5"/>
        <v>56.966035974580834</v>
      </c>
      <c r="E80">
        <f t="shared" si="6"/>
        <v>56.966035974580834</v>
      </c>
      <c r="G80">
        <f t="shared" ca="1" si="7"/>
        <v>78</v>
      </c>
      <c r="H80">
        <f t="shared" ca="1" si="8"/>
        <v>4443.3508060173053</v>
      </c>
      <c r="I80">
        <f t="shared" ca="1" si="9"/>
        <v>16995.867009298181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68270</v>
      </c>
      <c r="B82" s="66">
        <v>68270</v>
      </c>
      <c r="D82">
        <f t="shared" si="5"/>
        <v>61.277061716870712</v>
      </c>
      <c r="E82">
        <f t="shared" si="6"/>
        <v>61.277061716870712</v>
      </c>
      <c r="G82">
        <f t="shared" ca="1" si="7"/>
        <v>80</v>
      </c>
      <c r="H82">
        <f t="shared" ca="1" si="8"/>
        <v>4902.1649373496566</v>
      </c>
      <c r="I82">
        <f t="shared" ca="1" si="9"/>
        <v>14293.458910242365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66781</v>
      </c>
      <c r="B85" s="66">
        <v>66781</v>
      </c>
      <c r="D85">
        <f t="shared" si="5"/>
        <v>59.940580906904103</v>
      </c>
      <c r="E85">
        <f t="shared" si="6"/>
        <v>59.940580906904103</v>
      </c>
      <c r="G85">
        <f t="shared" ca="1" si="7"/>
        <v>83</v>
      </c>
      <c r="H85">
        <f t="shared" ca="1" si="8"/>
        <v>4975.0682152730406</v>
      </c>
      <c r="I85">
        <f t="shared" ca="1" si="9"/>
        <v>9028.4010943899575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68243</v>
      </c>
      <c r="B88" s="66">
        <v>68243</v>
      </c>
      <c r="D88">
        <f t="shared" si="5"/>
        <v>61.252827343553655</v>
      </c>
      <c r="E88">
        <f t="shared" si="6"/>
        <v>61.252827343553655</v>
      </c>
      <c r="G88">
        <f t="shared" ca="1" si="7"/>
        <v>86</v>
      </c>
      <c r="H88">
        <f t="shared" ca="1" si="8"/>
        <v>5267.7431515456146</v>
      </c>
      <c r="I88">
        <f t="shared" ca="1" si="9"/>
        <v>5266.8547886291344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64408</v>
      </c>
      <c r="B90" s="66">
        <v>64408</v>
      </c>
      <c r="D90">
        <f t="shared" si="5"/>
        <v>57.810648763149395</v>
      </c>
      <c r="E90">
        <f t="shared" si="6"/>
        <v>57.810648763149395</v>
      </c>
      <c r="G90">
        <f t="shared" ca="1" si="7"/>
        <v>88</v>
      </c>
      <c r="H90">
        <f t="shared" ca="1" si="8"/>
        <v>5087.3370911571465</v>
      </c>
      <c r="I90">
        <f t="shared" ca="1" si="9"/>
        <v>3057.8451722975678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59696</v>
      </c>
      <c r="B93" s="66">
        <v>59696</v>
      </c>
      <c r="D93">
        <f t="shared" si="5"/>
        <v>53.581301834631816</v>
      </c>
      <c r="E93">
        <f t="shared" si="6"/>
        <v>53.581301834631816</v>
      </c>
      <c r="G93">
        <f t="shared" ca="1" si="7"/>
        <v>91</v>
      </c>
      <c r="H93">
        <f t="shared" ca="1" si="8"/>
        <v>4875.8984669514948</v>
      </c>
      <c r="I93">
        <f t="shared" ca="1" si="9"/>
        <v>978.24088796430578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58218</v>
      </c>
      <c r="B95" s="66">
        <v>58218</v>
      </c>
      <c r="D95">
        <f t="shared" si="5"/>
        <v>52.254694287868453</v>
      </c>
      <c r="E95">
        <f t="shared" si="6"/>
        <v>52.254694287868453</v>
      </c>
      <c r="G95">
        <f t="shared" ca="1" si="7"/>
        <v>93</v>
      </c>
      <c r="H95">
        <f t="shared" ca="1" si="8"/>
        <v>4859.6865687717664</v>
      </c>
      <c r="I95">
        <f t="shared" ca="1" si="9"/>
        <v>269.93655579891481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53757</v>
      </c>
      <c r="B98" s="66">
        <v>53757</v>
      </c>
      <c r="D98">
        <f t="shared" si="5"/>
        <v>48.250637274261301</v>
      </c>
      <c r="E98">
        <f t="shared" si="6"/>
        <v>48.250637274261301</v>
      </c>
      <c r="G98">
        <f t="shared" ca="1" si="7"/>
        <v>96</v>
      </c>
      <c r="H98">
        <f t="shared" ca="1" si="8"/>
        <v>4632.0611783290851</v>
      </c>
      <c r="I98">
        <f t="shared" ca="1" si="9"/>
        <v>25.513332822298469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57178</v>
      </c>
      <c r="B100" s="66">
        <v>57178</v>
      </c>
      <c r="D100">
        <f t="shared" si="5"/>
        <v>51.321222130470687</v>
      </c>
      <c r="E100">
        <f t="shared" si="6"/>
        <v>51.321222130470687</v>
      </c>
      <c r="G100">
        <f t="shared" ca="1" si="7"/>
        <v>98</v>
      </c>
      <c r="H100">
        <f t="shared" ca="1" si="8"/>
        <v>5029.4797687861274</v>
      </c>
      <c r="I100">
        <f t="shared" ca="1" si="9"/>
        <v>381.69752223901725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60074</v>
      </c>
      <c r="B103" s="66">
        <v>60074</v>
      </c>
      <c r="D103">
        <f t="shared" si="5"/>
        <v>53.920583061070623</v>
      </c>
      <c r="E103">
        <f t="shared" si="6"/>
        <v>53.920583061070623</v>
      </c>
      <c r="G103">
        <f t="shared" ca="1" si="7"/>
        <v>101</v>
      </c>
      <c r="H103">
        <f t="shared" ca="1" si="8"/>
        <v>5445.9788891681328</v>
      </c>
      <c r="I103">
        <f t="shared" ca="1" si="9"/>
        <v>1768.6167863274843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68661</v>
      </c>
      <c r="B106" s="66">
        <v>68661</v>
      </c>
      <c r="D106">
        <f t="shared" si="5"/>
        <v>61.628011345276988</v>
      </c>
      <c r="E106">
        <f t="shared" si="6"/>
        <v>61.628011345276988</v>
      </c>
      <c r="G106">
        <f t="shared" ca="1" si="7"/>
        <v>104</v>
      </c>
      <c r="H106">
        <f t="shared" ca="1" si="8"/>
        <v>6409.3131799088069</v>
      </c>
      <c r="I106">
        <f t="shared" ca="1" si="9"/>
        <v>4693.797814859945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74437</v>
      </c>
      <c r="B108" s="66">
        <v>74437</v>
      </c>
      <c r="D108">
        <f t="shared" si="5"/>
        <v>66.812372096363049</v>
      </c>
      <c r="E108">
        <f t="shared" si="6"/>
        <v>66.812372096363049</v>
      </c>
      <c r="G108">
        <f t="shared" ca="1" si="7"/>
        <v>106</v>
      </c>
      <c r="H108">
        <f t="shared" ca="1" si="8"/>
        <v>7082.1114422144828</v>
      </c>
      <c r="I108">
        <f t="shared" ca="1" si="9"/>
        <v>7688.2357353383195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76647</v>
      </c>
      <c r="B111" s="66">
        <v>76647</v>
      </c>
      <c r="D111">
        <f t="shared" si="5"/>
        <v>68.796000430833303</v>
      </c>
      <c r="E111">
        <f t="shared" si="6"/>
        <v>68.796000430833303</v>
      </c>
      <c r="G111">
        <f t="shared" ca="1" si="7"/>
        <v>109</v>
      </c>
      <c r="H111">
        <f t="shared" ca="1" si="8"/>
        <v>7498.7640469608295</v>
      </c>
      <c r="I111">
        <f t="shared" ca="1" si="9"/>
        <v>12963.575559713683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85491</v>
      </c>
      <c r="B113" s="66">
        <v>85491</v>
      </c>
      <c r="D113">
        <f t="shared" si="5"/>
        <v>76.734104046242777</v>
      </c>
      <c r="E113">
        <f t="shared" si="6"/>
        <v>76.734104046242777</v>
      </c>
      <c r="G113">
        <f t="shared" ca="1" si="7"/>
        <v>111</v>
      </c>
      <c r="H113">
        <f t="shared" ca="1" si="8"/>
        <v>8517.485549132949</v>
      </c>
      <c r="I113">
        <f t="shared" ca="1" si="9"/>
        <v>18979.695039858379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105012</v>
      </c>
      <c r="B116" s="66">
        <v>105012</v>
      </c>
      <c r="D116">
        <f t="shared" si="5"/>
        <v>94.255555954475284</v>
      </c>
      <c r="E116">
        <f t="shared" si="6"/>
        <v>94.255555954475284</v>
      </c>
      <c r="G116">
        <f t="shared" ca="1" si="7"/>
        <v>114</v>
      </c>
      <c r="H116">
        <f t="shared" ca="1" si="8"/>
        <v>10745.133378810182</v>
      </c>
      <c r="I116">
        <f t="shared" ca="1" si="9"/>
        <v>33056.050526829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109411</v>
      </c>
      <c r="B118" s="66">
        <v>109411</v>
      </c>
      <c r="D118">
        <f t="shared" si="5"/>
        <v>98.203963666391417</v>
      </c>
      <c r="E118">
        <f t="shared" si="6"/>
        <v>98.203963666391417</v>
      </c>
      <c r="G118">
        <f t="shared" ca="1" si="7"/>
        <v>116</v>
      </c>
      <c r="H118">
        <f t="shared" ca="1" si="8"/>
        <v>11391.659785301405</v>
      </c>
      <c r="I118">
        <f t="shared" ca="1" si="9"/>
        <v>42189.925968712836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111412</v>
      </c>
      <c r="B121" s="66">
        <v>111412</v>
      </c>
      <c r="D121">
        <f t="shared" si="5"/>
        <v>100</v>
      </c>
      <c r="E121">
        <f t="shared" si="6"/>
        <v>100</v>
      </c>
      <c r="G121">
        <f t="shared" ca="1" si="7"/>
        <v>119</v>
      </c>
      <c r="H121">
        <f t="shared" ca="1" si="8"/>
        <v>11900</v>
      </c>
      <c r="I121">
        <f t="shared" ca="1" si="9"/>
        <v>56297.828768051491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101824</v>
      </c>
      <c r="B124" s="66">
        <v>101824</v>
      </c>
      <c r="D124">
        <f t="shared" si="5"/>
        <v>91.394104764298277</v>
      </c>
      <c r="E124">
        <f t="shared" si="6"/>
        <v>91.394104764298277</v>
      </c>
      <c r="G124">
        <f t="shared" ca="1" si="7"/>
        <v>122</v>
      </c>
      <c r="H124">
        <f t="shared" ca="1" si="8"/>
        <v>11150.080781244389</v>
      </c>
      <c r="I124">
        <f t="shared" ca="1" si="9"/>
        <v>65286.580746379543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96790</v>
      </c>
      <c r="B126" s="66">
        <v>96790</v>
      </c>
      <c r="D126">
        <f t="shared" si="5"/>
        <v>86.875740494740242</v>
      </c>
      <c r="E126">
        <f t="shared" si="6"/>
        <v>86.875740494740242</v>
      </c>
      <c r="G126">
        <f t="shared" ca="1" si="7"/>
        <v>124</v>
      </c>
      <c r="H126">
        <f t="shared" ca="1" si="8"/>
        <v>10772.591821347791</v>
      </c>
      <c r="I126">
        <f t="shared" ca="1" si="9"/>
        <v>71694.198124719842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83833</v>
      </c>
      <c r="B129" s="66">
        <v>83833</v>
      </c>
      <c r="D129">
        <f t="shared" si="5"/>
        <v>75.245934010699031</v>
      </c>
      <c r="E129">
        <f t="shared" si="6"/>
        <v>75.245934010699031</v>
      </c>
      <c r="G129">
        <f t="shared" ca="1" si="7"/>
        <v>127</v>
      </c>
      <c r="H129">
        <f t="shared" ca="1" si="8"/>
        <v>9556.2336193587762</v>
      </c>
      <c r="I129">
        <f t="shared" ca="1" si="9"/>
        <v>75743.528122753865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81571</v>
      </c>
      <c r="B131" s="66">
        <v>81571</v>
      </c>
      <c r="D131">
        <f t="shared" ref="D131:D194" si="10">IFERROR(100*A131/MAX(A$2:A$257), 0 )</f>
        <v>73.215632068358886</v>
      </c>
      <c r="E131">
        <f t="shared" ref="E131:E194" si="11">IFERROR(100*B131/MAX(B$2:B$257), 0 )</f>
        <v>73.215632068358886</v>
      </c>
      <c r="G131">
        <f t="shared" ref="G131:G194" ca="1" si="12">CELL("row",D131)-2</f>
        <v>129</v>
      </c>
      <c r="H131">
        <f t="shared" ref="H131:H194" ca="1" si="13">D131*G131</f>
        <v>9444.8165368182963</v>
      </c>
      <c r="I131">
        <f t="shared" ref="I131:I194" ca="1" si="14">D131*((G131-$L$1)^2)</f>
        <v>83284.359834642062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75449</v>
      </c>
      <c r="B134" s="66">
        <v>75449</v>
      </c>
      <c r="D134">
        <f t="shared" si="10"/>
        <v>67.720712311061646</v>
      </c>
      <c r="E134">
        <f t="shared" si="11"/>
        <v>67.720712311061646</v>
      </c>
      <c r="G134">
        <f t="shared" ca="1" si="12"/>
        <v>132</v>
      </c>
      <c r="H134">
        <f t="shared" ca="1" si="13"/>
        <v>8939.134025060137</v>
      </c>
      <c r="I134">
        <f t="shared" ca="1" si="14"/>
        <v>91347.421782031393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67290</v>
      </c>
      <c r="B136" s="66">
        <v>67290</v>
      </c>
      <c r="D136">
        <f t="shared" si="10"/>
        <v>60.397443722399743</v>
      </c>
      <c r="E136">
        <f t="shared" si="11"/>
        <v>60.397443722399743</v>
      </c>
      <c r="G136">
        <f t="shared" ca="1" si="12"/>
        <v>134</v>
      </c>
      <c r="H136">
        <f t="shared" ca="1" si="13"/>
        <v>8093.2574588015659</v>
      </c>
      <c r="I136">
        <f t="shared" ca="1" si="14"/>
        <v>90583.67494728764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61910</v>
      </c>
      <c r="B139" s="66">
        <v>61910</v>
      </c>
      <c r="D139">
        <f t="shared" si="10"/>
        <v>55.568520446630522</v>
      </c>
      <c r="E139">
        <f t="shared" si="11"/>
        <v>55.568520446630522</v>
      </c>
      <c r="G139">
        <f t="shared" ca="1" si="12"/>
        <v>137</v>
      </c>
      <c r="H139">
        <f t="shared" ca="1" si="13"/>
        <v>7612.8873011883816</v>
      </c>
      <c r="I139">
        <f t="shared" ca="1" si="14"/>
        <v>96753.472434771829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51998</v>
      </c>
      <c r="B142" s="66">
        <v>51998</v>
      </c>
      <c r="D142">
        <f t="shared" si="10"/>
        <v>46.671812731124113</v>
      </c>
      <c r="E142">
        <f t="shared" si="11"/>
        <v>46.671812731124113</v>
      </c>
      <c r="G142">
        <f t="shared" ca="1" si="12"/>
        <v>140</v>
      </c>
      <c r="H142">
        <f t="shared" ca="1" si="13"/>
        <v>6534.0537823573759</v>
      </c>
      <c r="I142">
        <f t="shared" ca="1" si="14"/>
        <v>93367.855349168662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45446</v>
      </c>
      <c r="B144" s="66">
        <v>45446</v>
      </c>
      <c r="D144">
        <f t="shared" si="10"/>
        <v>40.790938139518182</v>
      </c>
      <c r="E144">
        <f t="shared" si="11"/>
        <v>40.790938139518182</v>
      </c>
      <c r="G144">
        <f t="shared" ca="1" si="12"/>
        <v>142</v>
      </c>
      <c r="H144">
        <f t="shared" ca="1" si="13"/>
        <v>5792.3132158115823</v>
      </c>
      <c r="I144">
        <f t="shared" ca="1" si="14"/>
        <v>89064.068673016474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36232</v>
      </c>
      <c r="B147" s="66">
        <v>36232</v>
      </c>
      <c r="D147">
        <f t="shared" si="10"/>
        <v>32.520733852726813</v>
      </c>
      <c r="E147">
        <f t="shared" si="11"/>
        <v>32.520733852726813</v>
      </c>
      <c r="G147">
        <f t="shared" ca="1" si="12"/>
        <v>145</v>
      </c>
      <c r="H147">
        <f t="shared" ca="1" si="13"/>
        <v>4715.5064086453876</v>
      </c>
      <c r="I147">
        <f t="shared" ca="1" si="14"/>
        <v>80416.971141993752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21732</v>
      </c>
      <c r="B149" s="66">
        <v>21732</v>
      </c>
      <c r="D149">
        <f t="shared" si="10"/>
        <v>19.505977812084875</v>
      </c>
      <c r="E149">
        <f t="shared" si="11"/>
        <v>19.505977812084875</v>
      </c>
      <c r="G149">
        <f t="shared" ca="1" si="12"/>
        <v>147</v>
      </c>
      <c r="H149">
        <f t="shared" ca="1" si="13"/>
        <v>2867.3787383764766</v>
      </c>
      <c r="I149">
        <f t="shared" ca="1" si="14"/>
        <v>52192.133978508566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13587</v>
      </c>
      <c r="B152" s="66">
        <v>13587</v>
      </c>
      <c r="D152">
        <f t="shared" si="10"/>
        <v>12.195275194772556</v>
      </c>
      <c r="E152">
        <f t="shared" si="11"/>
        <v>12.195275194772556</v>
      </c>
      <c r="G152">
        <f t="shared" ca="1" si="12"/>
        <v>150</v>
      </c>
      <c r="H152">
        <f t="shared" ca="1" si="13"/>
        <v>1829.2912792158834</v>
      </c>
      <c r="I152">
        <f t="shared" ca="1" si="14"/>
        <v>36525.61049330316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12374</v>
      </c>
      <c r="B154" s="66">
        <v>12374</v>
      </c>
      <c r="D154">
        <f t="shared" si="10"/>
        <v>11.106523534269199</v>
      </c>
      <c r="E154">
        <f t="shared" si="11"/>
        <v>11.106523534269199</v>
      </c>
      <c r="G154">
        <f t="shared" ca="1" si="12"/>
        <v>152</v>
      </c>
      <c r="H154">
        <f t="shared" ca="1" si="13"/>
        <v>1688.1915772089183</v>
      </c>
      <c r="I154">
        <f t="shared" ca="1" si="14"/>
        <v>35740.471516800892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11343</v>
      </c>
      <c r="B157" s="66">
        <v>11343</v>
      </c>
      <c r="D157">
        <f t="shared" si="10"/>
        <v>10.181129501310451</v>
      </c>
      <c r="E157">
        <f t="shared" si="11"/>
        <v>10.181129501310451</v>
      </c>
      <c r="G157">
        <f t="shared" ca="1" si="12"/>
        <v>155</v>
      </c>
      <c r="H157">
        <f t="shared" ca="1" si="13"/>
        <v>1578.07507270312</v>
      </c>
      <c r="I157">
        <f t="shared" ca="1" si="14"/>
        <v>36319.490034880968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7690</v>
      </c>
      <c r="B160" s="66">
        <v>7690</v>
      </c>
      <c r="D160">
        <f t="shared" si="10"/>
        <v>6.9023085484507956</v>
      </c>
      <c r="E160">
        <f t="shared" si="11"/>
        <v>6.9023085484507956</v>
      </c>
      <c r="G160">
        <f t="shared" ca="1" si="12"/>
        <v>158</v>
      </c>
      <c r="H160">
        <f t="shared" ca="1" si="13"/>
        <v>1090.5647506552257</v>
      </c>
      <c r="I160">
        <f t="shared" ca="1" si="14"/>
        <v>27158.493018599809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8823</v>
      </c>
      <c r="B162" s="66">
        <v>8823</v>
      </c>
      <c r="D162">
        <f t="shared" si="10"/>
        <v>7.9192546583850936</v>
      </c>
      <c r="E162">
        <f t="shared" si="11"/>
        <v>7.9192546583850936</v>
      </c>
      <c r="G162">
        <f t="shared" ca="1" si="12"/>
        <v>160</v>
      </c>
      <c r="H162">
        <f t="shared" ca="1" si="13"/>
        <v>1267.0807453416151</v>
      </c>
      <c r="I162">
        <f t="shared" ca="1" si="14"/>
        <v>33178.554413366088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8353</v>
      </c>
      <c r="B165" s="66">
        <v>8353</v>
      </c>
      <c r="D165">
        <f t="shared" si="10"/>
        <v>7.4973970487918713</v>
      </c>
      <c r="E165">
        <f t="shared" si="11"/>
        <v>7.4973970487918713</v>
      </c>
      <c r="G165">
        <f t="shared" ca="1" si="12"/>
        <v>163</v>
      </c>
      <c r="H165">
        <f t="shared" ca="1" si="13"/>
        <v>1222.075718953075</v>
      </c>
      <c r="I165">
        <f t="shared" ca="1" si="14"/>
        <v>34390.325410902085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6141</v>
      </c>
      <c r="B167" s="66">
        <v>6141</v>
      </c>
      <c r="D167">
        <f t="shared" si="10"/>
        <v>5.5119735755573904</v>
      </c>
      <c r="E167">
        <f t="shared" si="11"/>
        <v>5.5119735755573904</v>
      </c>
      <c r="G167">
        <f t="shared" ca="1" si="12"/>
        <v>165</v>
      </c>
      <c r="H167">
        <f t="shared" ca="1" si="13"/>
        <v>909.47563996696942</v>
      </c>
      <c r="I167">
        <f t="shared" ca="1" si="14"/>
        <v>26798.539367996749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6959</v>
      </c>
      <c r="B170" s="66">
        <v>6959</v>
      </c>
      <c r="D170">
        <f t="shared" si="10"/>
        <v>6.2461853301260186</v>
      </c>
      <c r="E170">
        <f t="shared" si="11"/>
        <v>6.2461853301260186</v>
      </c>
      <c r="G170">
        <f t="shared" ca="1" si="12"/>
        <v>168</v>
      </c>
      <c r="H170">
        <f t="shared" ca="1" si="13"/>
        <v>1049.359135461171</v>
      </c>
      <c r="I170">
        <f t="shared" ca="1" si="14"/>
        <v>33037.575235113567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4986</v>
      </c>
      <c r="B173" s="66">
        <v>4986</v>
      </c>
      <c r="D173">
        <f t="shared" si="10"/>
        <v>4.4752809392166011</v>
      </c>
      <c r="E173">
        <f t="shared" si="11"/>
        <v>4.4752809392166011</v>
      </c>
      <c r="G173">
        <f t="shared" ca="1" si="12"/>
        <v>171</v>
      </c>
      <c r="H173">
        <f t="shared" ca="1" si="13"/>
        <v>765.27304060603876</v>
      </c>
      <c r="I173">
        <f t="shared" ca="1" si="14"/>
        <v>25663.960804488859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6437</v>
      </c>
      <c r="B175" s="66">
        <v>6437</v>
      </c>
      <c r="D175">
        <f t="shared" si="10"/>
        <v>5.7776541126629084</v>
      </c>
      <c r="E175">
        <f t="shared" si="11"/>
        <v>5.7776541126629084</v>
      </c>
      <c r="G175">
        <f t="shared" ca="1" si="12"/>
        <v>173</v>
      </c>
      <c r="H175">
        <f t="shared" ca="1" si="13"/>
        <v>999.53416149068312</v>
      </c>
      <c r="I175">
        <f t="shared" ca="1" si="14"/>
        <v>34905.766338674068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7694</v>
      </c>
      <c r="B178" s="66">
        <v>7694</v>
      </c>
      <c r="D178">
        <f t="shared" si="10"/>
        <v>6.9058988259792482</v>
      </c>
      <c r="E178">
        <f t="shared" si="11"/>
        <v>6.9058988259792482</v>
      </c>
      <c r="G178">
        <f t="shared" ca="1" si="12"/>
        <v>176</v>
      </c>
      <c r="H178">
        <f t="shared" ca="1" si="13"/>
        <v>1215.4381933723478</v>
      </c>
      <c r="I178">
        <f t="shared" ca="1" si="14"/>
        <v>45004.878903968704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3661</v>
      </c>
      <c r="B180" s="66">
        <v>3661</v>
      </c>
      <c r="D180">
        <f t="shared" si="10"/>
        <v>3.2860015079165619</v>
      </c>
      <c r="E180">
        <f t="shared" si="11"/>
        <v>3.2860015079165619</v>
      </c>
      <c r="G180">
        <f t="shared" ca="1" si="12"/>
        <v>178</v>
      </c>
      <c r="H180">
        <f t="shared" ca="1" si="13"/>
        <v>584.90826840914804</v>
      </c>
      <c r="I180">
        <f t="shared" ca="1" si="14"/>
        <v>22488.683165356179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3048</v>
      </c>
      <c r="B183" s="66">
        <v>3048</v>
      </c>
      <c r="D183">
        <f t="shared" si="10"/>
        <v>2.7357914766811473</v>
      </c>
      <c r="E183">
        <f t="shared" si="11"/>
        <v>2.7357914766811473</v>
      </c>
      <c r="G183">
        <f t="shared" ca="1" si="12"/>
        <v>181</v>
      </c>
      <c r="H183">
        <f t="shared" ca="1" si="13"/>
        <v>495.17825727928766</v>
      </c>
      <c r="I183">
        <f t="shared" ca="1" si="14"/>
        <v>20105.732523788403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2319</v>
      </c>
      <c r="B185" s="66">
        <v>2319</v>
      </c>
      <c r="D185">
        <f t="shared" si="10"/>
        <v>2.0814633971205976</v>
      </c>
      <c r="E185">
        <f t="shared" si="11"/>
        <v>2.0814633971205976</v>
      </c>
      <c r="G185">
        <f t="shared" ca="1" si="12"/>
        <v>183</v>
      </c>
      <c r="H185">
        <f t="shared" ca="1" si="13"/>
        <v>380.90780167306934</v>
      </c>
      <c r="I185">
        <f t="shared" ca="1" si="14"/>
        <v>16019.057233235757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2129</v>
      </c>
      <c r="B188" s="66">
        <v>2129</v>
      </c>
      <c r="D188">
        <f t="shared" si="10"/>
        <v>1.9109252145190823</v>
      </c>
      <c r="E188">
        <f t="shared" si="11"/>
        <v>1.9109252145190823</v>
      </c>
      <c r="G188">
        <f t="shared" ca="1" si="12"/>
        <v>186</v>
      </c>
      <c r="H188">
        <f t="shared" ca="1" si="13"/>
        <v>355.43208990054927</v>
      </c>
      <c r="I188">
        <f t="shared" ca="1" si="14"/>
        <v>15729.624582882117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748</v>
      </c>
      <c r="B191" s="66">
        <v>748</v>
      </c>
      <c r="D191">
        <f t="shared" si="10"/>
        <v>0.67138189782070157</v>
      </c>
      <c r="E191">
        <f t="shared" si="11"/>
        <v>0.67138189782070157</v>
      </c>
      <c r="G191">
        <f t="shared" ca="1" si="12"/>
        <v>189</v>
      </c>
      <c r="H191">
        <f t="shared" ca="1" si="13"/>
        <v>126.8911786881126</v>
      </c>
      <c r="I191">
        <f t="shared" ca="1" si="14"/>
        <v>5897.9430588617379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107</v>
      </c>
      <c r="B193" s="66">
        <v>107</v>
      </c>
      <c r="D193">
        <f t="shared" si="10"/>
        <v>9.6039923886116402E-2</v>
      </c>
      <c r="E193">
        <f t="shared" si="11"/>
        <v>9.6039923886116402E-2</v>
      </c>
      <c r="G193">
        <f t="shared" ca="1" si="12"/>
        <v>191</v>
      </c>
      <c r="H193">
        <f t="shared" ca="1" si="13"/>
        <v>18.343625462248234</v>
      </c>
      <c r="I193">
        <f t="shared" ca="1" si="14"/>
        <v>880.08007392865466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411</v>
      </c>
      <c r="B196" s="66">
        <v>411</v>
      </c>
      <c r="D196">
        <f t="shared" si="15"/>
        <v>0.36890101604854053</v>
      </c>
      <c r="E196">
        <f t="shared" si="16"/>
        <v>0.36890101604854053</v>
      </c>
      <c r="G196">
        <f t="shared" ca="1" si="17"/>
        <v>194</v>
      </c>
      <c r="H196">
        <f t="shared" ca="1" si="18"/>
        <v>71.566797113416868</v>
      </c>
      <c r="I196">
        <f t="shared" ca="1" si="19"/>
        <v>3595.6976859889182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348</v>
      </c>
      <c r="B1" s="68" t="s">
        <v>349</v>
      </c>
      <c r="C1" s="32" t="s">
        <v>350</v>
      </c>
      <c r="D1" s="32" t="s">
        <v>351</v>
      </c>
      <c r="E1" s="32" t="s">
        <v>352</v>
      </c>
    </row>
    <row r="2" spans="1:5">
      <c r="A2" s="68">
        <v>0.222079</v>
      </c>
      <c r="B2" s="68">
        <v>0.535551</v>
      </c>
      <c r="C2" s="68">
        <v>0</v>
      </c>
      <c r="D2" s="68">
        <v>1</v>
      </c>
      <c r="E2" s="68" t="s">
        <v>353</v>
      </c>
    </row>
    <row r="3" spans="1:5">
      <c r="A3" s="68">
        <v>0.22955100000000001</v>
      </c>
      <c r="B3" s="68">
        <v>0.52590800000000004</v>
      </c>
      <c r="C3" s="68">
        <v>0.409663</v>
      </c>
      <c r="D3" s="89">
        <v>1</v>
      </c>
      <c r="E3" s="68" t="s">
        <v>354</v>
      </c>
    </row>
    <row r="4" spans="1:5">
      <c r="A4" s="68">
        <v>0.237288</v>
      </c>
      <c r="B4" s="68">
        <v>0.51531199999999999</v>
      </c>
      <c r="C4" s="68">
        <v>0.81165600000000004</v>
      </c>
      <c r="D4" s="89">
        <v>1</v>
      </c>
      <c r="E4" s="68" t="s">
        <v>355</v>
      </c>
    </row>
    <row r="5" spans="1:5">
      <c r="A5" s="89">
        <v>0.24516499999999999</v>
      </c>
      <c r="B5" s="89">
        <v>0.50400599999999995</v>
      </c>
      <c r="C5" s="89">
        <v>1.2193400000000001</v>
      </c>
      <c r="D5" s="89">
        <v>1</v>
      </c>
      <c r="E5" s="68" t="s">
        <v>356</v>
      </c>
    </row>
    <row r="6" spans="1:5">
      <c r="A6" s="68">
        <v>0.253388</v>
      </c>
      <c r="B6" s="68">
        <v>0.49002899999999999</v>
      </c>
      <c r="C6" s="68">
        <v>1.6258699999999999</v>
      </c>
      <c r="D6" s="68">
        <v>1</v>
      </c>
      <c r="E6" s="68" t="s">
        <v>357</v>
      </c>
    </row>
    <row r="7" spans="1:5">
      <c r="A7" s="68">
        <v>0.26192599999999999</v>
      </c>
      <c r="B7" s="68">
        <v>0.47527799999999998</v>
      </c>
      <c r="C7" s="68">
        <v>2.03159</v>
      </c>
      <c r="D7" s="68">
        <v>1</v>
      </c>
      <c r="E7" s="68" t="s">
        <v>358</v>
      </c>
    </row>
    <row r="8" spans="1:5">
      <c r="A8" s="68">
        <v>0.27024799999999999</v>
      </c>
      <c r="B8" s="68">
        <v>0.462781</v>
      </c>
      <c r="C8" s="68">
        <v>2.4352499999999999</v>
      </c>
      <c r="D8" s="68">
        <v>1</v>
      </c>
      <c r="E8" s="68" t="s">
        <v>359</v>
      </c>
    </row>
    <row r="9" spans="1:5">
      <c r="A9" s="68">
        <v>0.27824900000000002</v>
      </c>
      <c r="B9" s="68">
        <v>0.45352500000000001</v>
      </c>
      <c r="C9" s="68">
        <v>2.8431999999999999</v>
      </c>
      <c r="D9" s="68">
        <v>1</v>
      </c>
      <c r="E9" s="68" t="s">
        <v>360</v>
      </c>
    </row>
    <row r="10" spans="1:5">
      <c r="A10" s="68">
        <v>0.286132</v>
      </c>
      <c r="B10" s="68">
        <v>0.44569199999999998</v>
      </c>
      <c r="C10" s="68">
        <v>3.25305</v>
      </c>
      <c r="D10" s="68">
        <v>1</v>
      </c>
      <c r="E10" s="68" t="s">
        <v>361</v>
      </c>
    </row>
    <row r="11" spans="1:5">
      <c r="A11" s="68">
        <v>0.29439399999999999</v>
      </c>
      <c r="B11" s="68">
        <v>0.43568400000000002</v>
      </c>
      <c r="C11" s="68">
        <v>3.6558600000000001</v>
      </c>
      <c r="D11" s="68">
        <v>1</v>
      </c>
      <c r="E11" s="68" t="s">
        <v>362</v>
      </c>
    </row>
    <row r="12" spans="1:5">
      <c r="A12" s="68">
        <v>0.302678</v>
      </c>
      <c r="B12" s="68">
        <v>0.42424699999999999</v>
      </c>
      <c r="C12" s="68">
        <v>4.0580100000000003</v>
      </c>
      <c r="D12" s="68">
        <v>1</v>
      </c>
      <c r="E12" s="68" t="s">
        <v>363</v>
      </c>
    </row>
    <row r="13" spans="1:5">
      <c r="A13" s="68">
        <v>0.310946</v>
      </c>
      <c r="B13" s="68">
        <v>0.41241800000000001</v>
      </c>
      <c r="C13" s="68">
        <v>4.4687000000000001</v>
      </c>
      <c r="D13" s="68">
        <v>1</v>
      </c>
      <c r="E13" s="68" t="s">
        <v>364</v>
      </c>
    </row>
    <row r="14" spans="1:5">
      <c r="A14" s="68">
        <v>0.31948399999999999</v>
      </c>
      <c r="B14" s="68">
        <v>0.398061</v>
      </c>
      <c r="C14" s="68">
        <v>4.8758100000000004</v>
      </c>
      <c r="D14" s="68">
        <v>1</v>
      </c>
      <c r="E14" s="68" t="s">
        <v>365</v>
      </c>
    </row>
    <row r="15" spans="1:5">
      <c r="A15" s="68">
        <v>0.32812400000000003</v>
      </c>
      <c r="B15" s="68">
        <v>0.38336100000000001</v>
      </c>
      <c r="C15" s="68">
        <v>5.2805799999999996</v>
      </c>
      <c r="D15" s="68">
        <v>1</v>
      </c>
      <c r="E15" s="68" t="s">
        <v>366</v>
      </c>
    </row>
    <row r="16" spans="1:5">
      <c r="A16" s="68">
        <v>0.33552199999999999</v>
      </c>
      <c r="B16" s="68">
        <v>0.37148900000000001</v>
      </c>
      <c r="C16" s="68">
        <v>5.6873800000000001</v>
      </c>
      <c r="D16" s="68">
        <v>1</v>
      </c>
      <c r="E16" s="68" t="s">
        <v>367</v>
      </c>
    </row>
    <row r="17" spans="1:5">
      <c r="A17" s="68">
        <v>0.342499</v>
      </c>
      <c r="B17" s="68">
        <v>0.36149500000000001</v>
      </c>
      <c r="C17" s="68">
        <v>6.0907400000000003</v>
      </c>
      <c r="D17" s="68">
        <v>1</v>
      </c>
      <c r="E17" s="68" t="s">
        <v>368</v>
      </c>
    </row>
    <row r="18" spans="1:5">
      <c r="A18" s="68">
        <v>0.34936</v>
      </c>
      <c r="B18" s="68">
        <v>0.35406300000000002</v>
      </c>
      <c r="C18" s="68">
        <v>6.5012600000000003</v>
      </c>
      <c r="D18" s="68">
        <v>1</v>
      </c>
      <c r="E18" s="68" t="s">
        <v>369</v>
      </c>
    </row>
    <row r="19" spans="1:5">
      <c r="A19" s="68">
        <v>0.35563099999999997</v>
      </c>
      <c r="B19" s="68">
        <v>0.34809600000000002</v>
      </c>
      <c r="C19" s="68">
        <v>6.9074</v>
      </c>
      <c r="D19" s="68">
        <v>1</v>
      </c>
      <c r="E19" s="68" t="s">
        <v>370</v>
      </c>
    </row>
    <row r="20" spans="1:5">
      <c r="A20" s="68">
        <v>0.361543</v>
      </c>
      <c r="B20" s="68">
        <v>0.34372999999999998</v>
      </c>
      <c r="C20" s="68">
        <v>7.3150899999999996</v>
      </c>
      <c r="D20" s="68">
        <v>1</v>
      </c>
      <c r="E20" s="68" t="s">
        <v>371</v>
      </c>
    </row>
    <row r="21" spans="1:5">
      <c r="A21" s="68">
        <v>0.36761300000000002</v>
      </c>
      <c r="B21" s="68">
        <v>0.33928700000000001</v>
      </c>
      <c r="C21" s="68">
        <v>7.72004</v>
      </c>
      <c r="D21" s="68">
        <v>1</v>
      </c>
      <c r="E21" s="68" t="s">
        <v>372</v>
      </c>
    </row>
    <row r="22" spans="1:5">
      <c r="A22" s="68">
        <v>0.37384499999999998</v>
      </c>
      <c r="B22" s="68">
        <v>0.33393400000000001</v>
      </c>
      <c r="C22" s="68">
        <v>8.1272599999999997</v>
      </c>
      <c r="D22" s="68">
        <v>1</v>
      </c>
      <c r="E22" s="68" t="s">
        <v>373</v>
      </c>
    </row>
    <row r="23" spans="1:5">
      <c r="A23" s="68">
        <v>0.37962600000000002</v>
      </c>
      <c r="B23" s="68">
        <v>0.32972099999999999</v>
      </c>
      <c r="C23" s="68">
        <v>8.5290700000000008</v>
      </c>
      <c r="D23" s="68">
        <v>1</v>
      </c>
      <c r="E23" s="68" t="s">
        <v>374</v>
      </c>
    </row>
    <row r="24" spans="1:5">
      <c r="A24" s="68">
        <v>0.38503999999999999</v>
      </c>
      <c r="B24" s="68">
        <v>0.32560800000000001</v>
      </c>
      <c r="C24" s="68">
        <v>8.9387699999999999</v>
      </c>
      <c r="D24" s="68">
        <v>1</v>
      </c>
      <c r="E24" s="68" t="s">
        <v>375</v>
      </c>
    </row>
    <row r="25" spans="1:5">
      <c r="A25" s="68">
        <v>0.38989600000000002</v>
      </c>
      <c r="B25" s="68">
        <v>0.323162</v>
      </c>
      <c r="C25" s="68">
        <v>9.3448200000000003</v>
      </c>
      <c r="D25" s="68">
        <v>1</v>
      </c>
      <c r="E25" s="68" t="s">
        <v>376</v>
      </c>
    </row>
    <row r="26" spans="1:5">
      <c r="A26" s="68">
        <v>0.39422099999999999</v>
      </c>
      <c r="B26" s="68">
        <v>0.32157200000000002</v>
      </c>
      <c r="C26" s="68">
        <v>9.7496299999999998</v>
      </c>
      <c r="D26" s="68">
        <v>1</v>
      </c>
      <c r="E26" s="68" t="s">
        <v>377</v>
      </c>
    </row>
    <row r="27" spans="1:5">
      <c r="A27" s="68">
        <v>0.39779399999999998</v>
      </c>
      <c r="B27" s="68">
        <v>0.32100600000000001</v>
      </c>
      <c r="C27" s="68">
        <v>10.1554</v>
      </c>
      <c r="D27" s="68">
        <v>1</v>
      </c>
      <c r="E27" s="68" t="s">
        <v>378</v>
      </c>
    </row>
    <row r="28" spans="1:5">
      <c r="A28" s="68">
        <v>0.40075499999999997</v>
      </c>
      <c r="B28" s="68">
        <v>0.32036799999999999</v>
      </c>
      <c r="C28" s="68">
        <v>10.5595</v>
      </c>
      <c r="D28" s="68">
        <v>1</v>
      </c>
      <c r="E28" s="68" t="s">
        <v>379</v>
      </c>
    </row>
    <row r="29" spans="1:5">
      <c r="A29" s="68">
        <v>0.40327600000000002</v>
      </c>
      <c r="B29" s="68">
        <v>0.31916099999999997</v>
      </c>
      <c r="C29" s="68">
        <v>10.9648</v>
      </c>
      <c r="D29" s="68">
        <v>1</v>
      </c>
      <c r="E29" s="68" t="s">
        <v>380</v>
      </c>
    </row>
    <row r="30" spans="1:5">
      <c r="A30" s="68">
        <v>0.40496399999999999</v>
      </c>
      <c r="B30" s="68">
        <v>0.317942</v>
      </c>
      <c r="C30" s="68">
        <v>11.375500000000001</v>
      </c>
      <c r="D30" s="68">
        <v>1</v>
      </c>
      <c r="E30" s="68" t="s">
        <v>381</v>
      </c>
    </row>
    <row r="31" spans="1:5">
      <c r="A31" s="68">
        <v>0.40584599999999998</v>
      </c>
      <c r="B31" s="68">
        <v>0.31668400000000002</v>
      </c>
      <c r="C31" s="68">
        <v>11.7798</v>
      </c>
      <c r="D31" s="68">
        <v>1</v>
      </c>
      <c r="E31" s="68" t="s">
        <v>382</v>
      </c>
    </row>
    <row r="32" spans="1:5">
      <c r="A32" s="68">
        <v>0.40616099999999999</v>
      </c>
      <c r="B32" s="68">
        <v>0.31522</v>
      </c>
      <c r="C32" s="68">
        <v>12.187099999999999</v>
      </c>
      <c r="D32" s="68">
        <v>1</v>
      </c>
      <c r="E32" s="68" t="s">
        <v>383</v>
      </c>
    </row>
    <row r="33" spans="1:5">
      <c r="A33" s="68">
        <v>0.40618100000000001</v>
      </c>
      <c r="B33" s="68">
        <v>0.31396200000000002</v>
      </c>
      <c r="C33" s="68">
        <v>12.5928</v>
      </c>
      <c r="D33" s="68">
        <v>1</v>
      </c>
      <c r="E33" s="68" t="s">
        <v>384</v>
      </c>
    </row>
    <row r="34" spans="1:5">
      <c r="A34" s="68">
        <v>0.40614099999999997</v>
      </c>
      <c r="B34" s="68">
        <v>0.312558</v>
      </c>
      <c r="C34" s="68">
        <v>13.0008</v>
      </c>
      <c r="D34" s="68">
        <v>1</v>
      </c>
      <c r="E34" s="68" t="s">
        <v>385</v>
      </c>
    </row>
    <row r="35" spans="1:5">
      <c r="A35" s="68">
        <v>0.405802</v>
      </c>
      <c r="B35" s="68">
        <v>0.31127300000000002</v>
      </c>
      <c r="C35" s="68">
        <v>13.4056</v>
      </c>
      <c r="D35" s="68">
        <v>1</v>
      </c>
      <c r="E35" s="68" t="s">
        <v>386</v>
      </c>
    </row>
    <row r="36" spans="1:5">
      <c r="A36" s="68">
        <v>0.40460600000000002</v>
      </c>
      <c r="B36" s="68">
        <v>0.31018299999999999</v>
      </c>
      <c r="C36" s="68">
        <v>13.8108</v>
      </c>
      <c r="D36" s="68">
        <v>1</v>
      </c>
      <c r="E36" s="68" t="s">
        <v>387</v>
      </c>
    </row>
    <row r="37" spans="1:5">
      <c r="A37" s="68">
        <v>0.40273900000000001</v>
      </c>
      <c r="B37" s="68">
        <v>0.30862699999999998</v>
      </c>
      <c r="C37" s="68">
        <v>14.2186</v>
      </c>
      <c r="D37" s="68">
        <v>1</v>
      </c>
      <c r="E37" s="68" t="s">
        <v>388</v>
      </c>
    </row>
    <row r="38" spans="1:5">
      <c r="A38" s="68">
        <v>0.40043899999999999</v>
      </c>
      <c r="B38" s="68">
        <v>0.30704700000000001</v>
      </c>
      <c r="C38" s="68">
        <v>14.6265</v>
      </c>
      <c r="D38" s="68">
        <v>1</v>
      </c>
      <c r="E38" s="68" t="s">
        <v>389</v>
      </c>
    </row>
    <row r="39" spans="1:5">
      <c r="A39" s="68">
        <v>0.39718300000000001</v>
      </c>
      <c r="B39" s="68">
        <v>0.30612299999999998</v>
      </c>
      <c r="C39" s="68">
        <v>15.0334</v>
      </c>
      <c r="D39" s="68">
        <v>1</v>
      </c>
      <c r="E39" s="68" t="s">
        <v>390</v>
      </c>
    </row>
    <row r="40" spans="1:5">
      <c r="A40" s="68">
        <v>0.393374</v>
      </c>
      <c r="B40" s="68">
        <v>0.30688500000000002</v>
      </c>
      <c r="C40" s="68">
        <v>15.436400000000001</v>
      </c>
      <c r="D40" s="68">
        <v>1</v>
      </c>
      <c r="E40" s="68" t="s">
        <v>391</v>
      </c>
    </row>
    <row r="41" spans="1:5">
      <c r="A41" s="68">
        <v>0.38957599999999998</v>
      </c>
      <c r="B41" s="68">
        <v>0.30970799999999998</v>
      </c>
      <c r="C41" s="68">
        <v>15.839700000000001</v>
      </c>
      <c r="D41" s="68">
        <v>1</v>
      </c>
      <c r="E41" s="68" t="s">
        <v>392</v>
      </c>
    </row>
    <row r="42" spans="1:5">
      <c r="A42" s="68">
        <v>0.38602799999999998</v>
      </c>
      <c r="B42" s="68">
        <v>0.313411</v>
      </c>
      <c r="C42" s="68">
        <v>16.251100000000001</v>
      </c>
      <c r="D42" s="68">
        <v>1</v>
      </c>
      <c r="E42" s="68" t="s">
        <v>393</v>
      </c>
    </row>
    <row r="43" spans="1:5">
      <c r="A43" s="68">
        <v>0.38262200000000002</v>
      </c>
      <c r="B43" s="68">
        <v>0.31685799999999997</v>
      </c>
      <c r="C43" s="68">
        <v>16.658999999999999</v>
      </c>
      <c r="D43" s="68">
        <v>1</v>
      </c>
      <c r="E43" s="68" t="s">
        <v>394</v>
      </c>
    </row>
    <row r="44" spans="1:5">
      <c r="A44" s="68">
        <v>0.37934000000000001</v>
      </c>
      <c r="B44" s="68">
        <v>0.319776</v>
      </c>
      <c r="C44" s="68">
        <v>17.061</v>
      </c>
      <c r="D44" s="68">
        <v>1</v>
      </c>
      <c r="E44" s="68" t="s">
        <v>395</v>
      </c>
    </row>
    <row r="45" spans="1:5">
      <c r="A45" s="68">
        <v>0.37611600000000001</v>
      </c>
      <c r="B45" s="68">
        <v>0.32210800000000001</v>
      </c>
      <c r="C45" s="68">
        <v>17.468900000000001</v>
      </c>
      <c r="D45" s="68">
        <v>1</v>
      </c>
      <c r="E45" s="68" t="s">
        <v>396</v>
      </c>
    </row>
    <row r="46" spans="1:5">
      <c r="A46" s="68">
        <v>0.372782</v>
      </c>
      <c r="B46" s="68">
        <v>0.32486700000000002</v>
      </c>
      <c r="C46" s="68">
        <v>17.8719</v>
      </c>
      <c r="D46" s="68">
        <v>1</v>
      </c>
      <c r="E46" s="68" t="s">
        <v>397</v>
      </c>
    </row>
    <row r="47" spans="1:5">
      <c r="A47" s="68">
        <v>0.36908999999999997</v>
      </c>
      <c r="B47" s="68">
        <v>0.32918500000000001</v>
      </c>
      <c r="C47" s="68">
        <v>18.2789</v>
      </c>
      <c r="D47" s="68">
        <v>1</v>
      </c>
      <c r="E47" s="68" t="s">
        <v>398</v>
      </c>
    </row>
    <row r="48" spans="1:5">
      <c r="A48" s="68">
        <v>0.36536600000000002</v>
      </c>
      <c r="B48" s="68">
        <v>0.3342</v>
      </c>
      <c r="C48" s="68">
        <v>18.685199999999998</v>
      </c>
      <c r="D48" s="68">
        <v>1</v>
      </c>
      <c r="E48" s="68" t="s">
        <v>399</v>
      </c>
    </row>
    <row r="49" spans="1:5">
      <c r="A49" s="68">
        <v>0.36145300000000002</v>
      </c>
      <c r="B49" s="68">
        <v>0.34004699999999999</v>
      </c>
      <c r="C49" s="68">
        <v>19.090900000000001</v>
      </c>
      <c r="D49" s="68">
        <v>1</v>
      </c>
      <c r="E49" s="68" t="s">
        <v>400</v>
      </c>
    </row>
    <row r="50" spans="1:5">
      <c r="A50" s="68">
        <v>0.35777700000000001</v>
      </c>
      <c r="B50" s="68">
        <v>0.34569899999999998</v>
      </c>
      <c r="C50" s="68">
        <v>19.4984</v>
      </c>
      <c r="D50" s="68">
        <v>1</v>
      </c>
      <c r="E50" s="68" t="s">
        <v>401</v>
      </c>
    </row>
    <row r="51" spans="1:5">
      <c r="A51" s="68">
        <v>0.354458</v>
      </c>
      <c r="B51" s="68">
        <v>0.35124300000000003</v>
      </c>
      <c r="C51" s="68">
        <v>19.908000000000001</v>
      </c>
      <c r="D51" s="68">
        <v>1</v>
      </c>
      <c r="E51" s="68" t="s">
        <v>402</v>
      </c>
    </row>
    <row r="52" spans="1:5">
      <c r="A52" s="68">
        <v>0.35209800000000002</v>
      </c>
      <c r="B52" s="68">
        <v>0.35537200000000002</v>
      </c>
      <c r="C52" s="68">
        <v>20.314299999999999</v>
      </c>
      <c r="D52" s="68">
        <v>1</v>
      </c>
      <c r="E52" s="68" t="s">
        <v>403</v>
      </c>
    </row>
    <row r="53" spans="1:5">
      <c r="A53" s="68">
        <v>0.34944199999999997</v>
      </c>
      <c r="B53" s="68">
        <v>0.35966100000000001</v>
      </c>
      <c r="C53" s="68">
        <v>20.7212</v>
      </c>
      <c r="D53" s="68">
        <v>1</v>
      </c>
      <c r="E53" s="68" t="s">
        <v>404</v>
      </c>
    </row>
    <row r="54" spans="1:5">
      <c r="A54" s="68">
        <v>0.34676899999999999</v>
      </c>
      <c r="B54" s="68">
        <v>0.364589</v>
      </c>
      <c r="C54" s="68">
        <v>21.124199999999998</v>
      </c>
      <c r="D54" s="68">
        <v>1</v>
      </c>
      <c r="E54" s="68" t="s">
        <v>405</v>
      </c>
    </row>
    <row r="55" spans="1:5">
      <c r="A55" s="68">
        <v>0.344584</v>
      </c>
      <c r="B55" s="68">
        <v>0.36801499999999998</v>
      </c>
      <c r="C55" s="68">
        <v>21.529</v>
      </c>
      <c r="D55" s="68">
        <v>1</v>
      </c>
      <c r="E55" s="68" t="s">
        <v>406</v>
      </c>
    </row>
    <row r="56" spans="1:5">
      <c r="A56" s="68">
        <v>0.34294599999999997</v>
      </c>
      <c r="B56" s="68">
        <v>0.37054399999999998</v>
      </c>
      <c r="C56" s="68">
        <v>21.9361</v>
      </c>
      <c r="D56" s="68">
        <v>1</v>
      </c>
      <c r="E56" s="68" t="s">
        <v>407</v>
      </c>
    </row>
    <row r="57" spans="1:5">
      <c r="A57" s="68">
        <v>0.34135900000000002</v>
      </c>
      <c r="B57" s="68">
        <v>0.37343100000000001</v>
      </c>
      <c r="C57" s="68">
        <v>22.342099999999999</v>
      </c>
      <c r="D57" s="68">
        <v>1</v>
      </c>
      <c r="E57" s="68" t="s">
        <v>408</v>
      </c>
    </row>
    <row r="58" spans="1:5">
      <c r="A58" s="68">
        <v>0.34</v>
      </c>
      <c r="B58" s="68">
        <v>0.37645400000000001</v>
      </c>
      <c r="C58" s="68">
        <v>22.7498</v>
      </c>
      <c r="D58" s="68">
        <v>1</v>
      </c>
      <c r="E58" s="68" t="s">
        <v>409</v>
      </c>
    </row>
    <row r="59" spans="1:5">
      <c r="A59" s="68">
        <v>0.338588</v>
      </c>
      <c r="B59" s="68">
        <v>0.37878499999999998</v>
      </c>
      <c r="C59" s="68">
        <v>23.1556</v>
      </c>
      <c r="D59" s="68">
        <v>1</v>
      </c>
      <c r="E59" s="68" t="s">
        <v>410</v>
      </c>
    </row>
    <row r="60" spans="1:5">
      <c r="A60" s="68">
        <v>0.33765400000000001</v>
      </c>
      <c r="B60" s="68">
        <v>0.380494</v>
      </c>
      <c r="C60" s="68">
        <v>23.558499999999999</v>
      </c>
      <c r="D60" s="68">
        <v>1</v>
      </c>
      <c r="E60" s="68" t="s">
        <v>411</v>
      </c>
    </row>
    <row r="61" spans="1:5">
      <c r="A61" s="68">
        <v>0.33756799999999998</v>
      </c>
      <c r="B61" s="68">
        <v>0.38067800000000002</v>
      </c>
      <c r="C61" s="68">
        <v>23.9678</v>
      </c>
      <c r="D61" s="68">
        <v>1</v>
      </c>
      <c r="E61" s="68" t="s">
        <v>412</v>
      </c>
    </row>
    <row r="62" spans="1:5">
      <c r="A62" s="68">
        <v>0.33715299999999998</v>
      </c>
      <c r="B62" s="68">
        <v>0.38159100000000001</v>
      </c>
      <c r="C62" s="68">
        <v>24.374600000000001</v>
      </c>
      <c r="D62" s="68">
        <v>1</v>
      </c>
      <c r="E62" s="68" t="s">
        <v>413</v>
      </c>
    </row>
    <row r="63" spans="1:5">
      <c r="A63" s="68">
        <v>0.33755200000000002</v>
      </c>
      <c r="B63" s="68">
        <v>0.38148700000000002</v>
      </c>
      <c r="C63" s="68">
        <v>24.778199999999998</v>
      </c>
      <c r="D63" s="68">
        <v>1</v>
      </c>
      <c r="E63" s="68" t="s">
        <v>414</v>
      </c>
    </row>
    <row r="64" spans="1:5">
      <c r="A64" s="68">
        <v>0.339028</v>
      </c>
      <c r="B64" s="68">
        <v>0.37934200000000001</v>
      </c>
      <c r="C64" s="68">
        <v>25.187200000000001</v>
      </c>
      <c r="D64" s="68">
        <v>1</v>
      </c>
      <c r="E64" s="68" t="s">
        <v>415</v>
      </c>
    </row>
    <row r="65" spans="1:5">
      <c r="A65" s="68">
        <v>0.33960499999999999</v>
      </c>
      <c r="B65" s="68">
        <v>0.37838699999999997</v>
      </c>
      <c r="C65" s="68">
        <v>25.59</v>
      </c>
      <c r="D65" s="68">
        <v>1</v>
      </c>
      <c r="E65" s="68" t="s">
        <v>416</v>
      </c>
    </row>
    <row r="66" spans="1:5">
      <c r="A66" s="68">
        <v>0.34054600000000002</v>
      </c>
      <c r="B66" s="68">
        <v>0.37698700000000002</v>
      </c>
      <c r="C66" s="68">
        <v>25.997</v>
      </c>
      <c r="D66" s="68">
        <v>1</v>
      </c>
      <c r="E66" s="68" t="s">
        <v>417</v>
      </c>
    </row>
    <row r="67" spans="1:5">
      <c r="A67" s="68">
        <v>0.34132299999999999</v>
      </c>
      <c r="B67" s="68">
        <v>0.37533</v>
      </c>
      <c r="C67" s="68">
        <v>26.407399999999999</v>
      </c>
      <c r="D67" s="68">
        <v>1</v>
      </c>
      <c r="E67" s="68" t="s">
        <v>418</v>
      </c>
    </row>
    <row r="68" spans="1:5">
      <c r="A68" s="68">
        <v>0.34228999999999998</v>
      </c>
      <c r="B68" s="68">
        <v>0.37322699999999998</v>
      </c>
      <c r="C68" s="68">
        <v>26.812000000000001</v>
      </c>
      <c r="D68" s="68">
        <v>1</v>
      </c>
      <c r="E68" s="68" t="s">
        <v>419</v>
      </c>
    </row>
    <row r="69" spans="1:5">
      <c r="A69" s="68">
        <v>0.34391899999999997</v>
      </c>
      <c r="B69" s="68">
        <v>0.369479</v>
      </c>
      <c r="C69" s="68">
        <v>27.218900000000001</v>
      </c>
      <c r="D69" s="68">
        <v>1</v>
      </c>
      <c r="E69" s="68" t="s">
        <v>420</v>
      </c>
    </row>
    <row r="70" spans="1:5">
      <c r="A70" s="68">
        <v>0.34546700000000002</v>
      </c>
      <c r="B70" s="68">
        <v>0.36596200000000001</v>
      </c>
      <c r="C70" s="68">
        <v>27.622699999999998</v>
      </c>
      <c r="D70" s="68">
        <v>1</v>
      </c>
      <c r="E70" s="68" t="s">
        <v>421</v>
      </c>
    </row>
    <row r="71" spans="1:5">
      <c r="A71" s="68">
        <v>0.347082</v>
      </c>
      <c r="B71" s="68">
        <v>0.36191099999999998</v>
      </c>
      <c r="C71" s="68">
        <v>28.029699999999998</v>
      </c>
      <c r="D71" s="68">
        <v>1</v>
      </c>
      <c r="E71" s="68" t="s">
        <v>422</v>
      </c>
    </row>
    <row r="72" spans="1:5">
      <c r="A72" s="68">
        <v>0.348694</v>
      </c>
      <c r="B72" s="68">
        <v>0.35740699999999997</v>
      </c>
      <c r="C72" s="68">
        <v>28.4376</v>
      </c>
      <c r="D72" s="68">
        <v>1</v>
      </c>
      <c r="E72" s="68" t="s">
        <v>423</v>
      </c>
    </row>
    <row r="73" spans="1:5">
      <c r="A73" s="68">
        <v>0.34993800000000003</v>
      </c>
      <c r="B73" s="68">
        <v>0.35431200000000002</v>
      </c>
      <c r="C73" s="68">
        <v>28.843399999999999</v>
      </c>
      <c r="D73" s="68">
        <v>1</v>
      </c>
      <c r="E73" s="68" t="s">
        <v>424</v>
      </c>
    </row>
    <row r="74" spans="1:5">
      <c r="A74" s="68">
        <v>0.351692</v>
      </c>
      <c r="B74" s="68">
        <v>0.34873700000000002</v>
      </c>
      <c r="C74" s="68">
        <v>29.249400000000001</v>
      </c>
      <c r="D74" s="68">
        <v>1</v>
      </c>
      <c r="E74" s="68" t="s">
        <v>425</v>
      </c>
    </row>
    <row r="75" spans="1:5">
      <c r="A75" s="68">
        <v>0.35306100000000001</v>
      </c>
      <c r="B75" s="68">
        <v>0.345806</v>
      </c>
      <c r="C75" s="68">
        <v>29.654399999999999</v>
      </c>
      <c r="D75" s="68">
        <v>1</v>
      </c>
      <c r="E75" s="68" t="s">
        <v>426</v>
      </c>
    </row>
    <row r="76" spans="1:5">
      <c r="A76" s="68">
        <v>0.35478900000000002</v>
      </c>
      <c r="B76" s="68">
        <v>0.34098800000000001</v>
      </c>
      <c r="C76" s="68">
        <v>30.061199999999999</v>
      </c>
      <c r="D76" s="68">
        <v>2</v>
      </c>
      <c r="E76" s="68" t="s">
        <v>427</v>
      </c>
    </row>
    <row r="77" spans="1:5">
      <c r="A77" s="68">
        <v>0.35623500000000002</v>
      </c>
      <c r="B77" s="68">
        <v>0.33701999999999999</v>
      </c>
      <c r="C77" s="68">
        <v>30.528199999999998</v>
      </c>
      <c r="D77" s="68">
        <v>2</v>
      </c>
      <c r="E77" s="68" t="s">
        <v>428</v>
      </c>
    </row>
    <row r="78" spans="1:5">
      <c r="A78" s="68">
        <v>0.35780499999999998</v>
      </c>
      <c r="B78" s="68">
        <v>0.33307700000000001</v>
      </c>
      <c r="C78" s="68">
        <v>30.921399999999998</v>
      </c>
      <c r="D78" s="68">
        <v>2</v>
      </c>
      <c r="E78" s="68" t="s">
        <v>429</v>
      </c>
    </row>
    <row r="79" spans="1:5">
      <c r="A79" s="68">
        <v>0.359371</v>
      </c>
      <c r="B79" s="68">
        <v>0.32933000000000001</v>
      </c>
      <c r="C79" s="68">
        <v>31.323</v>
      </c>
      <c r="D79" s="68">
        <v>2</v>
      </c>
      <c r="E79" s="68" t="s">
        <v>430</v>
      </c>
    </row>
    <row r="80" spans="1:5">
      <c r="A80" s="68">
        <v>0.361068</v>
      </c>
      <c r="B80" s="68">
        <v>0.32522800000000002</v>
      </c>
      <c r="C80" s="68">
        <v>31.735199999999999</v>
      </c>
      <c r="D80" s="68">
        <v>2</v>
      </c>
      <c r="E80" s="68" t="s">
        <v>431</v>
      </c>
    </row>
    <row r="81" spans="1:5">
      <c r="A81" s="68">
        <v>0.36272100000000002</v>
      </c>
      <c r="B81" s="68">
        <v>0.32040800000000003</v>
      </c>
      <c r="C81" s="68">
        <v>32.138199999999998</v>
      </c>
      <c r="D81" s="68">
        <v>2</v>
      </c>
      <c r="E81" s="68" t="s">
        <v>432</v>
      </c>
    </row>
    <row r="82" spans="1:5">
      <c r="A82" s="68">
        <v>0.364284</v>
      </c>
      <c r="B82" s="68">
        <v>0.31545699999999999</v>
      </c>
      <c r="C82" s="68">
        <v>32.548099999999998</v>
      </c>
      <c r="D82" s="68">
        <v>2</v>
      </c>
      <c r="E82" s="68" t="s">
        <v>433</v>
      </c>
    </row>
    <row r="83" spans="1:5">
      <c r="A83" s="68">
        <v>0.36572199999999999</v>
      </c>
      <c r="B83" s="68">
        <v>0.31054999999999999</v>
      </c>
      <c r="C83" s="68">
        <v>32.950299999999999</v>
      </c>
      <c r="D83" s="68">
        <v>2</v>
      </c>
      <c r="E83" s="68" t="s">
        <v>434</v>
      </c>
    </row>
    <row r="84" spans="1:5">
      <c r="A84" s="68">
        <v>0.366813</v>
      </c>
      <c r="B84" s="68">
        <v>0.306425</v>
      </c>
      <c r="C84" s="68">
        <v>33.354599999999998</v>
      </c>
      <c r="D84" s="68">
        <v>2</v>
      </c>
      <c r="E84" s="68" t="s">
        <v>435</v>
      </c>
    </row>
    <row r="85" spans="1:5">
      <c r="A85" s="68">
        <v>0.367896</v>
      </c>
      <c r="B85" s="68">
        <v>0.30252899999999999</v>
      </c>
      <c r="C85" s="68">
        <v>33.762799999999999</v>
      </c>
      <c r="D85" s="68">
        <v>2</v>
      </c>
      <c r="E85" s="68" t="s">
        <v>436</v>
      </c>
    </row>
    <row r="86" spans="1:5">
      <c r="A86" s="68">
        <v>0.36904799999999999</v>
      </c>
      <c r="B86" s="68">
        <v>0.29817900000000003</v>
      </c>
      <c r="C86" s="68">
        <v>34.174100000000003</v>
      </c>
      <c r="D86" s="68">
        <v>2</v>
      </c>
      <c r="E86" s="68" t="s">
        <v>437</v>
      </c>
    </row>
    <row r="87" spans="1:5">
      <c r="A87" s="68">
        <v>0.36995600000000001</v>
      </c>
      <c r="B87" s="68">
        <v>0.29408800000000002</v>
      </c>
      <c r="C87" s="68">
        <v>34.576700000000002</v>
      </c>
      <c r="D87" s="68">
        <v>2</v>
      </c>
      <c r="E87" s="68" t="s">
        <v>438</v>
      </c>
    </row>
    <row r="88" spans="1:5">
      <c r="A88" s="68">
        <v>0.370786</v>
      </c>
      <c r="B88" s="68">
        <v>0.29035499999999997</v>
      </c>
      <c r="C88" s="68">
        <v>34.9803</v>
      </c>
      <c r="D88" s="68">
        <v>2</v>
      </c>
      <c r="E88" s="68" t="s">
        <v>439</v>
      </c>
    </row>
    <row r="89" spans="1:5">
      <c r="A89" s="68">
        <v>0.37154900000000002</v>
      </c>
      <c r="B89" s="68">
        <v>0.28693200000000002</v>
      </c>
      <c r="C89" s="68">
        <v>35.391500000000001</v>
      </c>
      <c r="D89" s="68">
        <v>2</v>
      </c>
      <c r="E89" s="68" t="s">
        <v>440</v>
      </c>
    </row>
    <row r="90" spans="1:5">
      <c r="A90" s="68">
        <v>0.37249900000000002</v>
      </c>
      <c r="B90" s="68">
        <v>0.28307500000000002</v>
      </c>
      <c r="C90" s="68">
        <v>35.796700000000001</v>
      </c>
      <c r="D90" s="68">
        <v>2</v>
      </c>
      <c r="E90" s="68" t="s">
        <v>441</v>
      </c>
    </row>
    <row r="91" spans="1:5">
      <c r="A91" s="68">
        <v>0.37378499999999998</v>
      </c>
      <c r="B91" s="68">
        <v>0.279997</v>
      </c>
      <c r="C91" s="68">
        <v>36.200200000000002</v>
      </c>
      <c r="D91" s="68">
        <v>2</v>
      </c>
      <c r="E91" s="68" t="s">
        <v>442</v>
      </c>
    </row>
    <row r="92" spans="1:5">
      <c r="A92" s="68">
        <v>0.37516100000000002</v>
      </c>
      <c r="B92" s="68">
        <v>0.27757100000000001</v>
      </c>
      <c r="C92" s="68">
        <v>36.610300000000002</v>
      </c>
      <c r="D92" s="68">
        <v>2</v>
      </c>
      <c r="E92" s="68" t="s">
        <v>443</v>
      </c>
    </row>
    <row r="93" spans="1:5">
      <c r="A93" s="68">
        <v>0.37640000000000001</v>
      </c>
      <c r="B93" s="68">
        <v>0.275399</v>
      </c>
      <c r="C93" s="68">
        <v>37.011899999999997</v>
      </c>
      <c r="D93" s="68">
        <v>2</v>
      </c>
      <c r="E93" s="68" t="s">
        <v>444</v>
      </c>
    </row>
    <row r="94" spans="1:5">
      <c r="A94" s="68">
        <v>0.37743500000000002</v>
      </c>
      <c r="B94" s="68">
        <v>0.27481299999999997</v>
      </c>
      <c r="C94" s="68">
        <v>37.418999999999997</v>
      </c>
      <c r="D94" s="68">
        <v>2</v>
      </c>
      <c r="E94" s="68" t="s">
        <v>445</v>
      </c>
    </row>
    <row r="95" spans="1:5">
      <c r="A95" s="68">
        <v>0.37811299999999998</v>
      </c>
      <c r="B95" s="68">
        <v>0.27508899999999997</v>
      </c>
      <c r="C95" s="68">
        <v>37.8292</v>
      </c>
      <c r="D95" s="68">
        <v>2</v>
      </c>
      <c r="E95" s="68" t="s">
        <v>446</v>
      </c>
    </row>
    <row r="96" spans="1:5">
      <c r="A96" s="68">
        <v>0.37834600000000002</v>
      </c>
      <c r="B96" s="68">
        <v>0.27640300000000001</v>
      </c>
      <c r="C96" s="68">
        <v>38.232199999999999</v>
      </c>
      <c r="D96" s="68">
        <v>2</v>
      </c>
      <c r="E96" s="68" t="s">
        <v>447</v>
      </c>
    </row>
    <row r="97" spans="1:5">
      <c r="A97" s="68">
        <v>0.37856099999999998</v>
      </c>
      <c r="B97" s="68">
        <v>0.27847100000000002</v>
      </c>
      <c r="C97" s="68">
        <v>38.637500000000003</v>
      </c>
      <c r="D97" s="68">
        <v>2</v>
      </c>
      <c r="E97" s="68" t="s">
        <v>448</v>
      </c>
    </row>
    <row r="98" spans="1:5">
      <c r="A98" s="68">
        <v>0.37913599999999997</v>
      </c>
      <c r="B98" s="68">
        <v>0.28044400000000003</v>
      </c>
      <c r="C98" s="68">
        <v>39.044800000000002</v>
      </c>
      <c r="D98" s="68">
        <v>2</v>
      </c>
      <c r="E98" s="68" t="s">
        <v>449</v>
      </c>
    </row>
    <row r="99" spans="1:5">
      <c r="A99" s="68">
        <v>0.37970500000000001</v>
      </c>
      <c r="B99" s="68">
        <v>0.28183200000000003</v>
      </c>
      <c r="C99" s="68">
        <v>39.453600000000002</v>
      </c>
      <c r="D99" s="68">
        <v>2</v>
      </c>
      <c r="E99" s="68" t="s">
        <v>450</v>
      </c>
    </row>
    <row r="100" spans="1:5">
      <c r="A100" s="68">
        <v>0.38023400000000002</v>
      </c>
      <c r="B100" s="68">
        <v>0.28291300000000003</v>
      </c>
      <c r="C100" s="68">
        <v>39.859499999999997</v>
      </c>
      <c r="D100" s="68">
        <v>2</v>
      </c>
      <c r="E100" s="68" t="s">
        <v>451</v>
      </c>
    </row>
    <row r="101" spans="1:5">
      <c r="A101" s="68">
        <v>0.38053999999999999</v>
      </c>
      <c r="B101" s="68">
        <v>0.28447600000000001</v>
      </c>
      <c r="C101" s="68">
        <v>40.263100000000001</v>
      </c>
      <c r="D101" s="68">
        <v>2</v>
      </c>
      <c r="E101" s="68" t="s">
        <v>452</v>
      </c>
    </row>
    <row r="102" spans="1:5">
      <c r="A102" s="68">
        <v>0.38078499999999998</v>
      </c>
      <c r="B102" s="68">
        <v>0.28624699999999997</v>
      </c>
      <c r="C102" s="68">
        <v>40.669400000000003</v>
      </c>
      <c r="D102" s="68">
        <v>2</v>
      </c>
      <c r="E102" s="68" t="s">
        <v>453</v>
      </c>
    </row>
    <row r="103" spans="1:5">
      <c r="A103" s="68">
        <v>0.38125300000000001</v>
      </c>
      <c r="B103" s="68">
        <v>0.287665</v>
      </c>
      <c r="C103" s="68">
        <v>41.075200000000002</v>
      </c>
      <c r="D103" s="68">
        <v>2</v>
      </c>
      <c r="E103" s="68" t="s">
        <v>454</v>
      </c>
    </row>
    <row r="104" spans="1:5">
      <c r="A104" s="68">
        <v>0.38151499999999999</v>
      </c>
      <c r="B104" s="68">
        <v>0.28944300000000001</v>
      </c>
      <c r="C104" s="68">
        <v>41.487299999999998</v>
      </c>
      <c r="D104" s="68">
        <v>2</v>
      </c>
      <c r="E104" s="68" t="s">
        <v>455</v>
      </c>
    </row>
    <row r="105" spans="1:5">
      <c r="A105" s="68">
        <v>0.381712</v>
      </c>
      <c r="B105" s="68">
        <v>0.29139799999999999</v>
      </c>
      <c r="C105" s="68">
        <v>41.889200000000002</v>
      </c>
      <c r="D105" s="68">
        <v>2</v>
      </c>
      <c r="E105" s="68" t="s">
        <v>456</v>
      </c>
    </row>
    <row r="106" spans="1:5">
      <c r="A106" s="68">
        <v>0.38187199999999999</v>
      </c>
      <c r="B106" s="68">
        <v>0.29291699999999998</v>
      </c>
      <c r="C106" s="68">
        <v>42.294899999999998</v>
      </c>
      <c r="D106" s="68">
        <v>2</v>
      </c>
      <c r="E106" s="68" t="s">
        <v>457</v>
      </c>
    </row>
    <row r="107" spans="1:5">
      <c r="A107" s="68">
        <v>0.38229800000000003</v>
      </c>
      <c r="B107" s="68">
        <v>0.29401699999999997</v>
      </c>
      <c r="C107" s="68">
        <v>42.7</v>
      </c>
      <c r="D107" s="68">
        <v>2</v>
      </c>
      <c r="E107" s="68" t="s">
        <v>458</v>
      </c>
    </row>
    <row r="108" spans="1:5">
      <c r="A108" s="68">
        <v>0.38269199999999998</v>
      </c>
      <c r="B108" s="68">
        <v>0.29524499999999998</v>
      </c>
      <c r="C108" s="68">
        <v>43.1053</v>
      </c>
      <c r="D108" s="68">
        <v>2</v>
      </c>
      <c r="E108" s="68" t="s">
        <v>459</v>
      </c>
    </row>
    <row r="109" spans="1:5">
      <c r="A109" s="68">
        <v>0.382884</v>
      </c>
      <c r="B109" s="68">
        <v>0.29628900000000002</v>
      </c>
      <c r="C109" s="68">
        <v>43.514000000000003</v>
      </c>
      <c r="D109" s="68">
        <v>2</v>
      </c>
      <c r="E109" s="68" t="s">
        <v>460</v>
      </c>
    </row>
    <row r="110" spans="1:5">
      <c r="A110" s="68">
        <v>0.38278899999999999</v>
      </c>
      <c r="B110" s="68">
        <v>0.29737599999999997</v>
      </c>
      <c r="C110" s="68">
        <v>43.920499999999997</v>
      </c>
      <c r="D110" s="68">
        <v>2</v>
      </c>
      <c r="E110" s="68" t="s">
        <v>461</v>
      </c>
    </row>
    <row r="111" spans="1:5">
      <c r="A111" s="68">
        <v>0.38270900000000002</v>
      </c>
      <c r="B111" s="68">
        <v>0.29804199999999997</v>
      </c>
      <c r="C111" s="68">
        <v>44.326500000000003</v>
      </c>
      <c r="D111" s="68">
        <v>2</v>
      </c>
      <c r="E111" s="68" t="s">
        <v>462</v>
      </c>
    </row>
    <row r="112" spans="1:5">
      <c r="A112" s="68">
        <v>0.38259900000000002</v>
      </c>
      <c r="B112" s="68">
        <v>0.29914499999999999</v>
      </c>
      <c r="C112" s="68">
        <v>44.734499999999997</v>
      </c>
      <c r="D112" s="68">
        <v>2</v>
      </c>
      <c r="E112" s="68" t="s">
        <v>463</v>
      </c>
    </row>
    <row r="113" spans="1:5">
      <c r="A113" s="68">
        <v>0.38244299999999998</v>
      </c>
      <c r="B113" s="68">
        <v>0.300622</v>
      </c>
      <c r="C113" s="68">
        <v>45.141399999999997</v>
      </c>
      <c r="D113" s="68">
        <v>2</v>
      </c>
      <c r="E113" s="68" t="s">
        <v>464</v>
      </c>
    </row>
    <row r="114" spans="1:5">
      <c r="A114" s="68">
        <v>0.38243899999999997</v>
      </c>
      <c r="B114" s="68">
        <v>0.301402</v>
      </c>
      <c r="C114" s="68">
        <v>45.549199999999999</v>
      </c>
      <c r="D114" s="68">
        <v>2</v>
      </c>
      <c r="E114" s="68" t="s">
        <v>465</v>
      </c>
    </row>
    <row r="115" spans="1:5">
      <c r="A115" s="68">
        <v>0.38277800000000001</v>
      </c>
      <c r="B115" s="68">
        <v>0.30197800000000002</v>
      </c>
      <c r="C115" s="68">
        <v>45.949199999999998</v>
      </c>
      <c r="D115" s="68">
        <v>2</v>
      </c>
      <c r="E115" s="68" t="s">
        <v>466</v>
      </c>
    </row>
    <row r="116" spans="1:5">
      <c r="A116" s="68">
        <v>0.383131</v>
      </c>
      <c r="B116" s="68">
        <v>0.30255900000000002</v>
      </c>
      <c r="C116" s="68">
        <v>46.359099999999998</v>
      </c>
      <c r="D116" s="68">
        <v>2</v>
      </c>
      <c r="E116" s="68" t="s">
        <v>467</v>
      </c>
    </row>
    <row r="117" spans="1:5">
      <c r="A117" s="68">
        <v>0.38331999999999999</v>
      </c>
      <c r="B117" s="68">
        <v>0.30456100000000003</v>
      </c>
      <c r="C117" s="68">
        <v>46.7624</v>
      </c>
      <c r="D117" s="68">
        <v>2</v>
      </c>
      <c r="E117" s="68" t="s">
        <v>468</v>
      </c>
    </row>
    <row r="118" spans="1:5">
      <c r="A118" s="68">
        <v>0.38348300000000002</v>
      </c>
      <c r="B118" s="68">
        <v>0.30680499999999999</v>
      </c>
      <c r="C118" s="68">
        <v>47.169199999999996</v>
      </c>
      <c r="D118" s="68">
        <v>2</v>
      </c>
      <c r="E118" s="68" t="s">
        <v>469</v>
      </c>
    </row>
    <row r="119" spans="1:5">
      <c r="A119" s="68">
        <v>0.38390299999999999</v>
      </c>
      <c r="B119" s="68">
        <v>0.308313</v>
      </c>
      <c r="C119" s="68">
        <v>47.579799999999999</v>
      </c>
      <c r="D119" s="68">
        <v>2</v>
      </c>
      <c r="E119" s="68" t="s">
        <v>470</v>
      </c>
    </row>
    <row r="120" spans="1:5">
      <c r="A120" s="68">
        <v>0.38445800000000002</v>
      </c>
      <c r="B120" s="68">
        <v>0.31013299999999999</v>
      </c>
      <c r="C120" s="68">
        <v>47.985799999999998</v>
      </c>
      <c r="D120" s="68">
        <v>2</v>
      </c>
      <c r="E120" s="68" t="s">
        <v>471</v>
      </c>
    </row>
    <row r="121" spans="1:5">
      <c r="A121" s="68">
        <v>0.38506499999999999</v>
      </c>
      <c r="B121" s="68">
        <v>0.31228899999999998</v>
      </c>
      <c r="C121" s="68">
        <v>48.392699999999998</v>
      </c>
      <c r="D121" s="68">
        <v>2</v>
      </c>
      <c r="E121" s="68" t="s">
        <v>472</v>
      </c>
    </row>
    <row r="122" spans="1:5">
      <c r="A122" s="68">
        <v>0.38585999999999998</v>
      </c>
      <c r="B122" s="68">
        <v>0.31403700000000001</v>
      </c>
      <c r="C122" s="68">
        <v>48.794600000000003</v>
      </c>
      <c r="D122" s="68">
        <v>2</v>
      </c>
      <c r="E122" s="68" t="s">
        <v>473</v>
      </c>
    </row>
    <row r="123" spans="1:5">
      <c r="A123" s="68">
        <v>0.387017</v>
      </c>
      <c r="B123" s="68">
        <v>0.31467600000000001</v>
      </c>
      <c r="C123" s="68">
        <v>49.201700000000002</v>
      </c>
      <c r="D123" s="68">
        <v>2</v>
      </c>
      <c r="E123" s="68" t="s">
        <v>474</v>
      </c>
    </row>
    <row r="124" spans="1:5">
      <c r="A124" s="68">
        <v>0.388291</v>
      </c>
      <c r="B124" s="68">
        <v>0.31541799999999998</v>
      </c>
      <c r="C124" s="68">
        <v>49.609400000000001</v>
      </c>
      <c r="D124" s="68">
        <v>2</v>
      </c>
      <c r="E124" s="68" t="s">
        <v>475</v>
      </c>
    </row>
    <row r="125" spans="1:5">
      <c r="A125" s="68">
        <v>0.38936399999999999</v>
      </c>
      <c r="B125" s="68">
        <v>0.31659399999999999</v>
      </c>
      <c r="C125" s="68">
        <v>50.016300000000001</v>
      </c>
      <c r="D125" s="68">
        <v>2</v>
      </c>
      <c r="E125" s="68" t="s">
        <v>476</v>
      </c>
    </row>
    <row r="126" spans="1:5">
      <c r="A126" s="68">
        <v>0.38993499999999998</v>
      </c>
      <c r="B126" s="68">
        <v>0.31664700000000001</v>
      </c>
      <c r="C126" s="68">
        <v>50.421199999999999</v>
      </c>
      <c r="D126" s="68">
        <v>2</v>
      </c>
      <c r="E126" s="68" t="s">
        <v>477</v>
      </c>
    </row>
    <row r="127" spans="1:5">
      <c r="A127" s="68">
        <v>0.39040900000000001</v>
      </c>
      <c r="B127" s="68">
        <v>0.31676500000000002</v>
      </c>
      <c r="C127" s="68">
        <v>50.826099999999997</v>
      </c>
      <c r="D127" s="68">
        <v>2</v>
      </c>
      <c r="E127" s="68" t="s">
        <v>478</v>
      </c>
    </row>
    <row r="128" spans="1:5">
      <c r="A128" s="68">
        <v>0.390708</v>
      </c>
      <c r="B128" s="68">
        <v>0.31695600000000002</v>
      </c>
      <c r="C128" s="68">
        <v>51.232300000000002</v>
      </c>
      <c r="D128" s="68">
        <v>2</v>
      </c>
      <c r="E128" s="68" t="s">
        <v>479</v>
      </c>
    </row>
    <row r="129" spans="1:5">
      <c r="A129" s="68">
        <v>0.39113300000000001</v>
      </c>
      <c r="B129" s="68">
        <v>0.31675900000000001</v>
      </c>
      <c r="C129" s="68">
        <v>51.641800000000003</v>
      </c>
      <c r="D129" s="68">
        <v>2</v>
      </c>
      <c r="E129" s="68" t="s">
        <v>480</v>
      </c>
    </row>
    <row r="130" spans="1:5">
      <c r="A130" s="68">
        <v>0.39143899999999998</v>
      </c>
      <c r="B130" s="68">
        <v>0.31682500000000002</v>
      </c>
      <c r="C130" s="68">
        <v>52.046999999999997</v>
      </c>
      <c r="D130" s="68">
        <v>2</v>
      </c>
      <c r="E130" s="68" t="s">
        <v>481</v>
      </c>
    </row>
    <row r="131" spans="1:5">
      <c r="A131" s="68">
        <v>0.39175500000000002</v>
      </c>
      <c r="B131" s="68">
        <v>0.31736999999999999</v>
      </c>
      <c r="C131" s="68">
        <v>52.451799999999999</v>
      </c>
      <c r="D131" s="68">
        <v>2</v>
      </c>
      <c r="E131" s="68" t="s">
        <v>482</v>
      </c>
    </row>
    <row r="132" spans="1:5">
      <c r="A132" s="68">
        <v>0.39195200000000002</v>
      </c>
      <c r="B132" s="68">
        <v>0.31830700000000001</v>
      </c>
      <c r="C132" s="68">
        <v>52.856900000000003</v>
      </c>
      <c r="D132" s="68">
        <v>2</v>
      </c>
      <c r="E132" s="68" t="s">
        <v>483</v>
      </c>
    </row>
    <row r="133" spans="1:5">
      <c r="A133" s="68">
        <v>0.39236100000000002</v>
      </c>
      <c r="B133" s="68">
        <v>0.319133</v>
      </c>
      <c r="C133" s="68">
        <v>53.263500000000001</v>
      </c>
      <c r="D133" s="68">
        <v>2</v>
      </c>
      <c r="E133" s="68" t="s">
        <v>484</v>
      </c>
    </row>
    <row r="134" spans="1:5">
      <c r="A134" s="68">
        <v>0.39326499999999998</v>
      </c>
      <c r="B134" s="68">
        <v>0.31988899999999998</v>
      </c>
      <c r="C134" s="68">
        <v>53.669699999999999</v>
      </c>
      <c r="D134" s="68">
        <v>2</v>
      </c>
      <c r="E134" s="68" t="s">
        <v>485</v>
      </c>
    </row>
    <row r="135" spans="1:5">
      <c r="A135" s="68">
        <v>0.39434000000000002</v>
      </c>
      <c r="B135" s="68">
        <v>0.32057200000000002</v>
      </c>
      <c r="C135" s="68">
        <v>54.078400000000002</v>
      </c>
      <c r="D135" s="68">
        <v>2</v>
      </c>
      <c r="E135" s="68" t="s">
        <v>486</v>
      </c>
    </row>
    <row r="136" spans="1:5">
      <c r="A136" s="68">
        <v>0.39528000000000002</v>
      </c>
      <c r="B136" s="68">
        <v>0.32238800000000001</v>
      </c>
      <c r="C136" s="68">
        <v>54.485300000000002</v>
      </c>
      <c r="D136" s="68">
        <v>2</v>
      </c>
      <c r="E136" s="68" t="s">
        <v>487</v>
      </c>
    </row>
    <row r="137" spans="1:5">
      <c r="A137" s="68">
        <v>0.396428</v>
      </c>
      <c r="B137" s="68">
        <v>0.32367099999999999</v>
      </c>
      <c r="C137" s="68">
        <v>54.887700000000002</v>
      </c>
      <c r="D137" s="68">
        <v>2</v>
      </c>
      <c r="E137" s="68" t="s">
        <v>488</v>
      </c>
    </row>
    <row r="138" spans="1:5">
      <c r="A138" s="68">
        <v>0.39768199999999998</v>
      </c>
      <c r="B138" s="68">
        <v>0.32461600000000002</v>
      </c>
      <c r="C138" s="68">
        <v>55.294199999999996</v>
      </c>
      <c r="D138" s="68">
        <v>2</v>
      </c>
      <c r="E138" s="68" t="s">
        <v>489</v>
      </c>
    </row>
    <row r="139" spans="1:5">
      <c r="A139" s="68">
        <v>0.39875899999999997</v>
      </c>
      <c r="B139" s="68">
        <v>0.32684800000000003</v>
      </c>
      <c r="C139" s="68">
        <v>55.701099999999997</v>
      </c>
      <c r="D139" s="68">
        <v>2</v>
      </c>
      <c r="E139" s="68" t="s">
        <v>490</v>
      </c>
    </row>
    <row r="140" spans="1:5">
      <c r="A140" s="68">
        <v>0.399254</v>
      </c>
      <c r="B140" s="68">
        <v>0.32971299999999998</v>
      </c>
      <c r="C140" s="68">
        <v>56.112200000000001</v>
      </c>
      <c r="D140" s="68">
        <v>2</v>
      </c>
      <c r="E140" s="68" t="s">
        <v>491</v>
      </c>
    </row>
    <row r="141" spans="1:5">
      <c r="A141" s="68">
        <v>0.39991300000000002</v>
      </c>
      <c r="B141" s="68">
        <v>0.333011</v>
      </c>
      <c r="C141" s="68">
        <v>56.5199</v>
      </c>
      <c r="D141" s="68">
        <v>2</v>
      </c>
      <c r="E141" s="68" t="s">
        <v>492</v>
      </c>
    </row>
    <row r="142" spans="1:5">
      <c r="A142" s="68">
        <v>0.40086100000000002</v>
      </c>
      <c r="B142" s="68">
        <v>0.33414199999999999</v>
      </c>
      <c r="C142" s="68">
        <v>56.921900000000001</v>
      </c>
      <c r="D142" s="68">
        <v>2</v>
      </c>
      <c r="E142" s="68" t="s">
        <v>493</v>
      </c>
    </row>
    <row r="143" spans="1:5">
      <c r="A143" s="68">
        <v>0.40190300000000001</v>
      </c>
      <c r="B143" s="68">
        <v>0.33470699999999998</v>
      </c>
      <c r="C143" s="68">
        <v>57.326900000000002</v>
      </c>
      <c r="D143" s="68">
        <v>2</v>
      </c>
      <c r="E143" s="68" t="s">
        <v>494</v>
      </c>
    </row>
    <row r="144" spans="1:5">
      <c r="A144" s="68">
        <v>0.40256399999999998</v>
      </c>
      <c r="B144" s="68">
        <v>0.33607900000000002</v>
      </c>
      <c r="C144" s="68">
        <v>57.734699999999997</v>
      </c>
      <c r="D144" s="68">
        <v>2</v>
      </c>
      <c r="E144" s="68" t="s">
        <v>495</v>
      </c>
    </row>
    <row r="145" spans="1:5">
      <c r="A145" s="68">
        <v>0.40328399999999998</v>
      </c>
      <c r="B145" s="68">
        <v>0.33612900000000001</v>
      </c>
      <c r="C145" s="68">
        <v>58.142600000000002</v>
      </c>
      <c r="D145" s="68">
        <v>2</v>
      </c>
      <c r="E145" s="68" t="s">
        <v>496</v>
      </c>
    </row>
    <row r="146" spans="1:5">
      <c r="A146" s="68">
        <v>0.40498800000000001</v>
      </c>
      <c r="B146" s="68">
        <v>0.33393099999999998</v>
      </c>
      <c r="C146" s="68">
        <v>58.548400000000001</v>
      </c>
      <c r="D146" s="68">
        <v>2</v>
      </c>
      <c r="E146" s="68" t="s">
        <v>497</v>
      </c>
    </row>
    <row r="147" spans="1:5">
      <c r="A147" s="68">
        <v>0.40660499999999999</v>
      </c>
      <c r="B147" s="68">
        <v>0.33148499999999997</v>
      </c>
      <c r="C147" s="68">
        <v>58.952599999999997</v>
      </c>
      <c r="D147" s="68">
        <v>2</v>
      </c>
      <c r="E147" s="68" t="s">
        <v>498</v>
      </c>
    </row>
    <row r="148" spans="1:5">
      <c r="A148" s="68">
        <v>0.40617599999999998</v>
      </c>
      <c r="B148" s="68">
        <v>0.33403100000000002</v>
      </c>
      <c r="C148" s="68">
        <v>59.3583</v>
      </c>
      <c r="D148" s="68">
        <v>2</v>
      </c>
      <c r="E148" s="68" t="s">
        <v>499</v>
      </c>
    </row>
    <row r="149" spans="1:5">
      <c r="A149" s="68">
        <v>0.40329100000000001</v>
      </c>
      <c r="B149" s="68">
        <v>0.33903699999999998</v>
      </c>
      <c r="C149" s="68">
        <v>59.762599999999999</v>
      </c>
      <c r="D149" s="68">
        <v>2</v>
      </c>
      <c r="E149" s="68" t="s">
        <v>500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350</v>
      </c>
      <c r="B1" s="66" t="s">
        <v>501</v>
      </c>
      <c r="C1" s="66" t="s">
        <v>503</v>
      </c>
      <c r="D1" s="66" t="s">
        <v>504</v>
      </c>
      <c r="E1" s="66" t="s">
        <v>505</v>
      </c>
      <c r="F1" s="66" t="s">
        <v>506</v>
      </c>
      <c r="G1" s="66" t="s">
        <v>294</v>
      </c>
      <c r="H1" s="66" t="s">
        <v>507</v>
      </c>
      <c r="I1" s="66" t="s">
        <v>508</v>
      </c>
      <c r="J1" s="66" t="s">
        <v>509</v>
      </c>
      <c r="K1" s="66" t="s">
        <v>510</v>
      </c>
      <c r="L1" s="66" t="s">
        <v>511</v>
      </c>
      <c r="M1" s="66" t="s">
        <v>512</v>
      </c>
      <c r="N1" s="66"/>
    </row>
    <row r="2" spans="1:14">
      <c r="A2" s="75">
        <v>43615.683217592596</v>
      </c>
      <c r="B2" s="66" t="s">
        <v>502</v>
      </c>
      <c r="C2" s="66"/>
      <c r="D2" s="66"/>
      <c r="E2" s="66">
        <v>4.9234099999999996</v>
      </c>
      <c r="F2" s="66">
        <v>1.8378399999999999</v>
      </c>
      <c r="G2" s="66">
        <v>0.67752900000000005</v>
      </c>
      <c r="H2" s="66">
        <v>0</v>
      </c>
      <c r="I2" s="66">
        <v>111412</v>
      </c>
      <c r="J2" s="66">
        <v>119</v>
      </c>
      <c r="K2" s="66">
        <v>119</v>
      </c>
      <c r="L2" s="66">
        <v>0</v>
      </c>
      <c r="M2" s="66" t="s">
        <v>513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2019-05-30T08:24:34Z</cp:lastPrinted>
  <dcterms:created xsi:type="dcterms:W3CDTF">2010-10-29T12:53:05Z</dcterms:created>
  <dcterms:modified xsi:type="dcterms:W3CDTF">2019-05-30T08:24:46Z</dcterms:modified>
</cp:coreProperties>
</file>