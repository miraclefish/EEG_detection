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<sst xmlns="http://schemas.openxmlformats.org/spreadsheetml/2006/main" count="701" uniqueCount="516">
  <si>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</si>
  <si>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</si>
  <si>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</si>
  <si>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</si>
  <si>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</si>
  <si>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</si>
  <si>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</si>
  <si>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</si>
  <si>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</si>
  <si>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</si>
  <si>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</si>
  <si>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</si>
  <si>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</si>
  <si>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</si>
  <si>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</si>
  <si>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</si>
  <si>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</si>
  <si>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</si>
  <si>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</si>
  <si>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</si>
  <si>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</si>
  <si>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</si>
  <si>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</si>
  <si>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</si>
  <si>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</si>
  <si>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</si>
  <si>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</si>
  <si>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</si>
  <si>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</si>
  <si>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</si>
  <si>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</si>
  <si>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</si>
  <si>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</si>
  <si>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</si>
  <si>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</si>
  <si>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</si>
  <si>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</si>
  <si>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</si>
  <si>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</si>
  <si>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</si>
  <si>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</si>
  <si>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</si>
  <si>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</si>
  <si>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</si>
  <si>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</si>
  <si>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</si>
  <si>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</si>
  <si>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</si>
  <si>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</si>
  <si>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</si>
  <si>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</si>
  <si>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</si>
  <si>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</si>
  <si>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</si>
  <si>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</si>
  <si>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</si>
  <si>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</si>
  <si>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</si>
  <si>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</si>
  <si>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</si>
  <si>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</si>
  <si>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</si>
  <si>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</si>
  <si>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</si>
  <si>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</si>
  <si>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</si>
  <si>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</si>
  <si>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</si>
  <si>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</si>
  <si>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</si>
  <si>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</si>
  <si>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</si>
  <si>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</si>
  <si>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</si>
  <si>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</si>
  <si>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</si>
  <si>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</si>
  <si>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</si>
  <si>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</si>
  <si>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</si>
  <si>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</si>
  <si>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</si>
  <si>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</si>
  <si>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</si>
  <si>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</si>
  <si>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</si>
  <si>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</si>
  <si>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</si>
  <si>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</si>
  <si>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</si>
  <si>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</si>
  <si>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</si>
  <si>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</si>
  <si>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</si>
  <si>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</si>
  <si>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</si>
  <si>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</si>
  <si>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</si>
  <si>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</si>
  <si>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</si>
  <si>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</si>
  <si>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</si>
  <si>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</si>
  <si>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</si>
  <si>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</si>
  <si>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</si>
  <si>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</si>
  <si>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</si>
  <si>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</si>
  <si>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</si>
  <si>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</si>
  <si>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</si>
  <si>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</si>
  <si>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</si>
  <si>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</si>
  <si>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</si>
  <si>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</si>
  <si>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</si>
  <si>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</si>
  <si>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</si>
  <si>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</si>
  <si>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</si>
  <si>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</si>
  <si>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</si>
  <si>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</si>
  <si>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</si>
  <si>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</si>
  <si>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</si>
  <si>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</si>
  <si>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</si>
  <si>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</si>
  <si>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</si>
  <si>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</si>
  <si>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</si>
  <si>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</si>
  <si>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</si>
  <si>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</si>
  <si>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</si>
  <si>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</si>
  <si>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</si>
  <si>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</si>
  <si>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</si>
  <si>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</si>
  <si>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</si>
  <si>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</si>
  <si>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</si>
  <si>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</si>
  <si>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</si>
  <si>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</si>
  <si>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</si>
  <si>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</si>
  <si>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</si>
  <si>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</si>
  <si>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</si>
  <si>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</si>
  <si>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</si>
  <si>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</si>
  <si>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</si>
  <si>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</si>
  <si>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</si>
  <si>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</si>
  <si>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</si>
  <si>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</si>
  <si>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</si>
  <si>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</si>
  <si>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</si>
  <si>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</si>
  <si>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</si>
  <si>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</si>
  <si>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</si>
  <si>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</si>
  <si>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</si>
  <si>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</si>
  <si>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</si>
  <si>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</si>
  <si>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</si>
  <si>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</si>
  <si>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</si>
  <si>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</si>
  <si>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</si>
  <si>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</si>
  <si>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</si>
  <si>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</si>
  <si>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</si>
  <si>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</si>
  <si>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</si>
  <si>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</si>
  <si>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</si>
  <si>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</si>
  <si>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</si>
  <si>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</si>
  <si>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</si>
  <si>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</si>
  <si>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</si>
  <si>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</si>
  <si>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</si>
  <si>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</si>
  <si>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</si>
  <si>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</si>
  <si>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</si>
  <si>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</si>
  <si>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</si>
  <si>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</si>
  <si>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</si>
  <si>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</si>
  <si>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</si>
  <si>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</si>
  <si>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</si>
  <si>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</si>
  <si>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</si>
  <si>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</si>
  <si>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</si>
  <si>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</si>
  <si>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</si>
  <si>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</si>
  <si>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</si>
  <si>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</si>
  <si>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</si>
  <si>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</si>
  <si>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</si>
  <si>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</si>
  <si>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</si>
  <si>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</si>
  <si>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</si>
  <si>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</si>
  <si>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</si>
  <si>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</si>
  <si>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</si>
  <si>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</si>
  <si>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</si>
  <si>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</si>
  <si>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</si>
  <si>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</si>
  <si>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</si>
  <si>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</si>
  <si>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</si>
  <si>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</si>
  <si>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</si>
  <si>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</si>
  <si>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</si>
  <si>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</si>
  <si>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</si>
  <si>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</si>
  <si>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</si>
  <si>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</si>
  <si>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</si>
  <si>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</si>
  <si>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</si>
  <si>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</si>
  <si>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</si>
  <si>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</si>
  <si>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</si>
  <si>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</si>
  <si>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</si>
  <si>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</si>
  <si>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</si>
  <si>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</si>
  <si>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</si>
  <si>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</si>
  <si>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</si>
  <si>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</si>
  <si>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</si>
  <si>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</si>
  <si>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</si>
  <si>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</si>
  <si>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</si>
  <si>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</si>
  <si>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</si>
  <si>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</si>
  <si>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</si>
  <si>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</si>
  <si>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</si>
  <si>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</si>
  <si>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</si>
  <si>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</si>
  <si>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</si>
  <si>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</si>
  <si>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</si>
  <si>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</si>
  <si>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</si>
  <si>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</si>
  <si>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</si>
  <si>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</si>
  <si>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</si>
  <si>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</si>
  <si>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</si>
  <si>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</si>
  <si>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</si>
  <si>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</si>
  <si>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</si>
  <si>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</si>
  <si>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</si>
  <si>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</si>
  <si>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</si>
  <si>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</si>
  <si>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</si>
  <si>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</si>
  <si>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</si>
  <si>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</si>
  <si>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</si>
  <si>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</si>
  <si>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</si>
  <si>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</si>
  <si>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</si>
  <si>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</si>
  <si>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</si>
  <si>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</si>
  <si>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</si>
  <si>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</si>
  <si>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</si>
  <si>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</si>
  <si>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</si>
  <si>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</si>
  <si>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</si>
  <si>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</si>
  <si>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</si>
  <si>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</si>
  <si>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</si>
  <si>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</si>
  <si>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</si>
  <si>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</si>
  <si>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</si>
  <si>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</si>
  <si>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</si>
  <si>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</si>
  <si>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</si>
  <si>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</si>
  <si>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</si>
  <si>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</si>
  <si>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</si>
  <si>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</si>
  <si>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</si>
  <si>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</si>
  <si>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</si>
  <si>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</si>
  <si>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</si>
  <si>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</si>
  <si>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</si>
  <si>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</si>
  <si>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</si>
  <si>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</si>
  <si>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</si>
  <si>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</si>
  <si>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</si>
  <si>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</si>
  <si>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</si>
  <si>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</si>
  <si>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</si>
  <si>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</si>
  <si>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</si>
  <si>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</si>
  <si>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</si>
  <si>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</si>
  <si>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</si>
  <si>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</si>
  <si>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[0.403979]</t>
  </si>
  <si>
    <t>1 [0.811828]</t>
  </si>
  <si>
    <t>1 [1.218885]</t>
  </si>
  <si>
    <t>1 [1.625574]</t>
  </si>
  <si>
    <t>1 [2.031822]</t>
  </si>
  <si>
    <t>1 [2.434924]</t>
  </si>
  <si>
    <t>1 [2.844400]</t>
  </si>
  <si>
    <t>1 [3.251197]</t>
  </si>
  <si>
    <t>1 [3.657091]</t>
  </si>
  <si>
    <t>1 [4.059200]</t>
  </si>
  <si>
    <t>1 [4.466118]</t>
  </si>
  <si>
    <t>1 [4.869060]</t>
  </si>
  <si>
    <t>1 [5.280845]</t>
  </si>
  <si>
    <t>1 [5.686744]</t>
  </si>
  <si>
    <t>1 [6.090704]</t>
  </si>
  <si>
    <t>1 [6.496659]</t>
  </si>
  <si>
    <t>1 [6.904654]</t>
  </si>
  <si>
    <t>1 [7.308445]</t>
  </si>
  <si>
    <t>1 [7.716352]</t>
  </si>
  <si>
    <t>1 [8.125187]</t>
  </si>
  <si>
    <t>1 [8.526825]</t>
  </si>
  <si>
    <t>1 [8.934068]</t>
  </si>
  <si>
    <t>1 [9.343338]</t>
  </si>
  <si>
    <t>1 [9.747958]</t>
  </si>
  <si>
    <t>1 [10.156901]</t>
  </si>
  <si>
    <t>1 [10.564633]</t>
  </si>
  <si>
    <t>1 [10.969571]</t>
  </si>
  <si>
    <t>1 [11.372528]</t>
  </si>
  <si>
    <t>1 [11.781512]</t>
  </si>
  <si>
    <t>1 [12.188397]</t>
  </si>
  <si>
    <t>1 [12.592277]</t>
  </si>
  <si>
    <t>1 [12.996832]</t>
  </si>
  <si>
    <t>1 [13.404100]</t>
  </si>
  <si>
    <t>1 [13.810426]</t>
  </si>
  <si>
    <t>1 [14.215932]</t>
  </si>
  <si>
    <t>1 [14.622778]</t>
  </si>
  <si>
    <t>1 [15.030765]</t>
  </si>
  <si>
    <t>1 [15.438713]</t>
  </si>
  <si>
    <t>1 [15.842685]</t>
  </si>
  <si>
    <t>1 [16.249476]</t>
  </si>
  <si>
    <t>1 [16.656658]</t>
  </si>
  <si>
    <t>1 [17.061345]</t>
  </si>
  <si>
    <t>1 [17.468372]</t>
  </si>
  <si>
    <t>1 [17.875123]</t>
  </si>
  <si>
    <t>1 [18.281035]</t>
  </si>
  <si>
    <t>1 [18.684960]</t>
  </si>
  <si>
    <t>1 [19.097828]</t>
  </si>
  <si>
    <t>1 [19.495315]</t>
  </si>
  <si>
    <t>1 [19.907694]</t>
  </si>
  <si>
    <t>1 [20.312612]</t>
  </si>
  <si>
    <t>1 [20.712574]</t>
  </si>
  <si>
    <t>1 [21.122485]</t>
  </si>
  <si>
    <t>1 [21.530388]</t>
  </si>
  <si>
    <t>1 [21.935635]</t>
  </si>
  <si>
    <t>1 [22.345273]</t>
  </si>
  <si>
    <t>1 [22.752129]</t>
  </si>
  <si>
    <t>1 [23.156014]</t>
  </si>
  <si>
    <t>1 [23.560194]</t>
  </si>
  <si>
    <t>1 [23.966873]</t>
  </si>
  <si>
    <t>1 [24.370960]</t>
  </si>
  <si>
    <t>1 [24.780722]</t>
  </si>
  <si>
    <t>1 [25.186641]</t>
  </si>
  <si>
    <t>1 [25.592665]</t>
  </si>
  <si>
    <t>1 [25.994461]</t>
  </si>
  <si>
    <t>1 [26.404343]</t>
  </si>
  <si>
    <t>1 [26.812306]</t>
  </si>
  <si>
    <t>1 [27.220182]</t>
  </si>
  <si>
    <t>1 [27.624393]</t>
  </si>
  <si>
    <t>1 [28.027480]</t>
  </si>
  <si>
    <t>1 [28.432192]</t>
  </si>
  <si>
    <t>1 [28.840013]</t>
  </si>
  <si>
    <t>1 [29.251215]</t>
  </si>
  <si>
    <t>1 [29.654692]</t>
  </si>
  <si>
    <t>2 [30.062659]</t>
  </si>
  <si>
    <t>2 [30.465478]</t>
  </si>
  <si>
    <t>2 [30.874462]</t>
  </si>
  <si>
    <t>2 [31.279600]</t>
  </si>
  <si>
    <t>2 [31.687170]</t>
  </si>
  <si>
    <t>2 [32.095296]</t>
  </si>
  <si>
    <t>2 [32.500013]</t>
  </si>
  <si>
    <t>2 [32.905915]</t>
  </si>
  <si>
    <t>2 [33.312035]</t>
  </si>
  <si>
    <t>2 [33.716822]</t>
  </si>
  <si>
    <t>2 [34.122713]</t>
  </si>
  <si>
    <t>2 [34.532605]</t>
  </si>
  <si>
    <t>2 [34.935481]</t>
  </si>
  <si>
    <t>2 [35.340405]</t>
  </si>
  <si>
    <t>2 [35.747362]</t>
  </si>
  <si>
    <t>2 [36.154226]</t>
  </si>
  <si>
    <t>2 [36.558117]</t>
  </si>
  <si>
    <t>2 [36.966095]</t>
  </si>
  <si>
    <t>2 [37.376259]</t>
  </si>
  <si>
    <t>2 [37.779886]</t>
  </si>
  <si>
    <t>2 [38.184830]</t>
  </si>
  <si>
    <t>2 [38.590840]</t>
  </si>
  <si>
    <t>2 [38.998722]</t>
  </si>
  <si>
    <t>2 [39.405484]</t>
  </si>
  <si>
    <t>2 [39.811895]</t>
  </si>
  <si>
    <t>2 [40.217430]</t>
  </si>
  <si>
    <t>2 [40.624410]</t>
  </si>
  <si>
    <t>2 [41.029227]</t>
  </si>
  <si>
    <t>2 [41.437109]</t>
  </si>
  <si>
    <t>2 [41.846015]</t>
  </si>
  <si>
    <t>2 [42.247131]</t>
  </si>
  <si>
    <t>2 [42.654884]</t>
  </si>
  <si>
    <t>2 [43.063789]</t>
  </si>
  <si>
    <t>2 [43.462751]</t>
  </si>
  <si>
    <t>2 [43.871922]</t>
  </si>
  <si>
    <t>2 [44.281542]</t>
  </si>
  <si>
    <t>2 [44.687591]</t>
  </si>
  <si>
    <t>2 [45.092301]</t>
  </si>
  <si>
    <t>2 [45.499264]</t>
  </si>
  <si>
    <t>2 [45.904522]</t>
  </si>
  <si>
    <t>2 [46.310393]</t>
  </si>
  <si>
    <t>2 [46.719062]</t>
  </si>
  <si>
    <t>2 [47.120132]</t>
  </si>
  <si>
    <t>2 [47.529891]</t>
  </si>
  <si>
    <t>2 [47.936004]</t>
  </si>
  <si>
    <t>2 [48.342760]</t>
  </si>
  <si>
    <t>2 [48.746643]</t>
  </si>
  <si>
    <t>2 [49.158481]</t>
  </si>
  <si>
    <t>2 [49.561348]</t>
  </si>
  <si>
    <t>2 [49.966254]</t>
  </si>
  <si>
    <t>2 [50.375192]</t>
  </si>
  <si>
    <t>2 [50.780147]</t>
  </si>
  <si>
    <t>2 [51.187174]</t>
  </si>
  <si>
    <t>2 [51.594138]</t>
  </si>
  <si>
    <t>2 [52.000829]</t>
  </si>
  <si>
    <t>2 [52.405782]</t>
  </si>
  <si>
    <t>2 [52.811704]</t>
  </si>
  <si>
    <t>2 [53.217732]</t>
  </si>
  <si>
    <t>2 [53.625517]</t>
  </si>
  <si>
    <t>2 [54.030435]</t>
  </si>
  <si>
    <t>2 [54.436330]</t>
  </si>
  <si>
    <t>2 [54.841251]</t>
  </si>
  <si>
    <t>2 [55.247313]</t>
  </si>
  <si>
    <t>2 [55.657084]</t>
  </si>
  <si>
    <t>2 [56.066006]</t>
  </si>
  <si>
    <t>2 [56.468963]</t>
  </si>
  <si>
    <t>2 [56.874907]</t>
  </si>
  <si>
    <t>2 [57.277800]</t>
  </si>
  <si>
    <t>2 [57.686663]</t>
  </si>
  <si>
    <t>2 [58.090562]</t>
  </si>
  <si>
    <t>2 [58.499270]</t>
  </si>
  <si>
    <t>2 [58.902404]</t>
  </si>
  <si>
    <t>2 [59.312429]</t>
  </si>
  <si>
    <t>2 [59.719353]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</si>
  <si>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</si>
  <si>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</si>
  <si>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</si>
  <si>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</si>
  <si>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</si>
  <si>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</si>
  <si>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</si>
  <si>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</si>
  <si>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</si>
  <si>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</si>
  <si>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</si>
  <si>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</si>
  <si>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</si>
  <si>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王林芝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</si>
</sst>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40.038600000000002</c:v>
                </c:pt>
                <c:pt idx="1">
                  <c:v>20.5425</c:v>
                </c:pt>
                <c:pt idx="2">
                  <c:v>21.092700000000001</c:v>
                </c:pt>
                <c:pt idx="3">
                  <c:v>27.467099999999999</c:v>
                </c:pt>
                <c:pt idx="4">
                  <c:v>54.133800000000001</c:v>
                </c:pt>
                <c:pt idx="5">
                  <c:v>83.9709</c:v>
                </c:pt>
                <c:pt idx="6">
                  <c:v>20.112100000000002</c:v>
                </c:pt>
                <c:pt idx="7">
                  <c:v>68.492900000000006</c:v>
                </c:pt>
                <c:pt idx="8">
                  <c:v>22.969899999999999</c:v>
                </c:pt>
                <c:pt idx="9">
                  <c:v>28.537099999999999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0.51658233541734744</c:v>
                </c:pt>
                <c:pt idx="1">
                  <c:v>0.24868923125720324</c:v>
                </c:pt>
                <c:pt idx="2">
                  <c:v>0.23472843332544935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1870</c:v>
                </c:pt>
                <c:pt idx="7">
                  <c:v>0</c:v>
                </c:pt>
                <c:pt idx="8">
                  <c:v>2269</c:v>
                </c:pt>
                <c:pt idx="9">
                  <c:v>0</c:v>
                </c:pt>
                <c:pt idx="10">
                  <c:v>0</c:v>
                </c:pt>
                <c:pt idx="11">
                  <c:v>5684</c:v>
                </c:pt>
                <c:pt idx="12">
                  <c:v>0</c:v>
                </c:pt>
                <c:pt idx="13">
                  <c:v>7619</c:v>
                </c:pt>
                <c:pt idx="14">
                  <c:v>0</c:v>
                </c:pt>
                <c:pt idx="15">
                  <c:v>0</c:v>
                </c:pt>
                <c:pt idx="16">
                  <c:v>10794</c:v>
                </c:pt>
                <c:pt idx="17">
                  <c:v>0</c:v>
                </c:pt>
                <c:pt idx="18">
                  <c:v>0</c:v>
                </c:pt>
                <c:pt idx="19">
                  <c:v>15373</c:v>
                </c:pt>
                <c:pt idx="20">
                  <c:v>0</c:v>
                </c:pt>
                <c:pt idx="21">
                  <c:v>20697</c:v>
                </c:pt>
                <c:pt idx="22">
                  <c:v>0</c:v>
                </c:pt>
                <c:pt idx="23">
                  <c:v>0</c:v>
                </c:pt>
                <c:pt idx="24">
                  <c:v>23620</c:v>
                </c:pt>
                <c:pt idx="25">
                  <c:v>0</c:v>
                </c:pt>
                <c:pt idx="26">
                  <c:v>31058</c:v>
                </c:pt>
                <c:pt idx="27">
                  <c:v>0</c:v>
                </c:pt>
                <c:pt idx="28">
                  <c:v>0</c:v>
                </c:pt>
                <c:pt idx="29">
                  <c:v>37553</c:v>
                </c:pt>
                <c:pt idx="30">
                  <c:v>0</c:v>
                </c:pt>
                <c:pt idx="31">
                  <c:v>48530</c:v>
                </c:pt>
                <c:pt idx="32">
                  <c:v>0</c:v>
                </c:pt>
                <c:pt idx="33">
                  <c:v>0</c:v>
                </c:pt>
                <c:pt idx="34">
                  <c:v>66383</c:v>
                </c:pt>
                <c:pt idx="35">
                  <c:v>0</c:v>
                </c:pt>
                <c:pt idx="36">
                  <c:v>0</c:v>
                </c:pt>
                <c:pt idx="37">
                  <c:v>63592</c:v>
                </c:pt>
                <c:pt idx="38">
                  <c:v>0</c:v>
                </c:pt>
                <c:pt idx="39">
                  <c:v>78917</c:v>
                </c:pt>
                <c:pt idx="40">
                  <c:v>0</c:v>
                </c:pt>
                <c:pt idx="41">
                  <c:v>0</c:v>
                </c:pt>
                <c:pt idx="42">
                  <c:v>91656</c:v>
                </c:pt>
                <c:pt idx="43">
                  <c:v>0</c:v>
                </c:pt>
                <c:pt idx="44">
                  <c:v>100573</c:v>
                </c:pt>
                <c:pt idx="45">
                  <c:v>0</c:v>
                </c:pt>
                <c:pt idx="46">
                  <c:v>0</c:v>
                </c:pt>
                <c:pt idx="47">
                  <c:v>109683</c:v>
                </c:pt>
                <c:pt idx="48">
                  <c:v>0</c:v>
                </c:pt>
                <c:pt idx="49">
                  <c:v>124237</c:v>
                </c:pt>
                <c:pt idx="50">
                  <c:v>0</c:v>
                </c:pt>
                <c:pt idx="51">
                  <c:v>0</c:v>
                </c:pt>
                <c:pt idx="52">
                  <c:v>140406</c:v>
                </c:pt>
                <c:pt idx="53">
                  <c:v>0</c:v>
                </c:pt>
                <c:pt idx="54">
                  <c:v>0</c:v>
                </c:pt>
                <c:pt idx="55">
                  <c:v>143533</c:v>
                </c:pt>
                <c:pt idx="56">
                  <c:v>0</c:v>
                </c:pt>
                <c:pt idx="57">
                  <c:v>166898</c:v>
                </c:pt>
                <c:pt idx="58">
                  <c:v>0</c:v>
                </c:pt>
                <c:pt idx="59">
                  <c:v>0</c:v>
                </c:pt>
                <c:pt idx="60">
                  <c:v>186948</c:v>
                </c:pt>
                <c:pt idx="61">
                  <c:v>0</c:v>
                </c:pt>
                <c:pt idx="62">
                  <c:v>204695</c:v>
                </c:pt>
                <c:pt idx="63">
                  <c:v>0</c:v>
                </c:pt>
                <c:pt idx="64">
                  <c:v>0</c:v>
                </c:pt>
                <c:pt idx="65">
                  <c:v>220536</c:v>
                </c:pt>
                <c:pt idx="66">
                  <c:v>0</c:v>
                </c:pt>
                <c:pt idx="67">
                  <c:v>211636</c:v>
                </c:pt>
                <c:pt idx="68">
                  <c:v>0</c:v>
                </c:pt>
                <c:pt idx="69">
                  <c:v>0</c:v>
                </c:pt>
                <c:pt idx="70">
                  <c:v>222100</c:v>
                </c:pt>
                <c:pt idx="71">
                  <c:v>0</c:v>
                </c:pt>
                <c:pt idx="72">
                  <c:v>0</c:v>
                </c:pt>
                <c:pt idx="73">
                  <c:v>238422</c:v>
                </c:pt>
                <c:pt idx="74">
                  <c:v>0</c:v>
                </c:pt>
                <c:pt idx="75">
                  <c:v>236220</c:v>
                </c:pt>
                <c:pt idx="76">
                  <c:v>0</c:v>
                </c:pt>
                <c:pt idx="77">
                  <c:v>0</c:v>
                </c:pt>
                <c:pt idx="78">
                  <c:v>239436</c:v>
                </c:pt>
                <c:pt idx="79">
                  <c:v>0</c:v>
                </c:pt>
                <c:pt idx="80">
                  <c:v>235197</c:v>
                </c:pt>
                <c:pt idx="81">
                  <c:v>0</c:v>
                </c:pt>
                <c:pt idx="82">
                  <c:v>0</c:v>
                </c:pt>
                <c:pt idx="83">
                  <c:v>237481</c:v>
                </c:pt>
                <c:pt idx="84">
                  <c:v>0</c:v>
                </c:pt>
                <c:pt idx="85">
                  <c:v>0</c:v>
                </c:pt>
                <c:pt idx="86">
                  <c:v>241893</c:v>
                </c:pt>
                <c:pt idx="87">
                  <c:v>0</c:v>
                </c:pt>
                <c:pt idx="88">
                  <c:v>235171</c:v>
                </c:pt>
                <c:pt idx="89">
                  <c:v>0</c:v>
                </c:pt>
                <c:pt idx="90">
                  <c:v>0</c:v>
                </c:pt>
                <c:pt idx="91">
                  <c:v>217856</c:v>
                </c:pt>
                <c:pt idx="92">
                  <c:v>0</c:v>
                </c:pt>
                <c:pt idx="93">
                  <c:v>200667</c:v>
                </c:pt>
                <c:pt idx="94">
                  <c:v>0</c:v>
                </c:pt>
                <c:pt idx="95">
                  <c:v>0</c:v>
                </c:pt>
                <c:pt idx="96">
                  <c:v>175287</c:v>
                </c:pt>
                <c:pt idx="97">
                  <c:v>0</c:v>
                </c:pt>
                <c:pt idx="98">
                  <c:v>158096</c:v>
                </c:pt>
                <c:pt idx="99">
                  <c:v>0</c:v>
                </c:pt>
                <c:pt idx="100">
                  <c:v>0</c:v>
                </c:pt>
                <c:pt idx="101">
                  <c:v>149346</c:v>
                </c:pt>
                <c:pt idx="102">
                  <c:v>0</c:v>
                </c:pt>
                <c:pt idx="103">
                  <c:v>0</c:v>
                </c:pt>
                <c:pt idx="104">
                  <c:v>126746</c:v>
                </c:pt>
                <c:pt idx="105">
                  <c:v>0</c:v>
                </c:pt>
                <c:pt idx="106">
                  <c:v>109919</c:v>
                </c:pt>
                <c:pt idx="107">
                  <c:v>0</c:v>
                </c:pt>
                <c:pt idx="108">
                  <c:v>0</c:v>
                </c:pt>
                <c:pt idx="109">
                  <c:v>93429</c:v>
                </c:pt>
                <c:pt idx="110">
                  <c:v>0</c:v>
                </c:pt>
                <c:pt idx="111">
                  <c:v>87185</c:v>
                </c:pt>
                <c:pt idx="112">
                  <c:v>0</c:v>
                </c:pt>
                <c:pt idx="113">
                  <c:v>0</c:v>
                </c:pt>
                <c:pt idx="114">
                  <c:v>76559</c:v>
                </c:pt>
                <c:pt idx="115">
                  <c:v>0</c:v>
                </c:pt>
                <c:pt idx="116">
                  <c:v>64573</c:v>
                </c:pt>
                <c:pt idx="117">
                  <c:v>0</c:v>
                </c:pt>
                <c:pt idx="118">
                  <c:v>0</c:v>
                </c:pt>
                <c:pt idx="119">
                  <c:v>65451</c:v>
                </c:pt>
                <c:pt idx="120">
                  <c:v>0</c:v>
                </c:pt>
                <c:pt idx="121">
                  <c:v>0</c:v>
                </c:pt>
                <c:pt idx="122">
                  <c:v>56805</c:v>
                </c:pt>
                <c:pt idx="123">
                  <c:v>0</c:v>
                </c:pt>
                <c:pt idx="124">
                  <c:v>49233</c:v>
                </c:pt>
                <c:pt idx="125">
                  <c:v>0</c:v>
                </c:pt>
                <c:pt idx="126">
                  <c:v>0</c:v>
                </c:pt>
                <c:pt idx="127">
                  <c:v>44167</c:v>
                </c:pt>
                <c:pt idx="128">
                  <c:v>0</c:v>
                </c:pt>
                <c:pt idx="129">
                  <c:v>37422</c:v>
                </c:pt>
                <c:pt idx="130">
                  <c:v>0</c:v>
                </c:pt>
                <c:pt idx="131">
                  <c:v>0</c:v>
                </c:pt>
                <c:pt idx="132">
                  <c:v>32339</c:v>
                </c:pt>
                <c:pt idx="133">
                  <c:v>0</c:v>
                </c:pt>
                <c:pt idx="134">
                  <c:v>29118</c:v>
                </c:pt>
                <c:pt idx="135">
                  <c:v>0</c:v>
                </c:pt>
                <c:pt idx="136">
                  <c:v>0</c:v>
                </c:pt>
                <c:pt idx="137">
                  <c:v>26344</c:v>
                </c:pt>
                <c:pt idx="138">
                  <c:v>0</c:v>
                </c:pt>
                <c:pt idx="139">
                  <c:v>0</c:v>
                </c:pt>
                <c:pt idx="140">
                  <c:v>29631</c:v>
                </c:pt>
                <c:pt idx="141">
                  <c:v>0</c:v>
                </c:pt>
                <c:pt idx="142">
                  <c:v>26253</c:v>
                </c:pt>
                <c:pt idx="143">
                  <c:v>0</c:v>
                </c:pt>
                <c:pt idx="144">
                  <c:v>0</c:v>
                </c:pt>
                <c:pt idx="145">
                  <c:v>27368</c:v>
                </c:pt>
                <c:pt idx="146">
                  <c:v>0</c:v>
                </c:pt>
                <c:pt idx="147">
                  <c:v>26376</c:v>
                </c:pt>
                <c:pt idx="148">
                  <c:v>0</c:v>
                </c:pt>
                <c:pt idx="149">
                  <c:v>0</c:v>
                </c:pt>
                <c:pt idx="150">
                  <c:v>28002</c:v>
                </c:pt>
                <c:pt idx="151">
                  <c:v>0</c:v>
                </c:pt>
                <c:pt idx="152">
                  <c:v>28301</c:v>
                </c:pt>
                <c:pt idx="153">
                  <c:v>0</c:v>
                </c:pt>
                <c:pt idx="154">
                  <c:v>0</c:v>
                </c:pt>
                <c:pt idx="155">
                  <c:v>22787</c:v>
                </c:pt>
                <c:pt idx="156">
                  <c:v>0</c:v>
                </c:pt>
                <c:pt idx="157">
                  <c:v>0</c:v>
                </c:pt>
                <c:pt idx="158">
                  <c:v>23946</c:v>
                </c:pt>
                <c:pt idx="159">
                  <c:v>0</c:v>
                </c:pt>
                <c:pt idx="160">
                  <c:v>23398</c:v>
                </c:pt>
                <c:pt idx="161">
                  <c:v>0</c:v>
                </c:pt>
                <c:pt idx="162">
                  <c:v>0</c:v>
                </c:pt>
                <c:pt idx="163">
                  <c:v>24531</c:v>
                </c:pt>
                <c:pt idx="164">
                  <c:v>0</c:v>
                </c:pt>
                <c:pt idx="165">
                  <c:v>25882</c:v>
                </c:pt>
                <c:pt idx="166">
                  <c:v>0</c:v>
                </c:pt>
                <c:pt idx="167">
                  <c:v>0</c:v>
                </c:pt>
                <c:pt idx="168">
                  <c:v>25566</c:v>
                </c:pt>
                <c:pt idx="169">
                  <c:v>0</c:v>
                </c:pt>
                <c:pt idx="170">
                  <c:v>0</c:v>
                </c:pt>
                <c:pt idx="171">
                  <c:v>24126</c:v>
                </c:pt>
                <c:pt idx="172">
                  <c:v>0</c:v>
                </c:pt>
                <c:pt idx="173">
                  <c:v>25636</c:v>
                </c:pt>
                <c:pt idx="174">
                  <c:v>0</c:v>
                </c:pt>
                <c:pt idx="175">
                  <c:v>0</c:v>
                </c:pt>
                <c:pt idx="176">
                  <c:v>27728</c:v>
                </c:pt>
                <c:pt idx="177">
                  <c:v>0</c:v>
                </c:pt>
                <c:pt idx="178">
                  <c:v>27727</c:v>
                </c:pt>
                <c:pt idx="179">
                  <c:v>0</c:v>
                </c:pt>
                <c:pt idx="180">
                  <c:v>0</c:v>
                </c:pt>
                <c:pt idx="181">
                  <c:v>26272</c:v>
                </c:pt>
                <c:pt idx="182">
                  <c:v>0</c:v>
                </c:pt>
                <c:pt idx="183">
                  <c:v>19134</c:v>
                </c:pt>
                <c:pt idx="184">
                  <c:v>0</c:v>
                </c:pt>
                <c:pt idx="185">
                  <c:v>0</c:v>
                </c:pt>
                <c:pt idx="186">
                  <c:v>18111</c:v>
                </c:pt>
                <c:pt idx="187">
                  <c:v>0</c:v>
                </c:pt>
                <c:pt idx="188">
                  <c:v>0</c:v>
                </c:pt>
                <c:pt idx="189">
                  <c:v>16487</c:v>
                </c:pt>
                <c:pt idx="190">
                  <c:v>0</c:v>
                </c:pt>
                <c:pt idx="191">
                  <c:v>10276</c:v>
                </c:pt>
                <c:pt idx="192">
                  <c:v>0</c:v>
                </c:pt>
                <c:pt idx="193">
                  <c:v>0</c:v>
                </c:pt>
                <c:pt idx="194">
                  <c:v>8510</c:v>
                </c:pt>
                <c:pt idx="195">
                  <c:v>0</c:v>
                </c:pt>
                <c:pt idx="196">
                  <c:v>8256</c:v>
                </c:pt>
                <c:pt idx="197">
                  <c:v>0</c:v>
                </c:pt>
                <c:pt idx="198">
                  <c:v>0</c:v>
                </c:pt>
                <c:pt idx="199">
                  <c:v>5001</c:v>
                </c:pt>
                <c:pt idx="200">
                  <c:v>0</c:v>
                </c:pt>
                <c:pt idx="201">
                  <c:v>3379</c:v>
                </c:pt>
                <c:pt idx="202">
                  <c:v>0</c:v>
                </c:pt>
                <c:pt idx="203">
                  <c:v>0</c:v>
                </c:pt>
                <c:pt idx="204">
                  <c:v>924</c:v>
                </c:pt>
                <c:pt idx="205">
                  <c:v>0</c:v>
                </c:pt>
                <c:pt idx="206">
                  <c:v>0</c:v>
                </c:pt>
                <c:pt idx="207">
                  <c:v>700</c:v>
                </c:pt>
                <c:pt idx="208">
                  <c:v>0</c:v>
                </c:pt>
                <c:pt idx="209">
                  <c:v>503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2.0219800000000001</c:v>
                </c:pt>
                <c:pt idx="1">
                  <c:v>2.0805199999999999</c:v>
                </c:pt>
                <c:pt idx="2">
                  <c:v>2.1417900000000003</c:v>
                </c:pt>
                <c:pt idx="3">
                  <c:v>2.20208</c:v>
                </c:pt>
                <c:pt idx="4">
                  <c:v>2.26166</c:v>
                </c:pt>
                <c:pt idx="5">
                  <c:v>2.3198699999999999</c:v>
                </c:pt>
                <c:pt idx="6">
                  <c:v>2.37826</c:v>
                </c:pt>
                <c:pt idx="7">
                  <c:v>2.4355099999999998</c:v>
                </c:pt>
                <c:pt idx="8">
                  <c:v>2.4931900000000002</c:v>
                </c:pt>
                <c:pt idx="9">
                  <c:v>2.5531999999999999</c:v>
                </c:pt>
                <c:pt idx="10">
                  <c:v>2.6117900000000001</c:v>
                </c:pt>
                <c:pt idx="11">
                  <c:v>2.6692399999999998</c:v>
                </c:pt>
                <c:pt idx="12">
                  <c:v>2.7260800000000001</c:v>
                </c:pt>
                <c:pt idx="13">
                  <c:v>2.7814299999999998</c:v>
                </c:pt>
                <c:pt idx="14">
                  <c:v>2.8367900000000001</c:v>
                </c:pt>
                <c:pt idx="15">
                  <c:v>2.8927199999999997</c:v>
                </c:pt>
                <c:pt idx="16">
                  <c:v>2.9479199999999999</c:v>
                </c:pt>
                <c:pt idx="17">
                  <c:v>3.00176</c:v>
                </c:pt>
                <c:pt idx="18">
                  <c:v>3.0491800000000002</c:v>
                </c:pt>
                <c:pt idx="19">
                  <c:v>3.0898300000000001</c:v>
                </c:pt>
                <c:pt idx="20">
                  <c:v>3.1283400000000001</c:v>
                </c:pt>
                <c:pt idx="21">
                  <c:v>3.1676900000000003</c:v>
                </c:pt>
                <c:pt idx="22">
                  <c:v>3.2048100000000002</c:v>
                </c:pt>
                <c:pt idx="23">
                  <c:v>3.2437</c:v>
                </c:pt>
                <c:pt idx="24">
                  <c:v>3.2808299999999999</c:v>
                </c:pt>
                <c:pt idx="25">
                  <c:v>3.3124399999999996</c:v>
                </c:pt>
                <c:pt idx="26">
                  <c:v>3.3384</c:v>
                </c:pt>
                <c:pt idx="27">
                  <c:v>3.3569800000000001</c:v>
                </c:pt>
                <c:pt idx="28">
                  <c:v>3.3712900000000001</c:v>
                </c:pt>
                <c:pt idx="29">
                  <c:v>3.3795299999999999</c:v>
                </c:pt>
                <c:pt idx="30">
                  <c:v>3.3842600000000003</c:v>
                </c:pt>
                <c:pt idx="31">
                  <c:v>3.3867799999999999</c:v>
                </c:pt>
                <c:pt idx="32">
                  <c:v>3.38686</c:v>
                </c:pt>
                <c:pt idx="33">
                  <c:v>3.3832899999999997</c:v>
                </c:pt>
                <c:pt idx="34">
                  <c:v>3.3750799999999996</c:v>
                </c:pt>
                <c:pt idx="35">
                  <c:v>3.3652500000000001</c:v>
                </c:pt>
                <c:pt idx="36">
                  <c:v>3.3547799999999999</c:v>
                </c:pt>
                <c:pt idx="37">
                  <c:v>3.34476</c:v>
                </c:pt>
                <c:pt idx="38">
                  <c:v>3.3351700000000002</c:v>
                </c:pt>
                <c:pt idx="39">
                  <c:v>3.32606</c:v>
                </c:pt>
                <c:pt idx="40">
                  <c:v>3.3138899999999998</c:v>
                </c:pt>
                <c:pt idx="41">
                  <c:v>3.30138</c:v>
                </c:pt>
                <c:pt idx="42">
                  <c:v>3.2891599999999999</c:v>
                </c:pt>
                <c:pt idx="43">
                  <c:v>3.2753800000000002</c:v>
                </c:pt>
                <c:pt idx="44">
                  <c:v>3.2636599999999998</c:v>
                </c:pt>
                <c:pt idx="45">
                  <c:v>3.2525900000000001</c:v>
                </c:pt>
                <c:pt idx="46">
                  <c:v>3.2363</c:v>
                </c:pt>
                <c:pt idx="47">
                  <c:v>3.2202700000000002</c:v>
                </c:pt>
                <c:pt idx="48">
                  <c:v>3.2000600000000001</c:v>
                </c:pt>
                <c:pt idx="49">
                  <c:v>3.17699</c:v>
                </c:pt>
                <c:pt idx="50">
                  <c:v>3.1565099999999999</c:v>
                </c:pt>
                <c:pt idx="51">
                  <c:v>3.13964</c:v>
                </c:pt>
                <c:pt idx="52">
                  <c:v>3.12819</c:v>
                </c:pt>
                <c:pt idx="53">
                  <c:v>3.1206200000000002</c:v>
                </c:pt>
                <c:pt idx="54">
                  <c:v>3.11795</c:v>
                </c:pt>
                <c:pt idx="55">
                  <c:v>3.1186199999999999</c:v>
                </c:pt>
                <c:pt idx="56">
                  <c:v>3.1205500000000002</c:v>
                </c:pt>
                <c:pt idx="57">
                  <c:v>3.12453</c:v>
                </c:pt>
                <c:pt idx="58">
                  <c:v>3.1300299999999996</c:v>
                </c:pt>
                <c:pt idx="59">
                  <c:v>3.1360900000000003</c:v>
                </c:pt>
                <c:pt idx="60">
                  <c:v>3.14506</c:v>
                </c:pt>
                <c:pt idx="61">
                  <c:v>3.1550000000000002</c:v>
                </c:pt>
                <c:pt idx="62">
                  <c:v>3.1633299999999998</c:v>
                </c:pt>
                <c:pt idx="63">
                  <c:v>3.1711899999999997</c:v>
                </c:pt>
                <c:pt idx="64">
                  <c:v>3.1771199999999999</c:v>
                </c:pt>
                <c:pt idx="65">
                  <c:v>3.1838199999999999</c:v>
                </c:pt>
                <c:pt idx="66">
                  <c:v>3.18933</c:v>
                </c:pt>
                <c:pt idx="67">
                  <c:v>3.1952999999999996</c:v>
                </c:pt>
                <c:pt idx="68">
                  <c:v>3.20533</c:v>
                </c:pt>
                <c:pt idx="69">
                  <c:v>3.2170800000000002</c:v>
                </c:pt>
                <c:pt idx="70">
                  <c:v>3.2278899999999999</c:v>
                </c:pt>
                <c:pt idx="71">
                  <c:v>3.23936</c:v>
                </c:pt>
                <c:pt idx="72">
                  <c:v>3.2508300000000001</c:v>
                </c:pt>
                <c:pt idx="73">
                  <c:v>3.2577800000000003</c:v>
                </c:pt>
                <c:pt idx="74">
                  <c:v>3.2621199999999999</c:v>
                </c:pt>
                <c:pt idx="75">
                  <c:v>3.2656099999999997</c:v>
                </c:pt>
                <c:pt idx="76">
                  <c:v>3.2693499999999998</c:v>
                </c:pt>
                <c:pt idx="77">
                  <c:v>3.2729799999999996</c:v>
                </c:pt>
                <c:pt idx="78">
                  <c:v>3.2798400000000001</c:v>
                </c:pt>
                <c:pt idx="79">
                  <c:v>3.2894800000000002</c:v>
                </c:pt>
                <c:pt idx="80">
                  <c:v>3.2993899999999998</c:v>
                </c:pt>
                <c:pt idx="81">
                  <c:v>3.31162</c:v>
                </c:pt>
                <c:pt idx="82">
                  <c:v>3.3278300000000001</c:v>
                </c:pt>
                <c:pt idx="83">
                  <c:v>3.34843</c:v>
                </c:pt>
                <c:pt idx="84">
                  <c:v>3.3730700000000002</c:v>
                </c:pt>
                <c:pt idx="85">
                  <c:v>3.3992099999999996</c:v>
                </c:pt>
                <c:pt idx="86">
                  <c:v>3.4265400000000001</c:v>
                </c:pt>
                <c:pt idx="87">
                  <c:v>3.45208</c:v>
                </c:pt>
                <c:pt idx="88">
                  <c:v>3.4768700000000003</c:v>
                </c:pt>
                <c:pt idx="89">
                  <c:v>3.5008400000000002</c:v>
                </c:pt>
                <c:pt idx="90">
                  <c:v>3.5244599999999999</c:v>
                </c:pt>
                <c:pt idx="91">
                  <c:v>3.5491999999999999</c:v>
                </c:pt>
                <c:pt idx="92">
                  <c:v>3.57375</c:v>
                </c:pt>
                <c:pt idx="93">
                  <c:v>3.5990199999999999</c:v>
                </c:pt>
                <c:pt idx="94">
                  <c:v>3.6244800000000001</c:v>
                </c:pt>
                <c:pt idx="95">
                  <c:v>3.6531799999999999</c:v>
                </c:pt>
                <c:pt idx="96">
                  <c:v>3.6832599999999998</c:v>
                </c:pt>
                <c:pt idx="97">
                  <c:v>3.7139800000000003</c:v>
                </c:pt>
                <c:pt idx="98">
                  <c:v>3.74552</c:v>
                </c:pt>
                <c:pt idx="99">
                  <c:v>3.7765900000000001</c:v>
                </c:pt>
                <c:pt idx="100">
                  <c:v>3.8079800000000001</c:v>
                </c:pt>
                <c:pt idx="101">
                  <c:v>3.8378800000000002</c:v>
                </c:pt>
                <c:pt idx="102">
                  <c:v>3.8628499999999999</c:v>
                </c:pt>
                <c:pt idx="103">
                  <c:v>3.8817400000000002</c:v>
                </c:pt>
                <c:pt idx="104">
                  <c:v>3.8966799999999999</c:v>
                </c:pt>
                <c:pt idx="105">
                  <c:v>3.9093899999999997</c:v>
                </c:pt>
                <c:pt idx="106">
                  <c:v>3.9192100000000001</c:v>
                </c:pt>
                <c:pt idx="107">
                  <c:v>3.9253100000000001</c:v>
                </c:pt>
                <c:pt idx="108">
                  <c:v>3.92706</c:v>
                </c:pt>
                <c:pt idx="109">
                  <c:v>3.92517</c:v>
                </c:pt>
                <c:pt idx="110">
                  <c:v>3.9201700000000002</c:v>
                </c:pt>
                <c:pt idx="111">
                  <c:v>3.9120700000000004</c:v>
                </c:pt>
                <c:pt idx="112">
                  <c:v>3.9028900000000002</c:v>
                </c:pt>
                <c:pt idx="113">
                  <c:v>3.8928699999999998</c:v>
                </c:pt>
                <c:pt idx="114">
                  <c:v>3.8815300000000001</c:v>
                </c:pt>
                <c:pt idx="115">
                  <c:v>3.8695200000000001</c:v>
                </c:pt>
                <c:pt idx="116">
                  <c:v>3.8565300000000002</c:v>
                </c:pt>
                <c:pt idx="117">
                  <c:v>3.8434200000000001</c:v>
                </c:pt>
                <c:pt idx="118">
                  <c:v>3.8288600000000002</c:v>
                </c:pt>
                <c:pt idx="119">
                  <c:v>3.8131700000000004</c:v>
                </c:pt>
                <c:pt idx="120">
                  <c:v>3.7957999999999998</c:v>
                </c:pt>
                <c:pt idx="121">
                  <c:v>3.77658</c:v>
                </c:pt>
                <c:pt idx="122">
                  <c:v>3.7546900000000001</c:v>
                </c:pt>
                <c:pt idx="123">
                  <c:v>3.7355300000000002</c:v>
                </c:pt>
                <c:pt idx="124">
                  <c:v>3.71976</c:v>
                </c:pt>
                <c:pt idx="125">
                  <c:v>3.7019400000000005</c:v>
                </c:pt>
                <c:pt idx="126">
                  <c:v>3.6839200000000001</c:v>
                </c:pt>
                <c:pt idx="127">
                  <c:v>3.6695499999999996</c:v>
                </c:pt>
                <c:pt idx="128">
                  <c:v>3.6593</c:v>
                </c:pt>
                <c:pt idx="129">
                  <c:v>3.6513400000000003</c:v>
                </c:pt>
                <c:pt idx="130">
                  <c:v>3.6452800000000001</c:v>
                </c:pt>
                <c:pt idx="131">
                  <c:v>3.6405599999999998</c:v>
                </c:pt>
                <c:pt idx="132">
                  <c:v>3.63713</c:v>
                </c:pt>
                <c:pt idx="133">
                  <c:v>3.6354899999999999</c:v>
                </c:pt>
                <c:pt idx="134">
                  <c:v>3.63334</c:v>
                </c:pt>
                <c:pt idx="135">
                  <c:v>3.6306899999999995</c:v>
                </c:pt>
                <c:pt idx="136">
                  <c:v>3.6288999999999998</c:v>
                </c:pt>
                <c:pt idx="137">
                  <c:v>3.6301099999999997</c:v>
                </c:pt>
                <c:pt idx="138">
                  <c:v>3.6317399999999997</c:v>
                </c:pt>
                <c:pt idx="139">
                  <c:v>3.6374899999999997</c:v>
                </c:pt>
                <c:pt idx="140">
                  <c:v>3.6437199999999996</c:v>
                </c:pt>
                <c:pt idx="141">
                  <c:v>3.6485300000000001</c:v>
                </c:pt>
                <c:pt idx="142">
                  <c:v>3.6513499999999999</c:v>
                </c:pt>
                <c:pt idx="143">
                  <c:v>3.65679</c:v>
                </c:pt>
                <c:pt idx="144">
                  <c:v>3.6640899999999998</c:v>
                </c:pt>
                <c:pt idx="145">
                  <c:v>3.6598700000000002</c:v>
                </c:pt>
                <c:pt idx="146">
                  <c:v>3.657</c:v>
                </c:pt>
                <c:pt idx="147">
                  <c:v>3.6727599999999998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60.566200000000002</c:v>
                </c:pt>
                <c:pt idx="1">
                  <c:v>59.7136</c:v>
                </c:pt>
                <c:pt idx="2">
                  <c:v>58.682000000000002</c:v>
                </c:pt>
                <c:pt idx="3">
                  <c:v>57.4848</c:v>
                </c:pt>
                <c:pt idx="4">
                  <c:v>56.180500000000002</c:v>
                </c:pt>
                <c:pt idx="5">
                  <c:v>54.831300000000006</c:v>
                </c:pt>
                <c:pt idx="6">
                  <c:v>53.502499999999998</c:v>
                </c:pt>
                <c:pt idx="7">
                  <c:v>52.224899999999998</c:v>
                </c:pt>
                <c:pt idx="8">
                  <c:v>50.905999999999999</c:v>
                </c:pt>
                <c:pt idx="9">
                  <c:v>49.486599999999996</c:v>
                </c:pt>
                <c:pt idx="10">
                  <c:v>48.208800000000004</c:v>
                </c:pt>
                <c:pt idx="11">
                  <c:v>47.0563</c:v>
                </c:pt>
                <c:pt idx="12">
                  <c:v>45.879399999999997</c:v>
                </c:pt>
                <c:pt idx="13">
                  <c:v>44.7395</c:v>
                </c:pt>
                <c:pt idx="14">
                  <c:v>43.674199999999999</c:v>
                </c:pt>
                <c:pt idx="15">
                  <c:v>42.540099999999995</c:v>
                </c:pt>
                <c:pt idx="16">
                  <c:v>41.529899999999998</c:v>
                </c:pt>
                <c:pt idx="17">
                  <c:v>40.742400000000004</c:v>
                </c:pt>
                <c:pt idx="18">
                  <c:v>40.032400000000003</c:v>
                </c:pt>
                <c:pt idx="19">
                  <c:v>39.343600000000002</c:v>
                </c:pt>
                <c:pt idx="20">
                  <c:v>38.738900000000001</c:v>
                </c:pt>
                <c:pt idx="21">
                  <c:v>38.139899999999997</c:v>
                </c:pt>
                <c:pt idx="22">
                  <c:v>37.591799999999999</c:v>
                </c:pt>
                <c:pt idx="23">
                  <c:v>37.011099999999999</c:v>
                </c:pt>
                <c:pt idx="24">
                  <c:v>36.440300000000001</c:v>
                </c:pt>
                <c:pt idx="25">
                  <c:v>35.901899999999998</c:v>
                </c:pt>
                <c:pt idx="26">
                  <c:v>35.392600000000002</c:v>
                </c:pt>
                <c:pt idx="27">
                  <c:v>34.901499999999999</c:v>
                </c:pt>
                <c:pt idx="28">
                  <c:v>34.499299999999998</c:v>
                </c:pt>
                <c:pt idx="29">
                  <c:v>34.079700000000003</c:v>
                </c:pt>
                <c:pt idx="30">
                  <c:v>33.618400000000001</c:v>
                </c:pt>
                <c:pt idx="31">
                  <c:v>33.140099999999997</c:v>
                </c:pt>
                <c:pt idx="32">
                  <c:v>32.713300000000004</c:v>
                </c:pt>
                <c:pt idx="33">
                  <c:v>32.406500000000001</c:v>
                </c:pt>
                <c:pt idx="34">
                  <c:v>32.170100000000005</c:v>
                </c:pt>
                <c:pt idx="35">
                  <c:v>31.9757</c:v>
                </c:pt>
                <c:pt idx="36">
                  <c:v>31.7668</c:v>
                </c:pt>
                <c:pt idx="37">
                  <c:v>31.699400000000001</c:v>
                </c:pt>
                <c:pt idx="38">
                  <c:v>31.722299999999997</c:v>
                </c:pt>
                <c:pt idx="39">
                  <c:v>31.804100000000002</c:v>
                </c:pt>
                <c:pt idx="40">
                  <c:v>32.017000000000003</c:v>
                </c:pt>
                <c:pt idx="41">
                  <c:v>32.209299999999999</c:v>
                </c:pt>
                <c:pt idx="42">
                  <c:v>32.340000000000003</c:v>
                </c:pt>
                <c:pt idx="43">
                  <c:v>32.564700000000002</c:v>
                </c:pt>
                <c:pt idx="44">
                  <c:v>32.787399999999998</c:v>
                </c:pt>
                <c:pt idx="45">
                  <c:v>33.022100000000002</c:v>
                </c:pt>
                <c:pt idx="46">
                  <c:v>33.311900000000001</c:v>
                </c:pt>
                <c:pt idx="47">
                  <c:v>33.537499999999994</c:v>
                </c:pt>
                <c:pt idx="48">
                  <c:v>33.782600000000002</c:v>
                </c:pt>
                <c:pt idx="49">
                  <c:v>34.060099999999998</c:v>
                </c:pt>
                <c:pt idx="50">
                  <c:v>34.290900000000001</c:v>
                </c:pt>
                <c:pt idx="51">
                  <c:v>34.497999999999998</c:v>
                </c:pt>
                <c:pt idx="52">
                  <c:v>34.633000000000003</c:v>
                </c:pt>
                <c:pt idx="53">
                  <c:v>34.765299999999996</c:v>
                </c:pt>
                <c:pt idx="54">
                  <c:v>34.888599999999997</c:v>
                </c:pt>
                <c:pt idx="55">
                  <c:v>35.0274</c:v>
                </c:pt>
                <c:pt idx="56">
                  <c:v>35.140599999999999</c:v>
                </c:pt>
                <c:pt idx="57">
                  <c:v>35.242899999999999</c:v>
                </c:pt>
                <c:pt idx="58">
                  <c:v>35.330199999999998</c:v>
                </c:pt>
                <c:pt idx="59">
                  <c:v>35.380299999999998</c:v>
                </c:pt>
                <c:pt idx="60">
                  <c:v>35.327100000000002</c:v>
                </c:pt>
                <c:pt idx="61">
                  <c:v>35.337899999999998</c:v>
                </c:pt>
                <c:pt idx="62">
                  <c:v>35.369099999999996</c:v>
                </c:pt>
                <c:pt idx="63">
                  <c:v>35.388799999999996</c:v>
                </c:pt>
                <c:pt idx="64">
                  <c:v>35.418100000000003</c:v>
                </c:pt>
                <c:pt idx="65">
                  <c:v>35.451000000000001</c:v>
                </c:pt>
                <c:pt idx="66">
                  <c:v>35.469799999999999</c:v>
                </c:pt>
                <c:pt idx="67">
                  <c:v>35.442900000000002</c:v>
                </c:pt>
                <c:pt idx="68">
                  <c:v>35.436099999999996</c:v>
                </c:pt>
                <c:pt idx="69">
                  <c:v>35.446600000000004</c:v>
                </c:pt>
                <c:pt idx="70">
                  <c:v>35.455199999999998</c:v>
                </c:pt>
                <c:pt idx="71">
                  <c:v>35.477499999999999</c:v>
                </c:pt>
                <c:pt idx="72">
                  <c:v>35.603400000000001</c:v>
                </c:pt>
                <c:pt idx="73">
                  <c:v>35.802399999999999</c:v>
                </c:pt>
                <c:pt idx="74">
                  <c:v>35.972300000000004</c:v>
                </c:pt>
                <c:pt idx="75">
                  <c:v>36.1875</c:v>
                </c:pt>
                <c:pt idx="76">
                  <c:v>36.392699999999998</c:v>
                </c:pt>
                <c:pt idx="77">
                  <c:v>36.5212</c:v>
                </c:pt>
                <c:pt idx="78">
                  <c:v>36.600100000000005</c:v>
                </c:pt>
                <c:pt idx="79">
                  <c:v>36.717799999999997</c:v>
                </c:pt>
                <c:pt idx="80">
                  <c:v>36.9358</c:v>
                </c:pt>
                <c:pt idx="81">
                  <c:v>37.140599999999999</c:v>
                </c:pt>
                <c:pt idx="82">
                  <c:v>37.308700000000002</c:v>
                </c:pt>
                <c:pt idx="83">
                  <c:v>37.429200000000002</c:v>
                </c:pt>
                <c:pt idx="84">
                  <c:v>37.498199999999997</c:v>
                </c:pt>
                <c:pt idx="85">
                  <c:v>37.645000000000003</c:v>
                </c:pt>
                <c:pt idx="86">
                  <c:v>37.801099999999998</c:v>
                </c:pt>
                <c:pt idx="87">
                  <c:v>37.981300000000005</c:v>
                </c:pt>
                <c:pt idx="88">
                  <c:v>38.167200000000001</c:v>
                </c:pt>
                <c:pt idx="89">
                  <c:v>38.339800000000004</c:v>
                </c:pt>
                <c:pt idx="90">
                  <c:v>38.524500000000003</c:v>
                </c:pt>
                <c:pt idx="91">
                  <c:v>38.7121</c:v>
                </c:pt>
                <c:pt idx="92">
                  <c:v>38.915199999999999</c:v>
                </c:pt>
                <c:pt idx="93">
                  <c:v>39.031999999999996</c:v>
                </c:pt>
                <c:pt idx="94">
                  <c:v>39.174799999999998</c:v>
                </c:pt>
                <c:pt idx="95">
                  <c:v>39.235199999999999</c:v>
                </c:pt>
                <c:pt idx="96">
                  <c:v>39.316499999999998</c:v>
                </c:pt>
                <c:pt idx="97">
                  <c:v>39.297900000000006</c:v>
                </c:pt>
                <c:pt idx="98">
                  <c:v>39.377899999999997</c:v>
                </c:pt>
                <c:pt idx="99">
                  <c:v>39.473500000000001</c:v>
                </c:pt>
                <c:pt idx="100">
                  <c:v>39.610399999999998</c:v>
                </c:pt>
                <c:pt idx="101">
                  <c:v>39.752600000000001</c:v>
                </c:pt>
                <c:pt idx="102">
                  <c:v>39.943400000000004</c:v>
                </c:pt>
                <c:pt idx="103">
                  <c:v>40.034700000000001</c:v>
                </c:pt>
                <c:pt idx="104">
                  <c:v>40.018700000000003</c:v>
                </c:pt>
                <c:pt idx="105">
                  <c:v>39.886600000000001</c:v>
                </c:pt>
                <c:pt idx="106">
                  <c:v>39.7164</c:v>
                </c:pt>
                <c:pt idx="107">
                  <c:v>39.449400000000004</c:v>
                </c:pt>
                <c:pt idx="108">
                  <c:v>39.084699999999998</c:v>
                </c:pt>
                <c:pt idx="109">
                  <c:v>38.709600000000002</c:v>
                </c:pt>
                <c:pt idx="110">
                  <c:v>38.216899999999995</c:v>
                </c:pt>
                <c:pt idx="111">
                  <c:v>37.670400000000001</c:v>
                </c:pt>
                <c:pt idx="112">
                  <c:v>37.052900000000001</c:v>
                </c:pt>
                <c:pt idx="113">
                  <c:v>36.4527</c:v>
                </c:pt>
                <c:pt idx="114">
                  <c:v>35.868299999999998</c:v>
                </c:pt>
                <c:pt idx="115">
                  <c:v>35.287800000000004</c:v>
                </c:pt>
                <c:pt idx="116">
                  <c:v>34.793600000000005</c:v>
                </c:pt>
                <c:pt idx="117">
                  <c:v>34.349299999999999</c:v>
                </c:pt>
                <c:pt idx="118">
                  <c:v>33.949300000000001</c:v>
                </c:pt>
                <c:pt idx="119">
                  <c:v>33.592799999999997</c:v>
                </c:pt>
                <c:pt idx="120">
                  <c:v>33.3474</c:v>
                </c:pt>
                <c:pt idx="121">
                  <c:v>33.145499999999998</c:v>
                </c:pt>
                <c:pt idx="122">
                  <c:v>33.042999999999999</c:v>
                </c:pt>
                <c:pt idx="123">
                  <c:v>32.978499999999997</c:v>
                </c:pt>
                <c:pt idx="124">
                  <c:v>32.842700000000001</c:v>
                </c:pt>
                <c:pt idx="125">
                  <c:v>32.710099999999997</c:v>
                </c:pt>
                <c:pt idx="126">
                  <c:v>32.640900000000002</c:v>
                </c:pt>
                <c:pt idx="127">
                  <c:v>32.576899999999995</c:v>
                </c:pt>
                <c:pt idx="128">
                  <c:v>32.558100000000003</c:v>
                </c:pt>
                <c:pt idx="129">
                  <c:v>32.564399999999999</c:v>
                </c:pt>
                <c:pt idx="130">
                  <c:v>32.579700000000003</c:v>
                </c:pt>
                <c:pt idx="131">
                  <c:v>32.611699999999999</c:v>
                </c:pt>
                <c:pt idx="132">
                  <c:v>32.681399999999996</c:v>
                </c:pt>
                <c:pt idx="133">
                  <c:v>32.774000000000001</c:v>
                </c:pt>
                <c:pt idx="134">
                  <c:v>32.846899999999998</c:v>
                </c:pt>
                <c:pt idx="135">
                  <c:v>32.976499999999994</c:v>
                </c:pt>
                <c:pt idx="136">
                  <c:v>33.1068</c:v>
                </c:pt>
                <c:pt idx="137">
                  <c:v>33.332599999999999</c:v>
                </c:pt>
                <c:pt idx="138">
                  <c:v>33.578499999999998</c:v>
                </c:pt>
                <c:pt idx="139">
                  <c:v>33.877600000000001</c:v>
                </c:pt>
                <c:pt idx="140">
                  <c:v>34.166999999999994</c:v>
                </c:pt>
                <c:pt idx="141">
                  <c:v>34.380500000000005</c:v>
                </c:pt>
                <c:pt idx="142">
                  <c:v>34.613500000000002</c:v>
                </c:pt>
                <c:pt idx="143">
                  <c:v>34.936099999999996</c:v>
                </c:pt>
                <c:pt idx="144">
                  <c:v>35.193799999999996</c:v>
                </c:pt>
                <c:pt idx="145">
                  <c:v>35.5002</c:v>
                </c:pt>
                <c:pt idx="146">
                  <c:v>35.695399999999999</c:v>
                </c:pt>
                <c:pt idx="147">
                  <c:v>36.179899999999996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2.0219800000000001</c:v>
                </c:pt>
                <c:pt idx="1">
                  <c:v>2.0805199999999999</c:v>
                </c:pt>
                <c:pt idx="2">
                  <c:v>2.1417900000000003</c:v>
                </c:pt>
                <c:pt idx="3">
                  <c:v>2.20208</c:v>
                </c:pt>
                <c:pt idx="4">
                  <c:v>2.26166</c:v>
                </c:pt>
                <c:pt idx="5">
                  <c:v>2.3198699999999999</c:v>
                </c:pt>
                <c:pt idx="6">
                  <c:v>2.37826</c:v>
                </c:pt>
                <c:pt idx="7">
                  <c:v>2.4355099999999998</c:v>
                </c:pt>
                <c:pt idx="8">
                  <c:v>2.4931900000000002</c:v>
                </c:pt>
                <c:pt idx="9">
                  <c:v>2.5531999999999999</c:v>
                </c:pt>
                <c:pt idx="10">
                  <c:v>2.6117900000000001</c:v>
                </c:pt>
                <c:pt idx="11">
                  <c:v>2.6692399999999998</c:v>
                </c:pt>
                <c:pt idx="12">
                  <c:v>2.7260800000000001</c:v>
                </c:pt>
                <c:pt idx="13">
                  <c:v>2.7814299999999998</c:v>
                </c:pt>
                <c:pt idx="14">
                  <c:v>2.8367900000000001</c:v>
                </c:pt>
                <c:pt idx="15">
                  <c:v>2.8927199999999997</c:v>
                </c:pt>
                <c:pt idx="16">
                  <c:v>2.9479199999999999</c:v>
                </c:pt>
                <c:pt idx="17">
                  <c:v>3.00176</c:v>
                </c:pt>
                <c:pt idx="18">
                  <c:v>3.0491800000000002</c:v>
                </c:pt>
                <c:pt idx="19">
                  <c:v>3.0898300000000001</c:v>
                </c:pt>
                <c:pt idx="20">
                  <c:v>3.1283400000000001</c:v>
                </c:pt>
                <c:pt idx="21">
                  <c:v>3.1676900000000003</c:v>
                </c:pt>
                <c:pt idx="22">
                  <c:v>3.2048100000000002</c:v>
                </c:pt>
                <c:pt idx="23">
                  <c:v>3.2437</c:v>
                </c:pt>
                <c:pt idx="24">
                  <c:v>3.2808299999999999</c:v>
                </c:pt>
                <c:pt idx="25">
                  <c:v>3.3124399999999996</c:v>
                </c:pt>
                <c:pt idx="26">
                  <c:v>3.3384</c:v>
                </c:pt>
                <c:pt idx="27">
                  <c:v>3.3569800000000001</c:v>
                </c:pt>
                <c:pt idx="28">
                  <c:v>3.3712900000000001</c:v>
                </c:pt>
                <c:pt idx="29">
                  <c:v>3.3795299999999999</c:v>
                </c:pt>
                <c:pt idx="30">
                  <c:v>3.3842600000000003</c:v>
                </c:pt>
                <c:pt idx="31">
                  <c:v>3.3867799999999999</c:v>
                </c:pt>
                <c:pt idx="32">
                  <c:v>3.38686</c:v>
                </c:pt>
                <c:pt idx="33">
                  <c:v>3.3832899999999997</c:v>
                </c:pt>
                <c:pt idx="34">
                  <c:v>3.3750799999999996</c:v>
                </c:pt>
                <c:pt idx="35">
                  <c:v>3.3652500000000001</c:v>
                </c:pt>
                <c:pt idx="36">
                  <c:v>3.3547799999999999</c:v>
                </c:pt>
                <c:pt idx="37">
                  <c:v>3.34476</c:v>
                </c:pt>
                <c:pt idx="38">
                  <c:v>3.3351700000000002</c:v>
                </c:pt>
                <c:pt idx="39">
                  <c:v>3.32606</c:v>
                </c:pt>
                <c:pt idx="40">
                  <c:v>3.3138899999999998</c:v>
                </c:pt>
                <c:pt idx="41">
                  <c:v>3.30138</c:v>
                </c:pt>
                <c:pt idx="42">
                  <c:v>3.2891599999999999</c:v>
                </c:pt>
                <c:pt idx="43">
                  <c:v>3.2753800000000002</c:v>
                </c:pt>
                <c:pt idx="44">
                  <c:v>3.2636599999999998</c:v>
                </c:pt>
                <c:pt idx="45">
                  <c:v>3.2525900000000001</c:v>
                </c:pt>
                <c:pt idx="46">
                  <c:v>3.2363</c:v>
                </c:pt>
                <c:pt idx="47">
                  <c:v>3.2202700000000002</c:v>
                </c:pt>
                <c:pt idx="48">
                  <c:v>3.2000600000000001</c:v>
                </c:pt>
                <c:pt idx="49">
                  <c:v>3.17699</c:v>
                </c:pt>
                <c:pt idx="50">
                  <c:v>3.1565099999999999</c:v>
                </c:pt>
                <c:pt idx="51">
                  <c:v>3.13964</c:v>
                </c:pt>
                <c:pt idx="52">
                  <c:v>3.12819</c:v>
                </c:pt>
                <c:pt idx="53">
                  <c:v>3.1206200000000002</c:v>
                </c:pt>
                <c:pt idx="54">
                  <c:v>3.11795</c:v>
                </c:pt>
                <c:pt idx="55">
                  <c:v>3.1186199999999999</c:v>
                </c:pt>
                <c:pt idx="56">
                  <c:v>3.1205500000000002</c:v>
                </c:pt>
                <c:pt idx="57">
                  <c:v>3.12453</c:v>
                </c:pt>
                <c:pt idx="58">
                  <c:v>3.1300299999999996</c:v>
                </c:pt>
                <c:pt idx="59">
                  <c:v>3.1360900000000003</c:v>
                </c:pt>
                <c:pt idx="60">
                  <c:v>3.14506</c:v>
                </c:pt>
                <c:pt idx="61">
                  <c:v>3.1550000000000002</c:v>
                </c:pt>
                <c:pt idx="62">
                  <c:v>3.1633299999999998</c:v>
                </c:pt>
                <c:pt idx="63">
                  <c:v>3.1711899999999997</c:v>
                </c:pt>
                <c:pt idx="64">
                  <c:v>3.1771199999999999</c:v>
                </c:pt>
                <c:pt idx="65">
                  <c:v>3.1838199999999999</c:v>
                </c:pt>
                <c:pt idx="66">
                  <c:v>3.18933</c:v>
                </c:pt>
                <c:pt idx="67">
                  <c:v>3.1952999999999996</c:v>
                </c:pt>
                <c:pt idx="68">
                  <c:v>3.20533</c:v>
                </c:pt>
                <c:pt idx="69">
                  <c:v>3.2170800000000002</c:v>
                </c:pt>
                <c:pt idx="70">
                  <c:v>3.2278899999999999</c:v>
                </c:pt>
                <c:pt idx="71">
                  <c:v>3.23936</c:v>
                </c:pt>
                <c:pt idx="72">
                  <c:v>3.2508300000000001</c:v>
                </c:pt>
                <c:pt idx="73">
                  <c:v>3.2577800000000003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60.566200000000002</c:v>
                </c:pt>
                <c:pt idx="1">
                  <c:v>59.7136</c:v>
                </c:pt>
                <c:pt idx="2">
                  <c:v>58.682000000000002</c:v>
                </c:pt>
                <c:pt idx="3">
                  <c:v>57.4848</c:v>
                </c:pt>
                <c:pt idx="4">
                  <c:v>56.180500000000002</c:v>
                </c:pt>
                <c:pt idx="5">
                  <c:v>54.831300000000006</c:v>
                </c:pt>
                <c:pt idx="6">
                  <c:v>53.502499999999998</c:v>
                </c:pt>
                <c:pt idx="7">
                  <c:v>52.224899999999998</c:v>
                </c:pt>
                <c:pt idx="8">
                  <c:v>50.905999999999999</c:v>
                </c:pt>
                <c:pt idx="9">
                  <c:v>49.486599999999996</c:v>
                </c:pt>
                <c:pt idx="10">
                  <c:v>48.208800000000004</c:v>
                </c:pt>
                <c:pt idx="11">
                  <c:v>47.0563</c:v>
                </c:pt>
                <c:pt idx="12">
                  <c:v>45.879399999999997</c:v>
                </c:pt>
                <c:pt idx="13">
                  <c:v>44.7395</c:v>
                </c:pt>
                <c:pt idx="14">
                  <c:v>43.674199999999999</c:v>
                </c:pt>
                <c:pt idx="15">
                  <c:v>42.540099999999995</c:v>
                </c:pt>
                <c:pt idx="16">
                  <c:v>41.529899999999998</c:v>
                </c:pt>
                <c:pt idx="17">
                  <c:v>40.742400000000004</c:v>
                </c:pt>
                <c:pt idx="18">
                  <c:v>40.032400000000003</c:v>
                </c:pt>
                <c:pt idx="19">
                  <c:v>39.343600000000002</c:v>
                </c:pt>
                <c:pt idx="20">
                  <c:v>38.738900000000001</c:v>
                </c:pt>
                <c:pt idx="21">
                  <c:v>38.139899999999997</c:v>
                </c:pt>
                <c:pt idx="22">
                  <c:v>37.591799999999999</c:v>
                </c:pt>
                <c:pt idx="23">
                  <c:v>37.011099999999999</c:v>
                </c:pt>
                <c:pt idx="24">
                  <c:v>36.440300000000001</c:v>
                </c:pt>
                <c:pt idx="25">
                  <c:v>35.901899999999998</c:v>
                </c:pt>
                <c:pt idx="26">
                  <c:v>35.392600000000002</c:v>
                </c:pt>
                <c:pt idx="27">
                  <c:v>34.901499999999999</c:v>
                </c:pt>
                <c:pt idx="28">
                  <c:v>34.499299999999998</c:v>
                </c:pt>
                <c:pt idx="29">
                  <c:v>34.079700000000003</c:v>
                </c:pt>
                <c:pt idx="30">
                  <c:v>33.618400000000001</c:v>
                </c:pt>
                <c:pt idx="31">
                  <c:v>33.140099999999997</c:v>
                </c:pt>
                <c:pt idx="32">
                  <c:v>32.713300000000004</c:v>
                </c:pt>
                <c:pt idx="33">
                  <c:v>32.406500000000001</c:v>
                </c:pt>
                <c:pt idx="34">
                  <c:v>32.170100000000005</c:v>
                </c:pt>
                <c:pt idx="35">
                  <c:v>31.9757</c:v>
                </c:pt>
                <c:pt idx="36">
                  <c:v>31.7668</c:v>
                </c:pt>
                <c:pt idx="37">
                  <c:v>31.699400000000001</c:v>
                </c:pt>
                <c:pt idx="38">
                  <c:v>31.722299999999997</c:v>
                </c:pt>
                <c:pt idx="39">
                  <c:v>31.804100000000002</c:v>
                </c:pt>
                <c:pt idx="40">
                  <c:v>32.017000000000003</c:v>
                </c:pt>
                <c:pt idx="41">
                  <c:v>32.209299999999999</c:v>
                </c:pt>
                <c:pt idx="42">
                  <c:v>32.340000000000003</c:v>
                </c:pt>
                <c:pt idx="43">
                  <c:v>32.564700000000002</c:v>
                </c:pt>
                <c:pt idx="44">
                  <c:v>32.787399999999998</c:v>
                </c:pt>
                <c:pt idx="45">
                  <c:v>33.022100000000002</c:v>
                </c:pt>
                <c:pt idx="46">
                  <c:v>33.311900000000001</c:v>
                </c:pt>
                <c:pt idx="47">
                  <c:v>33.537499999999994</c:v>
                </c:pt>
                <c:pt idx="48">
                  <c:v>33.782600000000002</c:v>
                </c:pt>
                <c:pt idx="49">
                  <c:v>34.060099999999998</c:v>
                </c:pt>
                <c:pt idx="50">
                  <c:v>34.290900000000001</c:v>
                </c:pt>
                <c:pt idx="51">
                  <c:v>34.497999999999998</c:v>
                </c:pt>
                <c:pt idx="52">
                  <c:v>34.633000000000003</c:v>
                </c:pt>
                <c:pt idx="53">
                  <c:v>34.765299999999996</c:v>
                </c:pt>
                <c:pt idx="54">
                  <c:v>34.888599999999997</c:v>
                </c:pt>
                <c:pt idx="55">
                  <c:v>35.0274</c:v>
                </c:pt>
                <c:pt idx="56">
                  <c:v>35.140599999999999</c:v>
                </c:pt>
                <c:pt idx="57">
                  <c:v>35.242899999999999</c:v>
                </c:pt>
                <c:pt idx="58">
                  <c:v>35.330199999999998</c:v>
                </c:pt>
                <c:pt idx="59">
                  <c:v>35.380299999999998</c:v>
                </c:pt>
                <c:pt idx="60">
                  <c:v>35.327100000000002</c:v>
                </c:pt>
                <c:pt idx="61">
                  <c:v>35.337899999999998</c:v>
                </c:pt>
                <c:pt idx="62">
                  <c:v>35.369099999999996</c:v>
                </c:pt>
                <c:pt idx="63">
                  <c:v>35.388799999999996</c:v>
                </c:pt>
                <c:pt idx="64">
                  <c:v>35.418100000000003</c:v>
                </c:pt>
                <c:pt idx="65">
                  <c:v>35.451000000000001</c:v>
                </c:pt>
                <c:pt idx="66">
                  <c:v>35.469799999999999</c:v>
                </c:pt>
                <c:pt idx="67">
                  <c:v>35.442900000000002</c:v>
                </c:pt>
                <c:pt idx="68">
                  <c:v>35.436099999999996</c:v>
                </c:pt>
                <c:pt idx="69">
                  <c:v>35.446600000000004</c:v>
                </c:pt>
                <c:pt idx="70">
                  <c:v>35.455199999999998</c:v>
                </c:pt>
                <c:pt idx="71">
                  <c:v>35.477499999999999</c:v>
                </c:pt>
                <c:pt idx="72">
                  <c:v>35.603400000000001</c:v>
                </c:pt>
                <c:pt idx="73">
                  <c:v>35.802399999999999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3.2577800000000003</c:v>
                </c:pt>
                <c:pt idx="1">
                  <c:v>3.2621199999999999</c:v>
                </c:pt>
                <c:pt idx="2">
                  <c:v>3.2656099999999997</c:v>
                </c:pt>
                <c:pt idx="3">
                  <c:v>3.2693499999999998</c:v>
                </c:pt>
                <c:pt idx="4">
                  <c:v>3.2729799999999996</c:v>
                </c:pt>
                <c:pt idx="5">
                  <c:v>3.2798400000000001</c:v>
                </c:pt>
                <c:pt idx="6">
                  <c:v>3.2894800000000002</c:v>
                </c:pt>
                <c:pt idx="7">
                  <c:v>3.2993899999999998</c:v>
                </c:pt>
                <c:pt idx="8">
                  <c:v>3.31162</c:v>
                </c:pt>
                <c:pt idx="9">
                  <c:v>3.3278300000000001</c:v>
                </c:pt>
                <c:pt idx="10">
                  <c:v>3.34843</c:v>
                </c:pt>
                <c:pt idx="11">
                  <c:v>3.3730700000000002</c:v>
                </c:pt>
                <c:pt idx="12">
                  <c:v>3.3992099999999996</c:v>
                </c:pt>
                <c:pt idx="13">
                  <c:v>3.4265400000000001</c:v>
                </c:pt>
                <c:pt idx="14">
                  <c:v>3.45208</c:v>
                </c:pt>
                <c:pt idx="15">
                  <c:v>3.4768700000000003</c:v>
                </c:pt>
                <c:pt idx="16">
                  <c:v>3.5008400000000002</c:v>
                </c:pt>
                <c:pt idx="17">
                  <c:v>3.5244599999999999</c:v>
                </c:pt>
                <c:pt idx="18">
                  <c:v>3.5491999999999999</c:v>
                </c:pt>
                <c:pt idx="19">
                  <c:v>3.57375</c:v>
                </c:pt>
                <c:pt idx="20">
                  <c:v>3.5990199999999999</c:v>
                </c:pt>
                <c:pt idx="21">
                  <c:v>3.6244800000000001</c:v>
                </c:pt>
                <c:pt idx="22">
                  <c:v>3.6531799999999999</c:v>
                </c:pt>
                <c:pt idx="23">
                  <c:v>3.6832599999999998</c:v>
                </c:pt>
                <c:pt idx="24">
                  <c:v>3.7139800000000003</c:v>
                </c:pt>
                <c:pt idx="25">
                  <c:v>3.74552</c:v>
                </c:pt>
                <c:pt idx="26">
                  <c:v>3.7765900000000001</c:v>
                </c:pt>
                <c:pt idx="27">
                  <c:v>3.8079800000000001</c:v>
                </c:pt>
                <c:pt idx="28">
                  <c:v>3.8378800000000002</c:v>
                </c:pt>
                <c:pt idx="29">
                  <c:v>3.8628499999999999</c:v>
                </c:pt>
                <c:pt idx="30">
                  <c:v>3.8817400000000002</c:v>
                </c:pt>
                <c:pt idx="31">
                  <c:v>3.8966799999999999</c:v>
                </c:pt>
                <c:pt idx="32">
                  <c:v>3.9093899999999997</c:v>
                </c:pt>
                <c:pt idx="33">
                  <c:v>3.9192100000000001</c:v>
                </c:pt>
                <c:pt idx="34">
                  <c:v>3.9253100000000001</c:v>
                </c:pt>
                <c:pt idx="35">
                  <c:v>3.92706</c:v>
                </c:pt>
                <c:pt idx="36">
                  <c:v>3.92517</c:v>
                </c:pt>
                <c:pt idx="37">
                  <c:v>3.9201700000000002</c:v>
                </c:pt>
                <c:pt idx="38">
                  <c:v>3.9120700000000004</c:v>
                </c:pt>
                <c:pt idx="39">
                  <c:v>3.9028900000000002</c:v>
                </c:pt>
                <c:pt idx="40">
                  <c:v>3.8928699999999998</c:v>
                </c:pt>
                <c:pt idx="41">
                  <c:v>3.8815300000000001</c:v>
                </c:pt>
                <c:pt idx="42">
                  <c:v>3.8695200000000001</c:v>
                </c:pt>
                <c:pt idx="43">
                  <c:v>3.8565300000000002</c:v>
                </c:pt>
                <c:pt idx="44">
                  <c:v>3.8434200000000001</c:v>
                </c:pt>
                <c:pt idx="45">
                  <c:v>3.8288600000000002</c:v>
                </c:pt>
                <c:pt idx="46">
                  <c:v>3.8131700000000004</c:v>
                </c:pt>
                <c:pt idx="47">
                  <c:v>3.7957999999999998</c:v>
                </c:pt>
                <c:pt idx="48">
                  <c:v>3.77658</c:v>
                </c:pt>
                <c:pt idx="49">
                  <c:v>3.7546900000000001</c:v>
                </c:pt>
                <c:pt idx="50">
                  <c:v>3.7355300000000002</c:v>
                </c:pt>
                <c:pt idx="51">
                  <c:v>3.71976</c:v>
                </c:pt>
                <c:pt idx="52">
                  <c:v>3.7019400000000005</c:v>
                </c:pt>
                <c:pt idx="53">
                  <c:v>3.6839200000000001</c:v>
                </c:pt>
                <c:pt idx="54">
                  <c:v>3.6695499999999996</c:v>
                </c:pt>
                <c:pt idx="55">
                  <c:v>3.6593</c:v>
                </c:pt>
                <c:pt idx="56">
                  <c:v>3.6513400000000003</c:v>
                </c:pt>
                <c:pt idx="57">
                  <c:v>3.6452800000000001</c:v>
                </c:pt>
                <c:pt idx="58">
                  <c:v>3.6405599999999998</c:v>
                </c:pt>
                <c:pt idx="59">
                  <c:v>3.63713</c:v>
                </c:pt>
                <c:pt idx="60">
                  <c:v>3.6354899999999999</c:v>
                </c:pt>
                <c:pt idx="61">
                  <c:v>3.63334</c:v>
                </c:pt>
                <c:pt idx="62">
                  <c:v>3.6306899999999995</c:v>
                </c:pt>
                <c:pt idx="63">
                  <c:v>3.6288999999999998</c:v>
                </c:pt>
                <c:pt idx="64">
                  <c:v>3.6301099999999997</c:v>
                </c:pt>
                <c:pt idx="65">
                  <c:v>3.6317399999999997</c:v>
                </c:pt>
                <c:pt idx="66">
                  <c:v>3.6374899999999997</c:v>
                </c:pt>
                <c:pt idx="67">
                  <c:v>3.6437199999999996</c:v>
                </c:pt>
                <c:pt idx="68">
                  <c:v>3.6485300000000001</c:v>
                </c:pt>
                <c:pt idx="69">
                  <c:v>3.6513499999999999</c:v>
                </c:pt>
                <c:pt idx="70">
                  <c:v>3.65679</c:v>
                </c:pt>
                <c:pt idx="71">
                  <c:v>3.6640899999999998</c:v>
                </c:pt>
                <c:pt idx="72">
                  <c:v>3.6598700000000002</c:v>
                </c:pt>
                <c:pt idx="73">
                  <c:v>3.657</c:v>
                </c:pt>
                <c:pt idx="74">
                  <c:v>3.6727599999999998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35.802399999999999</c:v>
                </c:pt>
                <c:pt idx="1">
                  <c:v>35.972300000000004</c:v>
                </c:pt>
                <c:pt idx="2">
                  <c:v>36.1875</c:v>
                </c:pt>
                <c:pt idx="3">
                  <c:v>36.392699999999998</c:v>
                </c:pt>
                <c:pt idx="4">
                  <c:v>36.5212</c:v>
                </c:pt>
                <c:pt idx="5">
                  <c:v>36.600100000000005</c:v>
                </c:pt>
                <c:pt idx="6">
                  <c:v>36.717799999999997</c:v>
                </c:pt>
                <c:pt idx="7">
                  <c:v>36.9358</c:v>
                </c:pt>
                <c:pt idx="8">
                  <c:v>37.140599999999999</c:v>
                </c:pt>
                <c:pt idx="9">
                  <c:v>37.308700000000002</c:v>
                </c:pt>
                <c:pt idx="10">
                  <c:v>37.429200000000002</c:v>
                </c:pt>
                <c:pt idx="11">
                  <c:v>37.498199999999997</c:v>
                </c:pt>
                <c:pt idx="12">
                  <c:v>37.645000000000003</c:v>
                </c:pt>
                <c:pt idx="13">
                  <c:v>37.801099999999998</c:v>
                </c:pt>
                <c:pt idx="14">
                  <c:v>37.981300000000005</c:v>
                </c:pt>
                <c:pt idx="15">
                  <c:v>38.167200000000001</c:v>
                </c:pt>
                <c:pt idx="16">
                  <c:v>38.339800000000004</c:v>
                </c:pt>
                <c:pt idx="17">
                  <c:v>38.524500000000003</c:v>
                </c:pt>
                <c:pt idx="18">
                  <c:v>38.7121</c:v>
                </c:pt>
                <c:pt idx="19">
                  <c:v>38.915199999999999</c:v>
                </c:pt>
                <c:pt idx="20">
                  <c:v>39.031999999999996</c:v>
                </c:pt>
                <c:pt idx="21">
                  <c:v>39.174799999999998</c:v>
                </c:pt>
                <c:pt idx="22">
                  <c:v>39.235199999999999</c:v>
                </c:pt>
                <c:pt idx="23">
                  <c:v>39.316499999999998</c:v>
                </c:pt>
                <c:pt idx="24">
                  <c:v>39.297900000000006</c:v>
                </c:pt>
                <c:pt idx="25">
                  <c:v>39.377899999999997</c:v>
                </c:pt>
                <c:pt idx="26">
                  <c:v>39.473500000000001</c:v>
                </c:pt>
                <c:pt idx="27">
                  <c:v>39.610399999999998</c:v>
                </c:pt>
                <c:pt idx="28">
                  <c:v>39.752600000000001</c:v>
                </c:pt>
                <c:pt idx="29">
                  <c:v>39.943400000000004</c:v>
                </c:pt>
                <c:pt idx="30">
                  <c:v>40.034700000000001</c:v>
                </c:pt>
                <c:pt idx="31">
                  <c:v>40.018700000000003</c:v>
                </c:pt>
                <c:pt idx="32">
                  <c:v>39.886600000000001</c:v>
                </c:pt>
                <c:pt idx="33">
                  <c:v>39.7164</c:v>
                </c:pt>
                <c:pt idx="34">
                  <c:v>39.449400000000004</c:v>
                </c:pt>
                <c:pt idx="35">
                  <c:v>39.084699999999998</c:v>
                </c:pt>
                <c:pt idx="36">
                  <c:v>38.709600000000002</c:v>
                </c:pt>
                <c:pt idx="37">
                  <c:v>38.216899999999995</c:v>
                </c:pt>
                <c:pt idx="38">
                  <c:v>37.670400000000001</c:v>
                </c:pt>
                <c:pt idx="39">
                  <c:v>37.052900000000001</c:v>
                </c:pt>
                <c:pt idx="40">
                  <c:v>36.4527</c:v>
                </c:pt>
                <c:pt idx="41">
                  <c:v>35.868299999999998</c:v>
                </c:pt>
                <c:pt idx="42">
                  <c:v>35.287800000000004</c:v>
                </c:pt>
                <c:pt idx="43">
                  <c:v>34.793600000000005</c:v>
                </c:pt>
                <c:pt idx="44">
                  <c:v>34.349299999999999</c:v>
                </c:pt>
                <c:pt idx="45">
                  <c:v>33.949300000000001</c:v>
                </c:pt>
                <c:pt idx="46">
                  <c:v>33.592799999999997</c:v>
                </c:pt>
                <c:pt idx="47">
                  <c:v>33.3474</c:v>
                </c:pt>
                <c:pt idx="48">
                  <c:v>33.145499999999998</c:v>
                </c:pt>
                <c:pt idx="49">
                  <c:v>33.042999999999999</c:v>
                </c:pt>
                <c:pt idx="50">
                  <c:v>32.978499999999997</c:v>
                </c:pt>
                <c:pt idx="51">
                  <c:v>32.842700000000001</c:v>
                </c:pt>
                <c:pt idx="52">
                  <c:v>32.710099999999997</c:v>
                </c:pt>
                <c:pt idx="53">
                  <c:v>32.640900000000002</c:v>
                </c:pt>
                <c:pt idx="54">
                  <c:v>32.576899999999995</c:v>
                </c:pt>
                <c:pt idx="55">
                  <c:v>32.558100000000003</c:v>
                </c:pt>
                <c:pt idx="56">
                  <c:v>32.564399999999999</c:v>
                </c:pt>
                <c:pt idx="57">
                  <c:v>32.579700000000003</c:v>
                </c:pt>
                <c:pt idx="58">
                  <c:v>32.611699999999999</c:v>
                </c:pt>
                <c:pt idx="59">
                  <c:v>32.681399999999996</c:v>
                </c:pt>
                <c:pt idx="60">
                  <c:v>32.774000000000001</c:v>
                </c:pt>
                <c:pt idx="61">
                  <c:v>32.846899999999998</c:v>
                </c:pt>
                <c:pt idx="62">
                  <c:v>32.976499999999994</c:v>
                </c:pt>
                <c:pt idx="63">
                  <c:v>33.1068</c:v>
                </c:pt>
                <c:pt idx="64">
                  <c:v>33.332599999999999</c:v>
                </c:pt>
                <c:pt idx="65">
                  <c:v>33.578499999999998</c:v>
                </c:pt>
                <c:pt idx="66">
                  <c:v>33.877600000000001</c:v>
                </c:pt>
                <c:pt idx="67">
                  <c:v>34.166999999999994</c:v>
                </c:pt>
                <c:pt idx="68">
                  <c:v>34.380500000000005</c:v>
                </c:pt>
                <c:pt idx="69">
                  <c:v>34.613500000000002</c:v>
                </c:pt>
                <c:pt idx="70">
                  <c:v>34.936099999999996</c:v>
                </c:pt>
                <c:pt idx="71">
                  <c:v>35.193799999999996</c:v>
                </c:pt>
                <c:pt idx="72">
                  <c:v>35.5002</c:v>
                </c:pt>
                <c:pt idx="73">
                  <c:v>35.695399999999999</c:v>
                </c:pt>
                <c:pt idx="74">
                  <c:v>36.179899999999996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3.0611071621621635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38.490464864864862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3.6535979729729728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36.197002702702697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3.6535979729729728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36.197002702702697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0.20100358764963208</c:v>
                </c:pt>
                <c:pt idx="1">
                  <c:v>0.41359218836842615</c:v>
                </c:pt>
                <c:pt idx="2">
                  <c:v>0.38540422398194174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0.40397899999999998</c:v>
                </c:pt>
                <c:pt idx="2">
                  <c:v>0.81182799999999999</c:v>
                </c:pt>
                <c:pt idx="3">
                  <c:v>1.21889</c:v>
                </c:pt>
                <c:pt idx="4">
                  <c:v>1.62557</c:v>
                </c:pt>
                <c:pt idx="5">
                  <c:v>2.0318200000000002</c:v>
                </c:pt>
                <c:pt idx="6">
                  <c:v>2.43492</c:v>
                </c:pt>
                <c:pt idx="7">
                  <c:v>2.8443999999999998</c:v>
                </c:pt>
                <c:pt idx="8">
                  <c:v>3.2511999999999999</c:v>
                </c:pt>
                <c:pt idx="9">
                  <c:v>3.6570900000000002</c:v>
                </c:pt>
                <c:pt idx="10">
                  <c:v>4.0591999999999997</c:v>
                </c:pt>
                <c:pt idx="11">
                  <c:v>4.4661200000000001</c:v>
                </c:pt>
                <c:pt idx="12">
                  <c:v>4.8690600000000002</c:v>
                </c:pt>
                <c:pt idx="13">
                  <c:v>5.2808400000000004</c:v>
                </c:pt>
                <c:pt idx="14">
                  <c:v>5.6867400000000004</c:v>
                </c:pt>
                <c:pt idx="15">
                  <c:v>6.0907</c:v>
                </c:pt>
                <c:pt idx="16">
                  <c:v>6.4966600000000003</c:v>
                </c:pt>
                <c:pt idx="17">
                  <c:v>6.9046500000000002</c:v>
                </c:pt>
                <c:pt idx="18">
                  <c:v>7.30844</c:v>
                </c:pt>
                <c:pt idx="19">
                  <c:v>7.7163500000000003</c:v>
                </c:pt>
                <c:pt idx="20">
                  <c:v>8.1251899999999999</c:v>
                </c:pt>
                <c:pt idx="21">
                  <c:v>8.5268200000000007</c:v>
                </c:pt>
                <c:pt idx="22">
                  <c:v>8.9340700000000002</c:v>
                </c:pt>
                <c:pt idx="23">
                  <c:v>9.3433399999999995</c:v>
                </c:pt>
                <c:pt idx="24">
                  <c:v>9.7479600000000008</c:v>
                </c:pt>
                <c:pt idx="25">
                  <c:v>10.1569</c:v>
                </c:pt>
                <c:pt idx="26">
                  <c:v>10.5646</c:v>
                </c:pt>
                <c:pt idx="27">
                  <c:v>10.9696</c:v>
                </c:pt>
                <c:pt idx="28">
                  <c:v>11.3725</c:v>
                </c:pt>
                <c:pt idx="29">
                  <c:v>11.781499999999999</c:v>
                </c:pt>
                <c:pt idx="30">
                  <c:v>12.1884</c:v>
                </c:pt>
                <c:pt idx="31">
                  <c:v>12.5923</c:v>
                </c:pt>
                <c:pt idx="32">
                  <c:v>12.9968</c:v>
                </c:pt>
                <c:pt idx="33">
                  <c:v>13.4041</c:v>
                </c:pt>
                <c:pt idx="34">
                  <c:v>13.8104</c:v>
                </c:pt>
                <c:pt idx="35">
                  <c:v>14.2159</c:v>
                </c:pt>
                <c:pt idx="36">
                  <c:v>14.6228</c:v>
                </c:pt>
                <c:pt idx="37">
                  <c:v>15.030799999999999</c:v>
                </c:pt>
                <c:pt idx="38">
                  <c:v>15.438700000000001</c:v>
                </c:pt>
                <c:pt idx="39">
                  <c:v>15.842700000000001</c:v>
                </c:pt>
                <c:pt idx="40">
                  <c:v>16.249500000000001</c:v>
                </c:pt>
                <c:pt idx="41">
                  <c:v>16.656700000000001</c:v>
                </c:pt>
                <c:pt idx="42">
                  <c:v>17.061299999999999</c:v>
                </c:pt>
                <c:pt idx="43">
                  <c:v>17.468399999999999</c:v>
                </c:pt>
                <c:pt idx="44">
                  <c:v>17.8751</c:v>
                </c:pt>
                <c:pt idx="45">
                  <c:v>18.280999999999999</c:v>
                </c:pt>
                <c:pt idx="46">
                  <c:v>18.684999999999999</c:v>
                </c:pt>
                <c:pt idx="47">
                  <c:v>19.097799999999999</c:v>
                </c:pt>
                <c:pt idx="48">
                  <c:v>19.4953</c:v>
                </c:pt>
                <c:pt idx="49">
                  <c:v>19.907699999999998</c:v>
                </c:pt>
                <c:pt idx="50">
                  <c:v>20.3126</c:v>
                </c:pt>
                <c:pt idx="51">
                  <c:v>20.712599999999998</c:v>
                </c:pt>
                <c:pt idx="52">
                  <c:v>21.122499999999999</c:v>
                </c:pt>
                <c:pt idx="53">
                  <c:v>21.5304</c:v>
                </c:pt>
                <c:pt idx="54">
                  <c:v>21.935600000000001</c:v>
                </c:pt>
                <c:pt idx="55">
                  <c:v>22.345300000000002</c:v>
                </c:pt>
                <c:pt idx="56">
                  <c:v>22.752099999999999</c:v>
                </c:pt>
                <c:pt idx="57">
                  <c:v>23.155999999999999</c:v>
                </c:pt>
                <c:pt idx="58">
                  <c:v>23.560199999999998</c:v>
                </c:pt>
                <c:pt idx="59">
                  <c:v>23.966899999999999</c:v>
                </c:pt>
                <c:pt idx="60">
                  <c:v>24.370999999999999</c:v>
                </c:pt>
                <c:pt idx="61">
                  <c:v>24.7807</c:v>
                </c:pt>
                <c:pt idx="62">
                  <c:v>25.186599999999999</c:v>
                </c:pt>
                <c:pt idx="63">
                  <c:v>25.592700000000001</c:v>
                </c:pt>
                <c:pt idx="64">
                  <c:v>25.994499999999999</c:v>
                </c:pt>
                <c:pt idx="65">
                  <c:v>26.404299999999999</c:v>
                </c:pt>
                <c:pt idx="66">
                  <c:v>26.8123</c:v>
                </c:pt>
                <c:pt idx="67">
                  <c:v>27.220199999999998</c:v>
                </c:pt>
                <c:pt idx="68">
                  <c:v>27.624400000000001</c:v>
                </c:pt>
                <c:pt idx="69">
                  <c:v>28.0275</c:v>
                </c:pt>
                <c:pt idx="70">
                  <c:v>28.432200000000002</c:v>
                </c:pt>
                <c:pt idx="71">
                  <c:v>28.84</c:v>
                </c:pt>
                <c:pt idx="72">
                  <c:v>29.251200000000001</c:v>
                </c:pt>
                <c:pt idx="73">
                  <c:v>29.654699999999998</c:v>
                </c:pt>
                <c:pt idx="74">
                  <c:v>30.0627</c:v>
                </c:pt>
                <c:pt idx="75">
                  <c:v>30.465499999999999</c:v>
                </c:pt>
                <c:pt idx="76">
                  <c:v>30.874500000000001</c:v>
                </c:pt>
                <c:pt idx="77">
                  <c:v>31.279599999999999</c:v>
                </c:pt>
                <c:pt idx="78">
                  <c:v>31.687200000000001</c:v>
                </c:pt>
                <c:pt idx="79">
                  <c:v>32.095300000000002</c:v>
                </c:pt>
                <c:pt idx="80">
                  <c:v>32.5</c:v>
                </c:pt>
                <c:pt idx="81">
                  <c:v>32.905900000000003</c:v>
                </c:pt>
                <c:pt idx="82">
                  <c:v>33.311999999999998</c:v>
                </c:pt>
                <c:pt idx="83">
                  <c:v>33.716799999999999</c:v>
                </c:pt>
                <c:pt idx="84">
                  <c:v>34.122700000000002</c:v>
                </c:pt>
                <c:pt idx="85">
                  <c:v>34.532600000000002</c:v>
                </c:pt>
                <c:pt idx="86">
                  <c:v>34.935499999999998</c:v>
                </c:pt>
                <c:pt idx="87">
                  <c:v>35.340400000000002</c:v>
                </c:pt>
                <c:pt idx="88">
                  <c:v>35.747399999999999</c:v>
                </c:pt>
                <c:pt idx="89">
                  <c:v>36.154200000000003</c:v>
                </c:pt>
                <c:pt idx="90">
                  <c:v>36.558100000000003</c:v>
                </c:pt>
                <c:pt idx="91">
                  <c:v>36.966099999999997</c:v>
                </c:pt>
                <c:pt idx="92">
                  <c:v>37.376300000000001</c:v>
                </c:pt>
                <c:pt idx="93">
                  <c:v>37.779899999999998</c:v>
                </c:pt>
                <c:pt idx="94">
                  <c:v>38.184800000000003</c:v>
                </c:pt>
                <c:pt idx="95">
                  <c:v>38.590800000000002</c:v>
                </c:pt>
                <c:pt idx="96">
                  <c:v>38.998699999999999</c:v>
                </c:pt>
                <c:pt idx="97">
                  <c:v>39.405500000000004</c:v>
                </c:pt>
                <c:pt idx="98">
                  <c:v>39.811900000000001</c:v>
                </c:pt>
                <c:pt idx="99">
                  <c:v>40.217399999999998</c:v>
                </c:pt>
                <c:pt idx="100">
                  <c:v>40.624400000000001</c:v>
                </c:pt>
                <c:pt idx="101">
                  <c:v>41.029200000000003</c:v>
                </c:pt>
                <c:pt idx="102">
                  <c:v>41.437100000000001</c:v>
                </c:pt>
                <c:pt idx="103">
                  <c:v>41.845999999999997</c:v>
                </c:pt>
                <c:pt idx="104">
                  <c:v>42.247100000000003</c:v>
                </c:pt>
                <c:pt idx="105">
                  <c:v>42.654899999999998</c:v>
                </c:pt>
                <c:pt idx="106">
                  <c:v>43.063800000000001</c:v>
                </c:pt>
                <c:pt idx="107">
                  <c:v>43.462800000000001</c:v>
                </c:pt>
                <c:pt idx="108">
                  <c:v>43.871899999999997</c:v>
                </c:pt>
                <c:pt idx="109">
                  <c:v>44.281500000000001</c:v>
                </c:pt>
                <c:pt idx="110">
                  <c:v>44.687600000000003</c:v>
                </c:pt>
                <c:pt idx="111">
                  <c:v>45.092300000000002</c:v>
                </c:pt>
                <c:pt idx="112">
                  <c:v>45.499299999999998</c:v>
                </c:pt>
                <c:pt idx="113">
                  <c:v>45.904499999999999</c:v>
                </c:pt>
                <c:pt idx="114">
                  <c:v>46.310400000000001</c:v>
                </c:pt>
                <c:pt idx="115">
                  <c:v>46.719099999999997</c:v>
                </c:pt>
                <c:pt idx="116">
                  <c:v>47.120100000000001</c:v>
                </c:pt>
                <c:pt idx="117">
                  <c:v>47.529899999999998</c:v>
                </c:pt>
                <c:pt idx="118">
                  <c:v>47.936</c:v>
                </c:pt>
                <c:pt idx="119">
                  <c:v>48.342799999999997</c:v>
                </c:pt>
                <c:pt idx="120">
                  <c:v>48.746600000000001</c:v>
                </c:pt>
                <c:pt idx="121">
                  <c:v>49.158499999999997</c:v>
                </c:pt>
                <c:pt idx="122">
                  <c:v>49.561300000000003</c:v>
                </c:pt>
                <c:pt idx="123">
                  <c:v>49.966299999999997</c:v>
                </c:pt>
                <c:pt idx="124">
                  <c:v>50.3752</c:v>
                </c:pt>
                <c:pt idx="125">
                  <c:v>50.780099999999997</c:v>
                </c:pt>
                <c:pt idx="126">
                  <c:v>51.187199999999997</c:v>
                </c:pt>
                <c:pt idx="127">
                  <c:v>51.594099999999997</c:v>
                </c:pt>
                <c:pt idx="128">
                  <c:v>52.000799999999998</c:v>
                </c:pt>
                <c:pt idx="129">
                  <c:v>52.405799999999999</c:v>
                </c:pt>
                <c:pt idx="130">
                  <c:v>52.811700000000002</c:v>
                </c:pt>
                <c:pt idx="131">
                  <c:v>53.217700000000001</c:v>
                </c:pt>
                <c:pt idx="132">
                  <c:v>53.625500000000002</c:v>
                </c:pt>
                <c:pt idx="133">
                  <c:v>54.0304</c:v>
                </c:pt>
                <c:pt idx="134">
                  <c:v>54.436300000000003</c:v>
                </c:pt>
                <c:pt idx="135">
                  <c:v>54.841299999999997</c:v>
                </c:pt>
                <c:pt idx="136">
                  <c:v>55.247300000000003</c:v>
                </c:pt>
                <c:pt idx="137">
                  <c:v>55.6571</c:v>
                </c:pt>
                <c:pt idx="138">
                  <c:v>56.066000000000003</c:v>
                </c:pt>
                <c:pt idx="139">
                  <c:v>56.469000000000001</c:v>
                </c:pt>
                <c:pt idx="140">
                  <c:v>56.874899999999997</c:v>
                </c:pt>
                <c:pt idx="141">
                  <c:v>57.277799999999999</c:v>
                </c:pt>
                <c:pt idx="142">
                  <c:v>57.686700000000002</c:v>
                </c:pt>
                <c:pt idx="143">
                  <c:v>58.090600000000002</c:v>
                </c:pt>
                <c:pt idx="144">
                  <c:v>58.499299999999998</c:v>
                </c:pt>
                <c:pt idx="145">
                  <c:v>58.9024</c:v>
                </c:pt>
                <c:pt idx="146">
                  <c:v>59.312399999999997</c:v>
                </c:pt>
                <c:pt idx="147">
                  <c:v>59.7194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2.0219800000000001</c:v>
                </c:pt>
                <c:pt idx="1">
                  <c:v>2.0805199999999999</c:v>
                </c:pt>
                <c:pt idx="2">
                  <c:v>2.1417900000000003</c:v>
                </c:pt>
                <c:pt idx="3">
                  <c:v>2.20208</c:v>
                </c:pt>
                <c:pt idx="4">
                  <c:v>2.26166</c:v>
                </c:pt>
                <c:pt idx="5">
                  <c:v>2.3198699999999999</c:v>
                </c:pt>
                <c:pt idx="6">
                  <c:v>2.37826</c:v>
                </c:pt>
                <c:pt idx="7">
                  <c:v>2.4355099999999998</c:v>
                </c:pt>
                <c:pt idx="8">
                  <c:v>2.4931900000000002</c:v>
                </c:pt>
                <c:pt idx="9">
                  <c:v>2.5531999999999999</c:v>
                </c:pt>
                <c:pt idx="10">
                  <c:v>2.6117900000000001</c:v>
                </c:pt>
                <c:pt idx="11">
                  <c:v>2.6692399999999998</c:v>
                </c:pt>
                <c:pt idx="12">
                  <c:v>2.7260800000000001</c:v>
                </c:pt>
                <c:pt idx="13">
                  <c:v>2.7814299999999998</c:v>
                </c:pt>
                <c:pt idx="14">
                  <c:v>2.8367900000000001</c:v>
                </c:pt>
                <c:pt idx="15">
                  <c:v>2.8927199999999997</c:v>
                </c:pt>
                <c:pt idx="16">
                  <c:v>2.9479199999999999</c:v>
                </c:pt>
                <c:pt idx="17">
                  <c:v>3.00176</c:v>
                </c:pt>
                <c:pt idx="18">
                  <c:v>3.0491800000000002</c:v>
                </c:pt>
                <c:pt idx="19">
                  <c:v>3.0898300000000001</c:v>
                </c:pt>
                <c:pt idx="20">
                  <c:v>3.1283400000000001</c:v>
                </c:pt>
                <c:pt idx="21">
                  <c:v>3.1676900000000003</c:v>
                </c:pt>
                <c:pt idx="22">
                  <c:v>3.2048100000000002</c:v>
                </c:pt>
                <c:pt idx="23">
                  <c:v>3.2437</c:v>
                </c:pt>
                <c:pt idx="24">
                  <c:v>3.2808299999999999</c:v>
                </c:pt>
                <c:pt idx="25">
                  <c:v>3.3124399999999996</c:v>
                </c:pt>
                <c:pt idx="26">
                  <c:v>3.3384</c:v>
                </c:pt>
                <c:pt idx="27">
                  <c:v>3.3569800000000001</c:v>
                </c:pt>
                <c:pt idx="28">
                  <c:v>3.3712900000000001</c:v>
                </c:pt>
                <c:pt idx="29">
                  <c:v>3.3795299999999999</c:v>
                </c:pt>
                <c:pt idx="30">
                  <c:v>3.3842600000000003</c:v>
                </c:pt>
                <c:pt idx="31">
                  <c:v>3.3867799999999999</c:v>
                </c:pt>
                <c:pt idx="32">
                  <c:v>3.38686</c:v>
                </c:pt>
                <c:pt idx="33">
                  <c:v>3.3832899999999997</c:v>
                </c:pt>
                <c:pt idx="34">
                  <c:v>3.3750799999999996</c:v>
                </c:pt>
                <c:pt idx="35">
                  <c:v>3.3652500000000001</c:v>
                </c:pt>
                <c:pt idx="36">
                  <c:v>3.3547799999999999</c:v>
                </c:pt>
                <c:pt idx="37">
                  <c:v>3.34476</c:v>
                </c:pt>
                <c:pt idx="38">
                  <c:v>3.3351700000000002</c:v>
                </c:pt>
                <c:pt idx="39">
                  <c:v>3.32606</c:v>
                </c:pt>
                <c:pt idx="40">
                  <c:v>3.3138899999999998</c:v>
                </c:pt>
                <c:pt idx="41">
                  <c:v>3.30138</c:v>
                </c:pt>
                <c:pt idx="42">
                  <c:v>3.2891599999999999</c:v>
                </c:pt>
                <c:pt idx="43">
                  <c:v>3.2753800000000002</c:v>
                </c:pt>
                <c:pt idx="44">
                  <c:v>3.2636599999999998</c:v>
                </c:pt>
                <c:pt idx="45">
                  <c:v>3.2525900000000001</c:v>
                </c:pt>
                <c:pt idx="46">
                  <c:v>3.2363</c:v>
                </c:pt>
                <c:pt idx="47">
                  <c:v>3.2202700000000002</c:v>
                </c:pt>
                <c:pt idx="48">
                  <c:v>3.2000600000000001</c:v>
                </c:pt>
                <c:pt idx="49">
                  <c:v>3.17699</c:v>
                </c:pt>
                <c:pt idx="50">
                  <c:v>3.1565099999999999</c:v>
                </c:pt>
                <c:pt idx="51">
                  <c:v>3.13964</c:v>
                </c:pt>
                <c:pt idx="52">
                  <c:v>3.12819</c:v>
                </c:pt>
                <c:pt idx="53">
                  <c:v>3.1206200000000002</c:v>
                </c:pt>
                <c:pt idx="54">
                  <c:v>3.11795</c:v>
                </c:pt>
                <c:pt idx="55">
                  <c:v>3.1186199999999999</c:v>
                </c:pt>
                <c:pt idx="56">
                  <c:v>3.1205500000000002</c:v>
                </c:pt>
                <c:pt idx="57">
                  <c:v>3.12453</c:v>
                </c:pt>
                <c:pt idx="58">
                  <c:v>3.1300299999999996</c:v>
                </c:pt>
                <c:pt idx="59">
                  <c:v>3.1360900000000003</c:v>
                </c:pt>
                <c:pt idx="60">
                  <c:v>3.14506</c:v>
                </c:pt>
                <c:pt idx="61">
                  <c:v>3.1550000000000002</c:v>
                </c:pt>
                <c:pt idx="62">
                  <c:v>3.1633299999999998</c:v>
                </c:pt>
                <c:pt idx="63">
                  <c:v>3.1711899999999997</c:v>
                </c:pt>
                <c:pt idx="64">
                  <c:v>3.1771199999999999</c:v>
                </c:pt>
                <c:pt idx="65">
                  <c:v>3.1838199999999999</c:v>
                </c:pt>
                <c:pt idx="66">
                  <c:v>3.18933</c:v>
                </c:pt>
                <c:pt idx="67">
                  <c:v>3.1952999999999996</c:v>
                </c:pt>
                <c:pt idx="68">
                  <c:v>3.20533</c:v>
                </c:pt>
                <c:pt idx="69">
                  <c:v>3.2170800000000002</c:v>
                </c:pt>
                <c:pt idx="70">
                  <c:v>3.2278899999999999</c:v>
                </c:pt>
                <c:pt idx="71">
                  <c:v>3.23936</c:v>
                </c:pt>
                <c:pt idx="72">
                  <c:v>3.2508300000000001</c:v>
                </c:pt>
                <c:pt idx="73">
                  <c:v>3.2577800000000003</c:v>
                </c:pt>
                <c:pt idx="74">
                  <c:v>3.2621199999999999</c:v>
                </c:pt>
                <c:pt idx="75">
                  <c:v>3.2656099999999997</c:v>
                </c:pt>
                <c:pt idx="76">
                  <c:v>3.2693499999999998</c:v>
                </c:pt>
                <c:pt idx="77">
                  <c:v>3.2729799999999996</c:v>
                </c:pt>
                <c:pt idx="78">
                  <c:v>3.2798400000000001</c:v>
                </c:pt>
                <c:pt idx="79">
                  <c:v>3.2894800000000002</c:v>
                </c:pt>
                <c:pt idx="80">
                  <c:v>3.2993899999999998</c:v>
                </c:pt>
                <c:pt idx="81">
                  <c:v>3.31162</c:v>
                </c:pt>
                <c:pt idx="82">
                  <c:v>3.3278300000000001</c:v>
                </c:pt>
                <c:pt idx="83">
                  <c:v>3.34843</c:v>
                </c:pt>
                <c:pt idx="84">
                  <c:v>3.3730700000000002</c:v>
                </c:pt>
                <c:pt idx="85">
                  <c:v>3.3992099999999996</c:v>
                </c:pt>
                <c:pt idx="86">
                  <c:v>3.4265400000000001</c:v>
                </c:pt>
                <c:pt idx="87">
                  <c:v>3.45208</c:v>
                </c:pt>
                <c:pt idx="88">
                  <c:v>3.4768700000000003</c:v>
                </c:pt>
                <c:pt idx="89">
                  <c:v>3.5008400000000002</c:v>
                </c:pt>
                <c:pt idx="90">
                  <c:v>3.5244599999999999</c:v>
                </c:pt>
                <c:pt idx="91">
                  <c:v>3.5491999999999999</c:v>
                </c:pt>
                <c:pt idx="92">
                  <c:v>3.57375</c:v>
                </c:pt>
                <c:pt idx="93">
                  <c:v>3.5990199999999999</c:v>
                </c:pt>
                <c:pt idx="94">
                  <c:v>3.6244800000000001</c:v>
                </c:pt>
                <c:pt idx="95">
                  <c:v>3.6531799999999999</c:v>
                </c:pt>
                <c:pt idx="96">
                  <c:v>3.6832599999999998</c:v>
                </c:pt>
                <c:pt idx="97">
                  <c:v>3.7139800000000003</c:v>
                </c:pt>
                <c:pt idx="98">
                  <c:v>3.74552</c:v>
                </c:pt>
                <c:pt idx="99">
                  <c:v>3.7765900000000001</c:v>
                </c:pt>
                <c:pt idx="100">
                  <c:v>3.8079800000000001</c:v>
                </c:pt>
                <c:pt idx="101">
                  <c:v>3.8378800000000002</c:v>
                </c:pt>
                <c:pt idx="102">
                  <c:v>3.8628499999999999</c:v>
                </c:pt>
                <c:pt idx="103">
                  <c:v>3.8817400000000002</c:v>
                </c:pt>
                <c:pt idx="104">
                  <c:v>3.8966799999999999</c:v>
                </c:pt>
                <c:pt idx="105">
                  <c:v>3.9093899999999997</c:v>
                </c:pt>
                <c:pt idx="106">
                  <c:v>3.9192100000000001</c:v>
                </c:pt>
                <c:pt idx="107">
                  <c:v>3.9253100000000001</c:v>
                </c:pt>
                <c:pt idx="108">
                  <c:v>3.92706</c:v>
                </c:pt>
                <c:pt idx="109">
                  <c:v>3.92517</c:v>
                </c:pt>
                <c:pt idx="110">
                  <c:v>3.9201700000000002</c:v>
                </c:pt>
                <c:pt idx="111">
                  <c:v>3.9120700000000004</c:v>
                </c:pt>
                <c:pt idx="112">
                  <c:v>3.9028900000000002</c:v>
                </c:pt>
                <c:pt idx="113">
                  <c:v>3.8928699999999998</c:v>
                </c:pt>
                <c:pt idx="114">
                  <c:v>3.8815300000000001</c:v>
                </c:pt>
                <c:pt idx="115">
                  <c:v>3.8695200000000001</c:v>
                </c:pt>
                <c:pt idx="116">
                  <c:v>3.8565300000000002</c:v>
                </c:pt>
                <c:pt idx="117">
                  <c:v>3.8434200000000001</c:v>
                </c:pt>
                <c:pt idx="118">
                  <c:v>3.8288600000000002</c:v>
                </c:pt>
                <c:pt idx="119">
                  <c:v>3.8131700000000004</c:v>
                </c:pt>
                <c:pt idx="120">
                  <c:v>3.7957999999999998</c:v>
                </c:pt>
                <c:pt idx="121">
                  <c:v>3.77658</c:v>
                </c:pt>
                <c:pt idx="122">
                  <c:v>3.7546900000000001</c:v>
                </c:pt>
                <c:pt idx="123">
                  <c:v>3.7355300000000002</c:v>
                </c:pt>
                <c:pt idx="124">
                  <c:v>3.71976</c:v>
                </c:pt>
                <c:pt idx="125">
                  <c:v>3.7019400000000005</c:v>
                </c:pt>
                <c:pt idx="126">
                  <c:v>3.6839200000000001</c:v>
                </c:pt>
                <c:pt idx="127">
                  <c:v>3.6695499999999996</c:v>
                </c:pt>
                <c:pt idx="128">
                  <c:v>3.6593</c:v>
                </c:pt>
                <c:pt idx="129">
                  <c:v>3.6513400000000003</c:v>
                </c:pt>
                <c:pt idx="130">
                  <c:v>3.6452800000000001</c:v>
                </c:pt>
                <c:pt idx="131">
                  <c:v>3.6405599999999998</c:v>
                </c:pt>
                <c:pt idx="132">
                  <c:v>3.63713</c:v>
                </c:pt>
                <c:pt idx="133">
                  <c:v>3.6354899999999999</c:v>
                </c:pt>
                <c:pt idx="134">
                  <c:v>3.63334</c:v>
                </c:pt>
                <c:pt idx="135">
                  <c:v>3.6306899999999995</c:v>
                </c:pt>
                <c:pt idx="136">
                  <c:v>3.6288999999999998</c:v>
                </c:pt>
                <c:pt idx="137">
                  <c:v>3.6301099999999997</c:v>
                </c:pt>
                <c:pt idx="138">
                  <c:v>3.6317399999999997</c:v>
                </c:pt>
                <c:pt idx="139">
                  <c:v>3.6374899999999997</c:v>
                </c:pt>
                <c:pt idx="140">
                  <c:v>3.6437199999999996</c:v>
                </c:pt>
                <c:pt idx="141">
                  <c:v>3.6485300000000001</c:v>
                </c:pt>
                <c:pt idx="142">
                  <c:v>3.6513499999999999</c:v>
                </c:pt>
                <c:pt idx="143">
                  <c:v>3.65679</c:v>
                </c:pt>
                <c:pt idx="144">
                  <c:v>3.6640899999999998</c:v>
                </c:pt>
                <c:pt idx="145">
                  <c:v>3.6598700000000002</c:v>
                </c:pt>
                <c:pt idx="146">
                  <c:v>3.657</c:v>
                </c:pt>
                <c:pt idx="147">
                  <c:v>3.6727599999999998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0.40397899999999998</c:v>
                </c:pt>
                <c:pt idx="2">
                  <c:v>0.81182799999999999</c:v>
                </c:pt>
                <c:pt idx="3">
                  <c:v>1.21889</c:v>
                </c:pt>
                <c:pt idx="4">
                  <c:v>1.62557</c:v>
                </c:pt>
                <c:pt idx="5">
                  <c:v>2.0318200000000002</c:v>
                </c:pt>
                <c:pt idx="6">
                  <c:v>2.43492</c:v>
                </c:pt>
                <c:pt idx="7">
                  <c:v>2.8443999999999998</c:v>
                </c:pt>
                <c:pt idx="8">
                  <c:v>3.2511999999999999</c:v>
                </c:pt>
                <c:pt idx="9">
                  <c:v>3.6570900000000002</c:v>
                </c:pt>
                <c:pt idx="10">
                  <c:v>4.0591999999999997</c:v>
                </c:pt>
                <c:pt idx="11">
                  <c:v>4.4661200000000001</c:v>
                </c:pt>
                <c:pt idx="12">
                  <c:v>4.8690600000000002</c:v>
                </c:pt>
                <c:pt idx="13">
                  <c:v>5.2808400000000004</c:v>
                </c:pt>
                <c:pt idx="14">
                  <c:v>5.6867400000000004</c:v>
                </c:pt>
                <c:pt idx="15">
                  <c:v>6.0907</c:v>
                </c:pt>
                <c:pt idx="16">
                  <c:v>6.4966600000000003</c:v>
                </c:pt>
                <c:pt idx="17">
                  <c:v>6.9046500000000002</c:v>
                </c:pt>
                <c:pt idx="18">
                  <c:v>7.30844</c:v>
                </c:pt>
                <c:pt idx="19">
                  <c:v>7.7163500000000003</c:v>
                </c:pt>
                <c:pt idx="20">
                  <c:v>8.1251899999999999</c:v>
                </c:pt>
                <c:pt idx="21">
                  <c:v>8.5268200000000007</c:v>
                </c:pt>
                <c:pt idx="22">
                  <c:v>8.9340700000000002</c:v>
                </c:pt>
                <c:pt idx="23">
                  <c:v>9.3433399999999995</c:v>
                </c:pt>
                <c:pt idx="24">
                  <c:v>9.7479600000000008</c:v>
                </c:pt>
                <c:pt idx="25">
                  <c:v>10.1569</c:v>
                </c:pt>
                <c:pt idx="26">
                  <c:v>10.5646</c:v>
                </c:pt>
                <c:pt idx="27">
                  <c:v>10.9696</c:v>
                </c:pt>
                <c:pt idx="28">
                  <c:v>11.3725</c:v>
                </c:pt>
                <c:pt idx="29">
                  <c:v>11.781499999999999</c:v>
                </c:pt>
                <c:pt idx="30">
                  <c:v>12.1884</c:v>
                </c:pt>
                <c:pt idx="31">
                  <c:v>12.5923</c:v>
                </c:pt>
                <c:pt idx="32">
                  <c:v>12.9968</c:v>
                </c:pt>
                <c:pt idx="33">
                  <c:v>13.4041</c:v>
                </c:pt>
                <c:pt idx="34">
                  <c:v>13.8104</c:v>
                </c:pt>
                <c:pt idx="35">
                  <c:v>14.2159</c:v>
                </c:pt>
                <c:pt idx="36">
                  <c:v>14.6228</c:v>
                </c:pt>
                <c:pt idx="37">
                  <c:v>15.030799999999999</c:v>
                </c:pt>
                <c:pt idx="38">
                  <c:v>15.438700000000001</c:v>
                </c:pt>
                <c:pt idx="39">
                  <c:v>15.842700000000001</c:v>
                </c:pt>
                <c:pt idx="40">
                  <c:v>16.249500000000001</c:v>
                </c:pt>
                <c:pt idx="41">
                  <c:v>16.656700000000001</c:v>
                </c:pt>
                <c:pt idx="42">
                  <c:v>17.061299999999999</c:v>
                </c:pt>
                <c:pt idx="43">
                  <c:v>17.468399999999999</c:v>
                </c:pt>
                <c:pt idx="44">
                  <c:v>17.8751</c:v>
                </c:pt>
                <c:pt idx="45">
                  <c:v>18.280999999999999</c:v>
                </c:pt>
                <c:pt idx="46">
                  <c:v>18.684999999999999</c:v>
                </c:pt>
                <c:pt idx="47">
                  <c:v>19.097799999999999</c:v>
                </c:pt>
                <c:pt idx="48">
                  <c:v>19.4953</c:v>
                </c:pt>
                <c:pt idx="49">
                  <c:v>19.907699999999998</c:v>
                </c:pt>
                <c:pt idx="50">
                  <c:v>20.3126</c:v>
                </c:pt>
                <c:pt idx="51">
                  <c:v>20.712599999999998</c:v>
                </c:pt>
                <c:pt idx="52">
                  <c:v>21.122499999999999</c:v>
                </c:pt>
                <c:pt idx="53">
                  <c:v>21.5304</c:v>
                </c:pt>
                <c:pt idx="54">
                  <c:v>21.935600000000001</c:v>
                </c:pt>
                <c:pt idx="55">
                  <c:v>22.345300000000002</c:v>
                </c:pt>
                <c:pt idx="56">
                  <c:v>22.752099999999999</c:v>
                </c:pt>
                <c:pt idx="57">
                  <c:v>23.155999999999999</c:v>
                </c:pt>
                <c:pt idx="58">
                  <c:v>23.560199999999998</c:v>
                </c:pt>
                <c:pt idx="59">
                  <c:v>23.966899999999999</c:v>
                </c:pt>
                <c:pt idx="60">
                  <c:v>24.370999999999999</c:v>
                </c:pt>
                <c:pt idx="61">
                  <c:v>24.7807</c:v>
                </c:pt>
                <c:pt idx="62">
                  <c:v>25.186599999999999</c:v>
                </c:pt>
                <c:pt idx="63">
                  <c:v>25.592700000000001</c:v>
                </c:pt>
                <c:pt idx="64">
                  <c:v>25.994499999999999</c:v>
                </c:pt>
                <c:pt idx="65">
                  <c:v>26.404299999999999</c:v>
                </c:pt>
                <c:pt idx="66">
                  <c:v>26.8123</c:v>
                </c:pt>
                <c:pt idx="67">
                  <c:v>27.220199999999998</c:v>
                </c:pt>
                <c:pt idx="68">
                  <c:v>27.624400000000001</c:v>
                </c:pt>
                <c:pt idx="69">
                  <c:v>28.0275</c:v>
                </c:pt>
                <c:pt idx="70">
                  <c:v>28.432200000000002</c:v>
                </c:pt>
                <c:pt idx="71">
                  <c:v>28.84</c:v>
                </c:pt>
                <c:pt idx="72">
                  <c:v>29.251200000000001</c:v>
                </c:pt>
                <c:pt idx="73">
                  <c:v>29.654699999999998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2.0219800000000001</c:v>
                </c:pt>
                <c:pt idx="1">
                  <c:v>2.0805199999999999</c:v>
                </c:pt>
                <c:pt idx="2">
                  <c:v>2.1417900000000003</c:v>
                </c:pt>
                <c:pt idx="3">
                  <c:v>2.20208</c:v>
                </c:pt>
                <c:pt idx="4">
                  <c:v>2.26166</c:v>
                </c:pt>
                <c:pt idx="5">
                  <c:v>2.3198699999999999</c:v>
                </c:pt>
                <c:pt idx="6">
                  <c:v>2.37826</c:v>
                </c:pt>
                <c:pt idx="7">
                  <c:v>2.4355099999999998</c:v>
                </c:pt>
                <c:pt idx="8">
                  <c:v>2.4931900000000002</c:v>
                </c:pt>
                <c:pt idx="9">
                  <c:v>2.5531999999999999</c:v>
                </c:pt>
                <c:pt idx="10">
                  <c:v>2.6117900000000001</c:v>
                </c:pt>
                <c:pt idx="11">
                  <c:v>2.6692399999999998</c:v>
                </c:pt>
                <c:pt idx="12">
                  <c:v>2.7260800000000001</c:v>
                </c:pt>
                <c:pt idx="13">
                  <c:v>2.7814299999999998</c:v>
                </c:pt>
                <c:pt idx="14">
                  <c:v>2.8367900000000001</c:v>
                </c:pt>
                <c:pt idx="15">
                  <c:v>2.8927199999999997</c:v>
                </c:pt>
                <c:pt idx="16">
                  <c:v>2.9479199999999999</c:v>
                </c:pt>
                <c:pt idx="17">
                  <c:v>3.00176</c:v>
                </c:pt>
                <c:pt idx="18">
                  <c:v>3.0491800000000002</c:v>
                </c:pt>
                <c:pt idx="19">
                  <c:v>3.0898300000000001</c:v>
                </c:pt>
                <c:pt idx="20">
                  <c:v>3.1283400000000001</c:v>
                </c:pt>
                <c:pt idx="21">
                  <c:v>3.1676900000000003</c:v>
                </c:pt>
                <c:pt idx="22">
                  <c:v>3.2048100000000002</c:v>
                </c:pt>
                <c:pt idx="23">
                  <c:v>3.2437</c:v>
                </c:pt>
                <c:pt idx="24">
                  <c:v>3.2808299999999999</c:v>
                </c:pt>
                <c:pt idx="25">
                  <c:v>3.3124399999999996</c:v>
                </c:pt>
                <c:pt idx="26">
                  <c:v>3.3384</c:v>
                </c:pt>
                <c:pt idx="27">
                  <c:v>3.3569800000000001</c:v>
                </c:pt>
                <c:pt idx="28">
                  <c:v>3.3712900000000001</c:v>
                </c:pt>
                <c:pt idx="29">
                  <c:v>3.3795299999999999</c:v>
                </c:pt>
                <c:pt idx="30">
                  <c:v>3.3842600000000003</c:v>
                </c:pt>
                <c:pt idx="31">
                  <c:v>3.3867799999999999</c:v>
                </c:pt>
                <c:pt idx="32">
                  <c:v>3.38686</c:v>
                </c:pt>
                <c:pt idx="33">
                  <c:v>3.3832899999999997</c:v>
                </c:pt>
                <c:pt idx="34">
                  <c:v>3.3750799999999996</c:v>
                </c:pt>
                <c:pt idx="35">
                  <c:v>3.3652500000000001</c:v>
                </c:pt>
                <c:pt idx="36">
                  <c:v>3.3547799999999999</c:v>
                </c:pt>
                <c:pt idx="37">
                  <c:v>3.34476</c:v>
                </c:pt>
                <c:pt idx="38">
                  <c:v>3.3351700000000002</c:v>
                </c:pt>
                <c:pt idx="39">
                  <c:v>3.32606</c:v>
                </c:pt>
                <c:pt idx="40">
                  <c:v>3.3138899999999998</c:v>
                </c:pt>
                <c:pt idx="41">
                  <c:v>3.30138</c:v>
                </c:pt>
                <c:pt idx="42">
                  <c:v>3.2891599999999999</c:v>
                </c:pt>
                <c:pt idx="43">
                  <c:v>3.2753800000000002</c:v>
                </c:pt>
                <c:pt idx="44">
                  <c:v>3.2636599999999998</c:v>
                </c:pt>
                <c:pt idx="45">
                  <c:v>3.2525900000000001</c:v>
                </c:pt>
                <c:pt idx="46">
                  <c:v>3.2363</c:v>
                </c:pt>
                <c:pt idx="47">
                  <c:v>3.2202700000000002</c:v>
                </c:pt>
                <c:pt idx="48">
                  <c:v>3.2000600000000001</c:v>
                </c:pt>
                <c:pt idx="49">
                  <c:v>3.17699</c:v>
                </c:pt>
                <c:pt idx="50">
                  <c:v>3.1565099999999999</c:v>
                </c:pt>
                <c:pt idx="51">
                  <c:v>3.13964</c:v>
                </c:pt>
                <c:pt idx="52">
                  <c:v>3.12819</c:v>
                </c:pt>
                <c:pt idx="53">
                  <c:v>3.1206200000000002</c:v>
                </c:pt>
                <c:pt idx="54">
                  <c:v>3.11795</c:v>
                </c:pt>
                <c:pt idx="55">
                  <c:v>3.1186199999999999</c:v>
                </c:pt>
                <c:pt idx="56">
                  <c:v>3.1205500000000002</c:v>
                </c:pt>
                <c:pt idx="57">
                  <c:v>3.12453</c:v>
                </c:pt>
                <c:pt idx="58">
                  <c:v>3.1300299999999996</c:v>
                </c:pt>
                <c:pt idx="59">
                  <c:v>3.1360900000000003</c:v>
                </c:pt>
                <c:pt idx="60">
                  <c:v>3.14506</c:v>
                </c:pt>
                <c:pt idx="61">
                  <c:v>3.1550000000000002</c:v>
                </c:pt>
                <c:pt idx="62">
                  <c:v>3.1633299999999998</c:v>
                </c:pt>
                <c:pt idx="63">
                  <c:v>3.1711899999999997</c:v>
                </c:pt>
                <c:pt idx="64">
                  <c:v>3.1771199999999999</c:v>
                </c:pt>
                <c:pt idx="65">
                  <c:v>3.1838199999999999</c:v>
                </c:pt>
                <c:pt idx="66">
                  <c:v>3.18933</c:v>
                </c:pt>
                <c:pt idx="67">
                  <c:v>3.1952999999999996</c:v>
                </c:pt>
                <c:pt idx="68">
                  <c:v>3.20533</c:v>
                </c:pt>
                <c:pt idx="69">
                  <c:v>3.2170800000000002</c:v>
                </c:pt>
                <c:pt idx="70">
                  <c:v>3.2278899999999999</c:v>
                </c:pt>
                <c:pt idx="71">
                  <c:v>3.23936</c:v>
                </c:pt>
                <c:pt idx="72">
                  <c:v>3.2508300000000001</c:v>
                </c:pt>
                <c:pt idx="73">
                  <c:v>3.2577800000000003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29.654699999999998</c:v>
                </c:pt>
                <c:pt idx="1">
                  <c:v>30.0627</c:v>
                </c:pt>
                <c:pt idx="2">
                  <c:v>30.465499999999999</c:v>
                </c:pt>
                <c:pt idx="3">
                  <c:v>30.874500000000001</c:v>
                </c:pt>
                <c:pt idx="4">
                  <c:v>31.279599999999999</c:v>
                </c:pt>
                <c:pt idx="5">
                  <c:v>31.687200000000001</c:v>
                </c:pt>
                <c:pt idx="6">
                  <c:v>32.095300000000002</c:v>
                </c:pt>
                <c:pt idx="7">
                  <c:v>32.5</c:v>
                </c:pt>
                <c:pt idx="8">
                  <c:v>32.905900000000003</c:v>
                </c:pt>
                <c:pt idx="9">
                  <c:v>33.311999999999998</c:v>
                </c:pt>
                <c:pt idx="10">
                  <c:v>33.716799999999999</c:v>
                </c:pt>
                <c:pt idx="11">
                  <c:v>34.122700000000002</c:v>
                </c:pt>
                <c:pt idx="12">
                  <c:v>34.532600000000002</c:v>
                </c:pt>
                <c:pt idx="13">
                  <c:v>34.935499999999998</c:v>
                </c:pt>
                <c:pt idx="14">
                  <c:v>35.340400000000002</c:v>
                </c:pt>
                <c:pt idx="15">
                  <c:v>35.747399999999999</c:v>
                </c:pt>
                <c:pt idx="16">
                  <c:v>36.154200000000003</c:v>
                </c:pt>
                <c:pt idx="17">
                  <c:v>36.558100000000003</c:v>
                </c:pt>
                <c:pt idx="18">
                  <c:v>36.966099999999997</c:v>
                </c:pt>
                <c:pt idx="19">
                  <c:v>37.376300000000001</c:v>
                </c:pt>
                <c:pt idx="20">
                  <c:v>37.779899999999998</c:v>
                </c:pt>
                <c:pt idx="21">
                  <c:v>38.184800000000003</c:v>
                </c:pt>
                <c:pt idx="22">
                  <c:v>38.590800000000002</c:v>
                </c:pt>
                <c:pt idx="23">
                  <c:v>38.998699999999999</c:v>
                </c:pt>
                <c:pt idx="24">
                  <c:v>39.405500000000004</c:v>
                </c:pt>
                <c:pt idx="25">
                  <c:v>39.811900000000001</c:v>
                </c:pt>
                <c:pt idx="26">
                  <c:v>40.217399999999998</c:v>
                </c:pt>
                <c:pt idx="27">
                  <c:v>40.624400000000001</c:v>
                </c:pt>
                <c:pt idx="28">
                  <c:v>41.029200000000003</c:v>
                </c:pt>
                <c:pt idx="29">
                  <c:v>41.437100000000001</c:v>
                </c:pt>
                <c:pt idx="30">
                  <c:v>41.845999999999997</c:v>
                </c:pt>
                <c:pt idx="31">
                  <c:v>42.247100000000003</c:v>
                </c:pt>
                <c:pt idx="32">
                  <c:v>42.654899999999998</c:v>
                </c:pt>
                <c:pt idx="33">
                  <c:v>43.063800000000001</c:v>
                </c:pt>
                <c:pt idx="34">
                  <c:v>43.462800000000001</c:v>
                </c:pt>
                <c:pt idx="35">
                  <c:v>43.871899999999997</c:v>
                </c:pt>
                <c:pt idx="36">
                  <c:v>44.281500000000001</c:v>
                </c:pt>
                <c:pt idx="37">
                  <c:v>44.687600000000003</c:v>
                </c:pt>
                <c:pt idx="38">
                  <c:v>45.092300000000002</c:v>
                </c:pt>
                <c:pt idx="39">
                  <c:v>45.499299999999998</c:v>
                </c:pt>
                <c:pt idx="40">
                  <c:v>45.904499999999999</c:v>
                </c:pt>
                <c:pt idx="41">
                  <c:v>46.310400000000001</c:v>
                </c:pt>
                <c:pt idx="42">
                  <c:v>46.719099999999997</c:v>
                </c:pt>
                <c:pt idx="43">
                  <c:v>47.120100000000001</c:v>
                </c:pt>
                <c:pt idx="44">
                  <c:v>47.529899999999998</c:v>
                </c:pt>
                <c:pt idx="45">
                  <c:v>47.936</c:v>
                </c:pt>
                <c:pt idx="46">
                  <c:v>48.342799999999997</c:v>
                </c:pt>
                <c:pt idx="47">
                  <c:v>48.746600000000001</c:v>
                </c:pt>
                <c:pt idx="48">
                  <c:v>49.158499999999997</c:v>
                </c:pt>
                <c:pt idx="49">
                  <c:v>49.561300000000003</c:v>
                </c:pt>
                <c:pt idx="50">
                  <c:v>49.966299999999997</c:v>
                </c:pt>
                <c:pt idx="51">
                  <c:v>50.3752</c:v>
                </c:pt>
                <c:pt idx="52">
                  <c:v>50.780099999999997</c:v>
                </c:pt>
                <c:pt idx="53">
                  <c:v>51.187199999999997</c:v>
                </c:pt>
                <c:pt idx="54">
                  <c:v>51.594099999999997</c:v>
                </c:pt>
                <c:pt idx="55">
                  <c:v>52.000799999999998</c:v>
                </c:pt>
                <c:pt idx="56">
                  <c:v>52.405799999999999</c:v>
                </c:pt>
                <c:pt idx="57">
                  <c:v>52.811700000000002</c:v>
                </c:pt>
                <c:pt idx="58">
                  <c:v>53.217700000000001</c:v>
                </c:pt>
                <c:pt idx="59">
                  <c:v>53.625500000000002</c:v>
                </c:pt>
                <c:pt idx="60">
                  <c:v>54.0304</c:v>
                </c:pt>
                <c:pt idx="61">
                  <c:v>54.436300000000003</c:v>
                </c:pt>
                <c:pt idx="62">
                  <c:v>54.841299999999997</c:v>
                </c:pt>
                <c:pt idx="63">
                  <c:v>55.247300000000003</c:v>
                </c:pt>
                <c:pt idx="64">
                  <c:v>55.6571</c:v>
                </c:pt>
                <c:pt idx="65">
                  <c:v>56.066000000000003</c:v>
                </c:pt>
                <c:pt idx="66">
                  <c:v>56.469000000000001</c:v>
                </c:pt>
                <c:pt idx="67">
                  <c:v>56.874899999999997</c:v>
                </c:pt>
                <c:pt idx="68">
                  <c:v>57.277799999999999</c:v>
                </c:pt>
                <c:pt idx="69">
                  <c:v>57.686700000000002</c:v>
                </c:pt>
                <c:pt idx="70">
                  <c:v>58.090600000000002</c:v>
                </c:pt>
                <c:pt idx="71">
                  <c:v>58.499299999999998</c:v>
                </c:pt>
                <c:pt idx="72">
                  <c:v>58.9024</c:v>
                </c:pt>
                <c:pt idx="73">
                  <c:v>59.312399999999997</c:v>
                </c:pt>
                <c:pt idx="74">
                  <c:v>59.7194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3.2577800000000003</c:v>
                </c:pt>
                <c:pt idx="1">
                  <c:v>3.2621199999999999</c:v>
                </c:pt>
                <c:pt idx="2">
                  <c:v>3.2656099999999997</c:v>
                </c:pt>
                <c:pt idx="3">
                  <c:v>3.2693499999999998</c:v>
                </c:pt>
                <c:pt idx="4">
                  <c:v>3.2729799999999996</c:v>
                </c:pt>
                <c:pt idx="5">
                  <c:v>3.2798400000000001</c:v>
                </c:pt>
                <c:pt idx="6">
                  <c:v>3.2894800000000002</c:v>
                </c:pt>
                <c:pt idx="7">
                  <c:v>3.2993899999999998</c:v>
                </c:pt>
                <c:pt idx="8">
                  <c:v>3.31162</c:v>
                </c:pt>
                <c:pt idx="9">
                  <c:v>3.3278300000000001</c:v>
                </c:pt>
                <c:pt idx="10">
                  <c:v>3.34843</c:v>
                </c:pt>
                <c:pt idx="11">
                  <c:v>3.3730700000000002</c:v>
                </c:pt>
                <c:pt idx="12">
                  <c:v>3.3992099999999996</c:v>
                </c:pt>
                <c:pt idx="13">
                  <c:v>3.4265400000000001</c:v>
                </c:pt>
                <c:pt idx="14">
                  <c:v>3.45208</c:v>
                </c:pt>
                <c:pt idx="15">
                  <c:v>3.4768700000000003</c:v>
                </c:pt>
                <c:pt idx="16">
                  <c:v>3.5008400000000002</c:v>
                </c:pt>
                <c:pt idx="17">
                  <c:v>3.5244599999999999</c:v>
                </c:pt>
                <c:pt idx="18">
                  <c:v>3.5491999999999999</c:v>
                </c:pt>
                <c:pt idx="19">
                  <c:v>3.57375</c:v>
                </c:pt>
                <c:pt idx="20">
                  <c:v>3.5990199999999999</c:v>
                </c:pt>
                <c:pt idx="21">
                  <c:v>3.6244800000000001</c:v>
                </c:pt>
                <c:pt idx="22">
                  <c:v>3.6531799999999999</c:v>
                </c:pt>
                <c:pt idx="23">
                  <c:v>3.6832599999999998</c:v>
                </c:pt>
                <c:pt idx="24">
                  <c:v>3.7139800000000003</c:v>
                </c:pt>
                <c:pt idx="25">
                  <c:v>3.74552</c:v>
                </c:pt>
                <c:pt idx="26">
                  <c:v>3.7765900000000001</c:v>
                </c:pt>
                <c:pt idx="27">
                  <c:v>3.8079800000000001</c:v>
                </c:pt>
                <c:pt idx="28">
                  <c:v>3.8378800000000002</c:v>
                </c:pt>
                <c:pt idx="29">
                  <c:v>3.8628499999999999</c:v>
                </c:pt>
                <c:pt idx="30">
                  <c:v>3.8817400000000002</c:v>
                </c:pt>
                <c:pt idx="31">
                  <c:v>3.8966799999999999</c:v>
                </c:pt>
                <c:pt idx="32">
                  <c:v>3.9093899999999997</c:v>
                </c:pt>
                <c:pt idx="33">
                  <c:v>3.9192100000000001</c:v>
                </c:pt>
                <c:pt idx="34">
                  <c:v>3.9253100000000001</c:v>
                </c:pt>
                <c:pt idx="35">
                  <c:v>3.92706</c:v>
                </c:pt>
                <c:pt idx="36">
                  <c:v>3.92517</c:v>
                </c:pt>
                <c:pt idx="37">
                  <c:v>3.9201700000000002</c:v>
                </c:pt>
                <c:pt idx="38">
                  <c:v>3.9120700000000004</c:v>
                </c:pt>
                <c:pt idx="39">
                  <c:v>3.9028900000000002</c:v>
                </c:pt>
                <c:pt idx="40">
                  <c:v>3.8928699999999998</c:v>
                </c:pt>
                <c:pt idx="41">
                  <c:v>3.8815300000000001</c:v>
                </c:pt>
                <c:pt idx="42">
                  <c:v>3.8695200000000001</c:v>
                </c:pt>
                <c:pt idx="43">
                  <c:v>3.8565300000000002</c:v>
                </c:pt>
                <c:pt idx="44">
                  <c:v>3.8434200000000001</c:v>
                </c:pt>
                <c:pt idx="45">
                  <c:v>3.8288600000000002</c:v>
                </c:pt>
                <c:pt idx="46">
                  <c:v>3.8131700000000004</c:v>
                </c:pt>
                <c:pt idx="47">
                  <c:v>3.7957999999999998</c:v>
                </c:pt>
                <c:pt idx="48">
                  <c:v>3.77658</c:v>
                </c:pt>
                <c:pt idx="49">
                  <c:v>3.7546900000000001</c:v>
                </c:pt>
                <c:pt idx="50">
                  <c:v>3.7355300000000002</c:v>
                </c:pt>
                <c:pt idx="51">
                  <c:v>3.71976</c:v>
                </c:pt>
                <c:pt idx="52">
                  <c:v>3.7019400000000005</c:v>
                </c:pt>
                <c:pt idx="53">
                  <c:v>3.6839200000000001</c:v>
                </c:pt>
                <c:pt idx="54">
                  <c:v>3.6695499999999996</c:v>
                </c:pt>
                <c:pt idx="55">
                  <c:v>3.6593</c:v>
                </c:pt>
                <c:pt idx="56">
                  <c:v>3.6513400000000003</c:v>
                </c:pt>
                <c:pt idx="57">
                  <c:v>3.6452800000000001</c:v>
                </c:pt>
                <c:pt idx="58">
                  <c:v>3.6405599999999998</c:v>
                </c:pt>
                <c:pt idx="59">
                  <c:v>3.63713</c:v>
                </c:pt>
                <c:pt idx="60">
                  <c:v>3.6354899999999999</c:v>
                </c:pt>
                <c:pt idx="61">
                  <c:v>3.63334</c:v>
                </c:pt>
                <c:pt idx="62">
                  <c:v>3.6306899999999995</c:v>
                </c:pt>
                <c:pt idx="63">
                  <c:v>3.6288999999999998</c:v>
                </c:pt>
                <c:pt idx="64">
                  <c:v>3.6301099999999997</c:v>
                </c:pt>
                <c:pt idx="65">
                  <c:v>3.6317399999999997</c:v>
                </c:pt>
                <c:pt idx="66">
                  <c:v>3.6374899999999997</c:v>
                </c:pt>
                <c:pt idx="67">
                  <c:v>3.6437199999999996</c:v>
                </c:pt>
                <c:pt idx="68">
                  <c:v>3.6485300000000001</c:v>
                </c:pt>
                <c:pt idx="69">
                  <c:v>3.6513499999999999</c:v>
                </c:pt>
                <c:pt idx="70">
                  <c:v>3.65679</c:v>
                </c:pt>
                <c:pt idx="71">
                  <c:v>3.6640899999999998</c:v>
                </c:pt>
                <c:pt idx="72">
                  <c:v>3.6598700000000002</c:v>
                </c:pt>
                <c:pt idx="73">
                  <c:v>3.657</c:v>
                </c:pt>
                <c:pt idx="74">
                  <c:v>3.6727599999999998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14.92985</c:v>
                </c:pt>
                <c:pt idx="1">
                  <c:v>44.789549999999998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3.0611071621621635</c:v>
                </c:pt>
                <c:pt idx="1">
                  <c:v>3.6535979729729728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0.40397899999999998</c:v>
                </c:pt>
                <c:pt idx="2">
                  <c:v>0.81182799999999999</c:v>
                </c:pt>
                <c:pt idx="3">
                  <c:v>1.21889</c:v>
                </c:pt>
                <c:pt idx="4">
                  <c:v>1.62557</c:v>
                </c:pt>
                <c:pt idx="5">
                  <c:v>2.0318200000000002</c:v>
                </c:pt>
                <c:pt idx="6">
                  <c:v>2.43492</c:v>
                </c:pt>
                <c:pt idx="7">
                  <c:v>2.8443999999999998</c:v>
                </c:pt>
                <c:pt idx="8">
                  <c:v>3.2511999999999999</c:v>
                </c:pt>
                <c:pt idx="9">
                  <c:v>3.6570900000000002</c:v>
                </c:pt>
                <c:pt idx="10">
                  <c:v>4.0591999999999997</c:v>
                </c:pt>
                <c:pt idx="11">
                  <c:v>4.4661200000000001</c:v>
                </c:pt>
                <c:pt idx="12">
                  <c:v>4.8690600000000002</c:v>
                </c:pt>
                <c:pt idx="13">
                  <c:v>5.2808400000000004</c:v>
                </c:pt>
                <c:pt idx="14">
                  <c:v>5.6867400000000004</c:v>
                </c:pt>
                <c:pt idx="15">
                  <c:v>6.0907</c:v>
                </c:pt>
                <c:pt idx="16">
                  <c:v>6.4966600000000003</c:v>
                </c:pt>
                <c:pt idx="17">
                  <c:v>6.9046500000000002</c:v>
                </c:pt>
                <c:pt idx="18">
                  <c:v>7.30844</c:v>
                </c:pt>
                <c:pt idx="19">
                  <c:v>7.7163500000000003</c:v>
                </c:pt>
                <c:pt idx="20">
                  <c:v>8.1251899999999999</c:v>
                </c:pt>
                <c:pt idx="21">
                  <c:v>8.5268200000000007</c:v>
                </c:pt>
                <c:pt idx="22">
                  <c:v>8.9340700000000002</c:v>
                </c:pt>
                <c:pt idx="23">
                  <c:v>9.3433399999999995</c:v>
                </c:pt>
                <c:pt idx="24">
                  <c:v>9.7479600000000008</c:v>
                </c:pt>
                <c:pt idx="25">
                  <c:v>10.1569</c:v>
                </c:pt>
                <c:pt idx="26">
                  <c:v>10.5646</c:v>
                </c:pt>
                <c:pt idx="27">
                  <c:v>10.9696</c:v>
                </c:pt>
                <c:pt idx="28">
                  <c:v>11.3725</c:v>
                </c:pt>
                <c:pt idx="29">
                  <c:v>11.781499999999999</c:v>
                </c:pt>
                <c:pt idx="30">
                  <c:v>12.1884</c:v>
                </c:pt>
                <c:pt idx="31">
                  <c:v>12.5923</c:v>
                </c:pt>
                <c:pt idx="32">
                  <c:v>12.9968</c:v>
                </c:pt>
                <c:pt idx="33">
                  <c:v>13.4041</c:v>
                </c:pt>
                <c:pt idx="34">
                  <c:v>13.8104</c:v>
                </c:pt>
                <c:pt idx="35">
                  <c:v>14.2159</c:v>
                </c:pt>
                <c:pt idx="36">
                  <c:v>14.6228</c:v>
                </c:pt>
                <c:pt idx="37">
                  <c:v>15.030799999999999</c:v>
                </c:pt>
                <c:pt idx="38">
                  <c:v>15.438700000000001</c:v>
                </c:pt>
                <c:pt idx="39">
                  <c:v>15.842700000000001</c:v>
                </c:pt>
                <c:pt idx="40">
                  <c:v>16.249500000000001</c:v>
                </c:pt>
                <c:pt idx="41">
                  <c:v>16.656700000000001</c:v>
                </c:pt>
                <c:pt idx="42">
                  <c:v>17.061299999999999</c:v>
                </c:pt>
                <c:pt idx="43">
                  <c:v>17.468399999999999</c:v>
                </c:pt>
                <c:pt idx="44">
                  <c:v>17.8751</c:v>
                </c:pt>
                <c:pt idx="45">
                  <c:v>18.280999999999999</c:v>
                </c:pt>
                <c:pt idx="46">
                  <c:v>18.684999999999999</c:v>
                </c:pt>
                <c:pt idx="47">
                  <c:v>19.097799999999999</c:v>
                </c:pt>
                <c:pt idx="48">
                  <c:v>19.4953</c:v>
                </c:pt>
                <c:pt idx="49">
                  <c:v>19.907699999999998</c:v>
                </c:pt>
                <c:pt idx="50">
                  <c:v>20.3126</c:v>
                </c:pt>
                <c:pt idx="51">
                  <c:v>20.712599999999998</c:v>
                </c:pt>
                <c:pt idx="52">
                  <c:v>21.122499999999999</c:v>
                </c:pt>
                <c:pt idx="53">
                  <c:v>21.5304</c:v>
                </c:pt>
                <c:pt idx="54">
                  <c:v>21.935600000000001</c:v>
                </c:pt>
                <c:pt idx="55">
                  <c:v>22.345300000000002</c:v>
                </c:pt>
                <c:pt idx="56">
                  <c:v>22.752099999999999</c:v>
                </c:pt>
                <c:pt idx="57">
                  <c:v>23.155999999999999</c:v>
                </c:pt>
                <c:pt idx="58">
                  <c:v>23.560199999999998</c:v>
                </c:pt>
                <c:pt idx="59">
                  <c:v>23.966899999999999</c:v>
                </c:pt>
                <c:pt idx="60">
                  <c:v>24.370999999999999</c:v>
                </c:pt>
                <c:pt idx="61">
                  <c:v>24.7807</c:v>
                </c:pt>
                <c:pt idx="62">
                  <c:v>25.186599999999999</c:v>
                </c:pt>
                <c:pt idx="63">
                  <c:v>25.592700000000001</c:v>
                </c:pt>
                <c:pt idx="64">
                  <c:v>25.994499999999999</c:v>
                </c:pt>
                <c:pt idx="65">
                  <c:v>26.404299999999999</c:v>
                </c:pt>
                <c:pt idx="66">
                  <c:v>26.8123</c:v>
                </c:pt>
                <c:pt idx="67">
                  <c:v>27.220199999999998</c:v>
                </c:pt>
                <c:pt idx="68">
                  <c:v>27.624400000000001</c:v>
                </c:pt>
                <c:pt idx="69">
                  <c:v>28.0275</c:v>
                </c:pt>
                <c:pt idx="70">
                  <c:v>28.432200000000002</c:v>
                </c:pt>
                <c:pt idx="71">
                  <c:v>28.84</c:v>
                </c:pt>
                <c:pt idx="72">
                  <c:v>29.251200000000001</c:v>
                </c:pt>
                <c:pt idx="73">
                  <c:v>29.654699999999998</c:v>
                </c:pt>
                <c:pt idx="74">
                  <c:v>30.0627</c:v>
                </c:pt>
                <c:pt idx="75">
                  <c:v>30.465499999999999</c:v>
                </c:pt>
                <c:pt idx="76">
                  <c:v>30.874500000000001</c:v>
                </c:pt>
                <c:pt idx="77">
                  <c:v>31.279599999999999</c:v>
                </c:pt>
                <c:pt idx="78">
                  <c:v>31.687200000000001</c:v>
                </c:pt>
                <c:pt idx="79">
                  <c:v>32.095300000000002</c:v>
                </c:pt>
                <c:pt idx="80">
                  <c:v>32.5</c:v>
                </c:pt>
                <c:pt idx="81">
                  <c:v>32.905900000000003</c:v>
                </c:pt>
                <c:pt idx="82">
                  <c:v>33.311999999999998</c:v>
                </c:pt>
                <c:pt idx="83">
                  <c:v>33.716799999999999</c:v>
                </c:pt>
                <c:pt idx="84">
                  <c:v>34.122700000000002</c:v>
                </c:pt>
                <c:pt idx="85">
                  <c:v>34.532600000000002</c:v>
                </c:pt>
                <c:pt idx="86">
                  <c:v>34.935499999999998</c:v>
                </c:pt>
                <c:pt idx="87">
                  <c:v>35.340400000000002</c:v>
                </c:pt>
                <c:pt idx="88">
                  <c:v>35.747399999999999</c:v>
                </c:pt>
                <c:pt idx="89">
                  <c:v>36.154200000000003</c:v>
                </c:pt>
                <c:pt idx="90">
                  <c:v>36.558100000000003</c:v>
                </c:pt>
                <c:pt idx="91">
                  <c:v>36.966099999999997</c:v>
                </c:pt>
                <c:pt idx="92">
                  <c:v>37.376300000000001</c:v>
                </c:pt>
                <c:pt idx="93">
                  <c:v>37.779899999999998</c:v>
                </c:pt>
                <c:pt idx="94">
                  <c:v>38.184800000000003</c:v>
                </c:pt>
                <c:pt idx="95">
                  <c:v>38.590800000000002</c:v>
                </c:pt>
                <c:pt idx="96">
                  <c:v>38.998699999999999</c:v>
                </c:pt>
                <c:pt idx="97">
                  <c:v>39.405500000000004</c:v>
                </c:pt>
                <c:pt idx="98">
                  <c:v>39.811900000000001</c:v>
                </c:pt>
                <c:pt idx="99">
                  <c:v>40.217399999999998</c:v>
                </c:pt>
                <c:pt idx="100">
                  <c:v>40.624400000000001</c:v>
                </c:pt>
                <c:pt idx="101">
                  <c:v>41.029200000000003</c:v>
                </c:pt>
                <c:pt idx="102">
                  <c:v>41.437100000000001</c:v>
                </c:pt>
                <c:pt idx="103">
                  <c:v>41.845999999999997</c:v>
                </c:pt>
                <c:pt idx="104">
                  <c:v>42.247100000000003</c:v>
                </c:pt>
                <c:pt idx="105">
                  <c:v>42.654899999999998</c:v>
                </c:pt>
                <c:pt idx="106">
                  <c:v>43.063800000000001</c:v>
                </c:pt>
                <c:pt idx="107">
                  <c:v>43.462800000000001</c:v>
                </c:pt>
                <c:pt idx="108">
                  <c:v>43.871899999999997</c:v>
                </c:pt>
                <c:pt idx="109">
                  <c:v>44.281500000000001</c:v>
                </c:pt>
                <c:pt idx="110">
                  <c:v>44.687600000000003</c:v>
                </c:pt>
                <c:pt idx="111">
                  <c:v>45.092300000000002</c:v>
                </c:pt>
                <c:pt idx="112">
                  <c:v>45.499299999999998</c:v>
                </c:pt>
                <c:pt idx="113">
                  <c:v>45.904499999999999</c:v>
                </c:pt>
                <c:pt idx="114">
                  <c:v>46.310400000000001</c:v>
                </c:pt>
                <c:pt idx="115">
                  <c:v>46.719099999999997</c:v>
                </c:pt>
                <c:pt idx="116">
                  <c:v>47.120100000000001</c:v>
                </c:pt>
                <c:pt idx="117">
                  <c:v>47.529899999999998</c:v>
                </c:pt>
                <c:pt idx="118">
                  <c:v>47.936</c:v>
                </c:pt>
                <c:pt idx="119">
                  <c:v>48.342799999999997</c:v>
                </c:pt>
                <c:pt idx="120">
                  <c:v>48.746600000000001</c:v>
                </c:pt>
                <c:pt idx="121">
                  <c:v>49.158499999999997</c:v>
                </c:pt>
                <c:pt idx="122">
                  <c:v>49.561300000000003</c:v>
                </c:pt>
                <c:pt idx="123">
                  <c:v>49.966299999999997</c:v>
                </c:pt>
                <c:pt idx="124">
                  <c:v>50.3752</c:v>
                </c:pt>
                <c:pt idx="125">
                  <c:v>50.780099999999997</c:v>
                </c:pt>
                <c:pt idx="126">
                  <c:v>51.187199999999997</c:v>
                </c:pt>
                <c:pt idx="127">
                  <c:v>51.594099999999997</c:v>
                </c:pt>
                <c:pt idx="128">
                  <c:v>52.000799999999998</c:v>
                </c:pt>
                <c:pt idx="129">
                  <c:v>52.405799999999999</c:v>
                </c:pt>
                <c:pt idx="130">
                  <c:v>52.811700000000002</c:v>
                </c:pt>
                <c:pt idx="131">
                  <c:v>53.217700000000001</c:v>
                </c:pt>
                <c:pt idx="132">
                  <c:v>53.625500000000002</c:v>
                </c:pt>
                <c:pt idx="133">
                  <c:v>54.0304</c:v>
                </c:pt>
                <c:pt idx="134">
                  <c:v>54.436300000000003</c:v>
                </c:pt>
                <c:pt idx="135">
                  <c:v>54.841299999999997</c:v>
                </c:pt>
                <c:pt idx="136">
                  <c:v>55.247300000000003</c:v>
                </c:pt>
                <c:pt idx="137">
                  <c:v>55.6571</c:v>
                </c:pt>
                <c:pt idx="138">
                  <c:v>56.066000000000003</c:v>
                </c:pt>
                <c:pt idx="139">
                  <c:v>56.469000000000001</c:v>
                </c:pt>
                <c:pt idx="140">
                  <c:v>56.874899999999997</c:v>
                </c:pt>
                <c:pt idx="141">
                  <c:v>57.277799999999999</c:v>
                </c:pt>
                <c:pt idx="142">
                  <c:v>57.686700000000002</c:v>
                </c:pt>
                <c:pt idx="143">
                  <c:v>58.090600000000002</c:v>
                </c:pt>
                <c:pt idx="144">
                  <c:v>58.499299999999998</c:v>
                </c:pt>
                <c:pt idx="145">
                  <c:v>58.9024</c:v>
                </c:pt>
                <c:pt idx="146">
                  <c:v>59.312399999999997</c:v>
                </c:pt>
                <c:pt idx="147">
                  <c:v>59.7194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60.566200000000002</c:v>
                </c:pt>
                <c:pt idx="1">
                  <c:v>59.7136</c:v>
                </c:pt>
                <c:pt idx="2">
                  <c:v>58.682000000000002</c:v>
                </c:pt>
                <c:pt idx="3">
                  <c:v>57.4848</c:v>
                </c:pt>
                <c:pt idx="4">
                  <c:v>56.180500000000002</c:v>
                </c:pt>
                <c:pt idx="5">
                  <c:v>54.831300000000006</c:v>
                </c:pt>
                <c:pt idx="6">
                  <c:v>53.502499999999998</c:v>
                </c:pt>
                <c:pt idx="7">
                  <c:v>52.224899999999998</c:v>
                </c:pt>
                <c:pt idx="8">
                  <c:v>50.905999999999999</c:v>
                </c:pt>
                <c:pt idx="9">
                  <c:v>49.486599999999996</c:v>
                </c:pt>
                <c:pt idx="10">
                  <c:v>48.208800000000004</c:v>
                </c:pt>
                <c:pt idx="11">
                  <c:v>47.0563</c:v>
                </c:pt>
                <c:pt idx="12">
                  <c:v>45.879399999999997</c:v>
                </c:pt>
                <c:pt idx="13">
                  <c:v>44.7395</c:v>
                </c:pt>
                <c:pt idx="14">
                  <c:v>43.674199999999999</c:v>
                </c:pt>
                <c:pt idx="15">
                  <c:v>42.540099999999995</c:v>
                </c:pt>
                <c:pt idx="16">
                  <c:v>41.529899999999998</c:v>
                </c:pt>
                <c:pt idx="17">
                  <c:v>40.742400000000004</c:v>
                </c:pt>
                <c:pt idx="18">
                  <c:v>40.032400000000003</c:v>
                </c:pt>
                <c:pt idx="19">
                  <c:v>39.343600000000002</c:v>
                </c:pt>
                <c:pt idx="20">
                  <c:v>38.738900000000001</c:v>
                </c:pt>
                <c:pt idx="21">
                  <c:v>38.139899999999997</c:v>
                </c:pt>
                <c:pt idx="22">
                  <c:v>37.591799999999999</c:v>
                </c:pt>
                <c:pt idx="23">
                  <c:v>37.011099999999999</c:v>
                </c:pt>
                <c:pt idx="24">
                  <c:v>36.440300000000001</c:v>
                </c:pt>
                <c:pt idx="25">
                  <c:v>35.901899999999998</c:v>
                </c:pt>
                <c:pt idx="26">
                  <c:v>35.392600000000002</c:v>
                </c:pt>
                <c:pt idx="27">
                  <c:v>34.901499999999999</c:v>
                </c:pt>
                <c:pt idx="28">
                  <c:v>34.499299999999998</c:v>
                </c:pt>
                <c:pt idx="29">
                  <c:v>34.079700000000003</c:v>
                </c:pt>
                <c:pt idx="30">
                  <c:v>33.618400000000001</c:v>
                </c:pt>
                <c:pt idx="31">
                  <c:v>33.140099999999997</c:v>
                </c:pt>
                <c:pt idx="32">
                  <c:v>32.713300000000004</c:v>
                </c:pt>
                <c:pt idx="33">
                  <c:v>32.406500000000001</c:v>
                </c:pt>
                <c:pt idx="34">
                  <c:v>32.170100000000005</c:v>
                </c:pt>
                <c:pt idx="35">
                  <c:v>31.9757</c:v>
                </c:pt>
                <c:pt idx="36">
                  <c:v>31.7668</c:v>
                </c:pt>
                <c:pt idx="37">
                  <c:v>31.699400000000001</c:v>
                </c:pt>
                <c:pt idx="38">
                  <c:v>31.722299999999997</c:v>
                </c:pt>
                <c:pt idx="39">
                  <c:v>31.804100000000002</c:v>
                </c:pt>
                <c:pt idx="40">
                  <c:v>32.017000000000003</c:v>
                </c:pt>
                <c:pt idx="41">
                  <c:v>32.209299999999999</c:v>
                </c:pt>
                <c:pt idx="42">
                  <c:v>32.340000000000003</c:v>
                </c:pt>
                <c:pt idx="43">
                  <c:v>32.564700000000002</c:v>
                </c:pt>
                <c:pt idx="44">
                  <c:v>32.787399999999998</c:v>
                </c:pt>
                <c:pt idx="45">
                  <c:v>33.022100000000002</c:v>
                </c:pt>
                <c:pt idx="46">
                  <c:v>33.311900000000001</c:v>
                </c:pt>
                <c:pt idx="47">
                  <c:v>33.537499999999994</c:v>
                </c:pt>
                <c:pt idx="48">
                  <c:v>33.782600000000002</c:v>
                </c:pt>
                <c:pt idx="49">
                  <c:v>34.060099999999998</c:v>
                </c:pt>
                <c:pt idx="50">
                  <c:v>34.290900000000001</c:v>
                </c:pt>
                <c:pt idx="51">
                  <c:v>34.497999999999998</c:v>
                </c:pt>
                <c:pt idx="52">
                  <c:v>34.633000000000003</c:v>
                </c:pt>
                <c:pt idx="53">
                  <c:v>34.765299999999996</c:v>
                </c:pt>
                <c:pt idx="54">
                  <c:v>34.888599999999997</c:v>
                </c:pt>
                <c:pt idx="55">
                  <c:v>35.0274</c:v>
                </c:pt>
                <c:pt idx="56">
                  <c:v>35.140599999999999</c:v>
                </c:pt>
                <c:pt idx="57">
                  <c:v>35.242899999999999</c:v>
                </c:pt>
                <c:pt idx="58">
                  <c:v>35.330199999999998</c:v>
                </c:pt>
                <c:pt idx="59">
                  <c:v>35.380299999999998</c:v>
                </c:pt>
                <c:pt idx="60">
                  <c:v>35.327100000000002</c:v>
                </c:pt>
                <c:pt idx="61">
                  <c:v>35.337899999999998</c:v>
                </c:pt>
                <c:pt idx="62">
                  <c:v>35.369099999999996</c:v>
                </c:pt>
                <c:pt idx="63">
                  <c:v>35.388799999999996</c:v>
                </c:pt>
                <c:pt idx="64">
                  <c:v>35.418100000000003</c:v>
                </c:pt>
                <c:pt idx="65">
                  <c:v>35.451000000000001</c:v>
                </c:pt>
                <c:pt idx="66">
                  <c:v>35.469799999999999</c:v>
                </c:pt>
                <c:pt idx="67">
                  <c:v>35.442900000000002</c:v>
                </c:pt>
                <c:pt idx="68">
                  <c:v>35.436099999999996</c:v>
                </c:pt>
                <c:pt idx="69">
                  <c:v>35.446600000000004</c:v>
                </c:pt>
                <c:pt idx="70">
                  <c:v>35.455199999999998</c:v>
                </c:pt>
                <c:pt idx="71">
                  <c:v>35.477499999999999</c:v>
                </c:pt>
                <c:pt idx="72">
                  <c:v>35.603400000000001</c:v>
                </c:pt>
                <c:pt idx="73">
                  <c:v>35.802399999999999</c:v>
                </c:pt>
                <c:pt idx="74">
                  <c:v>35.972300000000004</c:v>
                </c:pt>
                <c:pt idx="75">
                  <c:v>36.1875</c:v>
                </c:pt>
                <c:pt idx="76">
                  <c:v>36.392699999999998</c:v>
                </c:pt>
                <c:pt idx="77">
                  <c:v>36.5212</c:v>
                </c:pt>
                <c:pt idx="78">
                  <c:v>36.600100000000005</c:v>
                </c:pt>
                <c:pt idx="79">
                  <c:v>36.717799999999997</c:v>
                </c:pt>
                <c:pt idx="80">
                  <c:v>36.9358</c:v>
                </c:pt>
                <c:pt idx="81">
                  <c:v>37.140599999999999</c:v>
                </c:pt>
                <c:pt idx="82">
                  <c:v>37.308700000000002</c:v>
                </c:pt>
                <c:pt idx="83">
                  <c:v>37.429200000000002</c:v>
                </c:pt>
                <c:pt idx="84">
                  <c:v>37.498199999999997</c:v>
                </c:pt>
                <c:pt idx="85">
                  <c:v>37.645000000000003</c:v>
                </c:pt>
                <c:pt idx="86">
                  <c:v>37.801099999999998</c:v>
                </c:pt>
                <c:pt idx="87">
                  <c:v>37.981300000000005</c:v>
                </c:pt>
                <c:pt idx="88">
                  <c:v>38.167200000000001</c:v>
                </c:pt>
                <c:pt idx="89">
                  <c:v>38.339800000000004</c:v>
                </c:pt>
                <c:pt idx="90">
                  <c:v>38.524500000000003</c:v>
                </c:pt>
                <c:pt idx="91">
                  <c:v>38.7121</c:v>
                </c:pt>
                <c:pt idx="92">
                  <c:v>38.915199999999999</c:v>
                </c:pt>
                <c:pt idx="93">
                  <c:v>39.031999999999996</c:v>
                </c:pt>
                <c:pt idx="94">
                  <c:v>39.174799999999998</c:v>
                </c:pt>
                <c:pt idx="95">
                  <c:v>39.235199999999999</c:v>
                </c:pt>
                <c:pt idx="96">
                  <c:v>39.316499999999998</c:v>
                </c:pt>
                <c:pt idx="97">
                  <c:v>39.297900000000006</c:v>
                </c:pt>
                <c:pt idx="98">
                  <c:v>39.377899999999997</c:v>
                </c:pt>
                <c:pt idx="99">
                  <c:v>39.473500000000001</c:v>
                </c:pt>
                <c:pt idx="100">
                  <c:v>39.610399999999998</c:v>
                </c:pt>
                <c:pt idx="101">
                  <c:v>39.752600000000001</c:v>
                </c:pt>
                <c:pt idx="102">
                  <c:v>39.943400000000004</c:v>
                </c:pt>
                <c:pt idx="103">
                  <c:v>40.034700000000001</c:v>
                </c:pt>
                <c:pt idx="104">
                  <c:v>40.018700000000003</c:v>
                </c:pt>
                <c:pt idx="105">
                  <c:v>39.886600000000001</c:v>
                </c:pt>
                <c:pt idx="106">
                  <c:v>39.7164</c:v>
                </c:pt>
                <c:pt idx="107">
                  <c:v>39.449400000000004</c:v>
                </c:pt>
                <c:pt idx="108">
                  <c:v>39.084699999999998</c:v>
                </c:pt>
                <c:pt idx="109">
                  <c:v>38.709600000000002</c:v>
                </c:pt>
                <c:pt idx="110">
                  <c:v>38.216899999999995</c:v>
                </c:pt>
                <c:pt idx="111">
                  <c:v>37.670400000000001</c:v>
                </c:pt>
                <c:pt idx="112">
                  <c:v>37.052900000000001</c:v>
                </c:pt>
                <c:pt idx="113">
                  <c:v>36.4527</c:v>
                </c:pt>
                <c:pt idx="114">
                  <c:v>35.868299999999998</c:v>
                </c:pt>
                <c:pt idx="115">
                  <c:v>35.287800000000004</c:v>
                </c:pt>
                <c:pt idx="116">
                  <c:v>34.793600000000005</c:v>
                </c:pt>
                <c:pt idx="117">
                  <c:v>34.349299999999999</c:v>
                </c:pt>
                <c:pt idx="118">
                  <c:v>33.949300000000001</c:v>
                </c:pt>
                <c:pt idx="119">
                  <c:v>33.592799999999997</c:v>
                </c:pt>
                <c:pt idx="120">
                  <c:v>33.3474</c:v>
                </c:pt>
                <c:pt idx="121">
                  <c:v>33.145499999999998</c:v>
                </c:pt>
                <c:pt idx="122">
                  <c:v>33.042999999999999</c:v>
                </c:pt>
                <c:pt idx="123">
                  <c:v>32.978499999999997</c:v>
                </c:pt>
                <c:pt idx="124">
                  <c:v>32.842700000000001</c:v>
                </c:pt>
                <c:pt idx="125">
                  <c:v>32.710099999999997</c:v>
                </c:pt>
                <c:pt idx="126">
                  <c:v>32.640900000000002</c:v>
                </c:pt>
                <c:pt idx="127">
                  <c:v>32.576899999999995</c:v>
                </c:pt>
                <c:pt idx="128">
                  <c:v>32.558100000000003</c:v>
                </c:pt>
                <c:pt idx="129">
                  <c:v>32.564399999999999</c:v>
                </c:pt>
                <c:pt idx="130">
                  <c:v>32.579700000000003</c:v>
                </c:pt>
                <c:pt idx="131">
                  <c:v>32.611699999999999</c:v>
                </c:pt>
                <c:pt idx="132">
                  <c:v>32.681399999999996</c:v>
                </c:pt>
                <c:pt idx="133">
                  <c:v>32.774000000000001</c:v>
                </c:pt>
                <c:pt idx="134">
                  <c:v>32.846899999999998</c:v>
                </c:pt>
                <c:pt idx="135">
                  <c:v>32.976499999999994</c:v>
                </c:pt>
                <c:pt idx="136">
                  <c:v>33.1068</c:v>
                </c:pt>
                <c:pt idx="137">
                  <c:v>33.332599999999999</c:v>
                </c:pt>
                <c:pt idx="138">
                  <c:v>33.578499999999998</c:v>
                </c:pt>
                <c:pt idx="139">
                  <c:v>33.877600000000001</c:v>
                </c:pt>
                <c:pt idx="140">
                  <c:v>34.166999999999994</c:v>
                </c:pt>
                <c:pt idx="141">
                  <c:v>34.380500000000005</c:v>
                </c:pt>
                <c:pt idx="142">
                  <c:v>34.613500000000002</c:v>
                </c:pt>
                <c:pt idx="143">
                  <c:v>34.936099999999996</c:v>
                </c:pt>
                <c:pt idx="144">
                  <c:v>35.193799999999996</c:v>
                </c:pt>
                <c:pt idx="145">
                  <c:v>35.5002</c:v>
                </c:pt>
                <c:pt idx="146">
                  <c:v>35.695399999999999</c:v>
                </c:pt>
                <c:pt idx="147">
                  <c:v>36.179899999999996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0.40397899999999998</c:v>
                </c:pt>
                <c:pt idx="2">
                  <c:v>0.81182799999999999</c:v>
                </c:pt>
                <c:pt idx="3">
                  <c:v>1.21889</c:v>
                </c:pt>
                <c:pt idx="4">
                  <c:v>1.62557</c:v>
                </c:pt>
                <c:pt idx="5">
                  <c:v>2.0318200000000002</c:v>
                </c:pt>
                <c:pt idx="6">
                  <c:v>2.43492</c:v>
                </c:pt>
                <c:pt idx="7">
                  <c:v>2.8443999999999998</c:v>
                </c:pt>
                <c:pt idx="8">
                  <c:v>3.2511999999999999</c:v>
                </c:pt>
                <c:pt idx="9">
                  <c:v>3.6570900000000002</c:v>
                </c:pt>
                <c:pt idx="10">
                  <c:v>4.0591999999999997</c:v>
                </c:pt>
                <c:pt idx="11">
                  <c:v>4.4661200000000001</c:v>
                </c:pt>
                <c:pt idx="12">
                  <c:v>4.8690600000000002</c:v>
                </c:pt>
                <c:pt idx="13">
                  <c:v>5.2808400000000004</c:v>
                </c:pt>
                <c:pt idx="14">
                  <c:v>5.6867400000000004</c:v>
                </c:pt>
                <c:pt idx="15">
                  <c:v>6.0907</c:v>
                </c:pt>
                <c:pt idx="16">
                  <c:v>6.4966600000000003</c:v>
                </c:pt>
                <c:pt idx="17">
                  <c:v>6.9046500000000002</c:v>
                </c:pt>
                <c:pt idx="18">
                  <c:v>7.30844</c:v>
                </c:pt>
                <c:pt idx="19">
                  <c:v>7.7163500000000003</c:v>
                </c:pt>
                <c:pt idx="20">
                  <c:v>8.1251899999999999</c:v>
                </c:pt>
                <c:pt idx="21">
                  <c:v>8.5268200000000007</c:v>
                </c:pt>
                <c:pt idx="22">
                  <c:v>8.9340700000000002</c:v>
                </c:pt>
                <c:pt idx="23">
                  <c:v>9.3433399999999995</c:v>
                </c:pt>
                <c:pt idx="24">
                  <c:v>9.7479600000000008</c:v>
                </c:pt>
                <c:pt idx="25">
                  <c:v>10.1569</c:v>
                </c:pt>
                <c:pt idx="26">
                  <c:v>10.5646</c:v>
                </c:pt>
                <c:pt idx="27">
                  <c:v>10.9696</c:v>
                </c:pt>
                <c:pt idx="28">
                  <c:v>11.3725</c:v>
                </c:pt>
                <c:pt idx="29">
                  <c:v>11.781499999999999</c:v>
                </c:pt>
                <c:pt idx="30">
                  <c:v>12.1884</c:v>
                </c:pt>
                <c:pt idx="31">
                  <c:v>12.5923</c:v>
                </c:pt>
                <c:pt idx="32">
                  <c:v>12.9968</c:v>
                </c:pt>
                <c:pt idx="33">
                  <c:v>13.4041</c:v>
                </c:pt>
                <c:pt idx="34">
                  <c:v>13.8104</c:v>
                </c:pt>
                <c:pt idx="35">
                  <c:v>14.2159</c:v>
                </c:pt>
                <c:pt idx="36">
                  <c:v>14.6228</c:v>
                </c:pt>
                <c:pt idx="37">
                  <c:v>15.030799999999999</c:v>
                </c:pt>
                <c:pt idx="38">
                  <c:v>15.438700000000001</c:v>
                </c:pt>
                <c:pt idx="39">
                  <c:v>15.842700000000001</c:v>
                </c:pt>
                <c:pt idx="40">
                  <c:v>16.249500000000001</c:v>
                </c:pt>
                <c:pt idx="41">
                  <c:v>16.656700000000001</c:v>
                </c:pt>
                <c:pt idx="42">
                  <c:v>17.061299999999999</c:v>
                </c:pt>
                <c:pt idx="43">
                  <c:v>17.468399999999999</c:v>
                </c:pt>
                <c:pt idx="44">
                  <c:v>17.8751</c:v>
                </c:pt>
                <c:pt idx="45">
                  <c:v>18.280999999999999</c:v>
                </c:pt>
                <c:pt idx="46">
                  <c:v>18.684999999999999</c:v>
                </c:pt>
                <c:pt idx="47">
                  <c:v>19.097799999999999</c:v>
                </c:pt>
                <c:pt idx="48">
                  <c:v>19.4953</c:v>
                </c:pt>
                <c:pt idx="49">
                  <c:v>19.907699999999998</c:v>
                </c:pt>
                <c:pt idx="50">
                  <c:v>20.3126</c:v>
                </c:pt>
                <c:pt idx="51">
                  <c:v>20.712599999999998</c:v>
                </c:pt>
                <c:pt idx="52">
                  <c:v>21.122499999999999</c:v>
                </c:pt>
                <c:pt idx="53">
                  <c:v>21.5304</c:v>
                </c:pt>
                <c:pt idx="54">
                  <c:v>21.935600000000001</c:v>
                </c:pt>
                <c:pt idx="55">
                  <c:v>22.345300000000002</c:v>
                </c:pt>
                <c:pt idx="56">
                  <c:v>22.752099999999999</c:v>
                </c:pt>
                <c:pt idx="57">
                  <c:v>23.155999999999999</c:v>
                </c:pt>
                <c:pt idx="58">
                  <c:v>23.560199999999998</c:v>
                </c:pt>
                <c:pt idx="59">
                  <c:v>23.966899999999999</c:v>
                </c:pt>
                <c:pt idx="60">
                  <c:v>24.370999999999999</c:v>
                </c:pt>
                <c:pt idx="61">
                  <c:v>24.7807</c:v>
                </c:pt>
                <c:pt idx="62">
                  <c:v>25.186599999999999</c:v>
                </c:pt>
                <c:pt idx="63">
                  <c:v>25.592700000000001</c:v>
                </c:pt>
                <c:pt idx="64">
                  <c:v>25.994499999999999</c:v>
                </c:pt>
                <c:pt idx="65">
                  <c:v>26.404299999999999</c:v>
                </c:pt>
                <c:pt idx="66">
                  <c:v>26.8123</c:v>
                </c:pt>
                <c:pt idx="67">
                  <c:v>27.220199999999998</c:v>
                </c:pt>
                <c:pt idx="68">
                  <c:v>27.624400000000001</c:v>
                </c:pt>
                <c:pt idx="69">
                  <c:v>28.0275</c:v>
                </c:pt>
                <c:pt idx="70">
                  <c:v>28.432200000000002</c:v>
                </c:pt>
                <c:pt idx="71">
                  <c:v>28.84</c:v>
                </c:pt>
                <c:pt idx="72">
                  <c:v>29.251200000000001</c:v>
                </c:pt>
                <c:pt idx="73">
                  <c:v>29.654699999999998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60.566200000000002</c:v>
                </c:pt>
                <c:pt idx="1">
                  <c:v>59.7136</c:v>
                </c:pt>
                <c:pt idx="2">
                  <c:v>58.682000000000002</c:v>
                </c:pt>
                <c:pt idx="3">
                  <c:v>57.4848</c:v>
                </c:pt>
                <c:pt idx="4">
                  <c:v>56.180500000000002</c:v>
                </c:pt>
                <c:pt idx="5">
                  <c:v>54.831300000000006</c:v>
                </c:pt>
                <c:pt idx="6">
                  <c:v>53.502499999999998</c:v>
                </c:pt>
                <c:pt idx="7">
                  <c:v>52.224899999999998</c:v>
                </c:pt>
                <c:pt idx="8">
                  <c:v>50.905999999999999</c:v>
                </c:pt>
                <c:pt idx="9">
                  <c:v>49.486599999999996</c:v>
                </c:pt>
                <c:pt idx="10">
                  <c:v>48.208800000000004</c:v>
                </c:pt>
                <c:pt idx="11">
                  <c:v>47.0563</c:v>
                </c:pt>
                <c:pt idx="12">
                  <c:v>45.879399999999997</c:v>
                </c:pt>
                <c:pt idx="13">
                  <c:v>44.7395</c:v>
                </c:pt>
                <c:pt idx="14">
                  <c:v>43.674199999999999</c:v>
                </c:pt>
                <c:pt idx="15">
                  <c:v>42.540099999999995</c:v>
                </c:pt>
                <c:pt idx="16">
                  <c:v>41.529899999999998</c:v>
                </c:pt>
                <c:pt idx="17">
                  <c:v>40.742400000000004</c:v>
                </c:pt>
                <c:pt idx="18">
                  <c:v>40.032400000000003</c:v>
                </c:pt>
                <c:pt idx="19">
                  <c:v>39.343600000000002</c:v>
                </c:pt>
                <c:pt idx="20">
                  <c:v>38.738900000000001</c:v>
                </c:pt>
                <c:pt idx="21">
                  <c:v>38.139899999999997</c:v>
                </c:pt>
                <c:pt idx="22">
                  <c:v>37.591799999999999</c:v>
                </c:pt>
                <c:pt idx="23">
                  <c:v>37.011099999999999</c:v>
                </c:pt>
                <c:pt idx="24">
                  <c:v>36.440300000000001</c:v>
                </c:pt>
                <c:pt idx="25">
                  <c:v>35.901899999999998</c:v>
                </c:pt>
                <c:pt idx="26">
                  <c:v>35.392600000000002</c:v>
                </c:pt>
                <c:pt idx="27">
                  <c:v>34.901499999999999</c:v>
                </c:pt>
                <c:pt idx="28">
                  <c:v>34.499299999999998</c:v>
                </c:pt>
                <c:pt idx="29">
                  <c:v>34.079700000000003</c:v>
                </c:pt>
                <c:pt idx="30">
                  <c:v>33.618400000000001</c:v>
                </c:pt>
                <c:pt idx="31">
                  <c:v>33.140099999999997</c:v>
                </c:pt>
                <c:pt idx="32">
                  <c:v>32.713300000000004</c:v>
                </c:pt>
                <c:pt idx="33">
                  <c:v>32.406500000000001</c:v>
                </c:pt>
                <c:pt idx="34">
                  <c:v>32.170100000000005</c:v>
                </c:pt>
                <c:pt idx="35">
                  <c:v>31.9757</c:v>
                </c:pt>
                <c:pt idx="36">
                  <c:v>31.7668</c:v>
                </c:pt>
                <c:pt idx="37">
                  <c:v>31.699400000000001</c:v>
                </c:pt>
                <c:pt idx="38">
                  <c:v>31.722299999999997</c:v>
                </c:pt>
                <c:pt idx="39">
                  <c:v>31.804100000000002</c:v>
                </c:pt>
                <c:pt idx="40">
                  <c:v>32.017000000000003</c:v>
                </c:pt>
                <c:pt idx="41">
                  <c:v>32.209299999999999</c:v>
                </c:pt>
                <c:pt idx="42">
                  <c:v>32.340000000000003</c:v>
                </c:pt>
                <c:pt idx="43">
                  <c:v>32.564700000000002</c:v>
                </c:pt>
                <c:pt idx="44">
                  <c:v>32.787399999999998</c:v>
                </c:pt>
                <c:pt idx="45">
                  <c:v>33.022100000000002</c:v>
                </c:pt>
                <c:pt idx="46">
                  <c:v>33.311900000000001</c:v>
                </c:pt>
                <c:pt idx="47">
                  <c:v>33.537499999999994</c:v>
                </c:pt>
                <c:pt idx="48">
                  <c:v>33.782600000000002</c:v>
                </c:pt>
                <c:pt idx="49">
                  <c:v>34.060099999999998</c:v>
                </c:pt>
                <c:pt idx="50">
                  <c:v>34.290900000000001</c:v>
                </c:pt>
                <c:pt idx="51">
                  <c:v>34.497999999999998</c:v>
                </c:pt>
                <c:pt idx="52">
                  <c:v>34.633000000000003</c:v>
                </c:pt>
                <c:pt idx="53">
                  <c:v>34.765299999999996</c:v>
                </c:pt>
                <c:pt idx="54">
                  <c:v>34.888599999999997</c:v>
                </c:pt>
                <c:pt idx="55">
                  <c:v>35.0274</c:v>
                </c:pt>
                <c:pt idx="56">
                  <c:v>35.140599999999999</c:v>
                </c:pt>
                <c:pt idx="57">
                  <c:v>35.242899999999999</c:v>
                </c:pt>
                <c:pt idx="58">
                  <c:v>35.330199999999998</c:v>
                </c:pt>
                <c:pt idx="59">
                  <c:v>35.380299999999998</c:v>
                </c:pt>
                <c:pt idx="60">
                  <c:v>35.327100000000002</c:v>
                </c:pt>
                <c:pt idx="61">
                  <c:v>35.337899999999998</c:v>
                </c:pt>
                <c:pt idx="62">
                  <c:v>35.369099999999996</c:v>
                </c:pt>
                <c:pt idx="63">
                  <c:v>35.388799999999996</c:v>
                </c:pt>
                <c:pt idx="64">
                  <c:v>35.418100000000003</c:v>
                </c:pt>
                <c:pt idx="65">
                  <c:v>35.451000000000001</c:v>
                </c:pt>
                <c:pt idx="66">
                  <c:v>35.469799999999999</c:v>
                </c:pt>
                <c:pt idx="67">
                  <c:v>35.442900000000002</c:v>
                </c:pt>
                <c:pt idx="68">
                  <c:v>35.436099999999996</c:v>
                </c:pt>
                <c:pt idx="69">
                  <c:v>35.446600000000004</c:v>
                </c:pt>
                <c:pt idx="70">
                  <c:v>35.455199999999998</c:v>
                </c:pt>
                <c:pt idx="71">
                  <c:v>35.477499999999999</c:v>
                </c:pt>
                <c:pt idx="72">
                  <c:v>35.603400000000001</c:v>
                </c:pt>
                <c:pt idx="73">
                  <c:v>35.802399999999999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29.654699999999998</c:v>
                </c:pt>
                <c:pt idx="1">
                  <c:v>30.0627</c:v>
                </c:pt>
                <c:pt idx="2">
                  <c:v>30.465499999999999</c:v>
                </c:pt>
                <c:pt idx="3">
                  <c:v>30.874500000000001</c:v>
                </c:pt>
                <c:pt idx="4">
                  <c:v>31.279599999999999</c:v>
                </c:pt>
                <c:pt idx="5">
                  <c:v>31.687200000000001</c:v>
                </c:pt>
                <c:pt idx="6">
                  <c:v>32.095300000000002</c:v>
                </c:pt>
                <c:pt idx="7">
                  <c:v>32.5</c:v>
                </c:pt>
                <c:pt idx="8">
                  <c:v>32.905900000000003</c:v>
                </c:pt>
                <c:pt idx="9">
                  <c:v>33.311999999999998</c:v>
                </c:pt>
                <c:pt idx="10">
                  <c:v>33.716799999999999</c:v>
                </c:pt>
                <c:pt idx="11">
                  <c:v>34.122700000000002</c:v>
                </c:pt>
                <c:pt idx="12">
                  <c:v>34.532600000000002</c:v>
                </c:pt>
                <c:pt idx="13">
                  <c:v>34.935499999999998</c:v>
                </c:pt>
                <c:pt idx="14">
                  <c:v>35.340400000000002</c:v>
                </c:pt>
                <c:pt idx="15">
                  <c:v>35.747399999999999</c:v>
                </c:pt>
                <c:pt idx="16">
                  <c:v>36.154200000000003</c:v>
                </c:pt>
                <c:pt idx="17">
                  <c:v>36.558100000000003</c:v>
                </c:pt>
                <c:pt idx="18">
                  <c:v>36.966099999999997</c:v>
                </c:pt>
                <c:pt idx="19">
                  <c:v>37.376300000000001</c:v>
                </c:pt>
                <c:pt idx="20">
                  <c:v>37.779899999999998</c:v>
                </c:pt>
                <c:pt idx="21">
                  <c:v>38.184800000000003</c:v>
                </c:pt>
                <c:pt idx="22">
                  <c:v>38.590800000000002</c:v>
                </c:pt>
                <c:pt idx="23">
                  <c:v>38.998699999999999</c:v>
                </c:pt>
                <c:pt idx="24">
                  <c:v>39.405500000000004</c:v>
                </c:pt>
                <c:pt idx="25">
                  <c:v>39.811900000000001</c:v>
                </c:pt>
                <c:pt idx="26">
                  <c:v>40.217399999999998</c:v>
                </c:pt>
                <c:pt idx="27">
                  <c:v>40.624400000000001</c:v>
                </c:pt>
                <c:pt idx="28">
                  <c:v>41.029200000000003</c:v>
                </c:pt>
                <c:pt idx="29">
                  <c:v>41.437100000000001</c:v>
                </c:pt>
                <c:pt idx="30">
                  <c:v>41.845999999999997</c:v>
                </c:pt>
                <c:pt idx="31">
                  <c:v>42.247100000000003</c:v>
                </c:pt>
                <c:pt idx="32">
                  <c:v>42.654899999999998</c:v>
                </c:pt>
                <c:pt idx="33">
                  <c:v>43.063800000000001</c:v>
                </c:pt>
                <c:pt idx="34">
                  <c:v>43.462800000000001</c:v>
                </c:pt>
                <c:pt idx="35">
                  <c:v>43.871899999999997</c:v>
                </c:pt>
                <c:pt idx="36">
                  <c:v>44.281500000000001</c:v>
                </c:pt>
                <c:pt idx="37">
                  <c:v>44.687600000000003</c:v>
                </c:pt>
                <c:pt idx="38">
                  <c:v>45.092300000000002</c:v>
                </c:pt>
                <c:pt idx="39">
                  <c:v>45.499299999999998</c:v>
                </c:pt>
                <c:pt idx="40">
                  <c:v>45.904499999999999</c:v>
                </c:pt>
                <c:pt idx="41">
                  <c:v>46.310400000000001</c:v>
                </c:pt>
                <c:pt idx="42">
                  <c:v>46.719099999999997</c:v>
                </c:pt>
                <c:pt idx="43">
                  <c:v>47.120100000000001</c:v>
                </c:pt>
                <c:pt idx="44">
                  <c:v>47.529899999999998</c:v>
                </c:pt>
                <c:pt idx="45">
                  <c:v>47.936</c:v>
                </c:pt>
                <c:pt idx="46">
                  <c:v>48.342799999999997</c:v>
                </c:pt>
                <c:pt idx="47">
                  <c:v>48.746600000000001</c:v>
                </c:pt>
                <c:pt idx="48">
                  <c:v>49.158499999999997</c:v>
                </c:pt>
                <c:pt idx="49">
                  <c:v>49.561300000000003</c:v>
                </c:pt>
                <c:pt idx="50">
                  <c:v>49.966299999999997</c:v>
                </c:pt>
                <c:pt idx="51">
                  <c:v>50.3752</c:v>
                </c:pt>
                <c:pt idx="52">
                  <c:v>50.780099999999997</c:v>
                </c:pt>
                <c:pt idx="53">
                  <c:v>51.187199999999997</c:v>
                </c:pt>
                <c:pt idx="54">
                  <c:v>51.594099999999997</c:v>
                </c:pt>
                <c:pt idx="55">
                  <c:v>52.000799999999998</c:v>
                </c:pt>
                <c:pt idx="56">
                  <c:v>52.405799999999999</c:v>
                </c:pt>
                <c:pt idx="57">
                  <c:v>52.811700000000002</c:v>
                </c:pt>
                <c:pt idx="58">
                  <c:v>53.217700000000001</c:v>
                </c:pt>
                <c:pt idx="59">
                  <c:v>53.625500000000002</c:v>
                </c:pt>
                <c:pt idx="60">
                  <c:v>54.0304</c:v>
                </c:pt>
                <c:pt idx="61">
                  <c:v>54.436300000000003</c:v>
                </c:pt>
                <c:pt idx="62">
                  <c:v>54.841299999999997</c:v>
                </c:pt>
                <c:pt idx="63">
                  <c:v>55.247300000000003</c:v>
                </c:pt>
                <c:pt idx="64">
                  <c:v>55.6571</c:v>
                </c:pt>
                <c:pt idx="65">
                  <c:v>56.066000000000003</c:v>
                </c:pt>
                <c:pt idx="66">
                  <c:v>56.469000000000001</c:v>
                </c:pt>
                <c:pt idx="67">
                  <c:v>56.874899999999997</c:v>
                </c:pt>
                <c:pt idx="68">
                  <c:v>57.277799999999999</c:v>
                </c:pt>
                <c:pt idx="69">
                  <c:v>57.686700000000002</c:v>
                </c:pt>
                <c:pt idx="70">
                  <c:v>58.090600000000002</c:v>
                </c:pt>
                <c:pt idx="71">
                  <c:v>58.499299999999998</c:v>
                </c:pt>
                <c:pt idx="72">
                  <c:v>58.9024</c:v>
                </c:pt>
                <c:pt idx="73">
                  <c:v>59.312399999999997</c:v>
                </c:pt>
                <c:pt idx="74">
                  <c:v>59.7194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35.802399999999999</c:v>
                </c:pt>
                <c:pt idx="1">
                  <c:v>35.972300000000004</c:v>
                </c:pt>
                <c:pt idx="2">
                  <c:v>36.1875</c:v>
                </c:pt>
                <c:pt idx="3">
                  <c:v>36.392699999999998</c:v>
                </c:pt>
                <c:pt idx="4">
                  <c:v>36.5212</c:v>
                </c:pt>
                <c:pt idx="5">
                  <c:v>36.600100000000005</c:v>
                </c:pt>
                <c:pt idx="6">
                  <c:v>36.717799999999997</c:v>
                </c:pt>
                <c:pt idx="7">
                  <c:v>36.9358</c:v>
                </c:pt>
                <c:pt idx="8">
                  <c:v>37.140599999999999</c:v>
                </c:pt>
                <c:pt idx="9">
                  <c:v>37.308700000000002</c:v>
                </c:pt>
                <c:pt idx="10">
                  <c:v>37.429200000000002</c:v>
                </c:pt>
                <c:pt idx="11">
                  <c:v>37.498199999999997</c:v>
                </c:pt>
                <c:pt idx="12">
                  <c:v>37.645000000000003</c:v>
                </c:pt>
                <c:pt idx="13">
                  <c:v>37.801099999999998</c:v>
                </c:pt>
                <c:pt idx="14">
                  <c:v>37.981300000000005</c:v>
                </c:pt>
                <c:pt idx="15">
                  <c:v>38.167200000000001</c:v>
                </c:pt>
                <c:pt idx="16">
                  <c:v>38.339800000000004</c:v>
                </c:pt>
                <c:pt idx="17">
                  <c:v>38.524500000000003</c:v>
                </c:pt>
                <c:pt idx="18">
                  <c:v>38.7121</c:v>
                </c:pt>
                <c:pt idx="19">
                  <c:v>38.915199999999999</c:v>
                </c:pt>
                <c:pt idx="20">
                  <c:v>39.031999999999996</c:v>
                </c:pt>
                <c:pt idx="21">
                  <c:v>39.174799999999998</c:v>
                </c:pt>
                <c:pt idx="22">
                  <c:v>39.235199999999999</c:v>
                </c:pt>
                <c:pt idx="23">
                  <c:v>39.316499999999998</c:v>
                </c:pt>
                <c:pt idx="24">
                  <c:v>39.297900000000006</c:v>
                </c:pt>
                <c:pt idx="25">
                  <c:v>39.377899999999997</c:v>
                </c:pt>
                <c:pt idx="26">
                  <c:v>39.473500000000001</c:v>
                </c:pt>
                <c:pt idx="27">
                  <c:v>39.610399999999998</c:v>
                </c:pt>
                <c:pt idx="28">
                  <c:v>39.752600000000001</c:v>
                </c:pt>
                <c:pt idx="29">
                  <c:v>39.943400000000004</c:v>
                </c:pt>
                <c:pt idx="30">
                  <c:v>40.034700000000001</c:v>
                </c:pt>
                <c:pt idx="31">
                  <c:v>40.018700000000003</c:v>
                </c:pt>
                <c:pt idx="32">
                  <c:v>39.886600000000001</c:v>
                </c:pt>
                <c:pt idx="33">
                  <c:v>39.7164</c:v>
                </c:pt>
                <c:pt idx="34">
                  <c:v>39.449400000000004</c:v>
                </c:pt>
                <c:pt idx="35">
                  <c:v>39.084699999999998</c:v>
                </c:pt>
                <c:pt idx="36">
                  <c:v>38.709600000000002</c:v>
                </c:pt>
                <c:pt idx="37">
                  <c:v>38.216899999999995</c:v>
                </c:pt>
                <c:pt idx="38">
                  <c:v>37.670400000000001</c:v>
                </c:pt>
                <c:pt idx="39">
                  <c:v>37.052900000000001</c:v>
                </c:pt>
                <c:pt idx="40">
                  <c:v>36.4527</c:v>
                </c:pt>
                <c:pt idx="41">
                  <c:v>35.868299999999998</c:v>
                </c:pt>
                <c:pt idx="42">
                  <c:v>35.287800000000004</c:v>
                </c:pt>
                <c:pt idx="43">
                  <c:v>34.793600000000005</c:v>
                </c:pt>
                <c:pt idx="44">
                  <c:v>34.349299999999999</c:v>
                </c:pt>
                <c:pt idx="45">
                  <c:v>33.949300000000001</c:v>
                </c:pt>
                <c:pt idx="46">
                  <c:v>33.592799999999997</c:v>
                </c:pt>
                <c:pt idx="47">
                  <c:v>33.3474</c:v>
                </c:pt>
                <c:pt idx="48">
                  <c:v>33.145499999999998</c:v>
                </c:pt>
                <c:pt idx="49">
                  <c:v>33.042999999999999</c:v>
                </c:pt>
                <c:pt idx="50">
                  <c:v>32.978499999999997</c:v>
                </c:pt>
                <c:pt idx="51">
                  <c:v>32.842700000000001</c:v>
                </c:pt>
                <c:pt idx="52">
                  <c:v>32.710099999999997</c:v>
                </c:pt>
                <c:pt idx="53">
                  <c:v>32.640900000000002</c:v>
                </c:pt>
                <c:pt idx="54">
                  <c:v>32.576899999999995</c:v>
                </c:pt>
                <c:pt idx="55">
                  <c:v>32.558100000000003</c:v>
                </c:pt>
                <c:pt idx="56">
                  <c:v>32.564399999999999</c:v>
                </c:pt>
                <c:pt idx="57">
                  <c:v>32.579700000000003</c:v>
                </c:pt>
                <c:pt idx="58">
                  <c:v>32.611699999999999</c:v>
                </c:pt>
                <c:pt idx="59">
                  <c:v>32.681399999999996</c:v>
                </c:pt>
                <c:pt idx="60">
                  <c:v>32.774000000000001</c:v>
                </c:pt>
                <c:pt idx="61">
                  <c:v>32.846899999999998</c:v>
                </c:pt>
                <c:pt idx="62">
                  <c:v>32.976499999999994</c:v>
                </c:pt>
                <c:pt idx="63">
                  <c:v>33.1068</c:v>
                </c:pt>
                <c:pt idx="64">
                  <c:v>33.332599999999999</c:v>
                </c:pt>
                <c:pt idx="65">
                  <c:v>33.578499999999998</c:v>
                </c:pt>
                <c:pt idx="66">
                  <c:v>33.877600000000001</c:v>
                </c:pt>
                <c:pt idx="67">
                  <c:v>34.166999999999994</c:v>
                </c:pt>
                <c:pt idx="68">
                  <c:v>34.380500000000005</c:v>
                </c:pt>
                <c:pt idx="69">
                  <c:v>34.613500000000002</c:v>
                </c:pt>
                <c:pt idx="70">
                  <c:v>34.936099999999996</c:v>
                </c:pt>
                <c:pt idx="71">
                  <c:v>35.193799999999996</c:v>
                </c:pt>
                <c:pt idx="72">
                  <c:v>35.5002</c:v>
                </c:pt>
                <c:pt idx="73">
                  <c:v>35.695399999999999</c:v>
                </c:pt>
                <c:pt idx="74">
                  <c:v>36.179899999999996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14.92985</c:v>
                </c:pt>
                <c:pt idx="1">
                  <c:v>44.789549999999998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38.490464864864862</c:v>
                </c:pt>
                <c:pt idx="1">
                  <c:v>36.197002702702697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40.072299999999998</c:v>
                </c:pt>
                <c:pt idx="1">
                  <c:v>24.2669</c:v>
                </c:pt>
                <c:pt idx="2">
                  <c:v>21.542100000000001</c:v>
                </c:pt>
                <c:pt idx="3">
                  <c:v>29.2468</c:v>
                </c:pt>
                <c:pt idx="4">
                  <c:v>56.543399999999998</c:v>
                </c:pt>
                <c:pt idx="5">
                  <c:v>81.774699999999996</c:v>
                </c:pt>
                <c:pt idx="6">
                  <c:v>18.025700000000001</c:v>
                </c:pt>
                <c:pt idx="7">
                  <c:v>69.373500000000007</c:v>
                </c:pt>
                <c:pt idx="8">
                  <c:v>22.311499999999999</c:v>
                </c:pt>
                <c:pt idx="9">
                  <c:v>21.478300000000001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39.6997</c:v>
                </c:pt>
                <c:pt idx="1">
                  <c:v>20.073799999999999</c:v>
                </c:pt>
                <c:pt idx="2">
                  <c:v>17.453499999999998</c:v>
                </c:pt>
                <c:pt idx="3">
                  <c:v>26.645299999999999</c:v>
                </c:pt>
                <c:pt idx="4">
                  <c:v>49.903700000000001</c:v>
                </c:pt>
                <c:pt idx="5">
                  <c:v>84.7834</c:v>
                </c:pt>
                <c:pt idx="6">
                  <c:v>22.646000000000001</c:v>
                </c:pt>
                <c:pt idx="7">
                  <c:v>67.563500000000005</c:v>
                </c:pt>
                <c:pt idx="8">
                  <c:v>24.197500000000002</c:v>
                </c:pt>
                <c:pt idx="9">
                  <c:v>32.061100000000003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0.52685370835035295</c:v>
                </c:pt>
                <c:pt idx="1">
                  <c:v>0.26872404738285582</c:v>
                </c:pt>
                <c:pt idx="2">
                  <c:v>0.20442224426679112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1488</c:v>
                </c:pt>
                <c:pt idx="7">
                  <c:v>0</c:v>
                </c:pt>
                <c:pt idx="8">
                  <c:v>1973</c:v>
                </c:pt>
                <c:pt idx="9">
                  <c:v>0</c:v>
                </c:pt>
                <c:pt idx="10">
                  <c:v>0</c:v>
                </c:pt>
                <c:pt idx="11">
                  <c:v>4818</c:v>
                </c:pt>
                <c:pt idx="12">
                  <c:v>0</c:v>
                </c:pt>
                <c:pt idx="13">
                  <c:v>6750</c:v>
                </c:pt>
                <c:pt idx="14">
                  <c:v>0</c:v>
                </c:pt>
                <c:pt idx="15">
                  <c:v>0</c:v>
                </c:pt>
                <c:pt idx="16">
                  <c:v>9762</c:v>
                </c:pt>
                <c:pt idx="17">
                  <c:v>0</c:v>
                </c:pt>
                <c:pt idx="18">
                  <c:v>0</c:v>
                </c:pt>
                <c:pt idx="19">
                  <c:v>13594</c:v>
                </c:pt>
                <c:pt idx="20">
                  <c:v>0</c:v>
                </c:pt>
                <c:pt idx="21">
                  <c:v>17923</c:v>
                </c:pt>
                <c:pt idx="22">
                  <c:v>0</c:v>
                </c:pt>
                <c:pt idx="23">
                  <c:v>0</c:v>
                </c:pt>
                <c:pt idx="24">
                  <c:v>20769</c:v>
                </c:pt>
                <c:pt idx="25">
                  <c:v>0</c:v>
                </c:pt>
                <c:pt idx="26">
                  <c:v>25287</c:v>
                </c:pt>
                <c:pt idx="27">
                  <c:v>0</c:v>
                </c:pt>
                <c:pt idx="28">
                  <c:v>0</c:v>
                </c:pt>
                <c:pt idx="29">
                  <c:v>28344</c:v>
                </c:pt>
                <c:pt idx="30">
                  <c:v>0</c:v>
                </c:pt>
                <c:pt idx="31">
                  <c:v>38264</c:v>
                </c:pt>
                <c:pt idx="32">
                  <c:v>0</c:v>
                </c:pt>
                <c:pt idx="33">
                  <c:v>0</c:v>
                </c:pt>
                <c:pt idx="34">
                  <c:v>54646</c:v>
                </c:pt>
                <c:pt idx="35">
                  <c:v>0</c:v>
                </c:pt>
                <c:pt idx="36">
                  <c:v>0</c:v>
                </c:pt>
                <c:pt idx="37">
                  <c:v>52464</c:v>
                </c:pt>
                <c:pt idx="38">
                  <c:v>0</c:v>
                </c:pt>
                <c:pt idx="39">
                  <c:v>62676</c:v>
                </c:pt>
                <c:pt idx="40">
                  <c:v>0</c:v>
                </c:pt>
                <c:pt idx="41">
                  <c:v>0</c:v>
                </c:pt>
                <c:pt idx="42">
                  <c:v>74520</c:v>
                </c:pt>
                <c:pt idx="43">
                  <c:v>0</c:v>
                </c:pt>
                <c:pt idx="44">
                  <c:v>76172</c:v>
                </c:pt>
                <c:pt idx="45">
                  <c:v>0</c:v>
                </c:pt>
                <c:pt idx="46">
                  <c:v>0</c:v>
                </c:pt>
                <c:pt idx="47">
                  <c:v>77012</c:v>
                </c:pt>
                <c:pt idx="48">
                  <c:v>0</c:v>
                </c:pt>
                <c:pt idx="49">
                  <c:v>82989</c:v>
                </c:pt>
                <c:pt idx="50">
                  <c:v>0</c:v>
                </c:pt>
                <c:pt idx="51">
                  <c:v>0</c:v>
                </c:pt>
                <c:pt idx="52">
                  <c:v>84947</c:v>
                </c:pt>
                <c:pt idx="53">
                  <c:v>0</c:v>
                </c:pt>
                <c:pt idx="54">
                  <c:v>0</c:v>
                </c:pt>
                <c:pt idx="55">
                  <c:v>85343</c:v>
                </c:pt>
                <c:pt idx="56">
                  <c:v>0</c:v>
                </c:pt>
                <c:pt idx="57">
                  <c:v>87307</c:v>
                </c:pt>
                <c:pt idx="58">
                  <c:v>0</c:v>
                </c:pt>
                <c:pt idx="59">
                  <c:v>0</c:v>
                </c:pt>
                <c:pt idx="60">
                  <c:v>89129</c:v>
                </c:pt>
                <c:pt idx="61">
                  <c:v>0</c:v>
                </c:pt>
                <c:pt idx="62">
                  <c:v>87743</c:v>
                </c:pt>
                <c:pt idx="63">
                  <c:v>0</c:v>
                </c:pt>
                <c:pt idx="64">
                  <c:v>0</c:v>
                </c:pt>
                <c:pt idx="65">
                  <c:v>86170</c:v>
                </c:pt>
                <c:pt idx="66">
                  <c:v>0</c:v>
                </c:pt>
                <c:pt idx="67">
                  <c:v>81867</c:v>
                </c:pt>
                <c:pt idx="68">
                  <c:v>0</c:v>
                </c:pt>
                <c:pt idx="69">
                  <c:v>0</c:v>
                </c:pt>
                <c:pt idx="70">
                  <c:v>79311</c:v>
                </c:pt>
                <c:pt idx="71">
                  <c:v>0</c:v>
                </c:pt>
                <c:pt idx="72">
                  <c:v>0</c:v>
                </c:pt>
                <c:pt idx="73">
                  <c:v>85156</c:v>
                </c:pt>
                <c:pt idx="74">
                  <c:v>0</c:v>
                </c:pt>
                <c:pt idx="75">
                  <c:v>81564</c:v>
                </c:pt>
                <c:pt idx="76">
                  <c:v>0</c:v>
                </c:pt>
                <c:pt idx="77">
                  <c:v>0</c:v>
                </c:pt>
                <c:pt idx="78">
                  <c:v>80220</c:v>
                </c:pt>
                <c:pt idx="79">
                  <c:v>0</c:v>
                </c:pt>
                <c:pt idx="80">
                  <c:v>81262</c:v>
                </c:pt>
                <c:pt idx="81">
                  <c:v>0</c:v>
                </c:pt>
                <c:pt idx="82">
                  <c:v>0</c:v>
                </c:pt>
                <c:pt idx="83">
                  <c:v>84787</c:v>
                </c:pt>
                <c:pt idx="84">
                  <c:v>0</c:v>
                </c:pt>
                <c:pt idx="85">
                  <c:v>0</c:v>
                </c:pt>
                <c:pt idx="86">
                  <c:v>82355</c:v>
                </c:pt>
                <c:pt idx="87">
                  <c:v>0</c:v>
                </c:pt>
                <c:pt idx="88">
                  <c:v>78178</c:v>
                </c:pt>
                <c:pt idx="89">
                  <c:v>0</c:v>
                </c:pt>
                <c:pt idx="90">
                  <c:v>0</c:v>
                </c:pt>
                <c:pt idx="91">
                  <c:v>74362</c:v>
                </c:pt>
                <c:pt idx="92">
                  <c:v>0</c:v>
                </c:pt>
                <c:pt idx="93">
                  <c:v>66827</c:v>
                </c:pt>
                <c:pt idx="94">
                  <c:v>0</c:v>
                </c:pt>
                <c:pt idx="95">
                  <c:v>0</c:v>
                </c:pt>
                <c:pt idx="96">
                  <c:v>55630</c:v>
                </c:pt>
                <c:pt idx="97">
                  <c:v>0</c:v>
                </c:pt>
                <c:pt idx="98">
                  <c:v>48323</c:v>
                </c:pt>
                <c:pt idx="99">
                  <c:v>0</c:v>
                </c:pt>
                <c:pt idx="100">
                  <c:v>0</c:v>
                </c:pt>
                <c:pt idx="101">
                  <c:v>42874</c:v>
                </c:pt>
                <c:pt idx="102">
                  <c:v>0</c:v>
                </c:pt>
                <c:pt idx="103">
                  <c:v>0</c:v>
                </c:pt>
                <c:pt idx="104">
                  <c:v>34799</c:v>
                </c:pt>
                <c:pt idx="105">
                  <c:v>0</c:v>
                </c:pt>
                <c:pt idx="106">
                  <c:v>29225</c:v>
                </c:pt>
                <c:pt idx="107">
                  <c:v>0</c:v>
                </c:pt>
                <c:pt idx="108">
                  <c:v>0</c:v>
                </c:pt>
                <c:pt idx="109">
                  <c:v>23070</c:v>
                </c:pt>
                <c:pt idx="110">
                  <c:v>0</c:v>
                </c:pt>
                <c:pt idx="111">
                  <c:v>18020</c:v>
                </c:pt>
                <c:pt idx="112">
                  <c:v>0</c:v>
                </c:pt>
                <c:pt idx="113">
                  <c:v>0</c:v>
                </c:pt>
                <c:pt idx="114">
                  <c:v>16190</c:v>
                </c:pt>
                <c:pt idx="115">
                  <c:v>0</c:v>
                </c:pt>
                <c:pt idx="116">
                  <c:v>14287</c:v>
                </c:pt>
                <c:pt idx="117">
                  <c:v>0</c:v>
                </c:pt>
                <c:pt idx="118">
                  <c:v>0</c:v>
                </c:pt>
                <c:pt idx="119">
                  <c:v>13987</c:v>
                </c:pt>
                <c:pt idx="120">
                  <c:v>0</c:v>
                </c:pt>
                <c:pt idx="121">
                  <c:v>0</c:v>
                </c:pt>
                <c:pt idx="122">
                  <c:v>11158</c:v>
                </c:pt>
                <c:pt idx="123">
                  <c:v>0</c:v>
                </c:pt>
                <c:pt idx="124">
                  <c:v>10623</c:v>
                </c:pt>
                <c:pt idx="125">
                  <c:v>0</c:v>
                </c:pt>
                <c:pt idx="126">
                  <c:v>0</c:v>
                </c:pt>
                <c:pt idx="127">
                  <c:v>10434</c:v>
                </c:pt>
                <c:pt idx="128">
                  <c:v>0</c:v>
                </c:pt>
                <c:pt idx="129">
                  <c:v>8261</c:v>
                </c:pt>
                <c:pt idx="130">
                  <c:v>0</c:v>
                </c:pt>
                <c:pt idx="131">
                  <c:v>0</c:v>
                </c:pt>
                <c:pt idx="132">
                  <c:v>8641</c:v>
                </c:pt>
                <c:pt idx="133">
                  <c:v>0</c:v>
                </c:pt>
                <c:pt idx="134">
                  <c:v>7571</c:v>
                </c:pt>
                <c:pt idx="135">
                  <c:v>0</c:v>
                </c:pt>
                <c:pt idx="136">
                  <c:v>0</c:v>
                </c:pt>
                <c:pt idx="137">
                  <c:v>5976</c:v>
                </c:pt>
                <c:pt idx="138">
                  <c:v>0</c:v>
                </c:pt>
                <c:pt idx="139">
                  <c:v>0</c:v>
                </c:pt>
                <c:pt idx="140">
                  <c:v>8759</c:v>
                </c:pt>
                <c:pt idx="141">
                  <c:v>0</c:v>
                </c:pt>
                <c:pt idx="142">
                  <c:v>9129</c:v>
                </c:pt>
                <c:pt idx="143">
                  <c:v>0</c:v>
                </c:pt>
                <c:pt idx="144">
                  <c:v>0</c:v>
                </c:pt>
                <c:pt idx="145">
                  <c:v>9032</c:v>
                </c:pt>
                <c:pt idx="146">
                  <c:v>0</c:v>
                </c:pt>
                <c:pt idx="147">
                  <c:v>8989</c:v>
                </c:pt>
                <c:pt idx="148">
                  <c:v>0</c:v>
                </c:pt>
                <c:pt idx="149">
                  <c:v>0</c:v>
                </c:pt>
                <c:pt idx="150">
                  <c:v>13002</c:v>
                </c:pt>
                <c:pt idx="151">
                  <c:v>0</c:v>
                </c:pt>
                <c:pt idx="152">
                  <c:v>11437</c:v>
                </c:pt>
                <c:pt idx="153">
                  <c:v>0</c:v>
                </c:pt>
                <c:pt idx="154">
                  <c:v>0</c:v>
                </c:pt>
                <c:pt idx="155">
                  <c:v>9835</c:v>
                </c:pt>
                <c:pt idx="156">
                  <c:v>0</c:v>
                </c:pt>
                <c:pt idx="157">
                  <c:v>0</c:v>
                </c:pt>
                <c:pt idx="158">
                  <c:v>9061</c:v>
                </c:pt>
                <c:pt idx="159">
                  <c:v>0</c:v>
                </c:pt>
                <c:pt idx="160">
                  <c:v>7735</c:v>
                </c:pt>
                <c:pt idx="161">
                  <c:v>0</c:v>
                </c:pt>
                <c:pt idx="162">
                  <c:v>0</c:v>
                </c:pt>
                <c:pt idx="163">
                  <c:v>9837</c:v>
                </c:pt>
                <c:pt idx="164">
                  <c:v>0</c:v>
                </c:pt>
                <c:pt idx="165">
                  <c:v>9597</c:v>
                </c:pt>
                <c:pt idx="166">
                  <c:v>0</c:v>
                </c:pt>
                <c:pt idx="167">
                  <c:v>0</c:v>
                </c:pt>
                <c:pt idx="168">
                  <c:v>9190</c:v>
                </c:pt>
                <c:pt idx="169">
                  <c:v>0</c:v>
                </c:pt>
                <c:pt idx="170">
                  <c:v>0</c:v>
                </c:pt>
                <c:pt idx="171">
                  <c:v>8037</c:v>
                </c:pt>
                <c:pt idx="172">
                  <c:v>0</c:v>
                </c:pt>
                <c:pt idx="173">
                  <c:v>6414</c:v>
                </c:pt>
                <c:pt idx="174">
                  <c:v>0</c:v>
                </c:pt>
                <c:pt idx="175">
                  <c:v>0</c:v>
                </c:pt>
                <c:pt idx="176">
                  <c:v>6748</c:v>
                </c:pt>
                <c:pt idx="177">
                  <c:v>0</c:v>
                </c:pt>
                <c:pt idx="178">
                  <c:v>6903</c:v>
                </c:pt>
                <c:pt idx="179">
                  <c:v>0</c:v>
                </c:pt>
                <c:pt idx="180">
                  <c:v>0</c:v>
                </c:pt>
                <c:pt idx="181">
                  <c:v>4797</c:v>
                </c:pt>
                <c:pt idx="182">
                  <c:v>0</c:v>
                </c:pt>
                <c:pt idx="183">
                  <c:v>3835</c:v>
                </c:pt>
                <c:pt idx="184">
                  <c:v>0</c:v>
                </c:pt>
                <c:pt idx="185">
                  <c:v>0</c:v>
                </c:pt>
                <c:pt idx="186">
                  <c:v>2648</c:v>
                </c:pt>
                <c:pt idx="187">
                  <c:v>0</c:v>
                </c:pt>
                <c:pt idx="188">
                  <c:v>0</c:v>
                </c:pt>
                <c:pt idx="189">
                  <c:v>1905</c:v>
                </c:pt>
                <c:pt idx="190">
                  <c:v>0</c:v>
                </c:pt>
                <c:pt idx="191">
                  <c:v>884</c:v>
                </c:pt>
                <c:pt idx="192">
                  <c:v>0</c:v>
                </c:pt>
                <c:pt idx="193">
                  <c:v>0</c:v>
                </c:pt>
                <c:pt idx="194">
                  <c:v>602</c:v>
                </c:pt>
                <c:pt idx="195">
                  <c:v>0</c:v>
                </c:pt>
                <c:pt idx="196">
                  <c:v>156</c:v>
                </c:pt>
                <c:pt idx="197">
                  <c:v>0</c:v>
                </c:pt>
                <c:pt idx="198">
                  <c:v>0</c:v>
                </c:pt>
                <c:pt idx="199">
                  <c:v>156</c:v>
                </c:pt>
                <c:pt idx="200">
                  <c:v>0</c:v>
                </c:pt>
                <c:pt idx="201">
                  <c:v>78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429</c:v>
                </c:pt>
                <c:pt idx="7">
                  <c:v>0</c:v>
                </c:pt>
                <c:pt idx="8">
                  <c:v>379</c:v>
                </c:pt>
                <c:pt idx="9">
                  <c:v>0</c:v>
                </c:pt>
                <c:pt idx="10">
                  <c:v>0</c:v>
                </c:pt>
                <c:pt idx="11">
                  <c:v>962</c:v>
                </c:pt>
                <c:pt idx="12">
                  <c:v>0</c:v>
                </c:pt>
                <c:pt idx="13">
                  <c:v>1080</c:v>
                </c:pt>
                <c:pt idx="14">
                  <c:v>0</c:v>
                </c:pt>
                <c:pt idx="15">
                  <c:v>0</c:v>
                </c:pt>
                <c:pt idx="16">
                  <c:v>1256</c:v>
                </c:pt>
                <c:pt idx="17">
                  <c:v>0</c:v>
                </c:pt>
                <c:pt idx="18">
                  <c:v>0</c:v>
                </c:pt>
                <c:pt idx="19">
                  <c:v>2180</c:v>
                </c:pt>
                <c:pt idx="20">
                  <c:v>0</c:v>
                </c:pt>
                <c:pt idx="21">
                  <c:v>3169</c:v>
                </c:pt>
                <c:pt idx="22">
                  <c:v>0</c:v>
                </c:pt>
                <c:pt idx="23">
                  <c:v>0</c:v>
                </c:pt>
                <c:pt idx="24">
                  <c:v>3427</c:v>
                </c:pt>
                <c:pt idx="25">
                  <c:v>0</c:v>
                </c:pt>
                <c:pt idx="26">
                  <c:v>6418</c:v>
                </c:pt>
                <c:pt idx="27">
                  <c:v>0</c:v>
                </c:pt>
                <c:pt idx="28">
                  <c:v>0</c:v>
                </c:pt>
                <c:pt idx="29">
                  <c:v>9697</c:v>
                </c:pt>
                <c:pt idx="30">
                  <c:v>0</c:v>
                </c:pt>
                <c:pt idx="31">
                  <c:v>10914</c:v>
                </c:pt>
                <c:pt idx="32">
                  <c:v>0</c:v>
                </c:pt>
                <c:pt idx="33">
                  <c:v>0</c:v>
                </c:pt>
                <c:pt idx="34">
                  <c:v>12854</c:v>
                </c:pt>
                <c:pt idx="35">
                  <c:v>0</c:v>
                </c:pt>
                <c:pt idx="36">
                  <c:v>0</c:v>
                </c:pt>
                <c:pt idx="37">
                  <c:v>12193</c:v>
                </c:pt>
                <c:pt idx="38">
                  <c:v>0</c:v>
                </c:pt>
                <c:pt idx="39">
                  <c:v>17262</c:v>
                </c:pt>
                <c:pt idx="40">
                  <c:v>0</c:v>
                </c:pt>
                <c:pt idx="41">
                  <c:v>0</c:v>
                </c:pt>
                <c:pt idx="42">
                  <c:v>18245</c:v>
                </c:pt>
                <c:pt idx="43">
                  <c:v>0</c:v>
                </c:pt>
                <c:pt idx="44">
                  <c:v>25573</c:v>
                </c:pt>
                <c:pt idx="45">
                  <c:v>0</c:v>
                </c:pt>
                <c:pt idx="46">
                  <c:v>0</c:v>
                </c:pt>
                <c:pt idx="47">
                  <c:v>34148</c:v>
                </c:pt>
                <c:pt idx="48">
                  <c:v>0</c:v>
                </c:pt>
                <c:pt idx="49">
                  <c:v>43023</c:v>
                </c:pt>
                <c:pt idx="50">
                  <c:v>0</c:v>
                </c:pt>
                <c:pt idx="51">
                  <c:v>0</c:v>
                </c:pt>
                <c:pt idx="52">
                  <c:v>57237</c:v>
                </c:pt>
                <c:pt idx="53">
                  <c:v>0</c:v>
                </c:pt>
                <c:pt idx="54">
                  <c:v>0</c:v>
                </c:pt>
                <c:pt idx="55">
                  <c:v>60468</c:v>
                </c:pt>
                <c:pt idx="56">
                  <c:v>0</c:v>
                </c:pt>
                <c:pt idx="57">
                  <c:v>81901</c:v>
                </c:pt>
                <c:pt idx="58">
                  <c:v>0</c:v>
                </c:pt>
                <c:pt idx="59">
                  <c:v>0</c:v>
                </c:pt>
                <c:pt idx="60">
                  <c:v>100249</c:v>
                </c:pt>
                <c:pt idx="61">
                  <c:v>0</c:v>
                </c:pt>
                <c:pt idx="62">
                  <c:v>119661</c:v>
                </c:pt>
                <c:pt idx="63">
                  <c:v>0</c:v>
                </c:pt>
                <c:pt idx="64">
                  <c:v>0</c:v>
                </c:pt>
                <c:pt idx="65">
                  <c:v>137608</c:v>
                </c:pt>
                <c:pt idx="66">
                  <c:v>0</c:v>
                </c:pt>
                <c:pt idx="67">
                  <c:v>132592</c:v>
                </c:pt>
                <c:pt idx="68">
                  <c:v>0</c:v>
                </c:pt>
                <c:pt idx="69">
                  <c:v>0</c:v>
                </c:pt>
                <c:pt idx="70">
                  <c:v>145360</c:v>
                </c:pt>
                <c:pt idx="71">
                  <c:v>0</c:v>
                </c:pt>
                <c:pt idx="72">
                  <c:v>0</c:v>
                </c:pt>
                <c:pt idx="73">
                  <c:v>156541</c:v>
                </c:pt>
                <c:pt idx="74">
                  <c:v>0</c:v>
                </c:pt>
                <c:pt idx="75">
                  <c:v>157874</c:v>
                </c:pt>
                <c:pt idx="76">
                  <c:v>0</c:v>
                </c:pt>
                <c:pt idx="77">
                  <c:v>0</c:v>
                </c:pt>
                <c:pt idx="78">
                  <c:v>161379</c:v>
                </c:pt>
                <c:pt idx="79">
                  <c:v>0</c:v>
                </c:pt>
                <c:pt idx="80">
                  <c:v>156713</c:v>
                </c:pt>
                <c:pt idx="81">
                  <c:v>0</c:v>
                </c:pt>
                <c:pt idx="82">
                  <c:v>0</c:v>
                </c:pt>
                <c:pt idx="83">
                  <c:v>154975</c:v>
                </c:pt>
                <c:pt idx="84">
                  <c:v>0</c:v>
                </c:pt>
                <c:pt idx="85">
                  <c:v>0</c:v>
                </c:pt>
                <c:pt idx="86">
                  <c:v>161897</c:v>
                </c:pt>
                <c:pt idx="87">
                  <c:v>0</c:v>
                </c:pt>
                <c:pt idx="88">
                  <c:v>159385</c:v>
                </c:pt>
                <c:pt idx="89">
                  <c:v>0</c:v>
                </c:pt>
                <c:pt idx="90">
                  <c:v>0</c:v>
                </c:pt>
                <c:pt idx="91">
                  <c:v>145701</c:v>
                </c:pt>
                <c:pt idx="92">
                  <c:v>0</c:v>
                </c:pt>
                <c:pt idx="93">
                  <c:v>135329</c:v>
                </c:pt>
                <c:pt idx="94">
                  <c:v>0</c:v>
                </c:pt>
                <c:pt idx="95">
                  <c:v>0</c:v>
                </c:pt>
                <c:pt idx="96">
                  <c:v>121299</c:v>
                </c:pt>
                <c:pt idx="97">
                  <c:v>0</c:v>
                </c:pt>
                <c:pt idx="98">
                  <c:v>111167</c:v>
                </c:pt>
                <c:pt idx="99">
                  <c:v>0</c:v>
                </c:pt>
                <c:pt idx="100">
                  <c:v>0</c:v>
                </c:pt>
                <c:pt idx="101">
                  <c:v>107746</c:v>
                </c:pt>
                <c:pt idx="102">
                  <c:v>0</c:v>
                </c:pt>
                <c:pt idx="103">
                  <c:v>0</c:v>
                </c:pt>
                <c:pt idx="104">
                  <c:v>93303</c:v>
                </c:pt>
                <c:pt idx="105">
                  <c:v>0</c:v>
                </c:pt>
                <c:pt idx="106">
                  <c:v>81817</c:v>
                </c:pt>
                <c:pt idx="107">
                  <c:v>0</c:v>
                </c:pt>
                <c:pt idx="108">
                  <c:v>0</c:v>
                </c:pt>
                <c:pt idx="109">
                  <c:v>70831</c:v>
                </c:pt>
                <c:pt idx="110">
                  <c:v>0</c:v>
                </c:pt>
                <c:pt idx="111">
                  <c:v>69565</c:v>
                </c:pt>
                <c:pt idx="112">
                  <c:v>0</c:v>
                </c:pt>
                <c:pt idx="113">
                  <c:v>0</c:v>
                </c:pt>
                <c:pt idx="114">
                  <c:v>60543</c:v>
                </c:pt>
                <c:pt idx="115">
                  <c:v>0</c:v>
                </c:pt>
                <c:pt idx="116">
                  <c:v>50504</c:v>
                </c:pt>
                <c:pt idx="117">
                  <c:v>0</c:v>
                </c:pt>
                <c:pt idx="118">
                  <c:v>0</c:v>
                </c:pt>
                <c:pt idx="119">
                  <c:v>52035</c:v>
                </c:pt>
                <c:pt idx="120">
                  <c:v>0</c:v>
                </c:pt>
                <c:pt idx="121">
                  <c:v>0</c:v>
                </c:pt>
                <c:pt idx="122">
                  <c:v>46015</c:v>
                </c:pt>
                <c:pt idx="123">
                  <c:v>0</c:v>
                </c:pt>
                <c:pt idx="124">
                  <c:v>38855</c:v>
                </c:pt>
                <c:pt idx="125">
                  <c:v>0</c:v>
                </c:pt>
                <c:pt idx="126">
                  <c:v>0</c:v>
                </c:pt>
                <c:pt idx="127">
                  <c:v>33928</c:v>
                </c:pt>
                <c:pt idx="128">
                  <c:v>0</c:v>
                </c:pt>
                <c:pt idx="129">
                  <c:v>29410</c:v>
                </c:pt>
                <c:pt idx="130">
                  <c:v>0</c:v>
                </c:pt>
                <c:pt idx="131">
                  <c:v>0</c:v>
                </c:pt>
                <c:pt idx="132">
                  <c:v>24091</c:v>
                </c:pt>
                <c:pt idx="133">
                  <c:v>0</c:v>
                </c:pt>
                <c:pt idx="134">
                  <c:v>21795</c:v>
                </c:pt>
                <c:pt idx="135">
                  <c:v>0</c:v>
                </c:pt>
                <c:pt idx="136">
                  <c:v>0</c:v>
                </c:pt>
                <c:pt idx="137">
                  <c:v>20535</c:v>
                </c:pt>
                <c:pt idx="138">
                  <c:v>0</c:v>
                </c:pt>
                <c:pt idx="139">
                  <c:v>0</c:v>
                </c:pt>
                <c:pt idx="140">
                  <c:v>21073</c:v>
                </c:pt>
                <c:pt idx="141">
                  <c:v>0</c:v>
                </c:pt>
                <c:pt idx="142">
                  <c:v>17447</c:v>
                </c:pt>
                <c:pt idx="143">
                  <c:v>0</c:v>
                </c:pt>
                <c:pt idx="144">
                  <c:v>0</c:v>
                </c:pt>
                <c:pt idx="145">
                  <c:v>18602</c:v>
                </c:pt>
                <c:pt idx="146">
                  <c:v>0</c:v>
                </c:pt>
                <c:pt idx="147">
                  <c:v>17608</c:v>
                </c:pt>
                <c:pt idx="148">
                  <c:v>0</c:v>
                </c:pt>
                <c:pt idx="149">
                  <c:v>0</c:v>
                </c:pt>
                <c:pt idx="150">
                  <c:v>15580</c:v>
                </c:pt>
                <c:pt idx="151">
                  <c:v>0</c:v>
                </c:pt>
                <c:pt idx="152">
                  <c:v>17314</c:v>
                </c:pt>
                <c:pt idx="153">
                  <c:v>0</c:v>
                </c:pt>
                <c:pt idx="154">
                  <c:v>0</c:v>
                </c:pt>
                <c:pt idx="155">
                  <c:v>12952</c:v>
                </c:pt>
                <c:pt idx="156">
                  <c:v>0</c:v>
                </c:pt>
                <c:pt idx="157">
                  <c:v>0</c:v>
                </c:pt>
                <c:pt idx="158">
                  <c:v>15455</c:v>
                </c:pt>
                <c:pt idx="159">
                  <c:v>0</c:v>
                </c:pt>
                <c:pt idx="160">
                  <c:v>16089</c:v>
                </c:pt>
                <c:pt idx="161">
                  <c:v>0</c:v>
                </c:pt>
                <c:pt idx="162">
                  <c:v>0</c:v>
                </c:pt>
                <c:pt idx="163">
                  <c:v>15001</c:v>
                </c:pt>
                <c:pt idx="164">
                  <c:v>0</c:v>
                </c:pt>
                <c:pt idx="165">
                  <c:v>16689</c:v>
                </c:pt>
                <c:pt idx="166">
                  <c:v>0</c:v>
                </c:pt>
                <c:pt idx="167">
                  <c:v>0</c:v>
                </c:pt>
                <c:pt idx="168">
                  <c:v>17319</c:v>
                </c:pt>
                <c:pt idx="169">
                  <c:v>0</c:v>
                </c:pt>
                <c:pt idx="170">
                  <c:v>0</c:v>
                </c:pt>
                <c:pt idx="171">
                  <c:v>16797</c:v>
                </c:pt>
                <c:pt idx="172">
                  <c:v>0</c:v>
                </c:pt>
                <c:pt idx="173">
                  <c:v>19424</c:v>
                </c:pt>
                <c:pt idx="174">
                  <c:v>0</c:v>
                </c:pt>
                <c:pt idx="175">
                  <c:v>0</c:v>
                </c:pt>
                <c:pt idx="176">
                  <c:v>20980</c:v>
                </c:pt>
                <c:pt idx="177">
                  <c:v>0</c:v>
                </c:pt>
                <c:pt idx="178">
                  <c:v>20824</c:v>
                </c:pt>
                <c:pt idx="179">
                  <c:v>0</c:v>
                </c:pt>
                <c:pt idx="180">
                  <c:v>0</c:v>
                </c:pt>
                <c:pt idx="181">
                  <c:v>21475</c:v>
                </c:pt>
                <c:pt idx="182">
                  <c:v>0</c:v>
                </c:pt>
                <c:pt idx="183">
                  <c:v>15299</c:v>
                </c:pt>
                <c:pt idx="184">
                  <c:v>0</c:v>
                </c:pt>
                <c:pt idx="185">
                  <c:v>0</c:v>
                </c:pt>
                <c:pt idx="186">
                  <c:v>15463</c:v>
                </c:pt>
                <c:pt idx="187">
                  <c:v>0</c:v>
                </c:pt>
                <c:pt idx="188">
                  <c:v>0</c:v>
                </c:pt>
                <c:pt idx="189">
                  <c:v>14582</c:v>
                </c:pt>
                <c:pt idx="190">
                  <c:v>0</c:v>
                </c:pt>
                <c:pt idx="191">
                  <c:v>9392</c:v>
                </c:pt>
                <c:pt idx="192">
                  <c:v>0</c:v>
                </c:pt>
                <c:pt idx="193">
                  <c:v>0</c:v>
                </c:pt>
                <c:pt idx="194">
                  <c:v>7908</c:v>
                </c:pt>
                <c:pt idx="195">
                  <c:v>0</c:v>
                </c:pt>
                <c:pt idx="196">
                  <c:v>8100</c:v>
                </c:pt>
                <c:pt idx="197">
                  <c:v>0</c:v>
                </c:pt>
                <c:pt idx="198">
                  <c:v>0</c:v>
                </c:pt>
                <c:pt idx="199">
                  <c:v>4845</c:v>
                </c:pt>
                <c:pt idx="200">
                  <c:v>0</c:v>
                </c:pt>
                <c:pt idx="201">
                  <c:v>3301</c:v>
                </c:pt>
                <c:pt idx="202">
                  <c:v>0</c:v>
                </c:pt>
                <c:pt idx="203">
                  <c:v>0</c:v>
                </c:pt>
                <c:pt idx="204">
                  <c:v>924</c:v>
                </c:pt>
                <c:pt idx="205">
                  <c:v>0</c:v>
                </c:pt>
                <c:pt idx="206">
                  <c:v>0</c:v>
                </c:pt>
                <c:pt idx="207">
                  <c:v>700</c:v>
                </c:pt>
                <c:pt idx="208">
                  <c:v>0</c:v>
                </c:pt>
                <c:pt idx="209">
                  <c:v>503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0.2030602256945577</c:v>
                </c:pt>
                <c:pt idx="1">
                  <c:v>0.35934305434351771</c:v>
                </c:pt>
                <c:pt idx="2">
                  <c:v>0.43759671996192467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0.5096389847765429</c:v>
                </c:pt>
                <c:pt idx="1">
                  <c:v>0.23538538830024328</c:v>
                </c:pt>
                <c:pt idx="2">
                  <c:v>0.25497562692321374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8.8052460000000004</c:v>
                </c:pt>
                <c:pt idx="1">
                  <c:v>24.696592500000001</c:v>
                </c:pt>
                <c:pt idx="2">
                  <c:v>22.785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0.40397899999999998</c:v>
                </c:pt>
                <c:pt idx="2">
                  <c:v>0.81182799999999999</c:v>
                </c:pt>
                <c:pt idx="3">
                  <c:v>1.21889</c:v>
                </c:pt>
                <c:pt idx="4">
                  <c:v>1.62557</c:v>
                </c:pt>
                <c:pt idx="5">
                  <c:v>2.0318200000000002</c:v>
                </c:pt>
                <c:pt idx="6">
                  <c:v>2.43492</c:v>
                </c:pt>
                <c:pt idx="7">
                  <c:v>2.8443999999999998</c:v>
                </c:pt>
                <c:pt idx="8">
                  <c:v>3.2511999999999999</c:v>
                </c:pt>
                <c:pt idx="9">
                  <c:v>3.6570900000000002</c:v>
                </c:pt>
                <c:pt idx="10">
                  <c:v>4.0591999999999997</c:v>
                </c:pt>
                <c:pt idx="11">
                  <c:v>4.4661200000000001</c:v>
                </c:pt>
                <c:pt idx="12">
                  <c:v>4.8690600000000002</c:v>
                </c:pt>
                <c:pt idx="13">
                  <c:v>5.2808400000000004</c:v>
                </c:pt>
                <c:pt idx="14">
                  <c:v>5.6867400000000004</c:v>
                </c:pt>
                <c:pt idx="15">
                  <c:v>6.0907</c:v>
                </c:pt>
                <c:pt idx="16">
                  <c:v>6.4966600000000003</c:v>
                </c:pt>
                <c:pt idx="17">
                  <c:v>6.9046500000000002</c:v>
                </c:pt>
                <c:pt idx="18">
                  <c:v>7.30844</c:v>
                </c:pt>
                <c:pt idx="19">
                  <c:v>7.7163500000000003</c:v>
                </c:pt>
                <c:pt idx="20">
                  <c:v>8.1251899999999999</c:v>
                </c:pt>
                <c:pt idx="21">
                  <c:v>8.5268200000000007</c:v>
                </c:pt>
                <c:pt idx="22">
                  <c:v>8.9340700000000002</c:v>
                </c:pt>
                <c:pt idx="23">
                  <c:v>9.3433399999999995</c:v>
                </c:pt>
                <c:pt idx="24">
                  <c:v>9.7479600000000008</c:v>
                </c:pt>
                <c:pt idx="25">
                  <c:v>10.1569</c:v>
                </c:pt>
                <c:pt idx="26">
                  <c:v>10.5646</c:v>
                </c:pt>
                <c:pt idx="27">
                  <c:v>10.9696</c:v>
                </c:pt>
                <c:pt idx="28">
                  <c:v>11.3725</c:v>
                </c:pt>
                <c:pt idx="29">
                  <c:v>11.781499999999999</c:v>
                </c:pt>
                <c:pt idx="30">
                  <c:v>12.1884</c:v>
                </c:pt>
                <c:pt idx="31">
                  <c:v>12.5923</c:v>
                </c:pt>
                <c:pt idx="32">
                  <c:v>12.9968</c:v>
                </c:pt>
                <c:pt idx="33">
                  <c:v>13.4041</c:v>
                </c:pt>
                <c:pt idx="34">
                  <c:v>13.8104</c:v>
                </c:pt>
                <c:pt idx="35">
                  <c:v>14.2159</c:v>
                </c:pt>
                <c:pt idx="36">
                  <c:v>14.6228</c:v>
                </c:pt>
                <c:pt idx="37">
                  <c:v>15.030799999999999</c:v>
                </c:pt>
                <c:pt idx="38">
                  <c:v>15.438700000000001</c:v>
                </c:pt>
                <c:pt idx="39">
                  <c:v>15.842700000000001</c:v>
                </c:pt>
                <c:pt idx="40">
                  <c:v>16.249500000000001</c:v>
                </c:pt>
                <c:pt idx="41">
                  <c:v>16.656700000000001</c:v>
                </c:pt>
                <c:pt idx="42">
                  <c:v>17.061299999999999</c:v>
                </c:pt>
                <c:pt idx="43">
                  <c:v>17.468399999999999</c:v>
                </c:pt>
                <c:pt idx="44">
                  <c:v>17.8751</c:v>
                </c:pt>
                <c:pt idx="45">
                  <c:v>18.280999999999999</c:v>
                </c:pt>
                <c:pt idx="46">
                  <c:v>18.684999999999999</c:v>
                </c:pt>
                <c:pt idx="47">
                  <c:v>19.097799999999999</c:v>
                </c:pt>
                <c:pt idx="48">
                  <c:v>19.4953</c:v>
                </c:pt>
                <c:pt idx="49">
                  <c:v>19.907699999999998</c:v>
                </c:pt>
                <c:pt idx="50">
                  <c:v>20.3126</c:v>
                </c:pt>
                <c:pt idx="51">
                  <c:v>20.712599999999998</c:v>
                </c:pt>
                <c:pt idx="52">
                  <c:v>21.122499999999999</c:v>
                </c:pt>
                <c:pt idx="53">
                  <c:v>21.5304</c:v>
                </c:pt>
                <c:pt idx="54">
                  <c:v>21.935600000000001</c:v>
                </c:pt>
                <c:pt idx="55">
                  <c:v>22.345300000000002</c:v>
                </c:pt>
                <c:pt idx="56">
                  <c:v>22.752099999999999</c:v>
                </c:pt>
                <c:pt idx="57">
                  <c:v>23.155999999999999</c:v>
                </c:pt>
                <c:pt idx="58">
                  <c:v>23.560199999999998</c:v>
                </c:pt>
                <c:pt idx="59">
                  <c:v>23.966899999999999</c:v>
                </c:pt>
                <c:pt idx="60">
                  <c:v>24.370999999999999</c:v>
                </c:pt>
                <c:pt idx="61">
                  <c:v>24.7807</c:v>
                </c:pt>
                <c:pt idx="62">
                  <c:v>25.186599999999999</c:v>
                </c:pt>
                <c:pt idx="63">
                  <c:v>25.592700000000001</c:v>
                </c:pt>
                <c:pt idx="64">
                  <c:v>25.994499999999999</c:v>
                </c:pt>
                <c:pt idx="65">
                  <c:v>26.404299999999999</c:v>
                </c:pt>
                <c:pt idx="66">
                  <c:v>26.8123</c:v>
                </c:pt>
                <c:pt idx="67">
                  <c:v>27.220199999999998</c:v>
                </c:pt>
                <c:pt idx="68">
                  <c:v>27.624400000000001</c:v>
                </c:pt>
                <c:pt idx="69">
                  <c:v>28.0275</c:v>
                </c:pt>
                <c:pt idx="70">
                  <c:v>28.432200000000002</c:v>
                </c:pt>
                <c:pt idx="71">
                  <c:v>28.84</c:v>
                </c:pt>
                <c:pt idx="72">
                  <c:v>29.251200000000001</c:v>
                </c:pt>
                <c:pt idx="73">
                  <c:v>29.654699999999998</c:v>
                </c:pt>
                <c:pt idx="74">
                  <c:v>30.0627</c:v>
                </c:pt>
                <c:pt idx="75">
                  <c:v>30.465499999999999</c:v>
                </c:pt>
                <c:pt idx="76">
                  <c:v>30.874500000000001</c:v>
                </c:pt>
                <c:pt idx="77">
                  <c:v>31.279599999999999</c:v>
                </c:pt>
                <c:pt idx="78">
                  <c:v>31.687200000000001</c:v>
                </c:pt>
                <c:pt idx="79">
                  <c:v>32.095300000000002</c:v>
                </c:pt>
                <c:pt idx="80">
                  <c:v>32.5</c:v>
                </c:pt>
                <c:pt idx="81">
                  <c:v>32.905900000000003</c:v>
                </c:pt>
                <c:pt idx="82">
                  <c:v>33.311999999999998</c:v>
                </c:pt>
                <c:pt idx="83">
                  <c:v>33.716799999999999</c:v>
                </c:pt>
                <c:pt idx="84">
                  <c:v>34.122700000000002</c:v>
                </c:pt>
                <c:pt idx="85">
                  <c:v>34.532600000000002</c:v>
                </c:pt>
                <c:pt idx="86">
                  <c:v>34.935499999999998</c:v>
                </c:pt>
                <c:pt idx="87">
                  <c:v>35.340400000000002</c:v>
                </c:pt>
                <c:pt idx="88">
                  <c:v>35.747399999999999</c:v>
                </c:pt>
                <c:pt idx="89">
                  <c:v>36.154200000000003</c:v>
                </c:pt>
                <c:pt idx="90">
                  <c:v>36.558100000000003</c:v>
                </c:pt>
                <c:pt idx="91">
                  <c:v>36.966099999999997</c:v>
                </c:pt>
                <c:pt idx="92">
                  <c:v>37.376300000000001</c:v>
                </c:pt>
                <c:pt idx="93">
                  <c:v>37.779899999999998</c:v>
                </c:pt>
                <c:pt idx="94">
                  <c:v>38.184800000000003</c:v>
                </c:pt>
                <c:pt idx="95">
                  <c:v>38.590800000000002</c:v>
                </c:pt>
                <c:pt idx="96">
                  <c:v>38.998699999999999</c:v>
                </c:pt>
                <c:pt idx="97">
                  <c:v>39.405500000000004</c:v>
                </c:pt>
                <c:pt idx="98">
                  <c:v>39.811900000000001</c:v>
                </c:pt>
                <c:pt idx="99">
                  <c:v>40.217399999999998</c:v>
                </c:pt>
                <c:pt idx="100">
                  <c:v>40.624400000000001</c:v>
                </c:pt>
                <c:pt idx="101">
                  <c:v>41.029200000000003</c:v>
                </c:pt>
                <c:pt idx="102">
                  <c:v>41.437100000000001</c:v>
                </c:pt>
                <c:pt idx="103">
                  <c:v>41.845999999999997</c:v>
                </c:pt>
                <c:pt idx="104">
                  <c:v>42.247100000000003</c:v>
                </c:pt>
                <c:pt idx="105">
                  <c:v>42.654899999999998</c:v>
                </c:pt>
                <c:pt idx="106">
                  <c:v>43.063800000000001</c:v>
                </c:pt>
                <c:pt idx="107">
                  <c:v>43.462800000000001</c:v>
                </c:pt>
                <c:pt idx="108">
                  <c:v>43.871899999999997</c:v>
                </c:pt>
                <c:pt idx="109">
                  <c:v>44.281500000000001</c:v>
                </c:pt>
                <c:pt idx="110">
                  <c:v>44.687600000000003</c:v>
                </c:pt>
                <c:pt idx="111">
                  <c:v>45.092300000000002</c:v>
                </c:pt>
                <c:pt idx="112">
                  <c:v>45.499299999999998</c:v>
                </c:pt>
                <c:pt idx="113">
                  <c:v>45.904499999999999</c:v>
                </c:pt>
                <c:pt idx="114">
                  <c:v>46.310400000000001</c:v>
                </c:pt>
                <c:pt idx="115">
                  <c:v>46.719099999999997</c:v>
                </c:pt>
                <c:pt idx="116">
                  <c:v>47.120100000000001</c:v>
                </c:pt>
                <c:pt idx="117">
                  <c:v>47.529899999999998</c:v>
                </c:pt>
                <c:pt idx="118">
                  <c:v>47.936</c:v>
                </c:pt>
                <c:pt idx="119">
                  <c:v>48.342799999999997</c:v>
                </c:pt>
                <c:pt idx="120">
                  <c:v>48.746600000000001</c:v>
                </c:pt>
                <c:pt idx="121">
                  <c:v>49.158499999999997</c:v>
                </c:pt>
                <c:pt idx="122">
                  <c:v>49.561300000000003</c:v>
                </c:pt>
                <c:pt idx="123">
                  <c:v>49.966299999999997</c:v>
                </c:pt>
                <c:pt idx="124">
                  <c:v>50.3752</c:v>
                </c:pt>
                <c:pt idx="125">
                  <c:v>50.780099999999997</c:v>
                </c:pt>
                <c:pt idx="126">
                  <c:v>51.187199999999997</c:v>
                </c:pt>
                <c:pt idx="127">
                  <c:v>51.594099999999997</c:v>
                </c:pt>
                <c:pt idx="128">
                  <c:v>52.000799999999998</c:v>
                </c:pt>
                <c:pt idx="129">
                  <c:v>52.405799999999999</c:v>
                </c:pt>
                <c:pt idx="130">
                  <c:v>52.811700000000002</c:v>
                </c:pt>
                <c:pt idx="131">
                  <c:v>53.217700000000001</c:v>
                </c:pt>
                <c:pt idx="132">
                  <c:v>53.625500000000002</c:v>
                </c:pt>
                <c:pt idx="133">
                  <c:v>54.0304</c:v>
                </c:pt>
                <c:pt idx="134">
                  <c:v>54.436300000000003</c:v>
                </c:pt>
                <c:pt idx="135">
                  <c:v>54.841299999999997</c:v>
                </c:pt>
                <c:pt idx="136">
                  <c:v>55.247300000000003</c:v>
                </c:pt>
                <c:pt idx="137">
                  <c:v>55.6571</c:v>
                </c:pt>
                <c:pt idx="138">
                  <c:v>56.066000000000003</c:v>
                </c:pt>
                <c:pt idx="139">
                  <c:v>56.469000000000001</c:v>
                </c:pt>
                <c:pt idx="140">
                  <c:v>56.874899999999997</c:v>
                </c:pt>
                <c:pt idx="141">
                  <c:v>57.277799999999999</c:v>
                </c:pt>
                <c:pt idx="142">
                  <c:v>57.686700000000002</c:v>
                </c:pt>
                <c:pt idx="143">
                  <c:v>58.090600000000002</c:v>
                </c:pt>
                <c:pt idx="144">
                  <c:v>58.499299999999998</c:v>
                </c:pt>
                <c:pt idx="145">
                  <c:v>58.9024</c:v>
                </c:pt>
                <c:pt idx="146">
                  <c:v>59.312399999999997</c:v>
                </c:pt>
                <c:pt idx="147">
                  <c:v>59.7194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2.0219800000000001</c:v>
                </c:pt>
                <c:pt idx="1">
                  <c:v>2.0805199999999999</c:v>
                </c:pt>
                <c:pt idx="2">
                  <c:v>2.1417900000000003</c:v>
                </c:pt>
                <c:pt idx="3">
                  <c:v>2.20208</c:v>
                </c:pt>
                <c:pt idx="4">
                  <c:v>2.26166</c:v>
                </c:pt>
                <c:pt idx="5">
                  <c:v>2.3198699999999999</c:v>
                </c:pt>
                <c:pt idx="6">
                  <c:v>2.37826</c:v>
                </c:pt>
                <c:pt idx="7">
                  <c:v>2.4355099999999998</c:v>
                </c:pt>
                <c:pt idx="8">
                  <c:v>2.4931900000000002</c:v>
                </c:pt>
                <c:pt idx="9">
                  <c:v>2.5531999999999999</c:v>
                </c:pt>
                <c:pt idx="10">
                  <c:v>2.6117900000000001</c:v>
                </c:pt>
                <c:pt idx="11">
                  <c:v>2.6692399999999998</c:v>
                </c:pt>
                <c:pt idx="12">
                  <c:v>2.7260800000000001</c:v>
                </c:pt>
                <c:pt idx="13">
                  <c:v>2.7814299999999998</c:v>
                </c:pt>
                <c:pt idx="14">
                  <c:v>2.8367900000000001</c:v>
                </c:pt>
                <c:pt idx="15">
                  <c:v>2.8927199999999997</c:v>
                </c:pt>
                <c:pt idx="16">
                  <c:v>2.9479199999999999</c:v>
                </c:pt>
                <c:pt idx="17">
                  <c:v>3.00176</c:v>
                </c:pt>
                <c:pt idx="18">
                  <c:v>3.0491800000000002</c:v>
                </c:pt>
                <c:pt idx="19">
                  <c:v>3.0898300000000001</c:v>
                </c:pt>
                <c:pt idx="20">
                  <c:v>3.1283400000000001</c:v>
                </c:pt>
                <c:pt idx="21">
                  <c:v>3.1676900000000003</c:v>
                </c:pt>
                <c:pt idx="22">
                  <c:v>3.2048100000000002</c:v>
                </c:pt>
                <c:pt idx="23">
                  <c:v>3.2437</c:v>
                </c:pt>
                <c:pt idx="24">
                  <c:v>3.2808299999999999</c:v>
                </c:pt>
                <c:pt idx="25">
                  <c:v>3.3124399999999996</c:v>
                </c:pt>
                <c:pt idx="26">
                  <c:v>3.3384</c:v>
                </c:pt>
                <c:pt idx="27">
                  <c:v>3.3569800000000001</c:v>
                </c:pt>
                <c:pt idx="28">
                  <c:v>3.3712900000000001</c:v>
                </c:pt>
                <c:pt idx="29">
                  <c:v>3.3795299999999999</c:v>
                </c:pt>
                <c:pt idx="30">
                  <c:v>3.3842600000000003</c:v>
                </c:pt>
                <c:pt idx="31">
                  <c:v>3.3867799999999999</c:v>
                </c:pt>
                <c:pt idx="32">
                  <c:v>3.38686</c:v>
                </c:pt>
                <c:pt idx="33">
                  <c:v>3.3832899999999997</c:v>
                </c:pt>
                <c:pt idx="34">
                  <c:v>3.3750799999999996</c:v>
                </c:pt>
                <c:pt idx="35">
                  <c:v>3.3652500000000001</c:v>
                </c:pt>
                <c:pt idx="36">
                  <c:v>3.3547799999999999</c:v>
                </c:pt>
                <c:pt idx="37">
                  <c:v>3.34476</c:v>
                </c:pt>
                <c:pt idx="38">
                  <c:v>3.3351700000000002</c:v>
                </c:pt>
                <c:pt idx="39">
                  <c:v>3.32606</c:v>
                </c:pt>
                <c:pt idx="40">
                  <c:v>3.3138899999999998</c:v>
                </c:pt>
                <c:pt idx="41">
                  <c:v>3.30138</c:v>
                </c:pt>
                <c:pt idx="42">
                  <c:v>3.2891599999999999</c:v>
                </c:pt>
                <c:pt idx="43">
                  <c:v>3.2753800000000002</c:v>
                </c:pt>
                <c:pt idx="44">
                  <c:v>3.2636599999999998</c:v>
                </c:pt>
                <c:pt idx="45">
                  <c:v>3.2525900000000001</c:v>
                </c:pt>
                <c:pt idx="46">
                  <c:v>3.2363</c:v>
                </c:pt>
                <c:pt idx="47">
                  <c:v>3.2202700000000002</c:v>
                </c:pt>
                <c:pt idx="48">
                  <c:v>3.2000600000000001</c:v>
                </c:pt>
                <c:pt idx="49">
                  <c:v>3.17699</c:v>
                </c:pt>
                <c:pt idx="50">
                  <c:v>3.1565099999999999</c:v>
                </c:pt>
                <c:pt idx="51">
                  <c:v>3.13964</c:v>
                </c:pt>
                <c:pt idx="52">
                  <c:v>3.12819</c:v>
                </c:pt>
                <c:pt idx="53">
                  <c:v>3.1206200000000002</c:v>
                </c:pt>
                <c:pt idx="54">
                  <c:v>3.11795</c:v>
                </c:pt>
                <c:pt idx="55">
                  <c:v>3.1186199999999999</c:v>
                </c:pt>
                <c:pt idx="56">
                  <c:v>3.1205500000000002</c:v>
                </c:pt>
                <c:pt idx="57">
                  <c:v>3.12453</c:v>
                </c:pt>
                <c:pt idx="58">
                  <c:v>3.1300299999999996</c:v>
                </c:pt>
                <c:pt idx="59">
                  <c:v>3.1360900000000003</c:v>
                </c:pt>
                <c:pt idx="60">
                  <c:v>3.14506</c:v>
                </c:pt>
                <c:pt idx="61">
                  <c:v>3.1550000000000002</c:v>
                </c:pt>
                <c:pt idx="62">
                  <c:v>3.1633299999999998</c:v>
                </c:pt>
                <c:pt idx="63">
                  <c:v>3.1711899999999997</c:v>
                </c:pt>
                <c:pt idx="64">
                  <c:v>3.1771199999999999</c:v>
                </c:pt>
                <c:pt idx="65">
                  <c:v>3.1838199999999999</c:v>
                </c:pt>
                <c:pt idx="66">
                  <c:v>3.18933</c:v>
                </c:pt>
                <c:pt idx="67">
                  <c:v>3.1952999999999996</c:v>
                </c:pt>
                <c:pt idx="68">
                  <c:v>3.20533</c:v>
                </c:pt>
                <c:pt idx="69">
                  <c:v>3.2170800000000002</c:v>
                </c:pt>
                <c:pt idx="70">
                  <c:v>3.2278899999999999</c:v>
                </c:pt>
                <c:pt idx="71">
                  <c:v>3.23936</c:v>
                </c:pt>
                <c:pt idx="72">
                  <c:v>3.2508300000000001</c:v>
                </c:pt>
                <c:pt idx="73">
                  <c:v>3.2577800000000003</c:v>
                </c:pt>
                <c:pt idx="74">
                  <c:v>3.2621199999999999</c:v>
                </c:pt>
                <c:pt idx="75">
                  <c:v>3.2656099999999997</c:v>
                </c:pt>
                <c:pt idx="76">
                  <c:v>3.2693499999999998</c:v>
                </c:pt>
                <c:pt idx="77">
                  <c:v>3.2729799999999996</c:v>
                </c:pt>
                <c:pt idx="78">
                  <c:v>3.2798400000000001</c:v>
                </c:pt>
                <c:pt idx="79">
                  <c:v>3.2894800000000002</c:v>
                </c:pt>
                <c:pt idx="80">
                  <c:v>3.2993899999999998</c:v>
                </c:pt>
                <c:pt idx="81">
                  <c:v>3.31162</c:v>
                </c:pt>
                <c:pt idx="82">
                  <c:v>3.3278300000000001</c:v>
                </c:pt>
                <c:pt idx="83">
                  <c:v>3.34843</c:v>
                </c:pt>
                <c:pt idx="84">
                  <c:v>3.3730700000000002</c:v>
                </c:pt>
                <c:pt idx="85">
                  <c:v>3.3992099999999996</c:v>
                </c:pt>
                <c:pt idx="86">
                  <c:v>3.4265400000000001</c:v>
                </c:pt>
                <c:pt idx="87">
                  <c:v>3.45208</c:v>
                </c:pt>
                <c:pt idx="88">
                  <c:v>3.4768700000000003</c:v>
                </c:pt>
                <c:pt idx="89">
                  <c:v>3.5008400000000002</c:v>
                </c:pt>
                <c:pt idx="90">
                  <c:v>3.5244599999999999</c:v>
                </c:pt>
                <c:pt idx="91">
                  <c:v>3.5491999999999999</c:v>
                </c:pt>
                <c:pt idx="92">
                  <c:v>3.57375</c:v>
                </c:pt>
                <c:pt idx="93">
                  <c:v>3.5990199999999999</c:v>
                </c:pt>
                <c:pt idx="94">
                  <c:v>3.6244800000000001</c:v>
                </c:pt>
                <c:pt idx="95">
                  <c:v>3.6531799999999999</c:v>
                </c:pt>
                <c:pt idx="96">
                  <c:v>3.6832599999999998</c:v>
                </c:pt>
                <c:pt idx="97">
                  <c:v>3.7139800000000003</c:v>
                </c:pt>
                <c:pt idx="98">
                  <c:v>3.74552</c:v>
                </c:pt>
                <c:pt idx="99">
                  <c:v>3.7765900000000001</c:v>
                </c:pt>
                <c:pt idx="100">
                  <c:v>3.8079800000000001</c:v>
                </c:pt>
                <c:pt idx="101">
                  <c:v>3.8378800000000002</c:v>
                </c:pt>
                <c:pt idx="102">
                  <c:v>3.8628499999999999</c:v>
                </c:pt>
                <c:pt idx="103">
                  <c:v>3.8817400000000002</c:v>
                </c:pt>
                <c:pt idx="104">
                  <c:v>3.8966799999999999</c:v>
                </c:pt>
                <c:pt idx="105">
                  <c:v>3.9093899999999997</c:v>
                </c:pt>
                <c:pt idx="106">
                  <c:v>3.9192100000000001</c:v>
                </c:pt>
                <c:pt idx="107">
                  <c:v>3.9253100000000001</c:v>
                </c:pt>
                <c:pt idx="108">
                  <c:v>3.92706</c:v>
                </c:pt>
                <c:pt idx="109">
                  <c:v>3.92517</c:v>
                </c:pt>
                <c:pt idx="110">
                  <c:v>3.9201700000000002</c:v>
                </c:pt>
                <c:pt idx="111">
                  <c:v>3.9120700000000004</c:v>
                </c:pt>
                <c:pt idx="112">
                  <c:v>3.9028900000000002</c:v>
                </c:pt>
                <c:pt idx="113">
                  <c:v>3.8928699999999998</c:v>
                </c:pt>
                <c:pt idx="114">
                  <c:v>3.8815300000000001</c:v>
                </c:pt>
                <c:pt idx="115">
                  <c:v>3.8695200000000001</c:v>
                </c:pt>
                <c:pt idx="116">
                  <c:v>3.8565300000000002</c:v>
                </c:pt>
                <c:pt idx="117">
                  <c:v>3.8434200000000001</c:v>
                </c:pt>
                <c:pt idx="118">
                  <c:v>3.8288600000000002</c:v>
                </c:pt>
                <c:pt idx="119">
                  <c:v>3.8131700000000004</c:v>
                </c:pt>
                <c:pt idx="120">
                  <c:v>3.7957999999999998</c:v>
                </c:pt>
                <c:pt idx="121">
                  <c:v>3.77658</c:v>
                </c:pt>
                <c:pt idx="122">
                  <c:v>3.7546900000000001</c:v>
                </c:pt>
                <c:pt idx="123">
                  <c:v>3.7355300000000002</c:v>
                </c:pt>
                <c:pt idx="124">
                  <c:v>3.71976</c:v>
                </c:pt>
                <c:pt idx="125">
                  <c:v>3.7019400000000005</c:v>
                </c:pt>
                <c:pt idx="126">
                  <c:v>3.6839200000000001</c:v>
                </c:pt>
                <c:pt idx="127">
                  <c:v>3.6695499999999996</c:v>
                </c:pt>
                <c:pt idx="128">
                  <c:v>3.6593</c:v>
                </c:pt>
                <c:pt idx="129">
                  <c:v>3.6513400000000003</c:v>
                </c:pt>
                <c:pt idx="130">
                  <c:v>3.6452800000000001</c:v>
                </c:pt>
                <c:pt idx="131">
                  <c:v>3.6405599999999998</c:v>
                </c:pt>
                <c:pt idx="132">
                  <c:v>3.63713</c:v>
                </c:pt>
                <c:pt idx="133">
                  <c:v>3.6354899999999999</c:v>
                </c:pt>
                <c:pt idx="134">
                  <c:v>3.63334</c:v>
                </c:pt>
                <c:pt idx="135">
                  <c:v>3.6306899999999995</c:v>
                </c:pt>
                <c:pt idx="136">
                  <c:v>3.6288999999999998</c:v>
                </c:pt>
                <c:pt idx="137">
                  <c:v>3.6301099999999997</c:v>
                </c:pt>
                <c:pt idx="138">
                  <c:v>3.6317399999999997</c:v>
                </c:pt>
                <c:pt idx="139">
                  <c:v>3.6374899999999997</c:v>
                </c:pt>
                <c:pt idx="140">
                  <c:v>3.6437199999999996</c:v>
                </c:pt>
                <c:pt idx="141">
                  <c:v>3.6485300000000001</c:v>
                </c:pt>
                <c:pt idx="142">
                  <c:v>3.6513499999999999</c:v>
                </c:pt>
                <c:pt idx="143">
                  <c:v>3.65679</c:v>
                </c:pt>
                <c:pt idx="144">
                  <c:v>3.6640899999999998</c:v>
                </c:pt>
                <c:pt idx="145">
                  <c:v>3.6598700000000002</c:v>
                </c:pt>
                <c:pt idx="146">
                  <c:v>3.657</c:v>
                </c:pt>
                <c:pt idx="147">
                  <c:v>3.6727599999999998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0.40397899999999998</c:v>
                </c:pt>
                <c:pt idx="2">
                  <c:v>0.81182799999999999</c:v>
                </c:pt>
                <c:pt idx="3">
                  <c:v>1.21889</c:v>
                </c:pt>
                <c:pt idx="4">
                  <c:v>1.62557</c:v>
                </c:pt>
                <c:pt idx="5">
                  <c:v>2.0318200000000002</c:v>
                </c:pt>
                <c:pt idx="6">
                  <c:v>2.43492</c:v>
                </c:pt>
                <c:pt idx="7">
                  <c:v>2.8443999999999998</c:v>
                </c:pt>
                <c:pt idx="8">
                  <c:v>3.2511999999999999</c:v>
                </c:pt>
                <c:pt idx="9">
                  <c:v>3.6570900000000002</c:v>
                </c:pt>
                <c:pt idx="10">
                  <c:v>4.0591999999999997</c:v>
                </c:pt>
                <c:pt idx="11">
                  <c:v>4.4661200000000001</c:v>
                </c:pt>
                <c:pt idx="12">
                  <c:v>4.8690600000000002</c:v>
                </c:pt>
                <c:pt idx="13">
                  <c:v>5.2808400000000004</c:v>
                </c:pt>
                <c:pt idx="14">
                  <c:v>5.6867400000000004</c:v>
                </c:pt>
                <c:pt idx="15">
                  <c:v>6.0907</c:v>
                </c:pt>
                <c:pt idx="16">
                  <c:v>6.4966600000000003</c:v>
                </c:pt>
                <c:pt idx="17">
                  <c:v>6.9046500000000002</c:v>
                </c:pt>
                <c:pt idx="18">
                  <c:v>7.30844</c:v>
                </c:pt>
                <c:pt idx="19">
                  <c:v>7.7163500000000003</c:v>
                </c:pt>
                <c:pt idx="20">
                  <c:v>8.1251899999999999</c:v>
                </c:pt>
                <c:pt idx="21">
                  <c:v>8.5268200000000007</c:v>
                </c:pt>
                <c:pt idx="22">
                  <c:v>8.9340700000000002</c:v>
                </c:pt>
                <c:pt idx="23">
                  <c:v>9.3433399999999995</c:v>
                </c:pt>
                <c:pt idx="24">
                  <c:v>9.7479600000000008</c:v>
                </c:pt>
                <c:pt idx="25">
                  <c:v>10.1569</c:v>
                </c:pt>
                <c:pt idx="26">
                  <c:v>10.5646</c:v>
                </c:pt>
                <c:pt idx="27">
                  <c:v>10.9696</c:v>
                </c:pt>
                <c:pt idx="28">
                  <c:v>11.3725</c:v>
                </c:pt>
                <c:pt idx="29">
                  <c:v>11.781499999999999</c:v>
                </c:pt>
                <c:pt idx="30">
                  <c:v>12.1884</c:v>
                </c:pt>
                <c:pt idx="31">
                  <c:v>12.5923</c:v>
                </c:pt>
                <c:pt idx="32">
                  <c:v>12.9968</c:v>
                </c:pt>
                <c:pt idx="33">
                  <c:v>13.4041</c:v>
                </c:pt>
                <c:pt idx="34">
                  <c:v>13.8104</c:v>
                </c:pt>
                <c:pt idx="35">
                  <c:v>14.2159</c:v>
                </c:pt>
                <c:pt idx="36">
                  <c:v>14.6228</c:v>
                </c:pt>
                <c:pt idx="37">
                  <c:v>15.030799999999999</c:v>
                </c:pt>
                <c:pt idx="38">
                  <c:v>15.438700000000001</c:v>
                </c:pt>
                <c:pt idx="39">
                  <c:v>15.842700000000001</c:v>
                </c:pt>
                <c:pt idx="40">
                  <c:v>16.249500000000001</c:v>
                </c:pt>
                <c:pt idx="41">
                  <c:v>16.656700000000001</c:v>
                </c:pt>
                <c:pt idx="42">
                  <c:v>17.061299999999999</c:v>
                </c:pt>
                <c:pt idx="43">
                  <c:v>17.468399999999999</c:v>
                </c:pt>
                <c:pt idx="44">
                  <c:v>17.8751</c:v>
                </c:pt>
                <c:pt idx="45">
                  <c:v>18.280999999999999</c:v>
                </c:pt>
                <c:pt idx="46">
                  <c:v>18.684999999999999</c:v>
                </c:pt>
                <c:pt idx="47">
                  <c:v>19.097799999999999</c:v>
                </c:pt>
                <c:pt idx="48">
                  <c:v>19.4953</c:v>
                </c:pt>
                <c:pt idx="49">
                  <c:v>19.907699999999998</c:v>
                </c:pt>
                <c:pt idx="50">
                  <c:v>20.3126</c:v>
                </c:pt>
                <c:pt idx="51">
                  <c:v>20.712599999999998</c:v>
                </c:pt>
                <c:pt idx="52">
                  <c:v>21.122499999999999</c:v>
                </c:pt>
                <c:pt idx="53">
                  <c:v>21.5304</c:v>
                </c:pt>
                <c:pt idx="54">
                  <c:v>21.935600000000001</c:v>
                </c:pt>
                <c:pt idx="55">
                  <c:v>22.345300000000002</c:v>
                </c:pt>
                <c:pt idx="56">
                  <c:v>22.752099999999999</c:v>
                </c:pt>
                <c:pt idx="57">
                  <c:v>23.155999999999999</c:v>
                </c:pt>
                <c:pt idx="58">
                  <c:v>23.560199999999998</c:v>
                </c:pt>
                <c:pt idx="59">
                  <c:v>23.966899999999999</c:v>
                </c:pt>
                <c:pt idx="60">
                  <c:v>24.370999999999999</c:v>
                </c:pt>
                <c:pt idx="61">
                  <c:v>24.7807</c:v>
                </c:pt>
                <c:pt idx="62">
                  <c:v>25.186599999999999</c:v>
                </c:pt>
                <c:pt idx="63">
                  <c:v>25.592700000000001</c:v>
                </c:pt>
                <c:pt idx="64">
                  <c:v>25.994499999999999</c:v>
                </c:pt>
                <c:pt idx="65">
                  <c:v>26.404299999999999</c:v>
                </c:pt>
                <c:pt idx="66">
                  <c:v>26.8123</c:v>
                </c:pt>
                <c:pt idx="67">
                  <c:v>27.220199999999998</c:v>
                </c:pt>
                <c:pt idx="68">
                  <c:v>27.624400000000001</c:v>
                </c:pt>
                <c:pt idx="69">
                  <c:v>28.0275</c:v>
                </c:pt>
                <c:pt idx="70">
                  <c:v>28.432200000000002</c:v>
                </c:pt>
                <c:pt idx="71">
                  <c:v>28.84</c:v>
                </c:pt>
                <c:pt idx="72">
                  <c:v>29.251200000000001</c:v>
                </c:pt>
                <c:pt idx="73">
                  <c:v>29.654699999999998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2.0219800000000001</c:v>
                </c:pt>
                <c:pt idx="1">
                  <c:v>2.0805199999999999</c:v>
                </c:pt>
                <c:pt idx="2">
                  <c:v>2.1417900000000003</c:v>
                </c:pt>
                <c:pt idx="3">
                  <c:v>2.20208</c:v>
                </c:pt>
                <c:pt idx="4">
                  <c:v>2.26166</c:v>
                </c:pt>
                <c:pt idx="5">
                  <c:v>2.3198699999999999</c:v>
                </c:pt>
                <c:pt idx="6">
                  <c:v>2.37826</c:v>
                </c:pt>
                <c:pt idx="7">
                  <c:v>2.4355099999999998</c:v>
                </c:pt>
                <c:pt idx="8">
                  <c:v>2.4931900000000002</c:v>
                </c:pt>
                <c:pt idx="9">
                  <c:v>2.5531999999999999</c:v>
                </c:pt>
                <c:pt idx="10">
                  <c:v>2.6117900000000001</c:v>
                </c:pt>
                <c:pt idx="11">
                  <c:v>2.6692399999999998</c:v>
                </c:pt>
                <c:pt idx="12">
                  <c:v>2.7260800000000001</c:v>
                </c:pt>
                <c:pt idx="13">
                  <c:v>2.7814299999999998</c:v>
                </c:pt>
                <c:pt idx="14">
                  <c:v>2.8367900000000001</c:v>
                </c:pt>
                <c:pt idx="15">
                  <c:v>2.8927199999999997</c:v>
                </c:pt>
                <c:pt idx="16">
                  <c:v>2.9479199999999999</c:v>
                </c:pt>
                <c:pt idx="17">
                  <c:v>3.00176</c:v>
                </c:pt>
                <c:pt idx="18">
                  <c:v>3.0491800000000002</c:v>
                </c:pt>
                <c:pt idx="19">
                  <c:v>3.0898300000000001</c:v>
                </c:pt>
                <c:pt idx="20">
                  <c:v>3.1283400000000001</c:v>
                </c:pt>
                <c:pt idx="21">
                  <c:v>3.1676900000000003</c:v>
                </c:pt>
                <c:pt idx="22">
                  <c:v>3.2048100000000002</c:v>
                </c:pt>
                <c:pt idx="23">
                  <c:v>3.2437</c:v>
                </c:pt>
                <c:pt idx="24">
                  <c:v>3.2808299999999999</c:v>
                </c:pt>
                <c:pt idx="25">
                  <c:v>3.3124399999999996</c:v>
                </c:pt>
                <c:pt idx="26">
                  <c:v>3.3384</c:v>
                </c:pt>
                <c:pt idx="27">
                  <c:v>3.3569800000000001</c:v>
                </c:pt>
                <c:pt idx="28">
                  <c:v>3.3712900000000001</c:v>
                </c:pt>
                <c:pt idx="29">
                  <c:v>3.3795299999999999</c:v>
                </c:pt>
                <c:pt idx="30">
                  <c:v>3.3842600000000003</c:v>
                </c:pt>
                <c:pt idx="31">
                  <c:v>3.3867799999999999</c:v>
                </c:pt>
                <c:pt idx="32">
                  <c:v>3.38686</c:v>
                </c:pt>
                <c:pt idx="33">
                  <c:v>3.3832899999999997</c:v>
                </c:pt>
                <c:pt idx="34">
                  <c:v>3.3750799999999996</c:v>
                </c:pt>
                <c:pt idx="35">
                  <c:v>3.3652500000000001</c:v>
                </c:pt>
                <c:pt idx="36">
                  <c:v>3.3547799999999999</c:v>
                </c:pt>
                <c:pt idx="37">
                  <c:v>3.34476</c:v>
                </c:pt>
                <c:pt idx="38">
                  <c:v>3.3351700000000002</c:v>
                </c:pt>
                <c:pt idx="39">
                  <c:v>3.32606</c:v>
                </c:pt>
                <c:pt idx="40">
                  <c:v>3.3138899999999998</c:v>
                </c:pt>
                <c:pt idx="41">
                  <c:v>3.30138</c:v>
                </c:pt>
                <c:pt idx="42">
                  <c:v>3.2891599999999999</c:v>
                </c:pt>
                <c:pt idx="43">
                  <c:v>3.2753800000000002</c:v>
                </c:pt>
                <c:pt idx="44">
                  <c:v>3.2636599999999998</c:v>
                </c:pt>
                <c:pt idx="45">
                  <c:v>3.2525900000000001</c:v>
                </c:pt>
                <c:pt idx="46">
                  <c:v>3.2363</c:v>
                </c:pt>
                <c:pt idx="47">
                  <c:v>3.2202700000000002</c:v>
                </c:pt>
                <c:pt idx="48">
                  <c:v>3.2000600000000001</c:v>
                </c:pt>
                <c:pt idx="49">
                  <c:v>3.17699</c:v>
                </c:pt>
                <c:pt idx="50">
                  <c:v>3.1565099999999999</c:v>
                </c:pt>
                <c:pt idx="51">
                  <c:v>3.13964</c:v>
                </c:pt>
                <c:pt idx="52">
                  <c:v>3.12819</c:v>
                </c:pt>
                <c:pt idx="53">
                  <c:v>3.1206200000000002</c:v>
                </c:pt>
                <c:pt idx="54">
                  <c:v>3.11795</c:v>
                </c:pt>
                <c:pt idx="55">
                  <c:v>3.1186199999999999</c:v>
                </c:pt>
                <c:pt idx="56">
                  <c:v>3.1205500000000002</c:v>
                </c:pt>
                <c:pt idx="57">
                  <c:v>3.12453</c:v>
                </c:pt>
                <c:pt idx="58">
                  <c:v>3.1300299999999996</c:v>
                </c:pt>
                <c:pt idx="59">
                  <c:v>3.1360900000000003</c:v>
                </c:pt>
                <c:pt idx="60">
                  <c:v>3.14506</c:v>
                </c:pt>
                <c:pt idx="61">
                  <c:v>3.1550000000000002</c:v>
                </c:pt>
                <c:pt idx="62">
                  <c:v>3.1633299999999998</c:v>
                </c:pt>
                <c:pt idx="63">
                  <c:v>3.1711899999999997</c:v>
                </c:pt>
                <c:pt idx="64">
                  <c:v>3.1771199999999999</c:v>
                </c:pt>
                <c:pt idx="65">
                  <c:v>3.1838199999999999</c:v>
                </c:pt>
                <c:pt idx="66">
                  <c:v>3.18933</c:v>
                </c:pt>
                <c:pt idx="67">
                  <c:v>3.1952999999999996</c:v>
                </c:pt>
                <c:pt idx="68">
                  <c:v>3.20533</c:v>
                </c:pt>
                <c:pt idx="69">
                  <c:v>3.2170800000000002</c:v>
                </c:pt>
                <c:pt idx="70">
                  <c:v>3.2278899999999999</c:v>
                </c:pt>
                <c:pt idx="71">
                  <c:v>3.23936</c:v>
                </c:pt>
                <c:pt idx="72">
                  <c:v>3.2508300000000001</c:v>
                </c:pt>
                <c:pt idx="73">
                  <c:v>3.2577800000000003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29.654699999999998</c:v>
                </c:pt>
                <c:pt idx="1">
                  <c:v>30.0627</c:v>
                </c:pt>
                <c:pt idx="2">
                  <c:v>30.465499999999999</c:v>
                </c:pt>
                <c:pt idx="3">
                  <c:v>30.874500000000001</c:v>
                </c:pt>
                <c:pt idx="4">
                  <c:v>31.279599999999999</c:v>
                </c:pt>
                <c:pt idx="5">
                  <c:v>31.687200000000001</c:v>
                </c:pt>
                <c:pt idx="6">
                  <c:v>32.095300000000002</c:v>
                </c:pt>
                <c:pt idx="7">
                  <c:v>32.5</c:v>
                </c:pt>
                <c:pt idx="8">
                  <c:v>32.905900000000003</c:v>
                </c:pt>
                <c:pt idx="9">
                  <c:v>33.311999999999998</c:v>
                </c:pt>
                <c:pt idx="10">
                  <c:v>33.716799999999999</c:v>
                </c:pt>
                <c:pt idx="11">
                  <c:v>34.122700000000002</c:v>
                </c:pt>
                <c:pt idx="12">
                  <c:v>34.532600000000002</c:v>
                </c:pt>
                <c:pt idx="13">
                  <c:v>34.935499999999998</c:v>
                </c:pt>
                <c:pt idx="14">
                  <c:v>35.340400000000002</c:v>
                </c:pt>
                <c:pt idx="15">
                  <c:v>35.747399999999999</c:v>
                </c:pt>
                <c:pt idx="16">
                  <c:v>36.154200000000003</c:v>
                </c:pt>
                <c:pt idx="17">
                  <c:v>36.558100000000003</c:v>
                </c:pt>
                <c:pt idx="18">
                  <c:v>36.966099999999997</c:v>
                </c:pt>
                <c:pt idx="19">
                  <c:v>37.376300000000001</c:v>
                </c:pt>
                <c:pt idx="20">
                  <c:v>37.779899999999998</c:v>
                </c:pt>
                <c:pt idx="21">
                  <c:v>38.184800000000003</c:v>
                </c:pt>
                <c:pt idx="22">
                  <c:v>38.590800000000002</c:v>
                </c:pt>
                <c:pt idx="23">
                  <c:v>38.998699999999999</c:v>
                </c:pt>
                <c:pt idx="24">
                  <c:v>39.405500000000004</c:v>
                </c:pt>
                <c:pt idx="25">
                  <c:v>39.811900000000001</c:v>
                </c:pt>
                <c:pt idx="26">
                  <c:v>40.217399999999998</c:v>
                </c:pt>
                <c:pt idx="27">
                  <c:v>40.624400000000001</c:v>
                </c:pt>
                <c:pt idx="28">
                  <c:v>41.029200000000003</c:v>
                </c:pt>
                <c:pt idx="29">
                  <c:v>41.437100000000001</c:v>
                </c:pt>
                <c:pt idx="30">
                  <c:v>41.845999999999997</c:v>
                </c:pt>
                <c:pt idx="31">
                  <c:v>42.247100000000003</c:v>
                </c:pt>
                <c:pt idx="32">
                  <c:v>42.654899999999998</c:v>
                </c:pt>
                <c:pt idx="33">
                  <c:v>43.063800000000001</c:v>
                </c:pt>
                <c:pt idx="34">
                  <c:v>43.462800000000001</c:v>
                </c:pt>
                <c:pt idx="35">
                  <c:v>43.871899999999997</c:v>
                </c:pt>
                <c:pt idx="36">
                  <c:v>44.281500000000001</c:v>
                </c:pt>
                <c:pt idx="37">
                  <c:v>44.687600000000003</c:v>
                </c:pt>
                <c:pt idx="38">
                  <c:v>45.092300000000002</c:v>
                </c:pt>
                <c:pt idx="39">
                  <c:v>45.499299999999998</c:v>
                </c:pt>
                <c:pt idx="40">
                  <c:v>45.904499999999999</c:v>
                </c:pt>
                <c:pt idx="41">
                  <c:v>46.310400000000001</c:v>
                </c:pt>
                <c:pt idx="42">
                  <c:v>46.719099999999997</c:v>
                </c:pt>
                <c:pt idx="43">
                  <c:v>47.120100000000001</c:v>
                </c:pt>
                <c:pt idx="44">
                  <c:v>47.529899999999998</c:v>
                </c:pt>
                <c:pt idx="45">
                  <c:v>47.936</c:v>
                </c:pt>
                <c:pt idx="46">
                  <c:v>48.342799999999997</c:v>
                </c:pt>
                <c:pt idx="47">
                  <c:v>48.746600000000001</c:v>
                </c:pt>
                <c:pt idx="48">
                  <c:v>49.158499999999997</c:v>
                </c:pt>
                <c:pt idx="49">
                  <c:v>49.561300000000003</c:v>
                </c:pt>
                <c:pt idx="50">
                  <c:v>49.966299999999997</c:v>
                </c:pt>
                <c:pt idx="51">
                  <c:v>50.3752</c:v>
                </c:pt>
                <c:pt idx="52">
                  <c:v>50.780099999999997</c:v>
                </c:pt>
                <c:pt idx="53">
                  <c:v>51.187199999999997</c:v>
                </c:pt>
                <c:pt idx="54">
                  <c:v>51.594099999999997</c:v>
                </c:pt>
                <c:pt idx="55">
                  <c:v>52.000799999999998</c:v>
                </c:pt>
                <c:pt idx="56">
                  <c:v>52.405799999999999</c:v>
                </c:pt>
                <c:pt idx="57">
                  <c:v>52.811700000000002</c:v>
                </c:pt>
                <c:pt idx="58">
                  <c:v>53.217700000000001</c:v>
                </c:pt>
                <c:pt idx="59">
                  <c:v>53.625500000000002</c:v>
                </c:pt>
                <c:pt idx="60">
                  <c:v>54.0304</c:v>
                </c:pt>
                <c:pt idx="61">
                  <c:v>54.436300000000003</c:v>
                </c:pt>
                <c:pt idx="62">
                  <c:v>54.841299999999997</c:v>
                </c:pt>
                <c:pt idx="63">
                  <c:v>55.247300000000003</c:v>
                </c:pt>
                <c:pt idx="64">
                  <c:v>55.6571</c:v>
                </c:pt>
                <c:pt idx="65">
                  <c:v>56.066000000000003</c:v>
                </c:pt>
                <c:pt idx="66">
                  <c:v>56.469000000000001</c:v>
                </c:pt>
                <c:pt idx="67">
                  <c:v>56.874899999999997</c:v>
                </c:pt>
                <c:pt idx="68">
                  <c:v>57.277799999999999</c:v>
                </c:pt>
                <c:pt idx="69">
                  <c:v>57.686700000000002</c:v>
                </c:pt>
                <c:pt idx="70">
                  <c:v>58.090600000000002</c:v>
                </c:pt>
                <c:pt idx="71">
                  <c:v>58.499299999999998</c:v>
                </c:pt>
                <c:pt idx="72">
                  <c:v>58.9024</c:v>
                </c:pt>
                <c:pt idx="73">
                  <c:v>59.312399999999997</c:v>
                </c:pt>
                <c:pt idx="74">
                  <c:v>59.7194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3.2577800000000003</c:v>
                </c:pt>
                <c:pt idx="1">
                  <c:v>3.2621199999999999</c:v>
                </c:pt>
                <c:pt idx="2">
                  <c:v>3.2656099999999997</c:v>
                </c:pt>
                <c:pt idx="3">
                  <c:v>3.2693499999999998</c:v>
                </c:pt>
                <c:pt idx="4">
                  <c:v>3.2729799999999996</c:v>
                </c:pt>
                <c:pt idx="5">
                  <c:v>3.2798400000000001</c:v>
                </c:pt>
                <c:pt idx="6">
                  <c:v>3.2894800000000002</c:v>
                </c:pt>
                <c:pt idx="7">
                  <c:v>3.2993899999999998</c:v>
                </c:pt>
                <c:pt idx="8">
                  <c:v>3.31162</c:v>
                </c:pt>
                <c:pt idx="9">
                  <c:v>3.3278300000000001</c:v>
                </c:pt>
                <c:pt idx="10">
                  <c:v>3.34843</c:v>
                </c:pt>
                <c:pt idx="11">
                  <c:v>3.3730700000000002</c:v>
                </c:pt>
                <c:pt idx="12">
                  <c:v>3.3992099999999996</c:v>
                </c:pt>
                <c:pt idx="13">
                  <c:v>3.4265400000000001</c:v>
                </c:pt>
                <c:pt idx="14">
                  <c:v>3.45208</c:v>
                </c:pt>
                <c:pt idx="15">
                  <c:v>3.4768700000000003</c:v>
                </c:pt>
                <c:pt idx="16">
                  <c:v>3.5008400000000002</c:v>
                </c:pt>
                <c:pt idx="17">
                  <c:v>3.5244599999999999</c:v>
                </c:pt>
                <c:pt idx="18">
                  <c:v>3.5491999999999999</c:v>
                </c:pt>
                <c:pt idx="19">
                  <c:v>3.57375</c:v>
                </c:pt>
                <c:pt idx="20">
                  <c:v>3.5990199999999999</c:v>
                </c:pt>
                <c:pt idx="21">
                  <c:v>3.6244800000000001</c:v>
                </c:pt>
                <c:pt idx="22">
                  <c:v>3.6531799999999999</c:v>
                </c:pt>
                <c:pt idx="23">
                  <c:v>3.6832599999999998</c:v>
                </c:pt>
                <c:pt idx="24">
                  <c:v>3.7139800000000003</c:v>
                </c:pt>
                <c:pt idx="25">
                  <c:v>3.74552</c:v>
                </c:pt>
                <c:pt idx="26">
                  <c:v>3.7765900000000001</c:v>
                </c:pt>
                <c:pt idx="27">
                  <c:v>3.8079800000000001</c:v>
                </c:pt>
                <c:pt idx="28">
                  <c:v>3.8378800000000002</c:v>
                </c:pt>
                <c:pt idx="29">
                  <c:v>3.8628499999999999</c:v>
                </c:pt>
                <c:pt idx="30">
                  <c:v>3.8817400000000002</c:v>
                </c:pt>
                <c:pt idx="31">
                  <c:v>3.8966799999999999</c:v>
                </c:pt>
                <c:pt idx="32">
                  <c:v>3.9093899999999997</c:v>
                </c:pt>
                <c:pt idx="33">
                  <c:v>3.9192100000000001</c:v>
                </c:pt>
                <c:pt idx="34">
                  <c:v>3.9253100000000001</c:v>
                </c:pt>
                <c:pt idx="35">
                  <c:v>3.92706</c:v>
                </c:pt>
                <c:pt idx="36">
                  <c:v>3.92517</c:v>
                </c:pt>
                <c:pt idx="37">
                  <c:v>3.9201700000000002</c:v>
                </c:pt>
                <c:pt idx="38">
                  <c:v>3.9120700000000004</c:v>
                </c:pt>
                <c:pt idx="39">
                  <c:v>3.9028900000000002</c:v>
                </c:pt>
                <c:pt idx="40">
                  <c:v>3.8928699999999998</c:v>
                </c:pt>
                <c:pt idx="41">
                  <c:v>3.8815300000000001</c:v>
                </c:pt>
                <c:pt idx="42">
                  <c:v>3.8695200000000001</c:v>
                </c:pt>
                <c:pt idx="43">
                  <c:v>3.8565300000000002</c:v>
                </c:pt>
                <c:pt idx="44">
                  <c:v>3.8434200000000001</c:v>
                </c:pt>
                <c:pt idx="45">
                  <c:v>3.8288600000000002</c:v>
                </c:pt>
                <c:pt idx="46">
                  <c:v>3.8131700000000004</c:v>
                </c:pt>
                <c:pt idx="47">
                  <c:v>3.7957999999999998</c:v>
                </c:pt>
                <c:pt idx="48">
                  <c:v>3.77658</c:v>
                </c:pt>
                <c:pt idx="49">
                  <c:v>3.7546900000000001</c:v>
                </c:pt>
                <c:pt idx="50">
                  <c:v>3.7355300000000002</c:v>
                </c:pt>
                <c:pt idx="51">
                  <c:v>3.71976</c:v>
                </c:pt>
                <c:pt idx="52">
                  <c:v>3.7019400000000005</c:v>
                </c:pt>
                <c:pt idx="53">
                  <c:v>3.6839200000000001</c:v>
                </c:pt>
                <c:pt idx="54">
                  <c:v>3.6695499999999996</c:v>
                </c:pt>
                <c:pt idx="55">
                  <c:v>3.6593</c:v>
                </c:pt>
                <c:pt idx="56">
                  <c:v>3.6513400000000003</c:v>
                </c:pt>
                <c:pt idx="57">
                  <c:v>3.6452800000000001</c:v>
                </c:pt>
                <c:pt idx="58">
                  <c:v>3.6405599999999998</c:v>
                </c:pt>
                <c:pt idx="59">
                  <c:v>3.63713</c:v>
                </c:pt>
                <c:pt idx="60">
                  <c:v>3.6354899999999999</c:v>
                </c:pt>
                <c:pt idx="61">
                  <c:v>3.63334</c:v>
                </c:pt>
                <c:pt idx="62">
                  <c:v>3.6306899999999995</c:v>
                </c:pt>
                <c:pt idx="63">
                  <c:v>3.6288999999999998</c:v>
                </c:pt>
                <c:pt idx="64">
                  <c:v>3.6301099999999997</c:v>
                </c:pt>
                <c:pt idx="65">
                  <c:v>3.6317399999999997</c:v>
                </c:pt>
                <c:pt idx="66">
                  <c:v>3.6374899999999997</c:v>
                </c:pt>
                <c:pt idx="67">
                  <c:v>3.6437199999999996</c:v>
                </c:pt>
                <c:pt idx="68">
                  <c:v>3.6485300000000001</c:v>
                </c:pt>
                <c:pt idx="69">
                  <c:v>3.6513499999999999</c:v>
                </c:pt>
                <c:pt idx="70">
                  <c:v>3.65679</c:v>
                </c:pt>
                <c:pt idx="71">
                  <c:v>3.6640899999999998</c:v>
                </c:pt>
                <c:pt idx="72">
                  <c:v>3.6598700000000002</c:v>
                </c:pt>
                <c:pt idx="73">
                  <c:v>3.657</c:v>
                </c:pt>
                <c:pt idx="74">
                  <c:v>3.6727599999999998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14.92985</c:v>
                </c:pt>
                <c:pt idx="1">
                  <c:v>44.789549999999998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3.0611071621621635</c:v>
                </c:pt>
                <c:pt idx="1">
                  <c:v>3.6535979729729728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0.40397899999999998</c:v>
                </c:pt>
                <c:pt idx="2">
                  <c:v>0.81182799999999999</c:v>
                </c:pt>
                <c:pt idx="3">
                  <c:v>1.21889</c:v>
                </c:pt>
                <c:pt idx="4">
                  <c:v>1.62557</c:v>
                </c:pt>
                <c:pt idx="5">
                  <c:v>2.0318200000000002</c:v>
                </c:pt>
                <c:pt idx="6">
                  <c:v>2.43492</c:v>
                </c:pt>
                <c:pt idx="7">
                  <c:v>2.8443999999999998</c:v>
                </c:pt>
                <c:pt idx="8">
                  <c:v>3.2511999999999999</c:v>
                </c:pt>
                <c:pt idx="9">
                  <c:v>3.6570900000000002</c:v>
                </c:pt>
                <c:pt idx="10">
                  <c:v>4.0591999999999997</c:v>
                </c:pt>
                <c:pt idx="11">
                  <c:v>4.4661200000000001</c:v>
                </c:pt>
                <c:pt idx="12">
                  <c:v>4.8690600000000002</c:v>
                </c:pt>
                <c:pt idx="13">
                  <c:v>5.2808400000000004</c:v>
                </c:pt>
                <c:pt idx="14">
                  <c:v>5.6867400000000004</c:v>
                </c:pt>
                <c:pt idx="15">
                  <c:v>6.0907</c:v>
                </c:pt>
                <c:pt idx="16">
                  <c:v>6.4966600000000003</c:v>
                </c:pt>
                <c:pt idx="17">
                  <c:v>6.9046500000000002</c:v>
                </c:pt>
                <c:pt idx="18">
                  <c:v>7.30844</c:v>
                </c:pt>
                <c:pt idx="19">
                  <c:v>7.7163500000000003</c:v>
                </c:pt>
                <c:pt idx="20">
                  <c:v>8.1251899999999999</c:v>
                </c:pt>
                <c:pt idx="21">
                  <c:v>8.5268200000000007</c:v>
                </c:pt>
                <c:pt idx="22">
                  <c:v>8.9340700000000002</c:v>
                </c:pt>
                <c:pt idx="23">
                  <c:v>9.3433399999999995</c:v>
                </c:pt>
                <c:pt idx="24">
                  <c:v>9.7479600000000008</c:v>
                </c:pt>
                <c:pt idx="25">
                  <c:v>10.1569</c:v>
                </c:pt>
                <c:pt idx="26">
                  <c:v>10.5646</c:v>
                </c:pt>
                <c:pt idx="27">
                  <c:v>10.9696</c:v>
                </c:pt>
                <c:pt idx="28">
                  <c:v>11.3725</c:v>
                </c:pt>
                <c:pt idx="29">
                  <c:v>11.781499999999999</c:v>
                </c:pt>
                <c:pt idx="30">
                  <c:v>12.1884</c:v>
                </c:pt>
                <c:pt idx="31">
                  <c:v>12.5923</c:v>
                </c:pt>
                <c:pt idx="32">
                  <c:v>12.9968</c:v>
                </c:pt>
                <c:pt idx="33">
                  <c:v>13.4041</c:v>
                </c:pt>
                <c:pt idx="34">
                  <c:v>13.8104</c:v>
                </c:pt>
                <c:pt idx="35">
                  <c:v>14.2159</c:v>
                </c:pt>
                <c:pt idx="36">
                  <c:v>14.6228</c:v>
                </c:pt>
                <c:pt idx="37">
                  <c:v>15.030799999999999</c:v>
                </c:pt>
                <c:pt idx="38">
                  <c:v>15.438700000000001</c:v>
                </c:pt>
                <c:pt idx="39">
                  <c:v>15.842700000000001</c:v>
                </c:pt>
                <c:pt idx="40">
                  <c:v>16.249500000000001</c:v>
                </c:pt>
                <c:pt idx="41">
                  <c:v>16.656700000000001</c:v>
                </c:pt>
                <c:pt idx="42">
                  <c:v>17.061299999999999</c:v>
                </c:pt>
                <c:pt idx="43">
                  <c:v>17.468399999999999</c:v>
                </c:pt>
                <c:pt idx="44">
                  <c:v>17.8751</c:v>
                </c:pt>
                <c:pt idx="45">
                  <c:v>18.280999999999999</c:v>
                </c:pt>
                <c:pt idx="46">
                  <c:v>18.684999999999999</c:v>
                </c:pt>
                <c:pt idx="47">
                  <c:v>19.097799999999999</c:v>
                </c:pt>
                <c:pt idx="48">
                  <c:v>19.4953</c:v>
                </c:pt>
                <c:pt idx="49">
                  <c:v>19.907699999999998</c:v>
                </c:pt>
                <c:pt idx="50">
                  <c:v>20.3126</c:v>
                </c:pt>
                <c:pt idx="51">
                  <c:v>20.712599999999998</c:v>
                </c:pt>
                <c:pt idx="52">
                  <c:v>21.122499999999999</c:v>
                </c:pt>
                <c:pt idx="53">
                  <c:v>21.5304</c:v>
                </c:pt>
                <c:pt idx="54">
                  <c:v>21.935600000000001</c:v>
                </c:pt>
                <c:pt idx="55">
                  <c:v>22.345300000000002</c:v>
                </c:pt>
                <c:pt idx="56">
                  <c:v>22.752099999999999</c:v>
                </c:pt>
                <c:pt idx="57">
                  <c:v>23.155999999999999</c:v>
                </c:pt>
                <c:pt idx="58">
                  <c:v>23.560199999999998</c:v>
                </c:pt>
                <c:pt idx="59">
                  <c:v>23.966899999999999</c:v>
                </c:pt>
                <c:pt idx="60">
                  <c:v>24.370999999999999</c:v>
                </c:pt>
                <c:pt idx="61">
                  <c:v>24.7807</c:v>
                </c:pt>
                <c:pt idx="62">
                  <c:v>25.186599999999999</c:v>
                </c:pt>
                <c:pt idx="63">
                  <c:v>25.592700000000001</c:v>
                </c:pt>
                <c:pt idx="64">
                  <c:v>25.994499999999999</c:v>
                </c:pt>
                <c:pt idx="65">
                  <c:v>26.404299999999999</c:v>
                </c:pt>
                <c:pt idx="66">
                  <c:v>26.8123</c:v>
                </c:pt>
                <c:pt idx="67">
                  <c:v>27.220199999999998</c:v>
                </c:pt>
                <c:pt idx="68">
                  <c:v>27.624400000000001</c:v>
                </c:pt>
                <c:pt idx="69">
                  <c:v>28.0275</c:v>
                </c:pt>
                <c:pt idx="70">
                  <c:v>28.432200000000002</c:v>
                </c:pt>
                <c:pt idx="71">
                  <c:v>28.84</c:v>
                </c:pt>
                <c:pt idx="72">
                  <c:v>29.251200000000001</c:v>
                </c:pt>
                <c:pt idx="73">
                  <c:v>29.654699999999998</c:v>
                </c:pt>
                <c:pt idx="74">
                  <c:v>30.0627</c:v>
                </c:pt>
                <c:pt idx="75">
                  <c:v>30.465499999999999</c:v>
                </c:pt>
                <c:pt idx="76">
                  <c:v>30.874500000000001</c:v>
                </c:pt>
                <c:pt idx="77">
                  <c:v>31.279599999999999</c:v>
                </c:pt>
                <c:pt idx="78">
                  <c:v>31.687200000000001</c:v>
                </c:pt>
                <c:pt idx="79">
                  <c:v>32.095300000000002</c:v>
                </c:pt>
                <c:pt idx="80">
                  <c:v>32.5</c:v>
                </c:pt>
                <c:pt idx="81">
                  <c:v>32.905900000000003</c:v>
                </c:pt>
                <c:pt idx="82">
                  <c:v>33.311999999999998</c:v>
                </c:pt>
                <c:pt idx="83">
                  <c:v>33.716799999999999</c:v>
                </c:pt>
                <c:pt idx="84">
                  <c:v>34.122700000000002</c:v>
                </c:pt>
                <c:pt idx="85">
                  <c:v>34.532600000000002</c:v>
                </c:pt>
                <c:pt idx="86">
                  <c:v>34.935499999999998</c:v>
                </c:pt>
                <c:pt idx="87">
                  <c:v>35.340400000000002</c:v>
                </c:pt>
                <c:pt idx="88">
                  <c:v>35.747399999999999</c:v>
                </c:pt>
                <c:pt idx="89">
                  <c:v>36.154200000000003</c:v>
                </c:pt>
                <c:pt idx="90">
                  <c:v>36.558100000000003</c:v>
                </c:pt>
                <c:pt idx="91">
                  <c:v>36.966099999999997</c:v>
                </c:pt>
                <c:pt idx="92">
                  <c:v>37.376300000000001</c:v>
                </c:pt>
                <c:pt idx="93">
                  <c:v>37.779899999999998</c:v>
                </c:pt>
                <c:pt idx="94">
                  <c:v>38.184800000000003</c:v>
                </c:pt>
                <c:pt idx="95">
                  <c:v>38.590800000000002</c:v>
                </c:pt>
                <c:pt idx="96">
                  <c:v>38.998699999999999</c:v>
                </c:pt>
                <c:pt idx="97">
                  <c:v>39.405500000000004</c:v>
                </c:pt>
                <c:pt idx="98">
                  <c:v>39.811900000000001</c:v>
                </c:pt>
                <c:pt idx="99">
                  <c:v>40.217399999999998</c:v>
                </c:pt>
                <c:pt idx="100">
                  <c:v>40.624400000000001</c:v>
                </c:pt>
                <c:pt idx="101">
                  <c:v>41.029200000000003</c:v>
                </c:pt>
                <c:pt idx="102">
                  <c:v>41.437100000000001</c:v>
                </c:pt>
                <c:pt idx="103">
                  <c:v>41.845999999999997</c:v>
                </c:pt>
                <c:pt idx="104">
                  <c:v>42.247100000000003</c:v>
                </c:pt>
                <c:pt idx="105">
                  <c:v>42.654899999999998</c:v>
                </c:pt>
                <c:pt idx="106">
                  <c:v>43.063800000000001</c:v>
                </c:pt>
                <c:pt idx="107">
                  <c:v>43.462800000000001</c:v>
                </c:pt>
                <c:pt idx="108">
                  <c:v>43.871899999999997</c:v>
                </c:pt>
                <c:pt idx="109">
                  <c:v>44.281500000000001</c:v>
                </c:pt>
                <c:pt idx="110">
                  <c:v>44.687600000000003</c:v>
                </c:pt>
                <c:pt idx="111">
                  <c:v>45.092300000000002</c:v>
                </c:pt>
                <c:pt idx="112">
                  <c:v>45.499299999999998</c:v>
                </c:pt>
                <c:pt idx="113">
                  <c:v>45.904499999999999</c:v>
                </c:pt>
                <c:pt idx="114">
                  <c:v>46.310400000000001</c:v>
                </c:pt>
                <c:pt idx="115">
                  <c:v>46.719099999999997</c:v>
                </c:pt>
                <c:pt idx="116">
                  <c:v>47.120100000000001</c:v>
                </c:pt>
                <c:pt idx="117">
                  <c:v>47.529899999999998</c:v>
                </c:pt>
                <c:pt idx="118">
                  <c:v>47.936</c:v>
                </c:pt>
                <c:pt idx="119">
                  <c:v>48.342799999999997</c:v>
                </c:pt>
                <c:pt idx="120">
                  <c:v>48.746600000000001</c:v>
                </c:pt>
                <c:pt idx="121">
                  <c:v>49.158499999999997</c:v>
                </c:pt>
                <c:pt idx="122">
                  <c:v>49.561300000000003</c:v>
                </c:pt>
                <c:pt idx="123">
                  <c:v>49.966299999999997</c:v>
                </c:pt>
                <c:pt idx="124">
                  <c:v>50.3752</c:v>
                </c:pt>
                <c:pt idx="125">
                  <c:v>50.780099999999997</c:v>
                </c:pt>
                <c:pt idx="126">
                  <c:v>51.187199999999997</c:v>
                </c:pt>
                <c:pt idx="127">
                  <c:v>51.594099999999997</c:v>
                </c:pt>
                <c:pt idx="128">
                  <c:v>52.000799999999998</c:v>
                </c:pt>
                <c:pt idx="129">
                  <c:v>52.405799999999999</c:v>
                </c:pt>
                <c:pt idx="130">
                  <c:v>52.811700000000002</c:v>
                </c:pt>
                <c:pt idx="131">
                  <c:v>53.217700000000001</c:v>
                </c:pt>
                <c:pt idx="132">
                  <c:v>53.625500000000002</c:v>
                </c:pt>
                <c:pt idx="133">
                  <c:v>54.0304</c:v>
                </c:pt>
                <c:pt idx="134">
                  <c:v>54.436300000000003</c:v>
                </c:pt>
                <c:pt idx="135">
                  <c:v>54.841299999999997</c:v>
                </c:pt>
                <c:pt idx="136">
                  <c:v>55.247300000000003</c:v>
                </c:pt>
                <c:pt idx="137">
                  <c:v>55.6571</c:v>
                </c:pt>
                <c:pt idx="138">
                  <c:v>56.066000000000003</c:v>
                </c:pt>
                <c:pt idx="139">
                  <c:v>56.469000000000001</c:v>
                </c:pt>
                <c:pt idx="140">
                  <c:v>56.874899999999997</c:v>
                </c:pt>
                <c:pt idx="141">
                  <c:v>57.277799999999999</c:v>
                </c:pt>
                <c:pt idx="142">
                  <c:v>57.686700000000002</c:v>
                </c:pt>
                <c:pt idx="143">
                  <c:v>58.090600000000002</c:v>
                </c:pt>
                <c:pt idx="144">
                  <c:v>58.499299999999998</c:v>
                </c:pt>
                <c:pt idx="145">
                  <c:v>58.9024</c:v>
                </c:pt>
                <c:pt idx="146">
                  <c:v>59.312399999999997</c:v>
                </c:pt>
                <c:pt idx="147">
                  <c:v>59.7194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60.566200000000002</c:v>
                </c:pt>
                <c:pt idx="1">
                  <c:v>59.7136</c:v>
                </c:pt>
                <c:pt idx="2">
                  <c:v>58.682000000000002</c:v>
                </c:pt>
                <c:pt idx="3">
                  <c:v>57.4848</c:v>
                </c:pt>
                <c:pt idx="4">
                  <c:v>56.180500000000002</c:v>
                </c:pt>
                <c:pt idx="5">
                  <c:v>54.831300000000006</c:v>
                </c:pt>
                <c:pt idx="6">
                  <c:v>53.502499999999998</c:v>
                </c:pt>
                <c:pt idx="7">
                  <c:v>52.224899999999998</c:v>
                </c:pt>
                <c:pt idx="8">
                  <c:v>50.905999999999999</c:v>
                </c:pt>
                <c:pt idx="9">
                  <c:v>49.486599999999996</c:v>
                </c:pt>
                <c:pt idx="10">
                  <c:v>48.208800000000004</c:v>
                </c:pt>
                <c:pt idx="11">
                  <c:v>47.0563</c:v>
                </c:pt>
                <c:pt idx="12">
                  <c:v>45.879399999999997</c:v>
                </c:pt>
                <c:pt idx="13">
                  <c:v>44.7395</c:v>
                </c:pt>
                <c:pt idx="14">
                  <c:v>43.674199999999999</c:v>
                </c:pt>
                <c:pt idx="15">
                  <c:v>42.540099999999995</c:v>
                </c:pt>
                <c:pt idx="16">
                  <c:v>41.529899999999998</c:v>
                </c:pt>
                <c:pt idx="17">
                  <c:v>40.742400000000004</c:v>
                </c:pt>
                <c:pt idx="18">
                  <c:v>40.032400000000003</c:v>
                </c:pt>
                <c:pt idx="19">
                  <c:v>39.343600000000002</c:v>
                </c:pt>
                <c:pt idx="20">
                  <c:v>38.738900000000001</c:v>
                </c:pt>
                <c:pt idx="21">
                  <c:v>38.139899999999997</c:v>
                </c:pt>
                <c:pt idx="22">
                  <c:v>37.591799999999999</c:v>
                </c:pt>
                <c:pt idx="23">
                  <c:v>37.011099999999999</c:v>
                </c:pt>
                <c:pt idx="24">
                  <c:v>36.440300000000001</c:v>
                </c:pt>
                <c:pt idx="25">
                  <c:v>35.901899999999998</c:v>
                </c:pt>
                <c:pt idx="26">
                  <c:v>35.392600000000002</c:v>
                </c:pt>
                <c:pt idx="27">
                  <c:v>34.901499999999999</c:v>
                </c:pt>
                <c:pt idx="28">
                  <c:v>34.499299999999998</c:v>
                </c:pt>
                <c:pt idx="29">
                  <c:v>34.079700000000003</c:v>
                </c:pt>
                <c:pt idx="30">
                  <c:v>33.618400000000001</c:v>
                </c:pt>
                <c:pt idx="31">
                  <c:v>33.140099999999997</c:v>
                </c:pt>
                <c:pt idx="32">
                  <c:v>32.713300000000004</c:v>
                </c:pt>
                <c:pt idx="33">
                  <c:v>32.406500000000001</c:v>
                </c:pt>
                <c:pt idx="34">
                  <c:v>32.170100000000005</c:v>
                </c:pt>
                <c:pt idx="35">
                  <c:v>31.9757</c:v>
                </c:pt>
                <c:pt idx="36">
                  <c:v>31.7668</c:v>
                </c:pt>
                <c:pt idx="37">
                  <c:v>31.699400000000001</c:v>
                </c:pt>
                <c:pt idx="38">
                  <c:v>31.722299999999997</c:v>
                </c:pt>
                <c:pt idx="39">
                  <c:v>31.804100000000002</c:v>
                </c:pt>
                <c:pt idx="40">
                  <c:v>32.017000000000003</c:v>
                </c:pt>
                <c:pt idx="41">
                  <c:v>32.209299999999999</c:v>
                </c:pt>
                <c:pt idx="42">
                  <c:v>32.340000000000003</c:v>
                </c:pt>
                <c:pt idx="43">
                  <c:v>32.564700000000002</c:v>
                </c:pt>
                <c:pt idx="44">
                  <c:v>32.787399999999998</c:v>
                </c:pt>
                <c:pt idx="45">
                  <c:v>33.022100000000002</c:v>
                </c:pt>
                <c:pt idx="46">
                  <c:v>33.311900000000001</c:v>
                </c:pt>
                <c:pt idx="47">
                  <c:v>33.537499999999994</c:v>
                </c:pt>
                <c:pt idx="48">
                  <c:v>33.782600000000002</c:v>
                </c:pt>
                <c:pt idx="49">
                  <c:v>34.060099999999998</c:v>
                </c:pt>
                <c:pt idx="50">
                  <c:v>34.290900000000001</c:v>
                </c:pt>
                <c:pt idx="51">
                  <c:v>34.497999999999998</c:v>
                </c:pt>
                <c:pt idx="52">
                  <c:v>34.633000000000003</c:v>
                </c:pt>
                <c:pt idx="53">
                  <c:v>34.765299999999996</c:v>
                </c:pt>
                <c:pt idx="54">
                  <c:v>34.888599999999997</c:v>
                </c:pt>
                <c:pt idx="55">
                  <c:v>35.0274</c:v>
                </c:pt>
                <c:pt idx="56">
                  <c:v>35.140599999999999</c:v>
                </c:pt>
                <c:pt idx="57">
                  <c:v>35.242899999999999</c:v>
                </c:pt>
                <c:pt idx="58">
                  <c:v>35.330199999999998</c:v>
                </c:pt>
                <c:pt idx="59">
                  <c:v>35.380299999999998</c:v>
                </c:pt>
                <c:pt idx="60">
                  <c:v>35.327100000000002</c:v>
                </c:pt>
                <c:pt idx="61">
                  <c:v>35.337899999999998</c:v>
                </c:pt>
                <c:pt idx="62">
                  <c:v>35.369099999999996</c:v>
                </c:pt>
                <c:pt idx="63">
                  <c:v>35.388799999999996</c:v>
                </c:pt>
                <c:pt idx="64">
                  <c:v>35.418100000000003</c:v>
                </c:pt>
                <c:pt idx="65">
                  <c:v>35.451000000000001</c:v>
                </c:pt>
                <c:pt idx="66">
                  <c:v>35.469799999999999</c:v>
                </c:pt>
                <c:pt idx="67">
                  <c:v>35.442900000000002</c:v>
                </c:pt>
                <c:pt idx="68">
                  <c:v>35.436099999999996</c:v>
                </c:pt>
                <c:pt idx="69">
                  <c:v>35.446600000000004</c:v>
                </c:pt>
                <c:pt idx="70">
                  <c:v>35.455199999999998</c:v>
                </c:pt>
                <c:pt idx="71">
                  <c:v>35.477499999999999</c:v>
                </c:pt>
                <c:pt idx="72">
                  <c:v>35.603400000000001</c:v>
                </c:pt>
                <c:pt idx="73">
                  <c:v>35.802399999999999</c:v>
                </c:pt>
                <c:pt idx="74">
                  <c:v>35.972300000000004</c:v>
                </c:pt>
                <c:pt idx="75">
                  <c:v>36.1875</c:v>
                </c:pt>
                <c:pt idx="76">
                  <c:v>36.392699999999998</c:v>
                </c:pt>
                <c:pt idx="77">
                  <c:v>36.5212</c:v>
                </c:pt>
                <c:pt idx="78">
                  <c:v>36.600100000000005</c:v>
                </c:pt>
                <c:pt idx="79">
                  <c:v>36.717799999999997</c:v>
                </c:pt>
                <c:pt idx="80">
                  <c:v>36.9358</c:v>
                </c:pt>
                <c:pt idx="81">
                  <c:v>37.140599999999999</c:v>
                </c:pt>
                <c:pt idx="82">
                  <c:v>37.308700000000002</c:v>
                </c:pt>
                <c:pt idx="83">
                  <c:v>37.429200000000002</c:v>
                </c:pt>
                <c:pt idx="84">
                  <c:v>37.498199999999997</c:v>
                </c:pt>
                <c:pt idx="85">
                  <c:v>37.645000000000003</c:v>
                </c:pt>
                <c:pt idx="86">
                  <c:v>37.801099999999998</c:v>
                </c:pt>
                <c:pt idx="87">
                  <c:v>37.981300000000005</c:v>
                </c:pt>
                <c:pt idx="88">
                  <c:v>38.167200000000001</c:v>
                </c:pt>
                <c:pt idx="89">
                  <c:v>38.339800000000004</c:v>
                </c:pt>
                <c:pt idx="90">
                  <c:v>38.524500000000003</c:v>
                </c:pt>
                <c:pt idx="91">
                  <c:v>38.7121</c:v>
                </c:pt>
                <c:pt idx="92">
                  <c:v>38.915199999999999</c:v>
                </c:pt>
                <c:pt idx="93">
                  <c:v>39.031999999999996</c:v>
                </c:pt>
                <c:pt idx="94">
                  <c:v>39.174799999999998</c:v>
                </c:pt>
                <c:pt idx="95">
                  <c:v>39.235199999999999</c:v>
                </c:pt>
                <c:pt idx="96">
                  <c:v>39.316499999999998</c:v>
                </c:pt>
                <c:pt idx="97">
                  <c:v>39.297900000000006</c:v>
                </c:pt>
                <c:pt idx="98">
                  <c:v>39.377899999999997</c:v>
                </c:pt>
                <c:pt idx="99">
                  <c:v>39.473500000000001</c:v>
                </c:pt>
                <c:pt idx="100">
                  <c:v>39.610399999999998</c:v>
                </c:pt>
                <c:pt idx="101">
                  <c:v>39.752600000000001</c:v>
                </c:pt>
                <c:pt idx="102">
                  <c:v>39.943400000000004</c:v>
                </c:pt>
                <c:pt idx="103">
                  <c:v>40.034700000000001</c:v>
                </c:pt>
                <c:pt idx="104">
                  <c:v>40.018700000000003</c:v>
                </c:pt>
                <c:pt idx="105">
                  <c:v>39.886600000000001</c:v>
                </c:pt>
                <c:pt idx="106">
                  <c:v>39.7164</c:v>
                </c:pt>
                <c:pt idx="107">
                  <c:v>39.449400000000004</c:v>
                </c:pt>
                <c:pt idx="108">
                  <c:v>39.084699999999998</c:v>
                </c:pt>
                <c:pt idx="109">
                  <c:v>38.709600000000002</c:v>
                </c:pt>
                <c:pt idx="110">
                  <c:v>38.216899999999995</c:v>
                </c:pt>
                <c:pt idx="111">
                  <c:v>37.670400000000001</c:v>
                </c:pt>
                <c:pt idx="112">
                  <c:v>37.052900000000001</c:v>
                </c:pt>
                <c:pt idx="113">
                  <c:v>36.4527</c:v>
                </c:pt>
                <c:pt idx="114">
                  <c:v>35.868299999999998</c:v>
                </c:pt>
                <c:pt idx="115">
                  <c:v>35.287800000000004</c:v>
                </c:pt>
                <c:pt idx="116">
                  <c:v>34.793600000000005</c:v>
                </c:pt>
                <c:pt idx="117">
                  <c:v>34.349299999999999</c:v>
                </c:pt>
                <c:pt idx="118">
                  <c:v>33.949300000000001</c:v>
                </c:pt>
                <c:pt idx="119">
                  <c:v>33.592799999999997</c:v>
                </c:pt>
                <c:pt idx="120">
                  <c:v>33.3474</c:v>
                </c:pt>
                <c:pt idx="121">
                  <c:v>33.145499999999998</c:v>
                </c:pt>
                <c:pt idx="122">
                  <c:v>33.042999999999999</c:v>
                </c:pt>
                <c:pt idx="123">
                  <c:v>32.978499999999997</c:v>
                </c:pt>
                <c:pt idx="124">
                  <c:v>32.842700000000001</c:v>
                </c:pt>
                <c:pt idx="125">
                  <c:v>32.710099999999997</c:v>
                </c:pt>
                <c:pt idx="126">
                  <c:v>32.640900000000002</c:v>
                </c:pt>
                <c:pt idx="127">
                  <c:v>32.576899999999995</c:v>
                </c:pt>
                <c:pt idx="128">
                  <c:v>32.558100000000003</c:v>
                </c:pt>
                <c:pt idx="129">
                  <c:v>32.564399999999999</c:v>
                </c:pt>
                <c:pt idx="130">
                  <c:v>32.579700000000003</c:v>
                </c:pt>
                <c:pt idx="131">
                  <c:v>32.611699999999999</c:v>
                </c:pt>
                <c:pt idx="132">
                  <c:v>32.681399999999996</c:v>
                </c:pt>
                <c:pt idx="133">
                  <c:v>32.774000000000001</c:v>
                </c:pt>
                <c:pt idx="134">
                  <c:v>32.846899999999998</c:v>
                </c:pt>
                <c:pt idx="135">
                  <c:v>32.976499999999994</c:v>
                </c:pt>
                <c:pt idx="136">
                  <c:v>33.1068</c:v>
                </c:pt>
                <c:pt idx="137">
                  <c:v>33.332599999999999</c:v>
                </c:pt>
                <c:pt idx="138">
                  <c:v>33.578499999999998</c:v>
                </c:pt>
                <c:pt idx="139">
                  <c:v>33.877600000000001</c:v>
                </c:pt>
                <c:pt idx="140">
                  <c:v>34.166999999999994</c:v>
                </c:pt>
                <c:pt idx="141">
                  <c:v>34.380500000000005</c:v>
                </c:pt>
                <c:pt idx="142">
                  <c:v>34.613500000000002</c:v>
                </c:pt>
                <c:pt idx="143">
                  <c:v>34.936099999999996</c:v>
                </c:pt>
                <c:pt idx="144">
                  <c:v>35.193799999999996</c:v>
                </c:pt>
                <c:pt idx="145">
                  <c:v>35.5002</c:v>
                </c:pt>
                <c:pt idx="146">
                  <c:v>35.695399999999999</c:v>
                </c:pt>
                <c:pt idx="147">
                  <c:v>36.179899999999996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0.40397899999999998</c:v>
                </c:pt>
                <c:pt idx="2">
                  <c:v>0.81182799999999999</c:v>
                </c:pt>
                <c:pt idx="3">
                  <c:v>1.21889</c:v>
                </c:pt>
                <c:pt idx="4">
                  <c:v>1.62557</c:v>
                </c:pt>
                <c:pt idx="5">
                  <c:v>2.0318200000000002</c:v>
                </c:pt>
                <c:pt idx="6">
                  <c:v>2.43492</c:v>
                </c:pt>
                <c:pt idx="7">
                  <c:v>2.8443999999999998</c:v>
                </c:pt>
                <c:pt idx="8">
                  <c:v>3.2511999999999999</c:v>
                </c:pt>
                <c:pt idx="9">
                  <c:v>3.6570900000000002</c:v>
                </c:pt>
                <c:pt idx="10">
                  <c:v>4.0591999999999997</c:v>
                </c:pt>
                <c:pt idx="11">
                  <c:v>4.4661200000000001</c:v>
                </c:pt>
                <c:pt idx="12">
                  <c:v>4.8690600000000002</c:v>
                </c:pt>
                <c:pt idx="13">
                  <c:v>5.2808400000000004</c:v>
                </c:pt>
                <c:pt idx="14">
                  <c:v>5.6867400000000004</c:v>
                </c:pt>
                <c:pt idx="15">
                  <c:v>6.0907</c:v>
                </c:pt>
                <c:pt idx="16">
                  <c:v>6.4966600000000003</c:v>
                </c:pt>
                <c:pt idx="17">
                  <c:v>6.9046500000000002</c:v>
                </c:pt>
                <c:pt idx="18">
                  <c:v>7.30844</c:v>
                </c:pt>
                <c:pt idx="19">
                  <c:v>7.7163500000000003</c:v>
                </c:pt>
                <c:pt idx="20">
                  <c:v>8.1251899999999999</c:v>
                </c:pt>
                <c:pt idx="21">
                  <c:v>8.5268200000000007</c:v>
                </c:pt>
                <c:pt idx="22">
                  <c:v>8.9340700000000002</c:v>
                </c:pt>
                <c:pt idx="23">
                  <c:v>9.3433399999999995</c:v>
                </c:pt>
                <c:pt idx="24">
                  <c:v>9.7479600000000008</c:v>
                </c:pt>
                <c:pt idx="25">
                  <c:v>10.1569</c:v>
                </c:pt>
                <c:pt idx="26">
                  <c:v>10.5646</c:v>
                </c:pt>
                <c:pt idx="27">
                  <c:v>10.9696</c:v>
                </c:pt>
                <c:pt idx="28">
                  <c:v>11.3725</c:v>
                </c:pt>
                <c:pt idx="29">
                  <c:v>11.781499999999999</c:v>
                </c:pt>
                <c:pt idx="30">
                  <c:v>12.1884</c:v>
                </c:pt>
                <c:pt idx="31">
                  <c:v>12.5923</c:v>
                </c:pt>
                <c:pt idx="32">
                  <c:v>12.9968</c:v>
                </c:pt>
                <c:pt idx="33">
                  <c:v>13.4041</c:v>
                </c:pt>
                <c:pt idx="34">
                  <c:v>13.8104</c:v>
                </c:pt>
                <c:pt idx="35">
                  <c:v>14.2159</c:v>
                </c:pt>
                <c:pt idx="36">
                  <c:v>14.6228</c:v>
                </c:pt>
                <c:pt idx="37">
                  <c:v>15.030799999999999</c:v>
                </c:pt>
                <c:pt idx="38">
                  <c:v>15.438700000000001</c:v>
                </c:pt>
                <c:pt idx="39">
                  <c:v>15.842700000000001</c:v>
                </c:pt>
                <c:pt idx="40">
                  <c:v>16.249500000000001</c:v>
                </c:pt>
                <c:pt idx="41">
                  <c:v>16.656700000000001</c:v>
                </c:pt>
                <c:pt idx="42">
                  <c:v>17.061299999999999</c:v>
                </c:pt>
                <c:pt idx="43">
                  <c:v>17.468399999999999</c:v>
                </c:pt>
                <c:pt idx="44">
                  <c:v>17.8751</c:v>
                </c:pt>
                <c:pt idx="45">
                  <c:v>18.280999999999999</c:v>
                </c:pt>
                <c:pt idx="46">
                  <c:v>18.684999999999999</c:v>
                </c:pt>
                <c:pt idx="47">
                  <c:v>19.097799999999999</c:v>
                </c:pt>
                <c:pt idx="48">
                  <c:v>19.4953</c:v>
                </c:pt>
                <c:pt idx="49">
                  <c:v>19.907699999999998</c:v>
                </c:pt>
                <c:pt idx="50">
                  <c:v>20.3126</c:v>
                </c:pt>
                <c:pt idx="51">
                  <c:v>20.712599999999998</c:v>
                </c:pt>
                <c:pt idx="52">
                  <c:v>21.122499999999999</c:v>
                </c:pt>
                <c:pt idx="53">
                  <c:v>21.5304</c:v>
                </c:pt>
                <c:pt idx="54">
                  <c:v>21.935600000000001</c:v>
                </c:pt>
                <c:pt idx="55">
                  <c:v>22.345300000000002</c:v>
                </c:pt>
                <c:pt idx="56">
                  <c:v>22.752099999999999</c:v>
                </c:pt>
                <c:pt idx="57">
                  <c:v>23.155999999999999</c:v>
                </c:pt>
                <c:pt idx="58">
                  <c:v>23.560199999999998</c:v>
                </c:pt>
                <c:pt idx="59">
                  <c:v>23.966899999999999</c:v>
                </c:pt>
                <c:pt idx="60">
                  <c:v>24.370999999999999</c:v>
                </c:pt>
                <c:pt idx="61">
                  <c:v>24.7807</c:v>
                </c:pt>
                <c:pt idx="62">
                  <c:v>25.186599999999999</c:v>
                </c:pt>
                <c:pt idx="63">
                  <c:v>25.592700000000001</c:v>
                </c:pt>
                <c:pt idx="64">
                  <c:v>25.994499999999999</c:v>
                </c:pt>
                <c:pt idx="65">
                  <c:v>26.404299999999999</c:v>
                </c:pt>
                <c:pt idx="66">
                  <c:v>26.8123</c:v>
                </c:pt>
                <c:pt idx="67">
                  <c:v>27.220199999999998</c:v>
                </c:pt>
                <c:pt idx="68">
                  <c:v>27.624400000000001</c:v>
                </c:pt>
                <c:pt idx="69">
                  <c:v>28.0275</c:v>
                </c:pt>
                <c:pt idx="70">
                  <c:v>28.432200000000002</c:v>
                </c:pt>
                <c:pt idx="71">
                  <c:v>28.84</c:v>
                </c:pt>
                <c:pt idx="72">
                  <c:v>29.251200000000001</c:v>
                </c:pt>
                <c:pt idx="73">
                  <c:v>29.654699999999998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60.566200000000002</c:v>
                </c:pt>
                <c:pt idx="1">
                  <c:v>59.7136</c:v>
                </c:pt>
                <c:pt idx="2">
                  <c:v>58.682000000000002</c:v>
                </c:pt>
                <c:pt idx="3">
                  <c:v>57.4848</c:v>
                </c:pt>
                <c:pt idx="4">
                  <c:v>56.180500000000002</c:v>
                </c:pt>
                <c:pt idx="5">
                  <c:v>54.831300000000006</c:v>
                </c:pt>
                <c:pt idx="6">
                  <c:v>53.502499999999998</c:v>
                </c:pt>
                <c:pt idx="7">
                  <c:v>52.224899999999998</c:v>
                </c:pt>
                <c:pt idx="8">
                  <c:v>50.905999999999999</c:v>
                </c:pt>
                <c:pt idx="9">
                  <c:v>49.486599999999996</c:v>
                </c:pt>
                <c:pt idx="10">
                  <c:v>48.208800000000004</c:v>
                </c:pt>
                <c:pt idx="11">
                  <c:v>47.0563</c:v>
                </c:pt>
                <c:pt idx="12">
                  <c:v>45.879399999999997</c:v>
                </c:pt>
                <c:pt idx="13">
                  <c:v>44.7395</c:v>
                </c:pt>
                <c:pt idx="14">
                  <c:v>43.674199999999999</c:v>
                </c:pt>
                <c:pt idx="15">
                  <c:v>42.540099999999995</c:v>
                </c:pt>
                <c:pt idx="16">
                  <c:v>41.529899999999998</c:v>
                </c:pt>
                <c:pt idx="17">
                  <c:v>40.742400000000004</c:v>
                </c:pt>
                <c:pt idx="18">
                  <c:v>40.032400000000003</c:v>
                </c:pt>
                <c:pt idx="19">
                  <c:v>39.343600000000002</c:v>
                </c:pt>
                <c:pt idx="20">
                  <c:v>38.738900000000001</c:v>
                </c:pt>
                <c:pt idx="21">
                  <c:v>38.139899999999997</c:v>
                </c:pt>
                <c:pt idx="22">
                  <c:v>37.591799999999999</c:v>
                </c:pt>
                <c:pt idx="23">
                  <c:v>37.011099999999999</c:v>
                </c:pt>
                <c:pt idx="24">
                  <c:v>36.440300000000001</c:v>
                </c:pt>
                <c:pt idx="25">
                  <c:v>35.901899999999998</c:v>
                </c:pt>
                <c:pt idx="26">
                  <c:v>35.392600000000002</c:v>
                </c:pt>
                <c:pt idx="27">
                  <c:v>34.901499999999999</c:v>
                </c:pt>
                <c:pt idx="28">
                  <c:v>34.499299999999998</c:v>
                </c:pt>
                <c:pt idx="29">
                  <c:v>34.079700000000003</c:v>
                </c:pt>
                <c:pt idx="30">
                  <c:v>33.618400000000001</c:v>
                </c:pt>
                <c:pt idx="31">
                  <c:v>33.140099999999997</c:v>
                </c:pt>
                <c:pt idx="32">
                  <c:v>32.713300000000004</c:v>
                </c:pt>
                <c:pt idx="33">
                  <c:v>32.406500000000001</c:v>
                </c:pt>
                <c:pt idx="34">
                  <c:v>32.170100000000005</c:v>
                </c:pt>
                <c:pt idx="35">
                  <c:v>31.9757</c:v>
                </c:pt>
                <c:pt idx="36">
                  <c:v>31.7668</c:v>
                </c:pt>
                <c:pt idx="37">
                  <c:v>31.699400000000001</c:v>
                </c:pt>
                <c:pt idx="38">
                  <c:v>31.722299999999997</c:v>
                </c:pt>
                <c:pt idx="39">
                  <c:v>31.804100000000002</c:v>
                </c:pt>
                <c:pt idx="40">
                  <c:v>32.017000000000003</c:v>
                </c:pt>
                <c:pt idx="41">
                  <c:v>32.209299999999999</c:v>
                </c:pt>
                <c:pt idx="42">
                  <c:v>32.340000000000003</c:v>
                </c:pt>
                <c:pt idx="43">
                  <c:v>32.564700000000002</c:v>
                </c:pt>
                <c:pt idx="44">
                  <c:v>32.787399999999998</c:v>
                </c:pt>
                <c:pt idx="45">
                  <c:v>33.022100000000002</c:v>
                </c:pt>
                <c:pt idx="46">
                  <c:v>33.311900000000001</c:v>
                </c:pt>
                <c:pt idx="47">
                  <c:v>33.537499999999994</c:v>
                </c:pt>
                <c:pt idx="48">
                  <c:v>33.782600000000002</c:v>
                </c:pt>
                <c:pt idx="49">
                  <c:v>34.060099999999998</c:v>
                </c:pt>
                <c:pt idx="50">
                  <c:v>34.290900000000001</c:v>
                </c:pt>
                <c:pt idx="51">
                  <c:v>34.497999999999998</c:v>
                </c:pt>
                <c:pt idx="52">
                  <c:v>34.633000000000003</c:v>
                </c:pt>
                <c:pt idx="53">
                  <c:v>34.765299999999996</c:v>
                </c:pt>
                <c:pt idx="54">
                  <c:v>34.888599999999997</c:v>
                </c:pt>
                <c:pt idx="55">
                  <c:v>35.0274</c:v>
                </c:pt>
                <c:pt idx="56">
                  <c:v>35.140599999999999</c:v>
                </c:pt>
                <c:pt idx="57">
                  <c:v>35.242899999999999</c:v>
                </c:pt>
                <c:pt idx="58">
                  <c:v>35.330199999999998</c:v>
                </c:pt>
                <c:pt idx="59">
                  <c:v>35.380299999999998</c:v>
                </c:pt>
                <c:pt idx="60">
                  <c:v>35.327100000000002</c:v>
                </c:pt>
                <c:pt idx="61">
                  <c:v>35.337899999999998</c:v>
                </c:pt>
                <c:pt idx="62">
                  <c:v>35.369099999999996</c:v>
                </c:pt>
                <c:pt idx="63">
                  <c:v>35.388799999999996</c:v>
                </c:pt>
                <c:pt idx="64">
                  <c:v>35.418100000000003</c:v>
                </c:pt>
                <c:pt idx="65">
                  <c:v>35.451000000000001</c:v>
                </c:pt>
                <c:pt idx="66">
                  <c:v>35.469799999999999</c:v>
                </c:pt>
                <c:pt idx="67">
                  <c:v>35.442900000000002</c:v>
                </c:pt>
                <c:pt idx="68">
                  <c:v>35.436099999999996</c:v>
                </c:pt>
                <c:pt idx="69">
                  <c:v>35.446600000000004</c:v>
                </c:pt>
                <c:pt idx="70">
                  <c:v>35.455199999999998</c:v>
                </c:pt>
                <c:pt idx="71">
                  <c:v>35.477499999999999</c:v>
                </c:pt>
                <c:pt idx="72">
                  <c:v>35.603400000000001</c:v>
                </c:pt>
                <c:pt idx="73">
                  <c:v>35.802399999999999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29.654699999999998</c:v>
                </c:pt>
                <c:pt idx="1">
                  <c:v>30.0627</c:v>
                </c:pt>
                <c:pt idx="2">
                  <c:v>30.465499999999999</c:v>
                </c:pt>
                <c:pt idx="3">
                  <c:v>30.874500000000001</c:v>
                </c:pt>
                <c:pt idx="4">
                  <c:v>31.279599999999999</c:v>
                </c:pt>
                <c:pt idx="5">
                  <c:v>31.687200000000001</c:v>
                </c:pt>
                <c:pt idx="6">
                  <c:v>32.095300000000002</c:v>
                </c:pt>
                <c:pt idx="7">
                  <c:v>32.5</c:v>
                </c:pt>
                <c:pt idx="8">
                  <c:v>32.905900000000003</c:v>
                </c:pt>
                <c:pt idx="9">
                  <c:v>33.311999999999998</c:v>
                </c:pt>
                <c:pt idx="10">
                  <c:v>33.716799999999999</c:v>
                </c:pt>
                <c:pt idx="11">
                  <c:v>34.122700000000002</c:v>
                </c:pt>
                <c:pt idx="12">
                  <c:v>34.532600000000002</c:v>
                </c:pt>
                <c:pt idx="13">
                  <c:v>34.935499999999998</c:v>
                </c:pt>
                <c:pt idx="14">
                  <c:v>35.340400000000002</c:v>
                </c:pt>
                <c:pt idx="15">
                  <c:v>35.747399999999999</c:v>
                </c:pt>
                <c:pt idx="16">
                  <c:v>36.154200000000003</c:v>
                </c:pt>
                <c:pt idx="17">
                  <c:v>36.558100000000003</c:v>
                </c:pt>
                <c:pt idx="18">
                  <c:v>36.966099999999997</c:v>
                </c:pt>
                <c:pt idx="19">
                  <c:v>37.376300000000001</c:v>
                </c:pt>
                <c:pt idx="20">
                  <c:v>37.779899999999998</c:v>
                </c:pt>
                <c:pt idx="21">
                  <c:v>38.184800000000003</c:v>
                </c:pt>
                <c:pt idx="22">
                  <c:v>38.590800000000002</c:v>
                </c:pt>
                <c:pt idx="23">
                  <c:v>38.998699999999999</c:v>
                </c:pt>
                <c:pt idx="24">
                  <c:v>39.405500000000004</c:v>
                </c:pt>
                <c:pt idx="25">
                  <c:v>39.811900000000001</c:v>
                </c:pt>
                <c:pt idx="26">
                  <c:v>40.217399999999998</c:v>
                </c:pt>
                <c:pt idx="27">
                  <c:v>40.624400000000001</c:v>
                </c:pt>
                <c:pt idx="28">
                  <c:v>41.029200000000003</c:v>
                </c:pt>
                <c:pt idx="29">
                  <c:v>41.437100000000001</c:v>
                </c:pt>
                <c:pt idx="30">
                  <c:v>41.845999999999997</c:v>
                </c:pt>
                <c:pt idx="31">
                  <c:v>42.247100000000003</c:v>
                </c:pt>
                <c:pt idx="32">
                  <c:v>42.654899999999998</c:v>
                </c:pt>
                <c:pt idx="33">
                  <c:v>43.063800000000001</c:v>
                </c:pt>
                <c:pt idx="34">
                  <c:v>43.462800000000001</c:v>
                </c:pt>
                <c:pt idx="35">
                  <c:v>43.871899999999997</c:v>
                </c:pt>
                <c:pt idx="36">
                  <c:v>44.281500000000001</c:v>
                </c:pt>
                <c:pt idx="37">
                  <c:v>44.687600000000003</c:v>
                </c:pt>
                <c:pt idx="38">
                  <c:v>45.092300000000002</c:v>
                </c:pt>
                <c:pt idx="39">
                  <c:v>45.499299999999998</c:v>
                </c:pt>
                <c:pt idx="40">
                  <c:v>45.904499999999999</c:v>
                </c:pt>
                <c:pt idx="41">
                  <c:v>46.310400000000001</c:v>
                </c:pt>
                <c:pt idx="42">
                  <c:v>46.719099999999997</c:v>
                </c:pt>
                <c:pt idx="43">
                  <c:v>47.120100000000001</c:v>
                </c:pt>
                <c:pt idx="44">
                  <c:v>47.529899999999998</c:v>
                </c:pt>
                <c:pt idx="45">
                  <c:v>47.936</c:v>
                </c:pt>
                <c:pt idx="46">
                  <c:v>48.342799999999997</c:v>
                </c:pt>
                <c:pt idx="47">
                  <c:v>48.746600000000001</c:v>
                </c:pt>
                <c:pt idx="48">
                  <c:v>49.158499999999997</c:v>
                </c:pt>
                <c:pt idx="49">
                  <c:v>49.561300000000003</c:v>
                </c:pt>
                <c:pt idx="50">
                  <c:v>49.966299999999997</c:v>
                </c:pt>
                <c:pt idx="51">
                  <c:v>50.3752</c:v>
                </c:pt>
                <c:pt idx="52">
                  <c:v>50.780099999999997</c:v>
                </c:pt>
                <c:pt idx="53">
                  <c:v>51.187199999999997</c:v>
                </c:pt>
                <c:pt idx="54">
                  <c:v>51.594099999999997</c:v>
                </c:pt>
                <c:pt idx="55">
                  <c:v>52.000799999999998</c:v>
                </c:pt>
                <c:pt idx="56">
                  <c:v>52.405799999999999</c:v>
                </c:pt>
                <c:pt idx="57">
                  <c:v>52.811700000000002</c:v>
                </c:pt>
                <c:pt idx="58">
                  <c:v>53.217700000000001</c:v>
                </c:pt>
                <c:pt idx="59">
                  <c:v>53.625500000000002</c:v>
                </c:pt>
                <c:pt idx="60">
                  <c:v>54.0304</c:v>
                </c:pt>
                <c:pt idx="61">
                  <c:v>54.436300000000003</c:v>
                </c:pt>
                <c:pt idx="62">
                  <c:v>54.841299999999997</c:v>
                </c:pt>
                <c:pt idx="63">
                  <c:v>55.247300000000003</c:v>
                </c:pt>
                <c:pt idx="64">
                  <c:v>55.6571</c:v>
                </c:pt>
                <c:pt idx="65">
                  <c:v>56.066000000000003</c:v>
                </c:pt>
                <c:pt idx="66">
                  <c:v>56.469000000000001</c:v>
                </c:pt>
                <c:pt idx="67">
                  <c:v>56.874899999999997</c:v>
                </c:pt>
                <c:pt idx="68">
                  <c:v>57.277799999999999</c:v>
                </c:pt>
                <c:pt idx="69">
                  <c:v>57.686700000000002</c:v>
                </c:pt>
                <c:pt idx="70">
                  <c:v>58.090600000000002</c:v>
                </c:pt>
                <c:pt idx="71">
                  <c:v>58.499299999999998</c:v>
                </c:pt>
                <c:pt idx="72">
                  <c:v>58.9024</c:v>
                </c:pt>
                <c:pt idx="73">
                  <c:v>59.312399999999997</c:v>
                </c:pt>
                <c:pt idx="74">
                  <c:v>59.7194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35.802399999999999</c:v>
                </c:pt>
                <c:pt idx="1">
                  <c:v>35.972300000000004</c:v>
                </c:pt>
                <c:pt idx="2">
                  <c:v>36.1875</c:v>
                </c:pt>
                <c:pt idx="3">
                  <c:v>36.392699999999998</c:v>
                </c:pt>
                <c:pt idx="4">
                  <c:v>36.5212</c:v>
                </c:pt>
                <c:pt idx="5">
                  <c:v>36.600100000000005</c:v>
                </c:pt>
                <c:pt idx="6">
                  <c:v>36.717799999999997</c:v>
                </c:pt>
                <c:pt idx="7">
                  <c:v>36.9358</c:v>
                </c:pt>
                <c:pt idx="8">
                  <c:v>37.140599999999999</c:v>
                </c:pt>
                <c:pt idx="9">
                  <c:v>37.308700000000002</c:v>
                </c:pt>
                <c:pt idx="10">
                  <c:v>37.429200000000002</c:v>
                </c:pt>
                <c:pt idx="11">
                  <c:v>37.498199999999997</c:v>
                </c:pt>
                <c:pt idx="12">
                  <c:v>37.645000000000003</c:v>
                </c:pt>
                <c:pt idx="13">
                  <c:v>37.801099999999998</c:v>
                </c:pt>
                <c:pt idx="14">
                  <c:v>37.981300000000005</c:v>
                </c:pt>
                <c:pt idx="15">
                  <c:v>38.167200000000001</c:v>
                </c:pt>
                <c:pt idx="16">
                  <c:v>38.339800000000004</c:v>
                </c:pt>
                <c:pt idx="17">
                  <c:v>38.524500000000003</c:v>
                </c:pt>
                <c:pt idx="18">
                  <c:v>38.7121</c:v>
                </c:pt>
                <c:pt idx="19">
                  <c:v>38.915199999999999</c:v>
                </c:pt>
                <c:pt idx="20">
                  <c:v>39.031999999999996</c:v>
                </c:pt>
                <c:pt idx="21">
                  <c:v>39.174799999999998</c:v>
                </c:pt>
                <c:pt idx="22">
                  <c:v>39.235199999999999</c:v>
                </c:pt>
                <c:pt idx="23">
                  <c:v>39.316499999999998</c:v>
                </c:pt>
                <c:pt idx="24">
                  <c:v>39.297900000000006</c:v>
                </c:pt>
                <c:pt idx="25">
                  <c:v>39.377899999999997</c:v>
                </c:pt>
                <c:pt idx="26">
                  <c:v>39.473500000000001</c:v>
                </c:pt>
                <c:pt idx="27">
                  <c:v>39.610399999999998</c:v>
                </c:pt>
                <c:pt idx="28">
                  <c:v>39.752600000000001</c:v>
                </c:pt>
                <c:pt idx="29">
                  <c:v>39.943400000000004</c:v>
                </c:pt>
                <c:pt idx="30">
                  <c:v>40.034700000000001</c:v>
                </c:pt>
                <c:pt idx="31">
                  <c:v>40.018700000000003</c:v>
                </c:pt>
                <c:pt idx="32">
                  <c:v>39.886600000000001</c:v>
                </c:pt>
                <c:pt idx="33">
                  <c:v>39.7164</c:v>
                </c:pt>
                <c:pt idx="34">
                  <c:v>39.449400000000004</c:v>
                </c:pt>
                <c:pt idx="35">
                  <c:v>39.084699999999998</c:v>
                </c:pt>
                <c:pt idx="36">
                  <c:v>38.709600000000002</c:v>
                </c:pt>
                <c:pt idx="37">
                  <c:v>38.216899999999995</c:v>
                </c:pt>
                <c:pt idx="38">
                  <c:v>37.670400000000001</c:v>
                </c:pt>
                <c:pt idx="39">
                  <c:v>37.052900000000001</c:v>
                </c:pt>
                <c:pt idx="40">
                  <c:v>36.4527</c:v>
                </c:pt>
                <c:pt idx="41">
                  <c:v>35.868299999999998</c:v>
                </c:pt>
                <c:pt idx="42">
                  <c:v>35.287800000000004</c:v>
                </c:pt>
                <c:pt idx="43">
                  <c:v>34.793600000000005</c:v>
                </c:pt>
                <c:pt idx="44">
                  <c:v>34.349299999999999</c:v>
                </c:pt>
                <c:pt idx="45">
                  <c:v>33.949300000000001</c:v>
                </c:pt>
                <c:pt idx="46">
                  <c:v>33.592799999999997</c:v>
                </c:pt>
                <c:pt idx="47">
                  <c:v>33.3474</c:v>
                </c:pt>
                <c:pt idx="48">
                  <c:v>33.145499999999998</c:v>
                </c:pt>
                <c:pt idx="49">
                  <c:v>33.042999999999999</c:v>
                </c:pt>
                <c:pt idx="50">
                  <c:v>32.978499999999997</c:v>
                </c:pt>
                <c:pt idx="51">
                  <c:v>32.842700000000001</c:v>
                </c:pt>
                <c:pt idx="52">
                  <c:v>32.710099999999997</c:v>
                </c:pt>
                <c:pt idx="53">
                  <c:v>32.640900000000002</c:v>
                </c:pt>
                <c:pt idx="54">
                  <c:v>32.576899999999995</c:v>
                </c:pt>
                <c:pt idx="55">
                  <c:v>32.558100000000003</c:v>
                </c:pt>
                <c:pt idx="56">
                  <c:v>32.564399999999999</c:v>
                </c:pt>
                <c:pt idx="57">
                  <c:v>32.579700000000003</c:v>
                </c:pt>
                <c:pt idx="58">
                  <c:v>32.611699999999999</c:v>
                </c:pt>
                <c:pt idx="59">
                  <c:v>32.681399999999996</c:v>
                </c:pt>
                <c:pt idx="60">
                  <c:v>32.774000000000001</c:v>
                </c:pt>
                <c:pt idx="61">
                  <c:v>32.846899999999998</c:v>
                </c:pt>
                <c:pt idx="62">
                  <c:v>32.976499999999994</c:v>
                </c:pt>
                <c:pt idx="63">
                  <c:v>33.1068</c:v>
                </c:pt>
                <c:pt idx="64">
                  <c:v>33.332599999999999</c:v>
                </c:pt>
                <c:pt idx="65">
                  <c:v>33.578499999999998</c:v>
                </c:pt>
                <c:pt idx="66">
                  <c:v>33.877600000000001</c:v>
                </c:pt>
                <c:pt idx="67">
                  <c:v>34.166999999999994</c:v>
                </c:pt>
                <c:pt idx="68">
                  <c:v>34.380500000000005</c:v>
                </c:pt>
                <c:pt idx="69">
                  <c:v>34.613500000000002</c:v>
                </c:pt>
                <c:pt idx="70">
                  <c:v>34.936099999999996</c:v>
                </c:pt>
                <c:pt idx="71">
                  <c:v>35.193799999999996</c:v>
                </c:pt>
                <c:pt idx="72">
                  <c:v>35.5002</c:v>
                </c:pt>
                <c:pt idx="73">
                  <c:v>35.695399999999999</c:v>
                </c:pt>
                <c:pt idx="74">
                  <c:v>36.179899999999996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14.92985</c:v>
                </c:pt>
                <c:pt idx="1">
                  <c:v>44.789549999999998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38.490464864864862</c:v>
                </c:pt>
                <c:pt idx="1">
                  <c:v>36.197002702702697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2.0219800000000001</c:v>
                </c:pt>
                <c:pt idx="1">
                  <c:v>2.0805199999999999</c:v>
                </c:pt>
                <c:pt idx="2">
                  <c:v>2.1417900000000003</c:v>
                </c:pt>
                <c:pt idx="3">
                  <c:v>2.20208</c:v>
                </c:pt>
                <c:pt idx="4">
                  <c:v>2.26166</c:v>
                </c:pt>
                <c:pt idx="5">
                  <c:v>2.3198699999999999</c:v>
                </c:pt>
                <c:pt idx="6">
                  <c:v>2.37826</c:v>
                </c:pt>
                <c:pt idx="7">
                  <c:v>2.4355099999999998</c:v>
                </c:pt>
                <c:pt idx="8">
                  <c:v>2.4931900000000002</c:v>
                </c:pt>
                <c:pt idx="9">
                  <c:v>2.5531999999999999</c:v>
                </c:pt>
                <c:pt idx="10">
                  <c:v>2.6117900000000001</c:v>
                </c:pt>
                <c:pt idx="11">
                  <c:v>2.6692399999999998</c:v>
                </c:pt>
                <c:pt idx="12">
                  <c:v>2.7260800000000001</c:v>
                </c:pt>
                <c:pt idx="13">
                  <c:v>2.7814299999999998</c:v>
                </c:pt>
                <c:pt idx="14">
                  <c:v>2.8367900000000001</c:v>
                </c:pt>
                <c:pt idx="15">
                  <c:v>2.8927199999999997</c:v>
                </c:pt>
                <c:pt idx="16">
                  <c:v>2.9479199999999999</c:v>
                </c:pt>
                <c:pt idx="17">
                  <c:v>3.00176</c:v>
                </c:pt>
                <c:pt idx="18">
                  <c:v>3.0491800000000002</c:v>
                </c:pt>
                <c:pt idx="19">
                  <c:v>3.0898300000000001</c:v>
                </c:pt>
                <c:pt idx="20">
                  <c:v>3.1283400000000001</c:v>
                </c:pt>
                <c:pt idx="21">
                  <c:v>3.1676900000000003</c:v>
                </c:pt>
                <c:pt idx="22">
                  <c:v>3.2048100000000002</c:v>
                </c:pt>
                <c:pt idx="23">
                  <c:v>3.2437</c:v>
                </c:pt>
                <c:pt idx="24">
                  <c:v>3.2808299999999999</c:v>
                </c:pt>
                <c:pt idx="25">
                  <c:v>3.3124399999999996</c:v>
                </c:pt>
                <c:pt idx="26">
                  <c:v>3.3384</c:v>
                </c:pt>
                <c:pt idx="27">
                  <c:v>3.3569800000000001</c:v>
                </c:pt>
                <c:pt idx="28">
                  <c:v>3.3712900000000001</c:v>
                </c:pt>
                <c:pt idx="29">
                  <c:v>3.3795299999999999</c:v>
                </c:pt>
                <c:pt idx="30">
                  <c:v>3.3842600000000003</c:v>
                </c:pt>
                <c:pt idx="31">
                  <c:v>3.3867799999999999</c:v>
                </c:pt>
                <c:pt idx="32">
                  <c:v>3.38686</c:v>
                </c:pt>
                <c:pt idx="33">
                  <c:v>3.3832899999999997</c:v>
                </c:pt>
                <c:pt idx="34">
                  <c:v>3.3750799999999996</c:v>
                </c:pt>
                <c:pt idx="35">
                  <c:v>3.3652500000000001</c:v>
                </c:pt>
                <c:pt idx="36">
                  <c:v>3.3547799999999999</c:v>
                </c:pt>
                <c:pt idx="37">
                  <c:v>3.34476</c:v>
                </c:pt>
                <c:pt idx="38">
                  <c:v>3.3351700000000002</c:v>
                </c:pt>
                <c:pt idx="39">
                  <c:v>3.32606</c:v>
                </c:pt>
                <c:pt idx="40">
                  <c:v>3.3138899999999998</c:v>
                </c:pt>
                <c:pt idx="41">
                  <c:v>3.30138</c:v>
                </c:pt>
                <c:pt idx="42">
                  <c:v>3.2891599999999999</c:v>
                </c:pt>
                <c:pt idx="43">
                  <c:v>3.2753800000000002</c:v>
                </c:pt>
                <c:pt idx="44">
                  <c:v>3.2636599999999998</c:v>
                </c:pt>
                <c:pt idx="45">
                  <c:v>3.2525900000000001</c:v>
                </c:pt>
                <c:pt idx="46">
                  <c:v>3.2363</c:v>
                </c:pt>
                <c:pt idx="47">
                  <c:v>3.2202700000000002</c:v>
                </c:pt>
                <c:pt idx="48">
                  <c:v>3.2000600000000001</c:v>
                </c:pt>
                <c:pt idx="49">
                  <c:v>3.17699</c:v>
                </c:pt>
                <c:pt idx="50">
                  <c:v>3.1565099999999999</c:v>
                </c:pt>
                <c:pt idx="51">
                  <c:v>3.13964</c:v>
                </c:pt>
                <c:pt idx="52">
                  <c:v>3.12819</c:v>
                </c:pt>
                <c:pt idx="53">
                  <c:v>3.1206200000000002</c:v>
                </c:pt>
                <c:pt idx="54">
                  <c:v>3.11795</c:v>
                </c:pt>
                <c:pt idx="55">
                  <c:v>3.1186199999999999</c:v>
                </c:pt>
                <c:pt idx="56">
                  <c:v>3.1205500000000002</c:v>
                </c:pt>
                <c:pt idx="57">
                  <c:v>3.12453</c:v>
                </c:pt>
                <c:pt idx="58">
                  <c:v>3.1300299999999996</c:v>
                </c:pt>
                <c:pt idx="59">
                  <c:v>3.1360900000000003</c:v>
                </c:pt>
                <c:pt idx="60">
                  <c:v>3.14506</c:v>
                </c:pt>
                <c:pt idx="61">
                  <c:v>3.1550000000000002</c:v>
                </c:pt>
                <c:pt idx="62">
                  <c:v>3.1633299999999998</c:v>
                </c:pt>
                <c:pt idx="63">
                  <c:v>3.1711899999999997</c:v>
                </c:pt>
                <c:pt idx="64">
                  <c:v>3.1771199999999999</c:v>
                </c:pt>
                <c:pt idx="65">
                  <c:v>3.1838199999999999</c:v>
                </c:pt>
                <c:pt idx="66">
                  <c:v>3.18933</c:v>
                </c:pt>
                <c:pt idx="67">
                  <c:v>3.1952999999999996</c:v>
                </c:pt>
                <c:pt idx="68">
                  <c:v>3.20533</c:v>
                </c:pt>
                <c:pt idx="69">
                  <c:v>3.2170800000000002</c:v>
                </c:pt>
                <c:pt idx="70">
                  <c:v>3.2278899999999999</c:v>
                </c:pt>
                <c:pt idx="71">
                  <c:v>3.23936</c:v>
                </c:pt>
                <c:pt idx="72">
                  <c:v>3.2508300000000001</c:v>
                </c:pt>
                <c:pt idx="73">
                  <c:v>3.2577800000000003</c:v>
                </c:pt>
                <c:pt idx="74">
                  <c:v>3.2621199999999999</c:v>
                </c:pt>
                <c:pt idx="75">
                  <c:v>3.2656099999999997</c:v>
                </c:pt>
                <c:pt idx="76">
                  <c:v>3.2693499999999998</c:v>
                </c:pt>
                <c:pt idx="77">
                  <c:v>3.2729799999999996</c:v>
                </c:pt>
                <c:pt idx="78">
                  <c:v>3.2798400000000001</c:v>
                </c:pt>
                <c:pt idx="79">
                  <c:v>3.2894800000000002</c:v>
                </c:pt>
                <c:pt idx="80">
                  <c:v>3.2993899999999998</c:v>
                </c:pt>
                <c:pt idx="81">
                  <c:v>3.31162</c:v>
                </c:pt>
                <c:pt idx="82">
                  <c:v>3.3278300000000001</c:v>
                </c:pt>
                <c:pt idx="83">
                  <c:v>3.34843</c:v>
                </c:pt>
                <c:pt idx="84">
                  <c:v>3.3730700000000002</c:v>
                </c:pt>
                <c:pt idx="85">
                  <c:v>3.3992099999999996</c:v>
                </c:pt>
                <c:pt idx="86">
                  <c:v>3.4265400000000001</c:v>
                </c:pt>
                <c:pt idx="87">
                  <c:v>3.45208</c:v>
                </c:pt>
                <c:pt idx="88">
                  <c:v>3.4768700000000003</c:v>
                </c:pt>
                <c:pt idx="89">
                  <c:v>3.5008400000000002</c:v>
                </c:pt>
                <c:pt idx="90">
                  <c:v>3.5244599999999999</c:v>
                </c:pt>
                <c:pt idx="91">
                  <c:v>3.5491999999999999</c:v>
                </c:pt>
                <c:pt idx="92">
                  <c:v>3.57375</c:v>
                </c:pt>
                <c:pt idx="93">
                  <c:v>3.5990199999999999</c:v>
                </c:pt>
                <c:pt idx="94">
                  <c:v>3.6244800000000001</c:v>
                </c:pt>
                <c:pt idx="95">
                  <c:v>3.6531799999999999</c:v>
                </c:pt>
                <c:pt idx="96">
                  <c:v>3.6832599999999998</c:v>
                </c:pt>
                <c:pt idx="97">
                  <c:v>3.7139800000000003</c:v>
                </c:pt>
                <c:pt idx="98">
                  <c:v>3.74552</c:v>
                </c:pt>
                <c:pt idx="99">
                  <c:v>3.7765900000000001</c:v>
                </c:pt>
                <c:pt idx="100">
                  <c:v>3.8079800000000001</c:v>
                </c:pt>
                <c:pt idx="101">
                  <c:v>3.8378800000000002</c:v>
                </c:pt>
                <c:pt idx="102">
                  <c:v>3.8628499999999999</c:v>
                </c:pt>
                <c:pt idx="103">
                  <c:v>3.8817400000000002</c:v>
                </c:pt>
                <c:pt idx="104">
                  <c:v>3.8966799999999999</c:v>
                </c:pt>
                <c:pt idx="105">
                  <c:v>3.9093899999999997</c:v>
                </c:pt>
                <c:pt idx="106">
                  <c:v>3.9192100000000001</c:v>
                </c:pt>
                <c:pt idx="107">
                  <c:v>3.9253100000000001</c:v>
                </c:pt>
                <c:pt idx="108">
                  <c:v>3.92706</c:v>
                </c:pt>
                <c:pt idx="109">
                  <c:v>3.92517</c:v>
                </c:pt>
                <c:pt idx="110">
                  <c:v>3.9201700000000002</c:v>
                </c:pt>
                <c:pt idx="111">
                  <c:v>3.9120700000000004</c:v>
                </c:pt>
                <c:pt idx="112">
                  <c:v>3.9028900000000002</c:v>
                </c:pt>
                <c:pt idx="113">
                  <c:v>3.8928699999999998</c:v>
                </c:pt>
                <c:pt idx="114">
                  <c:v>3.8815300000000001</c:v>
                </c:pt>
                <c:pt idx="115">
                  <c:v>3.8695200000000001</c:v>
                </c:pt>
                <c:pt idx="116">
                  <c:v>3.8565300000000002</c:v>
                </c:pt>
                <c:pt idx="117">
                  <c:v>3.8434200000000001</c:v>
                </c:pt>
                <c:pt idx="118">
                  <c:v>3.8288600000000002</c:v>
                </c:pt>
                <c:pt idx="119">
                  <c:v>3.8131700000000004</c:v>
                </c:pt>
                <c:pt idx="120">
                  <c:v>3.7957999999999998</c:v>
                </c:pt>
                <c:pt idx="121">
                  <c:v>3.77658</c:v>
                </c:pt>
                <c:pt idx="122">
                  <c:v>3.7546900000000001</c:v>
                </c:pt>
                <c:pt idx="123">
                  <c:v>3.7355300000000002</c:v>
                </c:pt>
                <c:pt idx="124">
                  <c:v>3.71976</c:v>
                </c:pt>
                <c:pt idx="125">
                  <c:v>3.7019400000000005</c:v>
                </c:pt>
                <c:pt idx="126">
                  <c:v>3.6839200000000001</c:v>
                </c:pt>
                <c:pt idx="127">
                  <c:v>3.6695499999999996</c:v>
                </c:pt>
                <c:pt idx="128">
                  <c:v>3.6593</c:v>
                </c:pt>
                <c:pt idx="129">
                  <c:v>3.6513400000000003</c:v>
                </c:pt>
                <c:pt idx="130">
                  <c:v>3.6452800000000001</c:v>
                </c:pt>
                <c:pt idx="131">
                  <c:v>3.6405599999999998</c:v>
                </c:pt>
                <c:pt idx="132">
                  <c:v>3.63713</c:v>
                </c:pt>
                <c:pt idx="133">
                  <c:v>3.6354899999999999</c:v>
                </c:pt>
                <c:pt idx="134">
                  <c:v>3.63334</c:v>
                </c:pt>
                <c:pt idx="135">
                  <c:v>3.6306899999999995</c:v>
                </c:pt>
                <c:pt idx="136">
                  <c:v>3.6288999999999998</c:v>
                </c:pt>
                <c:pt idx="137">
                  <c:v>3.6301099999999997</c:v>
                </c:pt>
                <c:pt idx="138">
                  <c:v>3.6317399999999997</c:v>
                </c:pt>
                <c:pt idx="139">
                  <c:v>3.6374899999999997</c:v>
                </c:pt>
                <c:pt idx="140">
                  <c:v>3.6437199999999996</c:v>
                </c:pt>
                <c:pt idx="141">
                  <c:v>3.6485300000000001</c:v>
                </c:pt>
                <c:pt idx="142">
                  <c:v>3.6513499999999999</c:v>
                </c:pt>
                <c:pt idx="143">
                  <c:v>3.65679</c:v>
                </c:pt>
                <c:pt idx="144">
                  <c:v>3.6640899999999998</c:v>
                </c:pt>
                <c:pt idx="145">
                  <c:v>3.6598700000000002</c:v>
                </c:pt>
                <c:pt idx="146">
                  <c:v>3.657</c:v>
                </c:pt>
                <c:pt idx="147">
                  <c:v>3.6727599999999998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60.566200000000002</c:v>
                </c:pt>
                <c:pt idx="1">
                  <c:v>59.7136</c:v>
                </c:pt>
                <c:pt idx="2">
                  <c:v>58.682000000000002</c:v>
                </c:pt>
                <c:pt idx="3">
                  <c:v>57.4848</c:v>
                </c:pt>
                <c:pt idx="4">
                  <c:v>56.180500000000002</c:v>
                </c:pt>
                <c:pt idx="5">
                  <c:v>54.831300000000006</c:v>
                </c:pt>
                <c:pt idx="6">
                  <c:v>53.502499999999998</c:v>
                </c:pt>
                <c:pt idx="7">
                  <c:v>52.224899999999998</c:v>
                </c:pt>
                <c:pt idx="8">
                  <c:v>50.905999999999999</c:v>
                </c:pt>
                <c:pt idx="9">
                  <c:v>49.486599999999996</c:v>
                </c:pt>
                <c:pt idx="10">
                  <c:v>48.208800000000004</c:v>
                </c:pt>
                <c:pt idx="11">
                  <c:v>47.0563</c:v>
                </c:pt>
                <c:pt idx="12">
                  <c:v>45.879399999999997</c:v>
                </c:pt>
                <c:pt idx="13">
                  <c:v>44.7395</c:v>
                </c:pt>
                <c:pt idx="14">
                  <c:v>43.674199999999999</c:v>
                </c:pt>
                <c:pt idx="15">
                  <c:v>42.540099999999995</c:v>
                </c:pt>
                <c:pt idx="16">
                  <c:v>41.529899999999998</c:v>
                </c:pt>
                <c:pt idx="17">
                  <c:v>40.742400000000004</c:v>
                </c:pt>
                <c:pt idx="18">
                  <c:v>40.032400000000003</c:v>
                </c:pt>
                <c:pt idx="19">
                  <c:v>39.343600000000002</c:v>
                </c:pt>
                <c:pt idx="20">
                  <c:v>38.738900000000001</c:v>
                </c:pt>
                <c:pt idx="21">
                  <c:v>38.139899999999997</c:v>
                </c:pt>
                <c:pt idx="22">
                  <c:v>37.591799999999999</c:v>
                </c:pt>
                <c:pt idx="23">
                  <c:v>37.011099999999999</c:v>
                </c:pt>
                <c:pt idx="24">
                  <c:v>36.440300000000001</c:v>
                </c:pt>
                <c:pt idx="25">
                  <c:v>35.901899999999998</c:v>
                </c:pt>
                <c:pt idx="26">
                  <c:v>35.392600000000002</c:v>
                </c:pt>
                <c:pt idx="27">
                  <c:v>34.901499999999999</c:v>
                </c:pt>
                <c:pt idx="28">
                  <c:v>34.499299999999998</c:v>
                </c:pt>
                <c:pt idx="29">
                  <c:v>34.079700000000003</c:v>
                </c:pt>
                <c:pt idx="30">
                  <c:v>33.618400000000001</c:v>
                </c:pt>
                <c:pt idx="31">
                  <c:v>33.140099999999997</c:v>
                </c:pt>
                <c:pt idx="32">
                  <c:v>32.713300000000004</c:v>
                </c:pt>
                <c:pt idx="33">
                  <c:v>32.406500000000001</c:v>
                </c:pt>
                <c:pt idx="34">
                  <c:v>32.170100000000005</c:v>
                </c:pt>
                <c:pt idx="35">
                  <c:v>31.9757</c:v>
                </c:pt>
                <c:pt idx="36">
                  <c:v>31.7668</c:v>
                </c:pt>
                <c:pt idx="37">
                  <c:v>31.699400000000001</c:v>
                </c:pt>
                <c:pt idx="38">
                  <c:v>31.722299999999997</c:v>
                </c:pt>
                <c:pt idx="39">
                  <c:v>31.804100000000002</c:v>
                </c:pt>
                <c:pt idx="40">
                  <c:v>32.017000000000003</c:v>
                </c:pt>
                <c:pt idx="41">
                  <c:v>32.209299999999999</c:v>
                </c:pt>
                <c:pt idx="42">
                  <c:v>32.340000000000003</c:v>
                </c:pt>
                <c:pt idx="43">
                  <c:v>32.564700000000002</c:v>
                </c:pt>
                <c:pt idx="44">
                  <c:v>32.787399999999998</c:v>
                </c:pt>
                <c:pt idx="45">
                  <c:v>33.022100000000002</c:v>
                </c:pt>
                <c:pt idx="46">
                  <c:v>33.311900000000001</c:v>
                </c:pt>
                <c:pt idx="47">
                  <c:v>33.537499999999994</c:v>
                </c:pt>
                <c:pt idx="48">
                  <c:v>33.782600000000002</c:v>
                </c:pt>
                <c:pt idx="49">
                  <c:v>34.060099999999998</c:v>
                </c:pt>
                <c:pt idx="50">
                  <c:v>34.290900000000001</c:v>
                </c:pt>
                <c:pt idx="51">
                  <c:v>34.497999999999998</c:v>
                </c:pt>
                <c:pt idx="52">
                  <c:v>34.633000000000003</c:v>
                </c:pt>
                <c:pt idx="53">
                  <c:v>34.765299999999996</c:v>
                </c:pt>
                <c:pt idx="54">
                  <c:v>34.888599999999997</c:v>
                </c:pt>
                <c:pt idx="55">
                  <c:v>35.0274</c:v>
                </c:pt>
                <c:pt idx="56">
                  <c:v>35.140599999999999</c:v>
                </c:pt>
                <c:pt idx="57">
                  <c:v>35.242899999999999</c:v>
                </c:pt>
                <c:pt idx="58">
                  <c:v>35.330199999999998</c:v>
                </c:pt>
                <c:pt idx="59">
                  <c:v>35.380299999999998</c:v>
                </c:pt>
                <c:pt idx="60">
                  <c:v>35.327100000000002</c:v>
                </c:pt>
                <c:pt idx="61">
                  <c:v>35.337899999999998</c:v>
                </c:pt>
                <c:pt idx="62">
                  <c:v>35.369099999999996</c:v>
                </c:pt>
                <c:pt idx="63">
                  <c:v>35.388799999999996</c:v>
                </c:pt>
                <c:pt idx="64">
                  <c:v>35.418100000000003</c:v>
                </c:pt>
                <c:pt idx="65">
                  <c:v>35.451000000000001</c:v>
                </c:pt>
                <c:pt idx="66">
                  <c:v>35.469799999999999</c:v>
                </c:pt>
                <c:pt idx="67">
                  <c:v>35.442900000000002</c:v>
                </c:pt>
                <c:pt idx="68">
                  <c:v>35.436099999999996</c:v>
                </c:pt>
                <c:pt idx="69">
                  <c:v>35.446600000000004</c:v>
                </c:pt>
                <c:pt idx="70">
                  <c:v>35.455199999999998</c:v>
                </c:pt>
                <c:pt idx="71">
                  <c:v>35.477499999999999</c:v>
                </c:pt>
                <c:pt idx="72">
                  <c:v>35.603400000000001</c:v>
                </c:pt>
                <c:pt idx="73">
                  <c:v>35.802399999999999</c:v>
                </c:pt>
                <c:pt idx="74">
                  <c:v>35.972300000000004</c:v>
                </c:pt>
                <c:pt idx="75">
                  <c:v>36.1875</c:v>
                </c:pt>
                <c:pt idx="76">
                  <c:v>36.392699999999998</c:v>
                </c:pt>
                <c:pt idx="77">
                  <c:v>36.5212</c:v>
                </c:pt>
                <c:pt idx="78">
                  <c:v>36.600100000000005</c:v>
                </c:pt>
                <c:pt idx="79">
                  <c:v>36.717799999999997</c:v>
                </c:pt>
                <c:pt idx="80">
                  <c:v>36.9358</c:v>
                </c:pt>
                <c:pt idx="81">
                  <c:v>37.140599999999999</c:v>
                </c:pt>
                <c:pt idx="82">
                  <c:v>37.308700000000002</c:v>
                </c:pt>
                <c:pt idx="83">
                  <c:v>37.429200000000002</c:v>
                </c:pt>
                <c:pt idx="84">
                  <c:v>37.498199999999997</c:v>
                </c:pt>
                <c:pt idx="85">
                  <c:v>37.645000000000003</c:v>
                </c:pt>
                <c:pt idx="86">
                  <c:v>37.801099999999998</c:v>
                </c:pt>
                <c:pt idx="87">
                  <c:v>37.981300000000005</c:v>
                </c:pt>
                <c:pt idx="88">
                  <c:v>38.167200000000001</c:v>
                </c:pt>
                <c:pt idx="89">
                  <c:v>38.339800000000004</c:v>
                </c:pt>
                <c:pt idx="90">
                  <c:v>38.524500000000003</c:v>
                </c:pt>
                <c:pt idx="91">
                  <c:v>38.7121</c:v>
                </c:pt>
                <c:pt idx="92">
                  <c:v>38.915199999999999</c:v>
                </c:pt>
                <c:pt idx="93">
                  <c:v>39.031999999999996</c:v>
                </c:pt>
                <c:pt idx="94">
                  <c:v>39.174799999999998</c:v>
                </c:pt>
                <c:pt idx="95">
                  <c:v>39.235199999999999</c:v>
                </c:pt>
                <c:pt idx="96">
                  <c:v>39.316499999999998</c:v>
                </c:pt>
                <c:pt idx="97">
                  <c:v>39.297900000000006</c:v>
                </c:pt>
                <c:pt idx="98">
                  <c:v>39.377899999999997</c:v>
                </c:pt>
                <c:pt idx="99">
                  <c:v>39.473500000000001</c:v>
                </c:pt>
                <c:pt idx="100">
                  <c:v>39.610399999999998</c:v>
                </c:pt>
                <c:pt idx="101">
                  <c:v>39.752600000000001</c:v>
                </c:pt>
                <c:pt idx="102">
                  <c:v>39.943400000000004</c:v>
                </c:pt>
                <c:pt idx="103">
                  <c:v>40.034700000000001</c:v>
                </c:pt>
                <c:pt idx="104">
                  <c:v>40.018700000000003</c:v>
                </c:pt>
                <c:pt idx="105">
                  <c:v>39.886600000000001</c:v>
                </c:pt>
                <c:pt idx="106">
                  <c:v>39.7164</c:v>
                </c:pt>
                <c:pt idx="107">
                  <c:v>39.449400000000004</c:v>
                </c:pt>
                <c:pt idx="108">
                  <c:v>39.084699999999998</c:v>
                </c:pt>
                <c:pt idx="109">
                  <c:v>38.709600000000002</c:v>
                </c:pt>
                <c:pt idx="110">
                  <c:v>38.216899999999995</c:v>
                </c:pt>
                <c:pt idx="111">
                  <c:v>37.670400000000001</c:v>
                </c:pt>
                <c:pt idx="112">
                  <c:v>37.052900000000001</c:v>
                </c:pt>
                <c:pt idx="113">
                  <c:v>36.4527</c:v>
                </c:pt>
                <c:pt idx="114">
                  <c:v>35.868299999999998</c:v>
                </c:pt>
                <c:pt idx="115">
                  <c:v>35.287800000000004</c:v>
                </c:pt>
                <c:pt idx="116">
                  <c:v>34.793600000000005</c:v>
                </c:pt>
                <c:pt idx="117">
                  <c:v>34.349299999999999</c:v>
                </c:pt>
                <c:pt idx="118">
                  <c:v>33.949300000000001</c:v>
                </c:pt>
                <c:pt idx="119">
                  <c:v>33.592799999999997</c:v>
                </c:pt>
                <c:pt idx="120">
                  <c:v>33.3474</c:v>
                </c:pt>
                <c:pt idx="121">
                  <c:v>33.145499999999998</c:v>
                </c:pt>
                <c:pt idx="122">
                  <c:v>33.042999999999999</c:v>
                </c:pt>
                <c:pt idx="123">
                  <c:v>32.978499999999997</c:v>
                </c:pt>
                <c:pt idx="124">
                  <c:v>32.842700000000001</c:v>
                </c:pt>
                <c:pt idx="125">
                  <c:v>32.710099999999997</c:v>
                </c:pt>
                <c:pt idx="126">
                  <c:v>32.640900000000002</c:v>
                </c:pt>
                <c:pt idx="127">
                  <c:v>32.576899999999995</c:v>
                </c:pt>
                <c:pt idx="128">
                  <c:v>32.558100000000003</c:v>
                </c:pt>
                <c:pt idx="129">
                  <c:v>32.564399999999999</c:v>
                </c:pt>
                <c:pt idx="130">
                  <c:v>32.579700000000003</c:v>
                </c:pt>
                <c:pt idx="131">
                  <c:v>32.611699999999999</c:v>
                </c:pt>
                <c:pt idx="132">
                  <c:v>32.681399999999996</c:v>
                </c:pt>
                <c:pt idx="133">
                  <c:v>32.774000000000001</c:v>
                </c:pt>
                <c:pt idx="134">
                  <c:v>32.846899999999998</c:v>
                </c:pt>
                <c:pt idx="135">
                  <c:v>32.976499999999994</c:v>
                </c:pt>
                <c:pt idx="136">
                  <c:v>33.1068</c:v>
                </c:pt>
                <c:pt idx="137">
                  <c:v>33.332599999999999</c:v>
                </c:pt>
                <c:pt idx="138">
                  <c:v>33.578499999999998</c:v>
                </c:pt>
                <c:pt idx="139">
                  <c:v>33.877600000000001</c:v>
                </c:pt>
                <c:pt idx="140">
                  <c:v>34.166999999999994</c:v>
                </c:pt>
                <c:pt idx="141">
                  <c:v>34.380500000000005</c:v>
                </c:pt>
                <c:pt idx="142">
                  <c:v>34.613500000000002</c:v>
                </c:pt>
                <c:pt idx="143">
                  <c:v>34.936099999999996</c:v>
                </c:pt>
                <c:pt idx="144">
                  <c:v>35.193799999999996</c:v>
                </c:pt>
                <c:pt idx="145">
                  <c:v>35.5002</c:v>
                </c:pt>
                <c:pt idx="146">
                  <c:v>35.695399999999999</c:v>
                </c:pt>
                <c:pt idx="147">
                  <c:v>36.179899999999996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2.0219800000000001</c:v>
                </c:pt>
                <c:pt idx="1">
                  <c:v>2.0805199999999999</c:v>
                </c:pt>
                <c:pt idx="2">
                  <c:v>2.1417900000000003</c:v>
                </c:pt>
                <c:pt idx="3">
                  <c:v>2.20208</c:v>
                </c:pt>
                <c:pt idx="4">
                  <c:v>2.26166</c:v>
                </c:pt>
                <c:pt idx="5">
                  <c:v>2.3198699999999999</c:v>
                </c:pt>
                <c:pt idx="6">
                  <c:v>2.37826</c:v>
                </c:pt>
                <c:pt idx="7">
                  <c:v>2.4355099999999998</c:v>
                </c:pt>
                <c:pt idx="8">
                  <c:v>2.4931900000000002</c:v>
                </c:pt>
                <c:pt idx="9">
                  <c:v>2.5531999999999999</c:v>
                </c:pt>
                <c:pt idx="10">
                  <c:v>2.6117900000000001</c:v>
                </c:pt>
                <c:pt idx="11">
                  <c:v>2.6692399999999998</c:v>
                </c:pt>
                <c:pt idx="12">
                  <c:v>2.7260800000000001</c:v>
                </c:pt>
                <c:pt idx="13">
                  <c:v>2.7814299999999998</c:v>
                </c:pt>
                <c:pt idx="14">
                  <c:v>2.8367900000000001</c:v>
                </c:pt>
                <c:pt idx="15">
                  <c:v>2.8927199999999997</c:v>
                </c:pt>
                <c:pt idx="16">
                  <c:v>2.9479199999999999</c:v>
                </c:pt>
                <c:pt idx="17">
                  <c:v>3.00176</c:v>
                </c:pt>
                <c:pt idx="18">
                  <c:v>3.0491800000000002</c:v>
                </c:pt>
                <c:pt idx="19">
                  <c:v>3.0898300000000001</c:v>
                </c:pt>
                <c:pt idx="20">
                  <c:v>3.1283400000000001</c:v>
                </c:pt>
                <c:pt idx="21">
                  <c:v>3.1676900000000003</c:v>
                </c:pt>
                <c:pt idx="22">
                  <c:v>3.2048100000000002</c:v>
                </c:pt>
                <c:pt idx="23">
                  <c:v>3.2437</c:v>
                </c:pt>
                <c:pt idx="24">
                  <c:v>3.2808299999999999</c:v>
                </c:pt>
                <c:pt idx="25">
                  <c:v>3.3124399999999996</c:v>
                </c:pt>
                <c:pt idx="26">
                  <c:v>3.3384</c:v>
                </c:pt>
                <c:pt idx="27">
                  <c:v>3.3569800000000001</c:v>
                </c:pt>
                <c:pt idx="28">
                  <c:v>3.3712900000000001</c:v>
                </c:pt>
                <c:pt idx="29">
                  <c:v>3.3795299999999999</c:v>
                </c:pt>
                <c:pt idx="30">
                  <c:v>3.3842600000000003</c:v>
                </c:pt>
                <c:pt idx="31">
                  <c:v>3.3867799999999999</c:v>
                </c:pt>
                <c:pt idx="32">
                  <c:v>3.38686</c:v>
                </c:pt>
                <c:pt idx="33">
                  <c:v>3.3832899999999997</c:v>
                </c:pt>
                <c:pt idx="34">
                  <c:v>3.3750799999999996</c:v>
                </c:pt>
                <c:pt idx="35">
                  <c:v>3.3652500000000001</c:v>
                </c:pt>
                <c:pt idx="36">
                  <c:v>3.3547799999999999</c:v>
                </c:pt>
                <c:pt idx="37">
                  <c:v>3.34476</c:v>
                </c:pt>
                <c:pt idx="38">
                  <c:v>3.3351700000000002</c:v>
                </c:pt>
                <c:pt idx="39">
                  <c:v>3.32606</c:v>
                </c:pt>
                <c:pt idx="40">
                  <c:v>3.3138899999999998</c:v>
                </c:pt>
                <c:pt idx="41">
                  <c:v>3.30138</c:v>
                </c:pt>
                <c:pt idx="42">
                  <c:v>3.2891599999999999</c:v>
                </c:pt>
                <c:pt idx="43">
                  <c:v>3.2753800000000002</c:v>
                </c:pt>
                <c:pt idx="44">
                  <c:v>3.2636599999999998</c:v>
                </c:pt>
                <c:pt idx="45">
                  <c:v>3.2525900000000001</c:v>
                </c:pt>
                <c:pt idx="46">
                  <c:v>3.2363</c:v>
                </c:pt>
                <c:pt idx="47">
                  <c:v>3.2202700000000002</c:v>
                </c:pt>
                <c:pt idx="48">
                  <c:v>3.2000600000000001</c:v>
                </c:pt>
                <c:pt idx="49">
                  <c:v>3.17699</c:v>
                </c:pt>
                <c:pt idx="50">
                  <c:v>3.1565099999999999</c:v>
                </c:pt>
                <c:pt idx="51">
                  <c:v>3.13964</c:v>
                </c:pt>
                <c:pt idx="52">
                  <c:v>3.12819</c:v>
                </c:pt>
                <c:pt idx="53">
                  <c:v>3.1206200000000002</c:v>
                </c:pt>
                <c:pt idx="54">
                  <c:v>3.11795</c:v>
                </c:pt>
                <c:pt idx="55">
                  <c:v>3.1186199999999999</c:v>
                </c:pt>
                <c:pt idx="56">
                  <c:v>3.1205500000000002</c:v>
                </c:pt>
                <c:pt idx="57">
                  <c:v>3.12453</c:v>
                </c:pt>
                <c:pt idx="58">
                  <c:v>3.1300299999999996</c:v>
                </c:pt>
                <c:pt idx="59">
                  <c:v>3.1360900000000003</c:v>
                </c:pt>
                <c:pt idx="60">
                  <c:v>3.14506</c:v>
                </c:pt>
                <c:pt idx="61">
                  <c:v>3.1550000000000002</c:v>
                </c:pt>
                <c:pt idx="62">
                  <c:v>3.1633299999999998</c:v>
                </c:pt>
                <c:pt idx="63">
                  <c:v>3.1711899999999997</c:v>
                </c:pt>
                <c:pt idx="64">
                  <c:v>3.1771199999999999</c:v>
                </c:pt>
                <c:pt idx="65">
                  <c:v>3.1838199999999999</c:v>
                </c:pt>
                <c:pt idx="66">
                  <c:v>3.18933</c:v>
                </c:pt>
                <c:pt idx="67">
                  <c:v>3.1952999999999996</c:v>
                </c:pt>
                <c:pt idx="68">
                  <c:v>3.20533</c:v>
                </c:pt>
                <c:pt idx="69">
                  <c:v>3.2170800000000002</c:v>
                </c:pt>
                <c:pt idx="70">
                  <c:v>3.2278899999999999</c:v>
                </c:pt>
                <c:pt idx="71">
                  <c:v>3.23936</c:v>
                </c:pt>
                <c:pt idx="72">
                  <c:v>3.2508300000000001</c:v>
                </c:pt>
                <c:pt idx="73">
                  <c:v>3.2577800000000003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60.566200000000002</c:v>
                </c:pt>
                <c:pt idx="1">
                  <c:v>59.7136</c:v>
                </c:pt>
                <c:pt idx="2">
                  <c:v>58.682000000000002</c:v>
                </c:pt>
                <c:pt idx="3">
                  <c:v>57.4848</c:v>
                </c:pt>
                <c:pt idx="4">
                  <c:v>56.180500000000002</c:v>
                </c:pt>
                <c:pt idx="5">
                  <c:v>54.831300000000006</c:v>
                </c:pt>
                <c:pt idx="6">
                  <c:v>53.502499999999998</c:v>
                </c:pt>
                <c:pt idx="7">
                  <c:v>52.224899999999998</c:v>
                </c:pt>
                <c:pt idx="8">
                  <c:v>50.905999999999999</c:v>
                </c:pt>
                <c:pt idx="9">
                  <c:v>49.486599999999996</c:v>
                </c:pt>
                <c:pt idx="10">
                  <c:v>48.208800000000004</c:v>
                </c:pt>
                <c:pt idx="11">
                  <c:v>47.0563</c:v>
                </c:pt>
                <c:pt idx="12">
                  <c:v>45.879399999999997</c:v>
                </c:pt>
                <c:pt idx="13">
                  <c:v>44.7395</c:v>
                </c:pt>
                <c:pt idx="14">
                  <c:v>43.674199999999999</c:v>
                </c:pt>
                <c:pt idx="15">
                  <c:v>42.540099999999995</c:v>
                </c:pt>
                <c:pt idx="16">
                  <c:v>41.529899999999998</c:v>
                </c:pt>
                <c:pt idx="17">
                  <c:v>40.742400000000004</c:v>
                </c:pt>
                <c:pt idx="18">
                  <c:v>40.032400000000003</c:v>
                </c:pt>
                <c:pt idx="19">
                  <c:v>39.343600000000002</c:v>
                </c:pt>
                <c:pt idx="20">
                  <c:v>38.738900000000001</c:v>
                </c:pt>
                <c:pt idx="21">
                  <c:v>38.139899999999997</c:v>
                </c:pt>
                <c:pt idx="22">
                  <c:v>37.591799999999999</c:v>
                </c:pt>
                <c:pt idx="23">
                  <c:v>37.011099999999999</c:v>
                </c:pt>
                <c:pt idx="24">
                  <c:v>36.440300000000001</c:v>
                </c:pt>
                <c:pt idx="25">
                  <c:v>35.901899999999998</c:v>
                </c:pt>
                <c:pt idx="26">
                  <c:v>35.392600000000002</c:v>
                </c:pt>
                <c:pt idx="27">
                  <c:v>34.901499999999999</c:v>
                </c:pt>
                <c:pt idx="28">
                  <c:v>34.499299999999998</c:v>
                </c:pt>
                <c:pt idx="29">
                  <c:v>34.079700000000003</c:v>
                </c:pt>
                <c:pt idx="30">
                  <c:v>33.618400000000001</c:v>
                </c:pt>
                <c:pt idx="31">
                  <c:v>33.140099999999997</c:v>
                </c:pt>
                <c:pt idx="32">
                  <c:v>32.713300000000004</c:v>
                </c:pt>
                <c:pt idx="33">
                  <c:v>32.406500000000001</c:v>
                </c:pt>
                <c:pt idx="34">
                  <c:v>32.170100000000005</c:v>
                </c:pt>
                <c:pt idx="35">
                  <c:v>31.9757</c:v>
                </c:pt>
                <c:pt idx="36">
                  <c:v>31.7668</c:v>
                </c:pt>
                <c:pt idx="37">
                  <c:v>31.699400000000001</c:v>
                </c:pt>
                <c:pt idx="38">
                  <c:v>31.722299999999997</c:v>
                </c:pt>
                <c:pt idx="39">
                  <c:v>31.804100000000002</c:v>
                </c:pt>
                <c:pt idx="40">
                  <c:v>32.017000000000003</c:v>
                </c:pt>
                <c:pt idx="41">
                  <c:v>32.209299999999999</c:v>
                </c:pt>
                <c:pt idx="42">
                  <c:v>32.340000000000003</c:v>
                </c:pt>
                <c:pt idx="43">
                  <c:v>32.564700000000002</c:v>
                </c:pt>
                <c:pt idx="44">
                  <c:v>32.787399999999998</c:v>
                </c:pt>
                <c:pt idx="45">
                  <c:v>33.022100000000002</c:v>
                </c:pt>
                <c:pt idx="46">
                  <c:v>33.311900000000001</c:v>
                </c:pt>
                <c:pt idx="47">
                  <c:v>33.537499999999994</c:v>
                </c:pt>
                <c:pt idx="48">
                  <c:v>33.782600000000002</c:v>
                </c:pt>
                <c:pt idx="49">
                  <c:v>34.060099999999998</c:v>
                </c:pt>
                <c:pt idx="50">
                  <c:v>34.290900000000001</c:v>
                </c:pt>
                <c:pt idx="51">
                  <c:v>34.497999999999998</c:v>
                </c:pt>
                <c:pt idx="52">
                  <c:v>34.633000000000003</c:v>
                </c:pt>
                <c:pt idx="53">
                  <c:v>34.765299999999996</c:v>
                </c:pt>
                <c:pt idx="54">
                  <c:v>34.888599999999997</c:v>
                </c:pt>
                <c:pt idx="55">
                  <c:v>35.0274</c:v>
                </c:pt>
                <c:pt idx="56">
                  <c:v>35.140599999999999</c:v>
                </c:pt>
                <c:pt idx="57">
                  <c:v>35.242899999999999</c:v>
                </c:pt>
                <c:pt idx="58">
                  <c:v>35.330199999999998</c:v>
                </c:pt>
                <c:pt idx="59">
                  <c:v>35.380299999999998</c:v>
                </c:pt>
                <c:pt idx="60">
                  <c:v>35.327100000000002</c:v>
                </c:pt>
                <c:pt idx="61">
                  <c:v>35.337899999999998</c:v>
                </c:pt>
                <c:pt idx="62">
                  <c:v>35.369099999999996</c:v>
                </c:pt>
                <c:pt idx="63">
                  <c:v>35.388799999999996</c:v>
                </c:pt>
                <c:pt idx="64">
                  <c:v>35.418100000000003</c:v>
                </c:pt>
                <c:pt idx="65">
                  <c:v>35.451000000000001</c:v>
                </c:pt>
                <c:pt idx="66">
                  <c:v>35.469799999999999</c:v>
                </c:pt>
                <c:pt idx="67">
                  <c:v>35.442900000000002</c:v>
                </c:pt>
                <c:pt idx="68">
                  <c:v>35.436099999999996</c:v>
                </c:pt>
                <c:pt idx="69">
                  <c:v>35.446600000000004</c:v>
                </c:pt>
                <c:pt idx="70">
                  <c:v>35.455199999999998</c:v>
                </c:pt>
                <c:pt idx="71">
                  <c:v>35.477499999999999</c:v>
                </c:pt>
                <c:pt idx="72">
                  <c:v>35.603400000000001</c:v>
                </c:pt>
                <c:pt idx="73">
                  <c:v>35.802399999999999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3.2577800000000003</c:v>
                </c:pt>
                <c:pt idx="1">
                  <c:v>3.2621199999999999</c:v>
                </c:pt>
                <c:pt idx="2">
                  <c:v>3.2656099999999997</c:v>
                </c:pt>
                <c:pt idx="3">
                  <c:v>3.2693499999999998</c:v>
                </c:pt>
                <c:pt idx="4">
                  <c:v>3.2729799999999996</c:v>
                </c:pt>
                <c:pt idx="5">
                  <c:v>3.2798400000000001</c:v>
                </c:pt>
                <c:pt idx="6">
                  <c:v>3.2894800000000002</c:v>
                </c:pt>
                <c:pt idx="7">
                  <c:v>3.2993899999999998</c:v>
                </c:pt>
                <c:pt idx="8">
                  <c:v>3.31162</c:v>
                </c:pt>
                <c:pt idx="9">
                  <c:v>3.3278300000000001</c:v>
                </c:pt>
                <c:pt idx="10">
                  <c:v>3.34843</c:v>
                </c:pt>
                <c:pt idx="11">
                  <c:v>3.3730700000000002</c:v>
                </c:pt>
                <c:pt idx="12">
                  <c:v>3.3992099999999996</c:v>
                </c:pt>
                <c:pt idx="13">
                  <c:v>3.4265400000000001</c:v>
                </c:pt>
                <c:pt idx="14">
                  <c:v>3.45208</c:v>
                </c:pt>
                <c:pt idx="15">
                  <c:v>3.4768700000000003</c:v>
                </c:pt>
                <c:pt idx="16">
                  <c:v>3.5008400000000002</c:v>
                </c:pt>
                <c:pt idx="17">
                  <c:v>3.5244599999999999</c:v>
                </c:pt>
                <c:pt idx="18">
                  <c:v>3.5491999999999999</c:v>
                </c:pt>
                <c:pt idx="19">
                  <c:v>3.57375</c:v>
                </c:pt>
                <c:pt idx="20">
                  <c:v>3.5990199999999999</c:v>
                </c:pt>
                <c:pt idx="21">
                  <c:v>3.6244800000000001</c:v>
                </c:pt>
                <c:pt idx="22">
                  <c:v>3.6531799999999999</c:v>
                </c:pt>
                <c:pt idx="23">
                  <c:v>3.6832599999999998</c:v>
                </c:pt>
                <c:pt idx="24">
                  <c:v>3.7139800000000003</c:v>
                </c:pt>
                <c:pt idx="25">
                  <c:v>3.74552</c:v>
                </c:pt>
                <c:pt idx="26">
                  <c:v>3.7765900000000001</c:v>
                </c:pt>
                <c:pt idx="27">
                  <c:v>3.8079800000000001</c:v>
                </c:pt>
                <c:pt idx="28">
                  <c:v>3.8378800000000002</c:v>
                </c:pt>
                <c:pt idx="29">
                  <c:v>3.8628499999999999</c:v>
                </c:pt>
                <c:pt idx="30">
                  <c:v>3.8817400000000002</c:v>
                </c:pt>
                <c:pt idx="31">
                  <c:v>3.8966799999999999</c:v>
                </c:pt>
                <c:pt idx="32">
                  <c:v>3.9093899999999997</c:v>
                </c:pt>
                <c:pt idx="33">
                  <c:v>3.9192100000000001</c:v>
                </c:pt>
                <c:pt idx="34">
                  <c:v>3.9253100000000001</c:v>
                </c:pt>
                <c:pt idx="35">
                  <c:v>3.92706</c:v>
                </c:pt>
                <c:pt idx="36">
                  <c:v>3.92517</c:v>
                </c:pt>
                <c:pt idx="37">
                  <c:v>3.9201700000000002</c:v>
                </c:pt>
                <c:pt idx="38">
                  <c:v>3.9120700000000004</c:v>
                </c:pt>
                <c:pt idx="39">
                  <c:v>3.9028900000000002</c:v>
                </c:pt>
                <c:pt idx="40">
                  <c:v>3.8928699999999998</c:v>
                </c:pt>
                <c:pt idx="41">
                  <c:v>3.8815300000000001</c:v>
                </c:pt>
                <c:pt idx="42">
                  <c:v>3.8695200000000001</c:v>
                </c:pt>
                <c:pt idx="43">
                  <c:v>3.8565300000000002</c:v>
                </c:pt>
                <c:pt idx="44">
                  <c:v>3.8434200000000001</c:v>
                </c:pt>
                <c:pt idx="45">
                  <c:v>3.8288600000000002</c:v>
                </c:pt>
                <c:pt idx="46">
                  <c:v>3.8131700000000004</c:v>
                </c:pt>
                <c:pt idx="47">
                  <c:v>3.7957999999999998</c:v>
                </c:pt>
                <c:pt idx="48">
                  <c:v>3.77658</c:v>
                </c:pt>
                <c:pt idx="49">
                  <c:v>3.7546900000000001</c:v>
                </c:pt>
                <c:pt idx="50">
                  <c:v>3.7355300000000002</c:v>
                </c:pt>
                <c:pt idx="51">
                  <c:v>3.71976</c:v>
                </c:pt>
                <c:pt idx="52">
                  <c:v>3.7019400000000005</c:v>
                </c:pt>
                <c:pt idx="53">
                  <c:v>3.6839200000000001</c:v>
                </c:pt>
                <c:pt idx="54">
                  <c:v>3.6695499999999996</c:v>
                </c:pt>
                <c:pt idx="55">
                  <c:v>3.6593</c:v>
                </c:pt>
                <c:pt idx="56">
                  <c:v>3.6513400000000003</c:v>
                </c:pt>
                <c:pt idx="57">
                  <c:v>3.6452800000000001</c:v>
                </c:pt>
                <c:pt idx="58">
                  <c:v>3.6405599999999998</c:v>
                </c:pt>
                <c:pt idx="59">
                  <c:v>3.63713</c:v>
                </c:pt>
                <c:pt idx="60">
                  <c:v>3.6354899999999999</c:v>
                </c:pt>
                <c:pt idx="61">
                  <c:v>3.63334</c:v>
                </c:pt>
                <c:pt idx="62">
                  <c:v>3.6306899999999995</c:v>
                </c:pt>
                <c:pt idx="63">
                  <c:v>3.6288999999999998</c:v>
                </c:pt>
                <c:pt idx="64">
                  <c:v>3.6301099999999997</c:v>
                </c:pt>
                <c:pt idx="65">
                  <c:v>3.6317399999999997</c:v>
                </c:pt>
                <c:pt idx="66">
                  <c:v>3.6374899999999997</c:v>
                </c:pt>
                <c:pt idx="67">
                  <c:v>3.6437199999999996</c:v>
                </c:pt>
                <c:pt idx="68">
                  <c:v>3.6485300000000001</c:v>
                </c:pt>
                <c:pt idx="69">
                  <c:v>3.6513499999999999</c:v>
                </c:pt>
                <c:pt idx="70">
                  <c:v>3.65679</c:v>
                </c:pt>
                <c:pt idx="71">
                  <c:v>3.6640899999999998</c:v>
                </c:pt>
                <c:pt idx="72">
                  <c:v>3.6598700000000002</c:v>
                </c:pt>
                <c:pt idx="73">
                  <c:v>3.657</c:v>
                </c:pt>
                <c:pt idx="74">
                  <c:v>3.6727599999999998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35.802399999999999</c:v>
                </c:pt>
                <c:pt idx="1">
                  <c:v>35.972300000000004</c:v>
                </c:pt>
                <c:pt idx="2">
                  <c:v>36.1875</c:v>
                </c:pt>
                <c:pt idx="3">
                  <c:v>36.392699999999998</c:v>
                </c:pt>
                <c:pt idx="4">
                  <c:v>36.5212</c:v>
                </c:pt>
                <c:pt idx="5">
                  <c:v>36.600100000000005</c:v>
                </c:pt>
                <c:pt idx="6">
                  <c:v>36.717799999999997</c:v>
                </c:pt>
                <c:pt idx="7">
                  <c:v>36.9358</c:v>
                </c:pt>
                <c:pt idx="8">
                  <c:v>37.140599999999999</c:v>
                </c:pt>
                <c:pt idx="9">
                  <c:v>37.308700000000002</c:v>
                </c:pt>
                <c:pt idx="10">
                  <c:v>37.429200000000002</c:v>
                </c:pt>
                <c:pt idx="11">
                  <c:v>37.498199999999997</c:v>
                </c:pt>
                <c:pt idx="12">
                  <c:v>37.645000000000003</c:v>
                </c:pt>
                <c:pt idx="13">
                  <c:v>37.801099999999998</c:v>
                </c:pt>
                <c:pt idx="14">
                  <c:v>37.981300000000005</c:v>
                </c:pt>
                <c:pt idx="15">
                  <c:v>38.167200000000001</c:v>
                </c:pt>
                <c:pt idx="16">
                  <c:v>38.339800000000004</c:v>
                </c:pt>
                <c:pt idx="17">
                  <c:v>38.524500000000003</c:v>
                </c:pt>
                <c:pt idx="18">
                  <c:v>38.7121</c:v>
                </c:pt>
                <c:pt idx="19">
                  <c:v>38.915199999999999</c:v>
                </c:pt>
                <c:pt idx="20">
                  <c:v>39.031999999999996</c:v>
                </c:pt>
                <c:pt idx="21">
                  <c:v>39.174799999999998</c:v>
                </c:pt>
                <c:pt idx="22">
                  <c:v>39.235199999999999</c:v>
                </c:pt>
                <c:pt idx="23">
                  <c:v>39.316499999999998</c:v>
                </c:pt>
                <c:pt idx="24">
                  <c:v>39.297900000000006</c:v>
                </c:pt>
                <c:pt idx="25">
                  <c:v>39.377899999999997</c:v>
                </c:pt>
                <c:pt idx="26">
                  <c:v>39.473500000000001</c:v>
                </c:pt>
                <c:pt idx="27">
                  <c:v>39.610399999999998</c:v>
                </c:pt>
                <c:pt idx="28">
                  <c:v>39.752600000000001</c:v>
                </c:pt>
                <c:pt idx="29">
                  <c:v>39.943400000000004</c:v>
                </c:pt>
                <c:pt idx="30">
                  <c:v>40.034700000000001</c:v>
                </c:pt>
                <c:pt idx="31">
                  <c:v>40.018700000000003</c:v>
                </c:pt>
                <c:pt idx="32">
                  <c:v>39.886600000000001</c:v>
                </c:pt>
                <c:pt idx="33">
                  <c:v>39.7164</c:v>
                </c:pt>
                <c:pt idx="34">
                  <c:v>39.449400000000004</c:v>
                </c:pt>
                <c:pt idx="35">
                  <c:v>39.084699999999998</c:v>
                </c:pt>
                <c:pt idx="36">
                  <c:v>38.709600000000002</c:v>
                </c:pt>
                <c:pt idx="37">
                  <c:v>38.216899999999995</c:v>
                </c:pt>
                <c:pt idx="38">
                  <c:v>37.670400000000001</c:v>
                </c:pt>
                <c:pt idx="39">
                  <c:v>37.052900000000001</c:v>
                </c:pt>
                <c:pt idx="40">
                  <c:v>36.4527</c:v>
                </c:pt>
                <c:pt idx="41">
                  <c:v>35.868299999999998</c:v>
                </c:pt>
                <c:pt idx="42">
                  <c:v>35.287800000000004</c:v>
                </c:pt>
                <c:pt idx="43">
                  <c:v>34.793600000000005</c:v>
                </c:pt>
                <c:pt idx="44">
                  <c:v>34.349299999999999</c:v>
                </c:pt>
                <c:pt idx="45">
                  <c:v>33.949300000000001</c:v>
                </c:pt>
                <c:pt idx="46">
                  <c:v>33.592799999999997</c:v>
                </c:pt>
                <c:pt idx="47">
                  <c:v>33.3474</c:v>
                </c:pt>
                <c:pt idx="48">
                  <c:v>33.145499999999998</c:v>
                </c:pt>
                <c:pt idx="49">
                  <c:v>33.042999999999999</c:v>
                </c:pt>
                <c:pt idx="50">
                  <c:v>32.978499999999997</c:v>
                </c:pt>
                <c:pt idx="51">
                  <c:v>32.842700000000001</c:v>
                </c:pt>
                <c:pt idx="52">
                  <c:v>32.710099999999997</c:v>
                </c:pt>
                <c:pt idx="53">
                  <c:v>32.640900000000002</c:v>
                </c:pt>
                <c:pt idx="54">
                  <c:v>32.576899999999995</c:v>
                </c:pt>
                <c:pt idx="55">
                  <c:v>32.558100000000003</c:v>
                </c:pt>
                <c:pt idx="56">
                  <c:v>32.564399999999999</c:v>
                </c:pt>
                <c:pt idx="57">
                  <c:v>32.579700000000003</c:v>
                </c:pt>
                <c:pt idx="58">
                  <c:v>32.611699999999999</c:v>
                </c:pt>
                <c:pt idx="59">
                  <c:v>32.681399999999996</c:v>
                </c:pt>
                <c:pt idx="60">
                  <c:v>32.774000000000001</c:v>
                </c:pt>
                <c:pt idx="61">
                  <c:v>32.846899999999998</c:v>
                </c:pt>
                <c:pt idx="62">
                  <c:v>32.976499999999994</c:v>
                </c:pt>
                <c:pt idx="63">
                  <c:v>33.1068</c:v>
                </c:pt>
                <c:pt idx="64">
                  <c:v>33.332599999999999</c:v>
                </c:pt>
                <c:pt idx="65">
                  <c:v>33.578499999999998</c:v>
                </c:pt>
                <c:pt idx="66">
                  <c:v>33.877600000000001</c:v>
                </c:pt>
                <c:pt idx="67">
                  <c:v>34.166999999999994</c:v>
                </c:pt>
                <c:pt idx="68">
                  <c:v>34.380500000000005</c:v>
                </c:pt>
                <c:pt idx="69">
                  <c:v>34.613500000000002</c:v>
                </c:pt>
                <c:pt idx="70">
                  <c:v>34.936099999999996</c:v>
                </c:pt>
                <c:pt idx="71">
                  <c:v>35.193799999999996</c:v>
                </c:pt>
                <c:pt idx="72">
                  <c:v>35.5002</c:v>
                </c:pt>
                <c:pt idx="73">
                  <c:v>35.695399999999999</c:v>
                </c:pt>
                <c:pt idx="74">
                  <c:v>36.179899999999996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2.0219800000000001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60.566200000000002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3.0611071621621635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38.490464864864862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3.6535979729729728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36.197002702702697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3.6535979729729728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36.197002702702697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515</v>
      </c>
      <c r="D5" s="151"/>
      <c r="E5" s="151"/>
      <c r="F5" s="152"/>
      <c r="G5" s="48" t="str">
        <f>lang!B27</f>
        <v>编号</v>
      </c>
      <c r="H5" s="150">
        <v>54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514</v>
      </c>
      <c r="D6" s="188"/>
      <c r="E6" s="188"/>
      <c r="F6" s="189"/>
      <c r="G6" s="49" t="str">
        <f>lang!B28</f>
        <v xml:space="preserve"> 日期</v>
      </c>
      <c r="H6" s="172">
        <f>FH_info!A2</f>
        <v>43607.688993055555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31</v>
      </c>
      <c r="D7" s="191"/>
      <c r="E7" s="191"/>
      <c r="F7" s="192"/>
      <c r="G7" s="50" t="str">
        <f>lang!B29</f>
        <v>误差率（%）</v>
      </c>
      <c r="H7" s="175">
        <f>M!B17*1</f>
        <v>18.646000000000001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40.038600000000002</v>
      </c>
      <c r="O8" s="59">
        <f>M!C5*1</f>
        <v>8.1635899999999992</v>
      </c>
      <c r="P8" s="59">
        <f>M!D5*1</f>
        <v>20.389299999999999</v>
      </c>
      <c r="Q8" s="59">
        <f>M!E5*1</f>
        <v>20</v>
      </c>
      <c r="R8" s="59">
        <f>M!F5*1</f>
        <v>10.5411</v>
      </c>
      <c r="S8" s="59">
        <f>M!G5*1</f>
        <v>50</v>
      </c>
      <c r="T8" s="59">
        <f>M!H5*1</f>
        <v>46.803699999999999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20.5425</v>
      </c>
      <c r="O9" s="59">
        <f>M!C6*1</f>
        <v>3.2856100000000001</v>
      </c>
      <c r="P9" s="59">
        <f>M!D6*1</f>
        <v>15.994199999999999</v>
      </c>
      <c r="Q9" s="59">
        <f>M!E6*1</f>
        <v>20</v>
      </c>
      <c r="R9" s="59">
        <f>M!F6*1</f>
        <v>17.740600000000001</v>
      </c>
      <c r="S9" s="59">
        <f>M!G6*1</f>
        <v>40</v>
      </c>
      <c r="T9" s="59">
        <f>M!H6*1</f>
        <v>29.121500000000001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10.5411</v>
      </c>
      <c r="D10" s="99">
        <f>N8</f>
        <v>40.038600000000002</v>
      </c>
      <c r="E10" s="100">
        <f>T8</f>
        <v>46.803699999999999</v>
      </c>
      <c r="F10" s="91">
        <f>P8</f>
        <v>20.389299999999999</v>
      </c>
      <c r="G10" s="81" t="str">
        <f>CONCATENATE(M9,"
(20 ~ 40)")</f>
        <v>压力
(20 ~ 40)</v>
      </c>
      <c r="H10" s="98">
        <f>R9</f>
        <v>17.740600000000001</v>
      </c>
      <c r="I10" s="108">
        <f>N9</f>
        <v>20.5425</v>
      </c>
      <c r="J10" s="98">
        <f>T9</f>
        <v>29.121500000000001</v>
      </c>
      <c r="K10" s="92">
        <f>P9</f>
        <v>15.994199999999999</v>
      </c>
      <c r="L10" s="6"/>
      <c r="M10" s="27" t="str">
        <f>lang!B16</f>
        <v>焦虑</v>
      </c>
      <c r="N10" s="59">
        <f>M!B7*1</f>
        <v>21.092700000000001</v>
      </c>
      <c r="O10" s="59">
        <f>M!C7*1</f>
        <v>9.1834100000000003</v>
      </c>
      <c r="P10" s="59">
        <f>M!D7*1</f>
        <v>43.5383</v>
      </c>
      <c r="Q10" s="59">
        <f>M!E7*1</f>
        <v>15</v>
      </c>
      <c r="R10" s="59">
        <f>M!F7*1</f>
        <v>6.1706399999999997</v>
      </c>
      <c r="S10" s="59">
        <f>M!G7*1</f>
        <v>40</v>
      </c>
      <c r="T10" s="59">
        <f>M!H7*1</f>
        <v>47.417099999999998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6.1706399999999997</v>
      </c>
      <c r="D11" s="102">
        <f>N10</f>
        <v>21.092700000000001</v>
      </c>
      <c r="E11" s="103">
        <f>T10</f>
        <v>47.417099999999998</v>
      </c>
      <c r="F11" s="94">
        <f>P10</f>
        <v>43.5383</v>
      </c>
      <c r="G11" s="52" t="str">
        <f>CONCATENATE(M11,"
(20 ~ 50)")</f>
        <v>可疑
(20 ~ 50)</v>
      </c>
      <c r="H11" s="101">
        <f>R11</f>
        <v>17.792400000000001</v>
      </c>
      <c r="I11" s="104">
        <f>N11</f>
        <v>27.467099999999999</v>
      </c>
      <c r="J11" s="101">
        <f>T11</f>
        <v>34.947000000000003</v>
      </c>
      <c r="K11" s="95">
        <f>P11</f>
        <v>15.6045</v>
      </c>
      <c r="L11" s="4"/>
      <c r="M11" s="27" t="str">
        <f>lang!B17</f>
        <v>可疑</v>
      </c>
      <c r="N11" s="59">
        <f>M!B8*1</f>
        <v>27.467099999999999</v>
      </c>
      <c r="O11" s="59">
        <f>M!C8*1</f>
        <v>4.2860899999999997</v>
      </c>
      <c r="P11" s="59">
        <f>M!D8*1</f>
        <v>15.6045</v>
      </c>
      <c r="Q11" s="59">
        <f>M!E8*1</f>
        <v>20</v>
      </c>
      <c r="R11" s="59">
        <f>M!F8*1</f>
        <v>17.792400000000001</v>
      </c>
      <c r="S11" s="59">
        <f>M!G8*1</f>
        <v>50</v>
      </c>
      <c r="T11" s="59">
        <f>M!H8*1</f>
        <v>34.947000000000003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35.0779</v>
      </c>
      <c r="D12" s="104">
        <f>N12</f>
        <v>54.133800000000001</v>
      </c>
      <c r="E12" s="101">
        <f>T12</f>
        <v>80.151600000000002</v>
      </c>
      <c r="F12" s="93">
        <f>P12</f>
        <v>15.9237</v>
      </c>
      <c r="G12" s="52" t="str">
        <f>CONCATENATE(M13,"
(40 ~ 100)")</f>
        <v>自信
(40 ~ 100)</v>
      </c>
      <c r="H12" s="101">
        <f>R13</f>
        <v>77.861500000000007</v>
      </c>
      <c r="I12" s="104">
        <f>N13</f>
        <v>83.9709</v>
      </c>
      <c r="J12" s="101">
        <f>T13</f>
        <v>87.52</v>
      </c>
      <c r="K12" s="95">
        <f>P13</f>
        <v>2.4457599999999999</v>
      </c>
      <c r="L12" s="4"/>
      <c r="M12" s="27" t="str">
        <f>lang!B18</f>
        <v>平衡</v>
      </c>
      <c r="N12" s="59">
        <f>M!B9*1</f>
        <v>54.133800000000001</v>
      </c>
      <c r="O12" s="59">
        <f>M!C9*1</f>
        <v>8.6201100000000004</v>
      </c>
      <c r="P12" s="59">
        <f>M!D9*1</f>
        <v>15.9237</v>
      </c>
      <c r="Q12" s="59">
        <f>M!E9*1</f>
        <v>50</v>
      </c>
      <c r="R12" s="59">
        <f>M!F9*1</f>
        <v>35.0779</v>
      </c>
      <c r="S12" s="59">
        <f>M!G9*1</f>
        <v>100</v>
      </c>
      <c r="T12" s="59">
        <f>M!H9*1</f>
        <v>80.151600000000002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7.0060099999999998</v>
      </c>
      <c r="D13" s="102">
        <f>N14</f>
        <v>20.112100000000002</v>
      </c>
      <c r="E13" s="103">
        <f>T14</f>
        <v>29.243200000000002</v>
      </c>
      <c r="F13" s="94">
        <f>P14</f>
        <v>21.948599999999999</v>
      </c>
      <c r="G13" s="52" t="str">
        <f>CONCATENATE(M15,"
(50 ~ 100)")</f>
        <v>自我调节
(50 ~ 100)</v>
      </c>
      <c r="H13" s="101">
        <f>R15</f>
        <v>59.977499999999999</v>
      </c>
      <c r="I13" s="104">
        <f>N15</f>
        <v>68.492900000000006</v>
      </c>
      <c r="J13" s="101">
        <f>T15</f>
        <v>82.939400000000006</v>
      </c>
      <c r="K13" s="95">
        <f>P15</f>
        <v>6.1072100000000002</v>
      </c>
      <c r="L13" s="4"/>
      <c r="M13" s="27" t="str">
        <f>lang!B19</f>
        <v>自信</v>
      </c>
      <c r="N13" s="59">
        <f>M!B10*1</f>
        <v>83.9709</v>
      </c>
      <c r="O13" s="59">
        <f>M!C10*1</f>
        <v>2.0537299999999998</v>
      </c>
      <c r="P13" s="59">
        <f>M!D10*1</f>
        <v>2.4457599999999999</v>
      </c>
      <c r="Q13" s="59">
        <f>M!E10*1</f>
        <v>40</v>
      </c>
      <c r="R13" s="59">
        <f>M!F10*1</f>
        <v>77.861500000000007</v>
      </c>
      <c r="S13" s="59">
        <f>M!G10*1</f>
        <v>100</v>
      </c>
      <c r="T13" s="59">
        <f>M!H10*1</f>
        <v>87.52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15.2934</v>
      </c>
      <c r="D14" s="106">
        <f>N16</f>
        <v>22.969899999999999</v>
      </c>
      <c r="E14" s="107">
        <f>T16</f>
        <v>35.353299999999997</v>
      </c>
      <c r="F14" s="96">
        <f>P16</f>
        <v>12.4237</v>
      </c>
      <c r="G14" s="112" t="str">
        <f>CONCATENATE(M17,"
(10 ~ 50)")</f>
        <v>神经质
(10 ~ 50)</v>
      </c>
      <c r="H14" s="105">
        <f>R17</f>
        <v>0.27739999999999998</v>
      </c>
      <c r="I14" s="106">
        <f>N17</f>
        <v>28.537099999999999</v>
      </c>
      <c r="J14" s="107">
        <f>T17</f>
        <v>31.2027</v>
      </c>
      <c r="K14" s="97">
        <f>P17</f>
        <v>32.084200000000003</v>
      </c>
      <c r="M14" s="27" t="str">
        <f>lang!B20</f>
        <v>活力</v>
      </c>
      <c r="N14" s="59">
        <f>M!B11*1</f>
        <v>20.112100000000002</v>
      </c>
      <c r="O14" s="59">
        <f>M!C11*1</f>
        <v>4.4143400000000002</v>
      </c>
      <c r="P14" s="59">
        <f>M!D11*1</f>
        <v>21.948599999999999</v>
      </c>
      <c r="Q14" s="59">
        <f>M!E11*1</f>
        <v>10</v>
      </c>
      <c r="R14" s="59">
        <f>M!F11*1</f>
        <v>7.0060099999999998</v>
      </c>
      <c r="S14" s="59">
        <f>M!G11*1</f>
        <v>50</v>
      </c>
      <c r="T14" s="59">
        <f>M!H11*1</f>
        <v>29.243200000000002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68.492900000000006</v>
      </c>
      <c r="O15" s="59">
        <f>M!C12*1</f>
        <v>4.1830100000000003</v>
      </c>
      <c r="P15" s="59">
        <f>M!D12*1</f>
        <v>6.1072100000000002</v>
      </c>
      <c r="Q15" s="59">
        <f>M!E12*1</f>
        <v>50</v>
      </c>
      <c r="R15" s="59">
        <f>M!F12*1</f>
        <v>59.977499999999999</v>
      </c>
      <c r="S15" s="59">
        <f>M!G12*1</f>
        <v>100</v>
      </c>
      <c r="T15" s="59">
        <f>M!H12*1</f>
        <v>82.939400000000006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22.969899999999999</v>
      </c>
      <c r="O16" s="59">
        <f>M!C13*1</f>
        <v>2.85371</v>
      </c>
      <c r="P16" s="59">
        <f>M!D13*1</f>
        <v>12.4237</v>
      </c>
      <c r="Q16" s="59">
        <f>M!E13*1</f>
        <v>10</v>
      </c>
      <c r="R16" s="59">
        <f>M!F13*1</f>
        <v>15.2934</v>
      </c>
      <c r="S16" s="59">
        <f>M!G13*1</f>
        <v>25</v>
      </c>
      <c r="T16" s="59">
        <f>M!H13*1</f>
        <v>35.353299999999997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28.537099999999999</v>
      </c>
      <c r="O17" s="59">
        <f>M!C14*1</f>
        <v>9.1559100000000004</v>
      </c>
      <c r="P17" s="59">
        <f>M!D14*1</f>
        <v>32.084200000000003</v>
      </c>
      <c r="Q17" s="59">
        <f>M!E14*1</f>
        <v>10</v>
      </c>
      <c r="R17" s="59">
        <f>M!F14*1</f>
        <v>0.27739999999999998</v>
      </c>
      <c r="S17" s="59">
        <f>M!G14*1</f>
        <v>50</v>
      </c>
      <c r="T17" s="59">
        <f>M!H14*1</f>
        <v>31.2027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56.677424999999999</v>
      </c>
      <c r="O18" s="22">
        <f>N18/(N18+N19+N20)</f>
        <v>0.51658233541734744</v>
      </c>
      <c r="P18" s="65">
        <f>SUM(P12:P15)/4</f>
        <v>11.606317500000001</v>
      </c>
      <c r="Q18" s="22">
        <f>P18/(P18+P19+P20)</f>
        <v>0.20100358764963208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27.285225000000001</v>
      </c>
      <c r="O19" s="22">
        <f>N19/(N18+N19+N20)</f>
        <v>0.24868923125720324</v>
      </c>
      <c r="P19" s="18">
        <f>SUM(P8:P11)/4</f>
        <v>23.881574999999998</v>
      </c>
      <c r="Q19" s="22">
        <f>P19/(P18+P19+P20)</f>
        <v>0.41359218836842615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25.753499999999999</v>
      </c>
      <c r="O20" s="22">
        <f>N20/(N18+N19+N20)</f>
        <v>0.23472843332544935</v>
      </c>
      <c r="P20" s="18">
        <f>(P16+P17)/2</f>
        <v>22.253950000000003</v>
      </c>
      <c r="Q20" s="22">
        <f>P20/(P18+P19+P20)</f>
        <v>0.38540422398194174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-8.2183702702702643E-2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1.636122202989716</v>
      </c>
      <c r="D25" s="44" t="str">
        <f>lang!B11</f>
        <v>频率方差</v>
      </c>
      <c r="E25" s="142">
        <f ca="1">FH!L3</f>
        <v>0.66118809831906999</v>
      </c>
      <c r="F25" s="143"/>
      <c r="G25" s="134" t="str">
        <f>lang!B12</f>
        <v>生理变化率</v>
      </c>
      <c r="H25" s="135"/>
      <c r="I25" s="62" t="str">
        <f ca="1">CONCATENATE(info!M7,"-",info!M8)</f>
        <v>31.7-60.6</v>
      </c>
      <c r="J25" s="42" t="str">
        <f>lang!B13</f>
        <v>千卡l/分钟</v>
      </c>
      <c r="K25" s="41" t="str">
        <f ca="1">CONCATENATE(info!M5,"-",info!M6)</f>
        <v>2-3.9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45.943199999999997</v>
      </c>
      <c r="F28" s="164"/>
      <c r="G28" s="178" t="str">
        <f>lang!B33</f>
        <v>稳定性</v>
      </c>
      <c r="H28" s="179"/>
      <c r="I28" s="180"/>
      <c r="J28" s="181">
        <f>M!B19*100</f>
        <v>66.270799999999994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43607.688993055555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-0.37259999999999849</v>
      </c>
      <c r="O7" s="59">
        <f t="shared" ref="O7:T7" si="2">AG7-X7</f>
        <v>-8.22879</v>
      </c>
      <c r="P7" s="59">
        <f t="shared" si="2"/>
        <v>-20.479690000000002</v>
      </c>
      <c r="Q7" s="59">
        <f t="shared" si="2"/>
        <v>0</v>
      </c>
      <c r="R7" s="59">
        <f t="shared" si="2"/>
        <v>25.952599999999997</v>
      </c>
      <c r="S7" s="59">
        <f t="shared" si="2"/>
        <v>0</v>
      </c>
      <c r="T7" s="59">
        <f t="shared" si="2"/>
        <v>-0.57580000000000098</v>
      </c>
      <c r="U7" s="14"/>
      <c r="V7" s="27" t="str">
        <f>M7</f>
        <v>攻击性</v>
      </c>
      <c r="W7" s="59">
        <f>'M1'!B5*1</f>
        <v>40.072299999999998</v>
      </c>
      <c r="X7" s="59">
        <f>'M1'!C5*1</f>
        <v>10.584899999999999</v>
      </c>
      <c r="Y7" s="59">
        <f>'M1'!D5*1</f>
        <v>26.4145</v>
      </c>
      <c r="Z7" s="59">
        <f>'M1'!E5*1</f>
        <v>20</v>
      </c>
      <c r="AA7" s="59">
        <f>'M1'!F5*1</f>
        <v>10.5411</v>
      </c>
      <c r="AB7" s="59">
        <f>'M1'!G5*1</f>
        <v>50</v>
      </c>
      <c r="AC7" s="59">
        <f>'M1'!H5*1</f>
        <v>46.803699999999999</v>
      </c>
      <c r="AE7" s="27" t="str">
        <f>V7</f>
        <v>攻击性</v>
      </c>
      <c r="AF7" s="59">
        <f>'M2'!B5*1</f>
        <v>39.6997</v>
      </c>
      <c r="AG7" s="59">
        <f>'M2'!C5*1</f>
        <v>2.3561100000000001</v>
      </c>
      <c r="AH7" s="59">
        <f>'M2'!D5*1</f>
        <v>5.9348099999999997</v>
      </c>
      <c r="AI7" s="59">
        <f>'M2'!E5*1</f>
        <v>20</v>
      </c>
      <c r="AJ7" s="59">
        <f>'M2'!F5*1</f>
        <v>36.493699999999997</v>
      </c>
      <c r="AK7" s="59">
        <f>'M2'!G5*1</f>
        <v>50</v>
      </c>
      <c r="AL7" s="59">
        <f>'M2'!H5*1</f>
        <v>46.227899999999998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-4.1931000000000012</v>
      </c>
      <c r="O8" s="59">
        <f t="shared" ref="O8:O16" si="5">AG8-X8</f>
        <v>-2.2995400000000004</v>
      </c>
      <c r="P8" s="59">
        <f t="shared" ref="P8:P16" si="6">AH8-Y8</f>
        <v>-8.3667400000000001</v>
      </c>
      <c r="Q8" s="59">
        <f t="shared" ref="Q8:Q16" si="7">AI8-Z8</f>
        <v>0</v>
      </c>
      <c r="R8" s="59">
        <f t="shared" ref="R8:R16" si="8">AJ8-AA8</f>
        <v>0.98740000000000094</v>
      </c>
      <c r="S8" s="59">
        <f t="shared" ref="S8:S16" si="9">AK8-AB8</f>
        <v>0</v>
      </c>
      <c r="T8" s="59">
        <f t="shared" ref="T8:T16" si="10">AL8-AC8</f>
        <v>-3.1063000000000009</v>
      </c>
      <c r="U8" s="15"/>
      <c r="V8" s="27" t="str">
        <f t="shared" ref="V8:V16" si="11">M8</f>
        <v>压力</v>
      </c>
      <c r="W8" s="59">
        <f>'M1'!B6*1</f>
        <v>24.2669</v>
      </c>
      <c r="X8" s="59">
        <f>'M1'!C6*1</f>
        <v>3.5882700000000001</v>
      </c>
      <c r="Y8" s="59">
        <f>'M1'!D6*1</f>
        <v>14.7867</v>
      </c>
      <c r="Z8" s="59">
        <f>'M1'!E6*1</f>
        <v>20</v>
      </c>
      <c r="AA8" s="59">
        <f>'M1'!F6*1</f>
        <v>17.740600000000001</v>
      </c>
      <c r="AB8" s="59">
        <f>'M1'!G6*1</f>
        <v>40</v>
      </c>
      <c r="AC8" s="59">
        <f>'M1'!H6*1</f>
        <v>29.121500000000001</v>
      </c>
      <c r="AE8" s="27" t="str">
        <f t="shared" ref="AE8:AE16" si="12">V8</f>
        <v>压力</v>
      </c>
      <c r="AF8" s="59">
        <f>'M2'!B6*1</f>
        <v>20.073799999999999</v>
      </c>
      <c r="AG8" s="59">
        <f>'M2'!C6*1</f>
        <v>1.2887299999999999</v>
      </c>
      <c r="AH8" s="59">
        <f>'M2'!D6*1</f>
        <v>6.4199599999999997</v>
      </c>
      <c r="AI8" s="59">
        <f>'M2'!E6*1</f>
        <v>20</v>
      </c>
      <c r="AJ8" s="59">
        <f>'M2'!F6*1</f>
        <v>18.728000000000002</v>
      </c>
      <c r="AK8" s="59">
        <f>'M2'!G6*1</f>
        <v>40</v>
      </c>
      <c r="AL8" s="59">
        <f>'M2'!H6*1</f>
        <v>26.0152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25.952599999999997</v>
      </c>
      <c r="D9" s="78">
        <f>N7</f>
        <v>-0.37259999999999849</v>
      </c>
      <c r="E9" s="79">
        <f>T7</f>
        <v>-0.57580000000000098</v>
      </c>
      <c r="F9" s="79">
        <f>P7</f>
        <v>-20.479690000000002</v>
      </c>
      <c r="G9" s="80" t="str">
        <f>CONCATENATE(M8,"
(20 ~ 40)")</f>
        <v>压力
(20 ~ 40)</v>
      </c>
      <c r="H9" s="77">
        <f>R8</f>
        <v>0.98740000000000094</v>
      </c>
      <c r="I9" s="81">
        <f>N8</f>
        <v>-4.1931000000000012</v>
      </c>
      <c r="J9" s="77">
        <f>T8</f>
        <v>-3.1063000000000009</v>
      </c>
      <c r="K9" s="82">
        <f>P8</f>
        <v>-8.3667400000000001</v>
      </c>
      <c r="L9" s="6"/>
      <c r="M9" s="27" t="str">
        <f>lang!B16</f>
        <v>焦虑</v>
      </c>
      <c r="N9" s="59">
        <f t="shared" si="4"/>
        <v>-4.0886000000000031</v>
      </c>
      <c r="O9" s="59">
        <f t="shared" si="5"/>
        <v>9.2962199999999999</v>
      </c>
      <c r="P9" s="59">
        <f t="shared" si="6"/>
        <v>56.804400000000001</v>
      </c>
      <c r="Q9" s="59">
        <f t="shared" si="7"/>
        <v>0</v>
      </c>
      <c r="R9" s="59">
        <f t="shared" si="8"/>
        <v>-8.7147600000000018</v>
      </c>
      <c r="S9" s="59">
        <f t="shared" si="9"/>
        <v>0</v>
      </c>
      <c r="T9" s="59">
        <f t="shared" si="10"/>
        <v>11.624600000000001</v>
      </c>
      <c r="U9" s="14"/>
      <c r="V9" s="27" t="str">
        <f t="shared" si="11"/>
        <v>焦虑</v>
      </c>
      <c r="W9" s="59">
        <f>'M1'!B7*1</f>
        <v>21.542100000000001</v>
      </c>
      <c r="X9" s="59">
        <f>'M1'!C7*1</f>
        <v>3.2568800000000002</v>
      </c>
      <c r="Y9" s="59">
        <f>'M1'!D7*1</f>
        <v>15.1187</v>
      </c>
      <c r="Z9" s="59">
        <f>'M1'!E7*1</f>
        <v>15</v>
      </c>
      <c r="AA9" s="59">
        <f>'M1'!F7*1</f>
        <v>14.885400000000001</v>
      </c>
      <c r="AB9" s="59">
        <f>'M1'!G7*1</f>
        <v>40</v>
      </c>
      <c r="AC9" s="59">
        <f>'M1'!H7*1</f>
        <v>35.792499999999997</v>
      </c>
      <c r="AE9" s="27" t="str">
        <f t="shared" si="12"/>
        <v>焦虑</v>
      </c>
      <c r="AF9" s="59">
        <f>'M2'!B7*1</f>
        <v>17.453499999999998</v>
      </c>
      <c r="AG9" s="59">
        <f>'M2'!C7*1</f>
        <v>12.553100000000001</v>
      </c>
      <c r="AH9" s="59">
        <f>'M2'!D7*1</f>
        <v>71.923100000000005</v>
      </c>
      <c r="AI9" s="59">
        <f>'M2'!E7*1</f>
        <v>15</v>
      </c>
      <c r="AJ9" s="59">
        <f>'M2'!F7*1</f>
        <v>6.1706399999999997</v>
      </c>
      <c r="AK9" s="59">
        <f>'M2'!G7*1</f>
        <v>40</v>
      </c>
      <c r="AL9" s="59">
        <f>'M2'!H7*1</f>
        <v>47.417099999999998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-8.7147600000000018</v>
      </c>
      <c r="D10" s="51">
        <f>N9</f>
        <v>-4.0886000000000031</v>
      </c>
      <c r="E10" s="53">
        <f>T9</f>
        <v>11.624600000000001</v>
      </c>
      <c r="F10" s="53">
        <f>P9</f>
        <v>56.804400000000001</v>
      </c>
      <c r="G10" s="73" t="str">
        <f>CONCATENATE(M10,"
(20 ~ 50)")</f>
        <v>可疑
(20 ~ 50)</v>
      </c>
      <c r="H10" s="24">
        <f>R10</f>
        <v>4.5624000000000002</v>
      </c>
      <c r="I10" s="52">
        <f>N10</f>
        <v>-2.6015000000000015</v>
      </c>
      <c r="J10" s="24">
        <f>T10</f>
        <v>3.6515000000000022</v>
      </c>
      <c r="K10" s="25">
        <f>P10</f>
        <v>-1.3435000000000006</v>
      </c>
      <c r="L10" s="4"/>
      <c r="M10" s="27" t="str">
        <f>lang!B17</f>
        <v>可疑</v>
      </c>
      <c r="N10" s="59">
        <f t="shared" si="4"/>
        <v>-2.6015000000000015</v>
      </c>
      <c r="O10" s="59">
        <f t="shared" si="5"/>
        <v>-0.77036999999999978</v>
      </c>
      <c r="P10" s="59">
        <f t="shared" si="6"/>
        <v>-1.3435000000000006</v>
      </c>
      <c r="Q10" s="59">
        <f t="shared" si="7"/>
        <v>0</v>
      </c>
      <c r="R10" s="59">
        <f t="shared" si="8"/>
        <v>4.5624000000000002</v>
      </c>
      <c r="S10" s="59">
        <f t="shared" si="9"/>
        <v>0</v>
      </c>
      <c r="T10" s="59">
        <f t="shared" si="10"/>
        <v>3.6515000000000022</v>
      </c>
      <c r="U10" s="14"/>
      <c r="V10" s="27" t="str">
        <f t="shared" si="11"/>
        <v>可疑</v>
      </c>
      <c r="W10" s="59">
        <f>'M1'!B8*1</f>
        <v>29.2468</v>
      </c>
      <c r="X10" s="59">
        <f>'M1'!C8*1</f>
        <v>4.6361999999999997</v>
      </c>
      <c r="Y10" s="59">
        <f>'M1'!D8*1</f>
        <v>15.852</v>
      </c>
      <c r="Z10" s="59">
        <f>'M1'!E8*1</f>
        <v>20</v>
      </c>
      <c r="AA10" s="59">
        <f>'M1'!F8*1</f>
        <v>17.792400000000001</v>
      </c>
      <c r="AB10" s="59">
        <f>'M1'!G8*1</f>
        <v>50</v>
      </c>
      <c r="AC10" s="59">
        <f>'M1'!H8*1</f>
        <v>31.295500000000001</v>
      </c>
      <c r="AE10" s="27" t="str">
        <f t="shared" si="12"/>
        <v>可疑</v>
      </c>
      <c r="AF10" s="59">
        <f>'M2'!B8*1</f>
        <v>26.645299999999999</v>
      </c>
      <c r="AG10" s="59">
        <f>'M2'!C8*1</f>
        <v>3.8658299999999999</v>
      </c>
      <c r="AH10" s="59">
        <f>'M2'!D8*1</f>
        <v>14.5085</v>
      </c>
      <c r="AI10" s="59">
        <f>'M2'!E8*1</f>
        <v>20</v>
      </c>
      <c r="AJ10" s="59">
        <f>'M2'!F8*1</f>
        <v>22.354800000000001</v>
      </c>
      <c r="AK10" s="59">
        <f>'M2'!G8*1</f>
        <v>50</v>
      </c>
      <c r="AL10" s="59">
        <f>'M2'!H8*1</f>
        <v>34.947000000000003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-13.280500000000004</v>
      </c>
      <c r="D11" s="52">
        <f>N11</f>
        <v>-6.6396999999999977</v>
      </c>
      <c r="E11" s="24">
        <f>T11</f>
        <v>-15.638100000000009</v>
      </c>
      <c r="F11" s="24">
        <f>P11</f>
        <v>1.0389999999999997</v>
      </c>
      <c r="G11" s="73" t="str">
        <f>CONCATENATE(M12,"
(40 ~ 100)")</f>
        <v>自信
(40 ~ 100)</v>
      </c>
      <c r="H11" s="24">
        <f>R12</f>
        <v>3.5131999999999977</v>
      </c>
      <c r="I11" s="52">
        <f>N12</f>
        <v>3.0087000000000046</v>
      </c>
      <c r="J11" s="24">
        <f>T12</f>
        <v>-1.0711000000000013</v>
      </c>
      <c r="K11" s="25">
        <f>P12</f>
        <v>-1.599156</v>
      </c>
      <c r="L11" s="4"/>
      <c r="M11" s="27" t="str">
        <f>lang!B18</f>
        <v>平衡</v>
      </c>
      <c r="N11" s="59">
        <f t="shared" si="4"/>
        <v>-6.6396999999999977</v>
      </c>
      <c r="O11" s="59">
        <f t="shared" si="5"/>
        <v>-0.35017000000000031</v>
      </c>
      <c r="P11" s="59">
        <f t="shared" si="6"/>
        <v>1.0389999999999997</v>
      </c>
      <c r="Q11" s="59">
        <f t="shared" si="7"/>
        <v>0</v>
      </c>
      <c r="R11" s="59">
        <f t="shared" si="8"/>
        <v>-13.280500000000004</v>
      </c>
      <c r="S11" s="59">
        <f t="shared" si="9"/>
        <v>0</v>
      </c>
      <c r="T11" s="59">
        <f t="shared" si="10"/>
        <v>-15.638100000000009</v>
      </c>
      <c r="U11" s="14"/>
      <c r="V11" s="27" t="str">
        <f t="shared" si="11"/>
        <v>平衡</v>
      </c>
      <c r="W11" s="59">
        <f>'M1'!B9*1</f>
        <v>56.543399999999998</v>
      </c>
      <c r="X11" s="59">
        <f>'M1'!C9*1</f>
        <v>7.3978900000000003</v>
      </c>
      <c r="Y11" s="59">
        <f>'M1'!D9*1</f>
        <v>13.083600000000001</v>
      </c>
      <c r="Z11" s="59">
        <f>'M1'!E9*1</f>
        <v>50</v>
      </c>
      <c r="AA11" s="59">
        <f>'M1'!F9*1</f>
        <v>48.358400000000003</v>
      </c>
      <c r="AB11" s="59">
        <f>'M1'!G9*1</f>
        <v>100</v>
      </c>
      <c r="AC11" s="59">
        <f>'M1'!H9*1</f>
        <v>80.151600000000002</v>
      </c>
      <c r="AE11" s="27" t="str">
        <f t="shared" si="12"/>
        <v>平衡</v>
      </c>
      <c r="AF11" s="59">
        <f>'M2'!B9*1</f>
        <v>49.903700000000001</v>
      </c>
      <c r="AG11" s="59">
        <f>'M2'!C9*1</f>
        <v>7.04772</v>
      </c>
      <c r="AH11" s="59">
        <f>'M2'!D9*1</f>
        <v>14.1226</v>
      </c>
      <c r="AI11" s="59">
        <f>'M2'!E9*1</f>
        <v>50</v>
      </c>
      <c r="AJ11" s="59">
        <f>'M2'!F9*1</f>
        <v>35.0779</v>
      </c>
      <c r="AK11" s="59">
        <f>'M2'!G9*1</f>
        <v>100</v>
      </c>
      <c r="AL11" s="59">
        <f>'M2'!H9*1</f>
        <v>64.513499999999993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10.032589999999999</v>
      </c>
      <c r="D12" s="51">
        <f>N13</f>
        <v>4.6203000000000003</v>
      </c>
      <c r="E12" s="53">
        <f>T13</f>
        <v>6.9487000000000023</v>
      </c>
      <c r="F12" s="53">
        <f>P13</f>
        <v>-3.8203000000000014</v>
      </c>
      <c r="G12" s="73" t="str">
        <f>CONCATENATE(M14,"
(50 ~ 100)")</f>
        <v>自我调节
(50 ~ 100)</v>
      </c>
      <c r="H12" s="24">
        <f>R14</f>
        <v>-4.5351999999999961</v>
      </c>
      <c r="I12" s="52">
        <f>N14</f>
        <v>-1.8100000000000023</v>
      </c>
      <c r="J12" s="24">
        <f>T14</f>
        <v>-9.6818000000000097</v>
      </c>
      <c r="K12" s="25">
        <f>P14</f>
        <v>-1.1819899999999999</v>
      </c>
      <c r="L12" s="4"/>
      <c r="M12" s="27" t="str">
        <f>lang!B19</f>
        <v>自信</v>
      </c>
      <c r="N12" s="59">
        <f t="shared" si="4"/>
        <v>3.0087000000000046</v>
      </c>
      <c r="O12" s="59">
        <f t="shared" si="5"/>
        <v>-1.278232</v>
      </c>
      <c r="P12" s="59">
        <f t="shared" si="6"/>
        <v>-1.599156</v>
      </c>
      <c r="Q12" s="59">
        <f t="shared" si="7"/>
        <v>0</v>
      </c>
      <c r="R12" s="59">
        <f t="shared" si="8"/>
        <v>3.5131999999999977</v>
      </c>
      <c r="S12" s="59">
        <f t="shared" si="9"/>
        <v>0</v>
      </c>
      <c r="T12" s="59">
        <f t="shared" si="10"/>
        <v>-1.0711000000000013</v>
      </c>
      <c r="U12" s="15"/>
      <c r="V12" s="27" t="str">
        <f t="shared" si="11"/>
        <v>自信</v>
      </c>
      <c r="W12" s="59">
        <f>'M1'!B10*1</f>
        <v>81.774699999999996</v>
      </c>
      <c r="X12" s="59">
        <f>'M1'!C10*1</f>
        <v>2.1087899999999999</v>
      </c>
      <c r="Y12" s="59">
        <f>'M1'!D10*1</f>
        <v>2.5787800000000001</v>
      </c>
      <c r="Z12" s="59">
        <f>'M1'!E10*1</f>
        <v>40</v>
      </c>
      <c r="AA12" s="59">
        <f>'M1'!F10*1</f>
        <v>77.861500000000007</v>
      </c>
      <c r="AB12" s="59">
        <f>'M1'!G10*1</f>
        <v>100</v>
      </c>
      <c r="AC12" s="59">
        <f>'M1'!H10*1</f>
        <v>87.52</v>
      </c>
      <c r="AE12" s="27" t="str">
        <f t="shared" si="12"/>
        <v>自信</v>
      </c>
      <c r="AF12" s="59">
        <f>'M2'!B10*1</f>
        <v>84.7834</v>
      </c>
      <c r="AG12" s="59">
        <f>'M2'!C10*1</f>
        <v>0.83055800000000002</v>
      </c>
      <c r="AH12" s="59">
        <f>'M2'!D10*1</f>
        <v>0.97962400000000005</v>
      </c>
      <c r="AI12" s="59">
        <f>'M2'!E10*1</f>
        <v>40</v>
      </c>
      <c r="AJ12" s="59">
        <f>'M2'!F10*1</f>
        <v>81.374700000000004</v>
      </c>
      <c r="AK12" s="59">
        <f>'M2'!G10*1</f>
        <v>100</v>
      </c>
      <c r="AL12" s="59">
        <f>'M2'!H10*1</f>
        <v>86.448899999999995</v>
      </c>
    </row>
    <row r="13" spans="2:38" ht="25.5" customHeight="1" thickBot="1">
      <c r="B13" s="72" t="str">
        <f>CONCATENATE(M15,"
(10 ~ 25)")</f>
        <v>抑郁
(10 ~ 25)</v>
      </c>
      <c r="C13" s="54">
        <f>R15</f>
        <v>3.0923999999999996</v>
      </c>
      <c r="D13" s="55">
        <f>N15</f>
        <v>1.8860000000000028</v>
      </c>
      <c r="E13" s="56">
        <f>T15</f>
        <v>6.9288999999999987</v>
      </c>
      <c r="F13" s="56">
        <f>P15</f>
        <v>3.6232600000000001</v>
      </c>
      <c r="G13" s="74" t="str">
        <f>CONCATENATE(M16,"
(10 ~ 50)")</f>
        <v>神经质
(10 ~ 50)</v>
      </c>
      <c r="H13" s="54">
        <f>R16</f>
        <v>2.68404</v>
      </c>
      <c r="I13" s="55">
        <f>N16</f>
        <v>10.582800000000002</v>
      </c>
      <c r="J13" s="56">
        <f>T16</f>
        <v>4.9083000000000006</v>
      </c>
      <c r="K13" s="57">
        <f>P16</f>
        <v>-1.9975999999999985</v>
      </c>
      <c r="M13" s="27" t="str">
        <f>lang!B20</f>
        <v>活力</v>
      </c>
      <c r="N13" s="59">
        <f t="shared" si="4"/>
        <v>4.6203000000000003</v>
      </c>
      <c r="O13" s="59">
        <f t="shared" si="5"/>
        <v>1.2669999999999959E-2</v>
      </c>
      <c r="P13" s="59">
        <f t="shared" si="6"/>
        <v>-3.8203000000000014</v>
      </c>
      <c r="Q13" s="59">
        <f t="shared" si="7"/>
        <v>0</v>
      </c>
      <c r="R13" s="59">
        <f t="shared" si="8"/>
        <v>10.032589999999999</v>
      </c>
      <c r="S13" s="59">
        <f t="shared" si="9"/>
        <v>0</v>
      </c>
      <c r="T13" s="59">
        <f t="shared" si="10"/>
        <v>6.9487000000000023</v>
      </c>
      <c r="U13" s="14"/>
      <c r="V13" s="27" t="str">
        <f t="shared" si="11"/>
        <v>活力</v>
      </c>
      <c r="W13" s="59">
        <f>'M1'!B11*1</f>
        <v>18.025700000000001</v>
      </c>
      <c r="X13" s="59">
        <f>'M1'!C11*1</f>
        <v>3.4247999999999998</v>
      </c>
      <c r="Y13" s="59">
        <f>'M1'!D11*1</f>
        <v>18.999500000000001</v>
      </c>
      <c r="Z13" s="59">
        <f>'M1'!E11*1</f>
        <v>10</v>
      </c>
      <c r="AA13" s="59">
        <f>'M1'!F11*1</f>
        <v>7.0060099999999998</v>
      </c>
      <c r="AB13" s="59">
        <f>'M1'!G11*1</f>
        <v>50</v>
      </c>
      <c r="AC13" s="59">
        <f>'M1'!H11*1</f>
        <v>22.294499999999999</v>
      </c>
      <c r="AE13" s="27" t="str">
        <f t="shared" si="12"/>
        <v>活力</v>
      </c>
      <c r="AF13" s="59">
        <f>'M2'!B11*1</f>
        <v>22.646000000000001</v>
      </c>
      <c r="AG13" s="59">
        <f>'M2'!C11*1</f>
        <v>3.4374699999999998</v>
      </c>
      <c r="AH13" s="59">
        <f>'M2'!D11*1</f>
        <v>15.1792</v>
      </c>
      <c r="AI13" s="59">
        <f>'M2'!E11*1</f>
        <v>10</v>
      </c>
      <c r="AJ13" s="59">
        <f>'M2'!F11*1</f>
        <v>17.038599999999999</v>
      </c>
      <c r="AK13" s="59">
        <f>'M2'!G11*1</f>
        <v>50</v>
      </c>
      <c r="AL13" s="59">
        <f>'M2'!H11*1</f>
        <v>29.243200000000002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-1.8100000000000023</v>
      </c>
      <c r="O14" s="59">
        <f t="shared" si="5"/>
        <v>-0.90939000000000014</v>
      </c>
      <c r="P14" s="59">
        <f t="shared" si="6"/>
        <v>-1.1819899999999999</v>
      </c>
      <c r="Q14" s="59">
        <f t="shared" si="7"/>
        <v>0</v>
      </c>
      <c r="R14" s="59">
        <f t="shared" si="8"/>
        <v>-4.5351999999999961</v>
      </c>
      <c r="S14" s="59">
        <f t="shared" si="9"/>
        <v>0</v>
      </c>
      <c r="T14" s="59">
        <f t="shared" si="10"/>
        <v>-9.6818000000000097</v>
      </c>
      <c r="U14" s="14"/>
      <c r="V14" s="27" t="str">
        <f t="shared" si="11"/>
        <v>自我调节</v>
      </c>
      <c r="W14" s="59">
        <f>'M1'!B12*1</f>
        <v>69.373500000000007</v>
      </c>
      <c r="X14" s="59">
        <f>'M1'!C12*1</f>
        <v>4.2467300000000003</v>
      </c>
      <c r="Y14" s="59">
        <f>'M1'!D12*1</f>
        <v>6.12155</v>
      </c>
      <c r="Z14" s="59">
        <f>'M1'!E12*1</f>
        <v>50</v>
      </c>
      <c r="AA14" s="59">
        <f>'M1'!F12*1</f>
        <v>64.512699999999995</v>
      </c>
      <c r="AB14" s="59">
        <f>'M1'!G12*1</f>
        <v>100</v>
      </c>
      <c r="AC14" s="59">
        <f>'M1'!H12*1</f>
        <v>82.939400000000006</v>
      </c>
      <c r="AE14" s="27" t="str">
        <f t="shared" si="12"/>
        <v>自我调节</v>
      </c>
      <c r="AF14" s="59">
        <f>'M2'!B12*1</f>
        <v>67.563500000000005</v>
      </c>
      <c r="AG14" s="59">
        <f>'M2'!C12*1</f>
        <v>3.3373400000000002</v>
      </c>
      <c r="AH14" s="59">
        <f>'M2'!D12*1</f>
        <v>4.9395600000000002</v>
      </c>
      <c r="AI14" s="59">
        <f>'M2'!E12*1</f>
        <v>50</v>
      </c>
      <c r="AJ14" s="59">
        <f>'M2'!F12*1</f>
        <v>59.977499999999999</v>
      </c>
      <c r="AK14" s="59">
        <f>'M2'!G12*1</f>
        <v>100</v>
      </c>
      <c r="AL14" s="59">
        <f>'M2'!H12*1</f>
        <v>73.257599999999996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1.8860000000000028</v>
      </c>
      <c r="O15" s="59">
        <f t="shared" si="5"/>
        <v>1.0582799999999999</v>
      </c>
      <c r="P15" s="59">
        <f t="shared" si="6"/>
        <v>3.6232600000000001</v>
      </c>
      <c r="Q15" s="59">
        <f t="shared" si="7"/>
        <v>0</v>
      </c>
      <c r="R15" s="59">
        <f t="shared" si="8"/>
        <v>3.0923999999999996</v>
      </c>
      <c r="S15" s="59">
        <f t="shared" si="9"/>
        <v>0</v>
      </c>
      <c r="T15" s="59">
        <f t="shared" si="10"/>
        <v>6.9288999999999987</v>
      </c>
      <c r="U15" s="14"/>
      <c r="V15" s="27" t="str">
        <f t="shared" si="11"/>
        <v>抑郁</v>
      </c>
      <c r="W15" s="59">
        <f>'M1'!B13*1</f>
        <v>22.311499999999999</v>
      </c>
      <c r="X15" s="59">
        <f>'M1'!C13*1</f>
        <v>2.1478299999999999</v>
      </c>
      <c r="Y15" s="59">
        <f>'M1'!D13*1</f>
        <v>9.6265400000000003</v>
      </c>
      <c r="Z15" s="59">
        <f>'M1'!E13*1</f>
        <v>10</v>
      </c>
      <c r="AA15" s="59">
        <f>'M1'!F13*1</f>
        <v>15.2934</v>
      </c>
      <c r="AB15" s="59">
        <f>'M1'!G13*1</f>
        <v>25</v>
      </c>
      <c r="AC15" s="59">
        <f>'M1'!H13*1</f>
        <v>28.424399999999999</v>
      </c>
      <c r="AE15" s="27" t="str">
        <f t="shared" si="12"/>
        <v>抑郁</v>
      </c>
      <c r="AF15" s="59">
        <f>'M2'!B13*1</f>
        <v>24.197500000000002</v>
      </c>
      <c r="AG15" s="59">
        <f>'M2'!C13*1</f>
        <v>3.2061099999999998</v>
      </c>
      <c r="AH15" s="59">
        <f>'M2'!D13*1</f>
        <v>13.2498</v>
      </c>
      <c r="AI15" s="59">
        <f>'M2'!E13*1</f>
        <v>10</v>
      </c>
      <c r="AJ15" s="59">
        <f>'M2'!F13*1</f>
        <v>18.3858</v>
      </c>
      <c r="AK15" s="59">
        <f>'M2'!G13*1</f>
        <v>25</v>
      </c>
      <c r="AL15" s="59">
        <f>'M2'!H13*1</f>
        <v>35.353299999999997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10.582800000000002</v>
      </c>
      <c r="O16" s="59">
        <f t="shared" si="5"/>
        <v>2.9913099999999995</v>
      </c>
      <c r="P16" s="59">
        <f t="shared" si="6"/>
        <v>-1.9975999999999985</v>
      </c>
      <c r="Q16" s="59">
        <f t="shared" si="7"/>
        <v>0</v>
      </c>
      <c r="R16" s="59">
        <f t="shared" si="8"/>
        <v>2.68404</v>
      </c>
      <c r="S16" s="59">
        <f t="shared" si="9"/>
        <v>0</v>
      </c>
      <c r="T16" s="59">
        <f t="shared" si="10"/>
        <v>4.9083000000000006</v>
      </c>
      <c r="U16" s="15"/>
      <c r="V16" s="27" t="str">
        <f t="shared" si="11"/>
        <v>神经质</v>
      </c>
      <c r="W16" s="59">
        <f>'M1'!B14*1</f>
        <v>21.478300000000001</v>
      </c>
      <c r="X16" s="59">
        <f>'M1'!C14*1</f>
        <v>7.3708900000000002</v>
      </c>
      <c r="Y16" s="59">
        <f>'M1'!D14*1</f>
        <v>34.317799999999998</v>
      </c>
      <c r="Z16" s="59">
        <f>'M1'!E14*1</f>
        <v>10</v>
      </c>
      <c r="AA16" s="59">
        <f>'M1'!F14*1</f>
        <v>0.27739999999999998</v>
      </c>
      <c r="AB16" s="59">
        <f>'M1'!G14*1</f>
        <v>50</v>
      </c>
      <c r="AC16" s="59">
        <f>'M1'!H14*1</f>
        <v>26.2944</v>
      </c>
      <c r="AE16" s="27" t="str">
        <f t="shared" si="12"/>
        <v>神经质</v>
      </c>
      <c r="AF16" s="59">
        <f>'M2'!B14*1</f>
        <v>32.061100000000003</v>
      </c>
      <c r="AG16" s="59">
        <f>'M2'!C14*1</f>
        <v>10.3622</v>
      </c>
      <c r="AH16" s="59">
        <f>'M2'!D14*1</f>
        <v>32.3202</v>
      </c>
      <c r="AI16" s="59">
        <f>'M2'!E14*1</f>
        <v>10</v>
      </c>
      <c r="AJ16" s="59">
        <f>'M2'!F14*1</f>
        <v>2.9614400000000001</v>
      </c>
      <c r="AK16" s="59">
        <f>'M2'!G14*1</f>
        <v>50</v>
      </c>
      <c r="AL16" s="59">
        <f>'M2'!H14*1</f>
        <v>31.2027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-0.20517499999999878</v>
      </c>
      <c r="O17" s="22">
        <f>N17/(N17+N18+N19)</f>
        <v>-6.3812582127500322E-2</v>
      </c>
      <c r="P17" s="65">
        <f>SUM(P11:P14)/4</f>
        <v>-1.3906115000000003</v>
      </c>
      <c r="Q17" s="22">
        <f>P17/(P17+P18+P19)</f>
        <v>-0.2288757464816365</v>
      </c>
      <c r="R17" s="14"/>
      <c r="S17" s="14"/>
      <c r="T17" s="14"/>
      <c r="U17" s="14"/>
      <c r="V17" s="21" t="str">
        <f>M17</f>
        <v>Positive</v>
      </c>
      <c r="W17" s="65">
        <f>SUM(W11:W14)/4</f>
        <v>56.429324999999999</v>
      </c>
      <c r="X17" s="22">
        <f>W17/(W17+W18+W19)</f>
        <v>0.52685370835035295</v>
      </c>
      <c r="Y17" s="65">
        <f>SUM(Y11:Y14)/4</f>
        <v>10.195857500000001</v>
      </c>
      <c r="Z17" s="22">
        <f>Y17/(Y17+Y18+Y19)</f>
        <v>0.2030602256945577</v>
      </c>
      <c r="AA17" s="14"/>
      <c r="AB17" s="14"/>
      <c r="AC17" s="14"/>
      <c r="AE17" s="21" t="str">
        <f>V17</f>
        <v>Positive</v>
      </c>
      <c r="AF17" s="65">
        <f>SUM(AF11:AF14)/4</f>
        <v>56.224150000000002</v>
      </c>
      <c r="AG17" s="22">
        <f>AF17/(AF17+AF18+AF19)</f>
        <v>0.5096389847765429</v>
      </c>
      <c r="AH17" s="65">
        <f>SUM(AH11:AH14)/4</f>
        <v>8.8052460000000004</v>
      </c>
      <c r="AI17" s="22">
        <f>AH17/(AH17+AH18+AH19)</f>
        <v>0.15643525617449627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-2.8139500000000011</v>
      </c>
      <c r="O18" s="22">
        <f>N18/(N17+N18+N19)</f>
        <v>-0.87518174961706185</v>
      </c>
      <c r="P18" s="18">
        <f>SUM(P7:P10)/4</f>
        <v>6.6536174999999993</v>
      </c>
      <c r="Q18" s="22">
        <f>P18/(P17+P18+P19)</f>
        <v>1.0950949795221594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28.782025000000004</v>
      </c>
      <c r="X18" s="22">
        <f>W18/(W17+W18+W19)</f>
        <v>0.26872404738285582</v>
      </c>
      <c r="Y18" s="18">
        <f>SUM(Y7:Y10)/4</f>
        <v>18.042975000000002</v>
      </c>
      <c r="Z18" s="22">
        <f>Y18/(Y17+Y18+Y19)</f>
        <v>0.35934305434351771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25.968074999999999</v>
      </c>
      <c r="AG18" s="22">
        <f>AF18/(AF17+AF18+AF19)</f>
        <v>0.23538538830024328</v>
      </c>
      <c r="AH18" s="18">
        <f>SUM(AH7:AH10)/4</f>
        <v>24.696592500000001</v>
      </c>
      <c r="AI18" s="22">
        <f>AH18/(AH17+AH18+AH19)</f>
        <v>0.4387631843987827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6.2344000000000026</v>
      </c>
      <c r="O19" s="22">
        <f>N19/(N17+N18+N19)</f>
        <v>1.9389943317445621</v>
      </c>
      <c r="P19" s="18">
        <f>(P15+P16)/2</f>
        <v>0.81283000000000083</v>
      </c>
      <c r="Q19" s="22">
        <f>P19/(P17+P18+P19)</f>
        <v>0.13378076695947699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21.8949</v>
      </c>
      <c r="X19" s="22">
        <f>W19/(W17+W18+W19)</f>
        <v>0.20442224426679112</v>
      </c>
      <c r="Y19" s="18">
        <f>(Y15+Y16)/2</f>
        <v>21.972169999999998</v>
      </c>
      <c r="Z19" s="22">
        <f>Y19/(Y17+Y18+Y19)</f>
        <v>0.43759671996192467</v>
      </c>
      <c r="AA19" s="14"/>
      <c r="AB19" s="14"/>
      <c r="AC19" s="14"/>
      <c r="AE19" s="21" t="str">
        <f t="shared" si="14"/>
        <v>Physiological</v>
      </c>
      <c r="AF19" s="18">
        <f>(AF15+AF16)/2</f>
        <v>28.129300000000001</v>
      </c>
      <c r="AG19" s="22">
        <f>AF19/(AF17+AF18+AF19)</f>
        <v>0.25497562692321374</v>
      </c>
      <c r="AH19" s="18">
        <f>(AH15+AH16)/2</f>
        <v>22.785</v>
      </c>
      <c r="AI19" s="22">
        <f>AH19/(AH17+AH18+AH19)</f>
        <v>0.40480155942672102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1.43/1.77</v>
      </c>
      <c r="D24" s="44" t="str">
        <f>lang!B11</f>
        <v>频率方差</v>
      </c>
      <c r="E24" s="142" t="str">
        <f ca="1">CONCATENATE(ROUND('FH1'!L3,2),"/",ROUND('FH2'!L3,2))</f>
        <v>0.64/0.64</v>
      </c>
      <c r="F24" s="143"/>
      <c r="G24" s="134" t="str">
        <f>lang!B12</f>
        <v>生理变化率</v>
      </c>
      <c r="H24" s="135"/>
      <c r="I24" s="62" t="str">
        <f ca="1">CONCATENATE(info!M7,"-",info!M8)</f>
        <v>31.7-60.6</v>
      </c>
      <c r="J24" s="42" t="str">
        <f>lang!B13</f>
        <v>千卡l/分钟</v>
      </c>
      <c r="K24" s="41" t="str">
        <f ca="1">CONCATENATE(info!M5,"-",info!M6)</f>
        <v>2-3.9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0.70089999999999875</v>
      </c>
      <c r="F27" s="164"/>
      <c r="G27" s="178" t="str">
        <f>lang!B33</f>
        <v>稳定性</v>
      </c>
      <c r="H27" s="179"/>
      <c r="I27" s="180"/>
      <c r="J27" s="181">
        <f>dM!B19*100</f>
        <v>11.843999999999999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-0.98184157893190205</v>
      </c>
      <c r="C2">
        <f t="array" aca="1" ref="C2" ca="1">CORREL(FT_E02,FT_PH02)</f>
        <v>6.2266383325200764E-2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2.0219800000000001</v>
      </c>
      <c r="G2" s="61">
        <f>IF(FT!B2&lt;&gt;"",FT!B2*100,"")</f>
        <v>60.566200000000002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2.0805199999999999</v>
      </c>
      <c r="G3" s="61">
        <f>IF(FT!B3&lt;&gt;"",FT!B3*100,"")</f>
        <v>59.7136</v>
      </c>
      <c r="H3" s="61">
        <f t="shared" ref="H3:H66" si="1">(IF(F3&lt;&gt;"",1,""))</f>
        <v>1</v>
      </c>
      <c r="I3" t="str">
        <f>IF(FT!B3&lt;&gt;"",FT!E3,"")</f>
        <v>1 [0.403979]</v>
      </c>
      <c r="J3">
        <f>IF(FT!B3&lt;&gt;"",FT!C3,"")</f>
        <v>0.40397899999999998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0.38490464864864865</v>
      </c>
      <c r="V3">
        <f ca="1">AVERAGE(OFFSET(FT!B2,info!$L$3/2,0,info!$L$3/2,1))</f>
        <v>0.36197002702702696</v>
      </c>
      <c r="W3">
        <f ca="1">AVERAGE(OFFSET(FT!A2,0,0,info!$L$3/2,1))</f>
        <v>0.30611071621621633</v>
      </c>
      <c r="X3">
        <f ca="1">AVERAGE(OFFSET(FT!A2,info!$L$3/2,0,info!$L$3/2,1))</f>
        <v>0.36535979729729728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2.1417900000000003</v>
      </c>
      <c r="G4" s="61">
        <f>IF(FT!B4&lt;&gt;"",FT!B4*100,"")</f>
        <v>58.682000000000002</v>
      </c>
      <c r="H4" s="61">
        <f t="shared" si="1"/>
        <v>1</v>
      </c>
      <c r="I4" t="str">
        <f>IF(FT!B4&lt;&gt;"",FT!E4,"")</f>
        <v>1 [0.811828]</v>
      </c>
      <c r="J4">
        <f>IF(FT!B4&lt;&gt;"",FT!C4,"")</f>
        <v>0.81182799999999999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14.92985</v>
      </c>
      <c r="V4">
        <f>U4*3</f>
        <v>44.789549999999998</v>
      </c>
      <c r="W4">
        <f>U4</f>
        <v>14.92985</v>
      </c>
      <c r="X4">
        <f>V4</f>
        <v>44.789549999999998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2.20208</v>
      </c>
      <c r="G5" s="61">
        <f>IF(FT!B5&lt;&gt;"",FT!B5*100,"")</f>
        <v>57.4848</v>
      </c>
      <c r="H5" s="61">
        <f t="shared" si="1"/>
        <v>1</v>
      </c>
      <c r="I5" t="str">
        <f>IF(FT!B5&lt;&gt;"",FT!E5,"")</f>
        <v>1 [1.218885]</v>
      </c>
      <c r="J5">
        <f>IF(FT!B5&lt;&gt;"",FT!C5,"")</f>
        <v>1.21889</v>
      </c>
      <c r="K5" t="s">
        <v>53</v>
      </c>
      <c r="L5" s="63">
        <f ca="1">MIN(FT_E)</f>
        <v>2.0219800000000001</v>
      </c>
      <c r="M5" s="63">
        <f ca="1">ROUND(L5,1)</f>
        <v>2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38.490464864864862</v>
      </c>
      <c r="V5">
        <f ca="1">V3*100</f>
        <v>36.197002702702697</v>
      </c>
      <c r="W5">
        <f ca="1">W3*10</f>
        <v>3.0611071621621635</v>
      </c>
      <c r="X5">
        <f ca="1">X3*10</f>
        <v>3.6535979729729728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2.26166</v>
      </c>
      <c r="G6" s="61">
        <f>IF(FT!B6&lt;&gt;"",FT!B6*100,"")</f>
        <v>56.180500000000002</v>
      </c>
      <c r="H6" s="61">
        <f t="shared" si="1"/>
        <v>1</v>
      </c>
      <c r="I6" t="str">
        <f>IF(FT!B6&lt;&gt;"",FT!E6,"")</f>
        <v>1 [1.625574]</v>
      </c>
      <c r="J6">
        <f>IF(FT!B6&lt;&gt;"",FT!C6,"")</f>
        <v>1.62557</v>
      </c>
      <c r="K6" t="s">
        <v>54</v>
      </c>
      <c r="L6" s="63">
        <f ca="1">MAX(FT_E)</f>
        <v>3.92706</v>
      </c>
      <c r="M6" s="63">
        <f ca="1">ROUND(L6,1)</f>
        <v>3.9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2.3198699999999999</v>
      </c>
      <c r="G7" s="61">
        <f>IF(FT!B7&lt;&gt;"",FT!B7*100,"")</f>
        <v>54.831300000000006</v>
      </c>
      <c r="H7" s="61">
        <f t="shared" si="1"/>
        <v>1</v>
      </c>
      <c r="I7" t="str">
        <f>IF(FT!B7&lt;&gt;"",FT!E7,"")</f>
        <v>1 [2.031822]</v>
      </c>
      <c r="J7">
        <f>IF(FT!B7&lt;&gt;"",FT!C7,"")</f>
        <v>2.0318200000000002</v>
      </c>
      <c r="K7" t="s">
        <v>55</v>
      </c>
      <c r="L7" s="63">
        <f ca="1">MIN(FT_PH)</f>
        <v>31.699400000000001</v>
      </c>
      <c r="M7" s="63">
        <f ca="1">ROUND(L7,1)</f>
        <v>31.7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1870</v>
      </c>
      <c r="D8" s="61">
        <f>FH!B8*1</f>
        <v>1870</v>
      </c>
      <c r="E8">
        <f t="shared" si="3"/>
        <v>6</v>
      </c>
      <c r="F8" s="61">
        <f>IF(FT!A8&lt;&gt;"",FT!A8*10,"")</f>
        <v>2.37826</v>
      </c>
      <c r="G8" s="61">
        <f>IF(FT!B8&lt;&gt;"",FT!B8*100,"")</f>
        <v>53.502499999999998</v>
      </c>
      <c r="H8" s="61">
        <f t="shared" si="1"/>
        <v>1</v>
      </c>
      <c r="I8" t="str">
        <f>IF(FT!B8&lt;&gt;"",FT!E8,"")</f>
        <v>1 [2.434924]</v>
      </c>
      <c r="J8">
        <f>IF(FT!B8&lt;&gt;"",FT!C8,"")</f>
        <v>2.43492</v>
      </c>
      <c r="K8" t="s">
        <v>56</v>
      </c>
      <c r="L8" s="63">
        <f ca="1">MAX(FT_PH)</f>
        <v>60.566200000000002</v>
      </c>
      <c r="M8" s="63">
        <f ca="1">ROUND(L8,1)</f>
        <v>60.6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2.4355099999999998</v>
      </c>
      <c r="G9" s="61">
        <f>IF(FT!B9&lt;&gt;"",FT!B9*100,"")</f>
        <v>52.224899999999998</v>
      </c>
      <c r="H9" s="61">
        <f t="shared" si="1"/>
        <v>1</v>
      </c>
      <c r="I9" t="str">
        <f>IF(FT!B9&lt;&gt;"",FT!E9,"")</f>
        <v>1 [2.844400]</v>
      </c>
      <c r="J9">
        <f>IF(FT!B9&lt;&gt;"",FT!C9,"")</f>
        <v>2.8443999999999998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2269</v>
      </c>
      <c r="D10" s="61">
        <f>FH!B10*1</f>
        <v>2269</v>
      </c>
      <c r="E10">
        <f t="shared" si="3"/>
        <v>8</v>
      </c>
      <c r="F10" s="61">
        <f>IF(FT!A10&lt;&gt;"",FT!A10*10,"")</f>
        <v>2.4931900000000002</v>
      </c>
      <c r="G10" s="61">
        <f>IF(FT!B10&lt;&gt;"",FT!B10*100,"")</f>
        <v>50.905999999999999</v>
      </c>
      <c r="H10" s="61">
        <f t="shared" si="1"/>
        <v>1</v>
      </c>
      <c r="I10" t="str">
        <f>IF(FT!B10&lt;&gt;"",FT!E10,"")</f>
        <v>1 [3.251197]</v>
      </c>
      <c r="J10">
        <f>IF(FT!B10&lt;&gt;"",FT!C10,"")</f>
        <v>3.2511999999999999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2.5531999999999999</v>
      </c>
      <c r="G11" s="61">
        <f>IF(FT!B11&lt;&gt;"",FT!B11*100,"")</f>
        <v>49.486599999999996</v>
      </c>
      <c r="H11" s="61">
        <f t="shared" si="1"/>
        <v>1</v>
      </c>
      <c r="I11" t="str">
        <f>IF(FT!B11&lt;&gt;"",FT!E11,"")</f>
        <v>1 [3.657091]</v>
      </c>
      <c r="J11">
        <f>IF(FT!B11&lt;&gt;"",FT!C11,"")</f>
        <v>3.6570900000000002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2.6117900000000001</v>
      </c>
      <c r="G12" s="61">
        <f>IF(FT!B12&lt;&gt;"",FT!B12*100,"")</f>
        <v>48.208800000000004</v>
      </c>
      <c r="H12" s="61">
        <f t="shared" si="1"/>
        <v>1</v>
      </c>
      <c r="I12" t="str">
        <f>IF(FT!B12&lt;&gt;"",FT!E12,"")</f>
        <v>1 [4.059200]</v>
      </c>
      <c r="J12">
        <f>IF(FT!B12&lt;&gt;"",FT!C12,"")</f>
        <v>4.0591999999999997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5684</v>
      </c>
      <c r="D13" s="61">
        <f>FH!B13*1</f>
        <v>5684</v>
      </c>
      <c r="E13">
        <f t="shared" si="3"/>
        <v>11</v>
      </c>
      <c r="F13" s="61">
        <f>IF(FT!A13&lt;&gt;"",FT!A13*10,"")</f>
        <v>2.6692399999999998</v>
      </c>
      <c r="G13" s="61">
        <f>IF(FT!B13&lt;&gt;"",FT!B13*100,"")</f>
        <v>47.0563</v>
      </c>
      <c r="H13" s="61">
        <f t="shared" si="1"/>
        <v>1</v>
      </c>
      <c r="I13" t="str">
        <f>IF(FT!B13&lt;&gt;"",FT!E13,"")</f>
        <v>1 [4.466118]</v>
      </c>
      <c r="J13">
        <f>IF(FT!B13&lt;&gt;"",FT!C13,"")</f>
        <v>4.4661200000000001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2.7260800000000001</v>
      </c>
      <c r="G14" s="61">
        <f>IF(FT!B14&lt;&gt;"",FT!B14*100,"")</f>
        <v>45.879399999999997</v>
      </c>
      <c r="H14" s="61">
        <f t="shared" si="1"/>
        <v>1</v>
      </c>
      <c r="I14" t="str">
        <f>IF(FT!B14&lt;&gt;"",FT!E14,"")</f>
        <v>1 [4.869060]</v>
      </c>
      <c r="J14">
        <f>IF(FT!B14&lt;&gt;"",FT!C14,"")</f>
        <v>4.8690600000000002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7619</v>
      </c>
      <c r="D15" s="61">
        <f>FH!B15*1</f>
        <v>7619</v>
      </c>
      <c r="E15">
        <f t="shared" si="3"/>
        <v>13</v>
      </c>
      <c r="F15" s="61">
        <f>IF(FT!A15&lt;&gt;"",FT!A15*10,"")</f>
        <v>2.7814299999999998</v>
      </c>
      <c r="G15" s="61">
        <f>IF(FT!B15&lt;&gt;"",FT!B15*100,"")</f>
        <v>44.7395</v>
      </c>
      <c r="H15" s="61">
        <f t="shared" si="1"/>
        <v>1</v>
      </c>
      <c r="I15" t="str">
        <f>IF(FT!B15&lt;&gt;"",FT!E15,"")</f>
        <v>1 [5.280845]</v>
      </c>
      <c r="J15">
        <f>IF(FT!B15&lt;&gt;"",FT!C15,"")</f>
        <v>5.2808400000000004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2.8367900000000001</v>
      </c>
      <c r="G16" s="61">
        <f>IF(FT!B16&lt;&gt;"",FT!B16*100,"")</f>
        <v>43.674199999999999</v>
      </c>
      <c r="H16" s="61">
        <f t="shared" si="1"/>
        <v>1</v>
      </c>
      <c r="I16" t="str">
        <f>IF(FT!B16&lt;&gt;"",FT!E16,"")</f>
        <v>1 [5.686744]</v>
      </c>
      <c r="J16">
        <f>IF(FT!B16&lt;&gt;"",FT!C16,"")</f>
        <v>5.6867400000000004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2.8927199999999997</v>
      </c>
      <c r="G17" s="61">
        <f>IF(FT!B17&lt;&gt;"",FT!B17*100,"")</f>
        <v>42.540099999999995</v>
      </c>
      <c r="H17" s="61">
        <f t="shared" si="1"/>
        <v>1</v>
      </c>
      <c r="I17" t="str">
        <f>IF(FT!B17&lt;&gt;"",FT!E17,"")</f>
        <v>1 [6.090704]</v>
      </c>
      <c r="J17">
        <f>IF(FT!B17&lt;&gt;"",FT!C17,"")</f>
        <v>6.0907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10794</v>
      </c>
      <c r="D18" s="61">
        <f>FH!B18*1</f>
        <v>10794</v>
      </c>
      <c r="E18">
        <f t="shared" si="3"/>
        <v>16</v>
      </c>
      <c r="F18" s="61">
        <f>IF(FT!A18&lt;&gt;"",FT!A18*10,"")</f>
        <v>2.9479199999999999</v>
      </c>
      <c r="G18" s="61">
        <f>IF(FT!B18&lt;&gt;"",FT!B18*100,"")</f>
        <v>41.529899999999998</v>
      </c>
      <c r="H18" s="61">
        <f t="shared" si="1"/>
        <v>1</v>
      </c>
      <c r="I18" t="str">
        <f>IF(FT!B18&lt;&gt;"",FT!E18,"")</f>
        <v>1 [6.496659]</v>
      </c>
      <c r="J18">
        <f>IF(FT!B18&lt;&gt;"",FT!C18,"")</f>
        <v>6.4966600000000003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3.00176</v>
      </c>
      <c r="G19" s="61">
        <f>IF(FT!B19&lt;&gt;"",FT!B19*100,"")</f>
        <v>40.742400000000004</v>
      </c>
      <c r="H19" s="61">
        <f t="shared" si="1"/>
        <v>1</v>
      </c>
      <c r="I19" t="str">
        <f>IF(FT!B19&lt;&gt;"",FT!E19,"")</f>
        <v>1 [6.904654]</v>
      </c>
      <c r="J19">
        <f>IF(FT!B19&lt;&gt;"",FT!C19,"")</f>
        <v>6.9046500000000002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3.0491800000000002</v>
      </c>
      <c r="G20" s="61">
        <f>IF(FT!B20&lt;&gt;"",FT!B20*100,"")</f>
        <v>40.032400000000003</v>
      </c>
      <c r="H20" s="61">
        <f t="shared" si="1"/>
        <v>1</v>
      </c>
      <c r="I20" t="str">
        <f>IF(FT!B20&lt;&gt;"",FT!E20,"")</f>
        <v>1 [7.308445]</v>
      </c>
      <c r="J20">
        <f>IF(FT!B20&lt;&gt;"",FT!C20,"")</f>
        <v>7.30844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15373</v>
      </c>
      <c r="D21" s="61">
        <f>FH!B21*1</f>
        <v>15373</v>
      </c>
      <c r="E21">
        <f t="shared" si="3"/>
        <v>19</v>
      </c>
      <c r="F21" s="61">
        <f>IF(FT!A21&lt;&gt;"",FT!A21*10,"")</f>
        <v>3.0898300000000001</v>
      </c>
      <c r="G21" s="61">
        <f>IF(FT!B21&lt;&gt;"",FT!B21*100,"")</f>
        <v>39.343600000000002</v>
      </c>
      <c r="H21" s="61">
        <f t="shared" si="1"/>
        <v>1</v>
      </c>
      <c r="I21" t="str">
        <f>IF(FT!B21&lt;&gt;"",FT!E21,"")</f>
        <v>1 [7.716352]</v>
      </c>
      <c r="J21">
        <f>IF(FT!B21&lt;&gt;"",FT!C21,"")</f>
        <v>7.7163500000000003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3.1283400000000001</v>
      </c>
      <c r="G22" s="61">
        <f>IF(FT!B22&lt;&gt;"",FT!B22*100,"")</f>
        <v>38.738900000000001</v>
      </c>
      <c r="H22" s="61">
        <f t="shared" si="1"/>
        <v>1</v>
      </c>
      <c r="I22" t="str">
        <f>IF(FT!B22&lt;&gt;"",FT!E22,"")</f>
        <v>1 [8.125187]</v>
      </c>
      <c r="J22">
        <f>IF(FT!B22&lt;&gt;"",FT!C22,"")</f>
        <v>8.1251899999999999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20697</v>
      </c>
      <c r="D23" s="61">
        <f>FH!B23*1</f>
        <v>20697</v>
      </c>
      <c r="E23">
        <f t="shared" si="3"/>
        <v>21</v>
      </c>
      <c r="F23" s="61">
        <f>IF(FT!A23&lt;&gt;"",FT!A23*10,"")</f>
        <v>3.1676900000000003</v>
      </c>
      <c r="G23" s="61">
        <f>IF(FT!B23&lt;&gt;"",FT!B23*100,"")</f>
        <v>38.139899999999997</v>
      </c>
      <c r="H23" s="61">
        <f t="shared" si="1"/>
        <v>1</v>
      </c>
      <c r="I23" t="str">
        <f>IF(FT!B23&lt;&gt;"",FT!E23,"")</f>
        <v>1 [8.526825]</v>
      </c>
      <c r="J23">
        <f>IF(FT!B23&lt;&gt;"",FT!C23,"")</f>
        <v>8.5268200000000007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3.2048100000000002</v>
      </c>
      <c r="G24" s="61">
        <f>IF(FT!B24&lt;&gt;"",FT!B24*100,"")</f>
        <v>37.591799999999999</v>
      </c>
      <c r="H24" s="61">
        <f t="shared" si="1"/>
        <v>1</v>
      </c>
      <c r="I24" t="str">
        <f>IF(FT!B24&lt;&gt;"",FT!E24,"")</f>
        <v>1 [8.934068]</v>
      </c>
      <c r="J24">
        <f>IF(FT!B24&lt;&gt;"",FT!C24,"")</f>
        <v>8.9340700000000002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3.2437</v>
      </c>
      <c r="G25" s="61">
        <f>IF(FT!B25&lt;&gt;"",FT!B25*100,"")</f>
        <v>37.011099999999999</v>
      </c>
      <c r="H25" s="61">
        <f t="shared" si="1"/>
        <v>1</v>
      </c>
      <c r="I25" t="str">
        <f>IF(FT!B25&lt;&gt;"",FT!E25,"")</f>
        <v>1 [9.343338]</v>
      </c>
      <c r="J25">
        <f>IF(FT!B25&lt;&gt;"",FT!C25,"")</f>
        <v>9.3433399999999995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23620</v>
      </c>
      <c r="D26" s="61">
        <f>FH!B26*1</f>
        <v>23620</v>
      </c>
      <c r="E26">
        <f t="shared" si="3"/>
        <v>24</v>
      </c>
      <c r="F26" s="61">
        <f>IF(FT!A26&lt;&gt;"",FT!A26*10,"")</f>
        <v>3.2808299999999999</v>
      </c>
      <c r="G26" s="61">
        <f>IF(FT!B26&lt;&gt;"",FT!B26*100,"")</f>
        <v>36.440300000000001</v>
      </c>
      <c r="H26" s="61">
        <f t="shared" si="1"/>
        <v>1</v>
      </c>
      <c r="I26" t="str">
        <f>IF(FT!B26&lt;&gt;"",FT!E26,"")</f>
        <v>1 [9.747958]</v>
      </c>
      <c r="J26">
        <f>IF(FT!B26&lt;&gt;"",FT!C26,"")</f>
        <v>9.7479600000000008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3.3124399999999996</v>
      </c>
      <c r="G27" s="61">
        <f>IF(FT!B27&lt;&gt;"",FT!B27*100,"")</f>
        <v>35.901899999999998</v>
      </c>
      <c r="H27" s="61">
        <f t="shared" si="1"/>
        <v>1</v>
      </c>
      <c r="I27" t="str">
        <f>IF(FT!B27&lt;&gt;"",FT!E27,"")</f>
        <v>1 [10.156901]</v>
      </c>
      <c r="J27">
        <f>IF(FT!B27&lt;&gt;"",FT!C27,"")</f>
        <v>10.1569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31058</v>
      </c>
      <c r="D28" s="61">
        <f>FH!B28*1</f>
        <v>31058</v>
      </c>
      <c r="E28">
        <f t="shared" si="3"/>
        <v>26</v>
      </c>
      <c r="F28" s="61">
        <f>IF(FT!A28&lt;&gt;"",FT!A28*10,"")</f>
        <v>3.3384</v>
      </c>
      <c r="G28" s="61">
        <f>IF(FT!B28&lt;&gt;"",FT!B28*100,"")</f>
        <v>35.392600000000002</v>
      </c>
      <c r="H28" s="61">
        <f t="shared" si="1"/>
        <v>1</v>
      </c>
      <c r="I28" t="str">
        <f>IF(FT!B28&lt;&gt;"",FT!E28,"")</f>
        <v>1 [10.564633]</v>
      </c>
      <c r="J28">
        <f>IF(FT!B28&lt;&gt;"",FT!C28,"")</f>
        <v>10.5646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3.3569800000000001</v>
      </c>
      <c r="G29" s="61">
        <f>IF(FT!B29&lt;&gt;"",FT!B29*100,"")</f>
        <v>34.901499999999999</v>
      </c>
      <c r="H29" s="61">
        <f t="shared" si="1"/>
        <v>1</v>
      </c>
      <c r="I29" t="str">
        <f>IF(FT!B29&lt;&gt;"",FT!E29,"")</f>
        <v>1 [10.969571]</v>
      </c>
      <c r="J29">
        <f>IF(FT!B29&lt;&gt;"",FT!C29,"")</f>
        <v>10.9696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3.3712900000000001</v>
      </c>
      <c r="G30" s="61">
        <f>IF(FT!B30&lt;&gt;"",FT!B30*100,"")</f>
        <v>34.499299999999998</v>
      </c>
      <c r="H30" s="61">
        <f t="shared" si="1"/>
        <v>1</v>
      </c>
      <c r="I30" t="str">
        <f>IF(FT!B30&lt;&gt;"",FT!E30,"")</f>
        <v>1 [11.372528]</v>
      </c>
      <c r="J30">
        <f>IF(FT!B30&lt;&gt;"",FT!C30,"")</f>
        <v>11.3725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37553</v>
      </c>
      <c r="D31" s="61">
        <f>FH!B31*1</f>
        <v>37553</v>
      </c>
      <c r="E31">
        <f t="shared" si="3"/>
        <v>29</v>
      </c>
      <c r="F31" s="61">
        <f>IF(FT!A31&lt;&gt;"",FT!A31*10,"")</f>
        <v>3.3795299999999999</v>
      </c>
      <c r="G31" s="61">
        <f>IF(FT!B31&lt;&gt;"",FT!B31*100,"")</f>
        <v>34.079700000000003</v>
      </c>
      <c r="H31" s="61">
        <f t="shared" si="1"/>
        <v>1</v>
      </c>
      <c r="I31" t="str">
        <f>IF(FT!B31&lt;&gt;"",FT!E31,"")</f>
        <v>1 [11.781512]</v>
      </c>
      <c r="J31">
        <f>IF(FT!B31&lt;&gt;"",FT!C31,"")</f>
        <v>11.781499999999999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3.3842600000000003</v>
      </c>
      <c r="G32" s="61">
        <f>IF(FT!B32&lt;&gt;"",FT!B32*100,"")</f>
        <v>33.618400000000001</v>
      </c>
      <c r="H32" s="61">
        <f t="shared" si="1"/>
        <v>1</v>
      </c>
      <c r="I32" t="str">
        <f>IF(FT!B32&lt;&gt;"",FT!E32,"")</f>
        <v>1 [12.188397]</v>
      </c>
      <c r="J32">
        <f>IF(FT!B32&lt;&gt;"",FT!C32,"")</f>
        <v>12.1884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48530</v>
      </c>
      <c r="D33" s="61">
        <f>FH!B33*1</f>
        <v>48530</v>
      </c>
      <c r="E33">
        <f t="shared" si="3"/>
        <v>31</v>
      </c>
      <c r="F33" s="61">
        <f>IF(FT!A33&lt;&gt;"",FT!A33*10,"")</f>
        <v>3.3867799999999999</v>
      </c>
      <c r="G33" s="61">
        <f>IF(FT!B33&lt;&gt;"",FT!B33*100,"")</f>
        <v>33.140099999999997</v>
      </c>
      <c r="H33" s="61">
        <f t="shared" si="1"/>
        <v>1</v>
      </c>
      <c r="I33" t="str">
        <f>IF(FT!B33&lt;&gt;"",FT!E33,"")</f>
        <v>1 [12.592277]</v>
      </c>
      <c r="J33">
        <f>IF(FT!B33&lt;&gt;"",FT!C33,"")</f>
        <v>12.5923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3.38686</v>
      </c>
      <c r="G34" s="61">
        <f>IF(FT!B34&lt;&gt;"",FT!B34*100,"")</f>
        <v>32.713300000000004</v>
      </c>
      <c r="H34" s="61">
        <f t="shared" si="1"/>
        <v>1</v>
      </c>
      <c r="I34" t="str">
        <f>IF(FT!B34&lt;&gt;"",FT!E34,"")</f>
        <v>1 [12.996832]</v>
      </c>
      <c r="J34">
        <f>IF(FT!B34&lt;&gt;"",FT!C34,"")</f>
        <v>12.9968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3.3832899999999997</v>
      </c>
      <c r="G35" s="61">
        <f>IF(FT!B35&lt;&gt;"",FT!B35*100,"")</f>
        <v>32.406500000000001</v>
      </c>
      <c r="H35" s="61">
        <f t="shared" si="1"/>
        <v>1</v>
      </c>
      <c r="I35" t="str">
        <f>IF(FT!B35&lt;&gt;"",FT!E35,"")</f>
        <v>1 [13.404100]</v>
      </c>
      <c r="J35">
        <f>IF(FT!B35&lt;&gt;"",FT!C35,"")</f>
        <v>13.4041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66383</v>
      </c>
      <c r="D36" s="61">
        <f>FH!B36*1</f>
        <v>66383</v>
      </c>
      <c r="E36">
        <f t="shared" si="3"/>
        <v>34</v>
      </c>
      <c r="F36" s="61">
        <f>IF(FT!A36&lt;&gt;"",FT!A36*10,"")</f>
        <v>3.3750799999999996</v>
      </c>
      <c r="G36" s="61">
        <f>IF(FT!B36&lt;&gt;"",FT!B36*100,"")</f>
        <v>32.170100000000005</v>
      </c>
      <c r="H36" s="61">
        <f t="shared" si="1"/>
        <v>1</v>
      </c>
      <c r="I36" t="str">
        <f>IF(FT!B36&lt;&gt;"",FT!E36,"")</f>
        <v>1 [13.810426]</v>
      </c>
      <c r="J36">
        <f>IF(FT!B36&lt;&gt;"",FT!C36,"")</f>
        <v>13.8104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3.3652500000000001</v>
      </c>
      <c r="G37" s="61">
        <f>IF(FT!B37&lt;&gt;"",FT!B37*100,"")</f>
        <v>31.9757</v>
      </c>
      <c r="H37" s="61">
        <f t="shared" si="1"/>
        <v>1</v>
      </c>
      <c r="I37" t="str">
        <f>IF(FT!B37&lt;&gt;"",FT!E37,"")</f>
        <v>1 [14.215932]</v>
      </c>
      <c r="J37">
        <f>IF(FT!B37&lt;&gt;"",FT!C37,"")</f>
        <v>14.2159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3.3547799999999999</v>
      </c>
      <c r="G38" s="61">
        <f>IF(FT!B38&lt;&gt;"",FT!B38*100,"")</f>
        <v>31.7668</v>
      </c>
      <c r="H38" s="61">
        <f t="shared" si="1"/>
        <v>1</v>
      </c>
      <c r="I38" t="str">
        <f>IF(FT!B38&lt;&gt;"",FT!E38,"")</f>
        <v>1 [14.622778]</v>
      </c>
      <c r="J38">
        <f>IF(FT!B38&lt;&gt;"",FT!C38,"")</f>
        <v>14.6228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63592</v>
      </c>
      <c r="D39" s="61">
        <f>FH!B39*1</f>
        <v>63592</v>
      </c>
      <c r="E39">
        <f t="shared" si="3"/>
        <v>37</v>
      </c>
      <c r="F39" s="61">
        <f>IF(FT!A39&lt;&gt;"",FT!A39*10,"")</f>
        <v>3.34476</v>
      </c>
      <c r="G39" s="61">
        <f>IF(FT!B39&lt;&gt;"",FT!B39*100,"")</f>
        <v>31.699400000000001</v>
      </c>
      <c r="H39" s="61">
        <f t="shared" si="1"/>
        <v>1</v>
      </c>
      <c r="I39" t="str">
        <f>IF(FT!B39&lt;&gt;"",FT!E39,"")</f>
        <v>1 [15.030765]</v>
      </c>
      <c r="J39">
        <f>IF(FT!B39&lt;&gt;"",FT!C39,"")</f>
        <v>15.030799999999999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3.3351700000000002</v>
      </c>
      <c r="G40" s="61">
        <f>IF(FT!B40&lt;&gt;"",FT!B40*100,"")</f>
        <v>31.722299999999997</v>
      </c>
      <c r="H40" s="61">
        <f t="shared" si="1"/>
        <v>1</v>
      </c>
      <c r="I40" t="str">
        <f>IF(FT!B40&lt;&gt;"",FT!E40,"")</f>
        <v>1 [15.438713]</v>
      </c>
      <c r="J40">
        <f>IF(FT!B40&lt;&gt;"",FT!C40,"")</f>
        <v>15.438700000000001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78917</v>
      </c>
      <c r="D41" s="61">
        <f>FH!B41*1</f>
        <v>78917</v>
      </c>
      <c r="E41">
        <f t="shared" si="3"/>
        <v>39</v>
      </c>
      <c r="F41" s="61">
        <f>IF(FT!A41&lt;&gt;"",FT!A41*10,"")</f>
        <v>3.32606</v>
      </c>
      <c r="G41" s="61">
        <f>IF(FT!B41&lt;&gt;"",FT!B41*100,"")</f>
        <v>31.804100000000002</v>
      </c>
      <c r="H41" s="61">
        <f t="shared" si="1"/>
        <v>1</v>
      </c>
      <c r="I41" t="str">
        <f>IF(FT!B41&lt;&gt;"",FT!E41,"")</f>
        <v>1 [15.842685]</v>
      </c>
      <c r="J41">
        <f>IF(FT!B41&lt;&gt;"",FT!C41,"")</f>
        <v>15.842700000000001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3.3138899999999998</v>
      </c>
      <c r="G42" s="61">
        <f>IF(FT!B42&lt;&gt;"",FT!B42*100,"")</f>
        <v>32.017000000000003</v>
      </c>
      <c r="H42" s="61">
        <f t="shared" si="1"/>
        <v>1</v>
      </c>
      <c r="I42" t="str">
        <f>IF(FT!B42&lt;&gt;"",FT!E42,"")</f>
        <v>1 [16.249476]</v>
      </c>
      <c r="J42">
        <f>IF(FT!B42&lt;&gt;"",FT!C42,"")</f>
        <v>16.249500000000001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3.30138</v>
      </c>
      <c r="G43" s="61">
        <f>IF(FT!B43&lt;&gt;"",FT!B43*100,"")</f>
        <v>32.209299999999999</v>
      </c>
      <c r="H43" s="61">
        <f t="shared" si="1"/>
        <v>1</v>
      </c>
      <c r="I43" t="str">
        <f>IF(FT!B43&lt;&gt;"",FT!E43,"")</f>
        <v>1 [16.656658]</v>
      </c>
      <c r="J43">
        <f>IF(FT!B43&lt;&gt;"",FT!C43,"")</f>
        <v>16.656700000000001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91656</v>
      </c>
      <c r="D44" s="61">
        <f>FH!B44*1</f>
        <v>91656</v>
      </c>
      <c r="E44">
        <f t="shared" si="3"/>
        <v>42</v>
      </c>
      <c r="F44" s="61">
        <f>IF(FT!A44&lt;&gt;"",FT!A44*10,"")</f>
        <v>3.2891599999999999</v>
      </c>
      <c r="G44" s="61">
        <f>IF(FT!B44&lt;&gt;"",FT!B44*100,"")</f>
        <v>32.340000000000003</v>
      </c>
      <c r="H44" s="61">
        <f t="shared" si="1"/>
        <v>1</v>
      </c>
      <c r="I44" t="str">
        <f>IF(FT!B44&lt;&gt;"",FT!E44,"")</f>
        <v>1 [17.061345]</v>
      </c>
      <c r="J44">
        <f>IF(FT!B44&lt;&gt;"",FT!C44,"")</f>
        <v>17.061299999999999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3.2753800000000002</v>
      </c>
      <c r="G45" s="61">
        <f>IF(FT!B45&lt;&gt;"",FT!B45*100,"")</f>
        <v>32.564700000000002</v>
      </c>
      <c r="H45" s="61">
        <f t="shared" si="1"/>
        <v>1</v>
      </c>
      <c r="I45" t="str">
        <f>IF(FT!B45&lt;&gt;"",FT!E45,"")</f>
        <v>1 [17.468372]</v>
      </c>
      <c r="J45">
        <f>IF(FT!B45&lt;&gt;"",FT!C45,"")</f>
        <v>17.468399999999999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100573</v>
      </c>
      <c r="D46" s="61">
        <f>FH!B46*1</f>
        <v>100573</v>
      </c>
      <c r="E46">
        <f t="shared" si="3"/>
        <v>44</v>
      </c>
      <c r="F46" s="61">
        <f>IF(FT!A46&lt;&gt;"",FT!A46*10,"")</f>
        <v>3.2636599999999998</v>
      </c>
      <c r="G46" s="61">
        <f>IF(FT!B46&lt;&gt;"",FT!B46*100,"")</f>
        <v>32.787399999999998</v>
      </c>
      <c r="H46" s="61">
        <f t="shared" si="1"/>
        <v>1</v>
      </c>
      <c r="I46" t="str">
        <f>IF(FT!B46&lt;&gt;"",FT!E46,"")</f>
        <v>1 [17.875123]</v>
      </c>
      <c r="J46">
        <f>IF(FT!B46&lt;&gt;"",FT!C46,"")</f>
        <v>17.8751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3.2525900000000001</v>
      </c>
      <c r="G47" s="61">
        <f>IF(FT!B47&lt;&gt;"",FT!B47*100,"")</f>
        <v>33.022100000000002</v>
      </c>
      <c r="H47" s="61">
        <f t="shared" si="1"/>
        <v>1</v>
      </c>
      <c r="I47" t="str">
        <f>IF(FT!B47&lt;&gt;"",FT!E47,"")</f>
        <v>1 [18.281035]</v>
      </c>
      <c r="J47">
        <f>IF(FT!B47&lt;&gt;"",FT!C47,"")</f>
        <v>18.280999999999999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3.2363</v>
      </c>
      <c r="G48" s="61">
        <f>IF(FT!B48&lt;&gt;"",FT!B48*100,"")</f>
        <v>33.311900000000001</v>
      </c>
      <c r="H48" s="61">
        <f t="shared" si="1"/>
        <v>1</v>
      </c>
      <c r="I48" t="str">
        <f>IF(FT!B48&lt;&gt;"",FT!E48,"")</f>
        <v>1 [18.684960]</v>
      </c>
      <c r="J48">
        <f>IF(FT!B48&lt;&gt;"",FT!C48,"")</f>
        <v>18.684999999999999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109683</v>
      </c>
      <c r="D49" s="61">
        <f>FH!B49*1</f>
        <v>109683</v>
      </c>
      <c r="E49">
        <f t="shared" si="3"/>
        <v>47</v>
      </c>
      <c r="F49" s="61">
        <f>IF(FT!A49&lt;&gt;"",FT!A49*10,"")</f>
        <v>3.2202700000000002</v>
      </c>
      <c r="G49" s="61">
        <f>IF(FT!B49&lt;&gt;"",FT!B49*100,"")</f>
        <v>33.537499999999994</v>
      </c>
      <c r="H49" s="61">
        <f t="shared" si="1"/>
        <v>1</v>
      </c>
      <c r="I49" t="str">
        <f>IF(FT!B49&lt;&gt;"",FT!E49,"")</f>
        <v>1 [19.097828]</v>
      </c>
      <c r="J49">
        <f>IF(FT!B49&lt;&gt;"",FT!C49,"")</f>
        <v>19.097799999999999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3.2000600000000001</v>
      </c>
      <c r="G50" s="61">
        <f>IF(FT!B50&lt;&gt;"",FT!B50*100,"")</f>
        <v>33.782600000000002</v>
      </c>
      <c r="H50" s="61">
        <f t="shared" si="1"/>
        <v>1</v>
      </c>
      <c r="I50" t="str">
        <f>IF(FT!B50&lt;&gt;"",FT!E50,"")</f>
        <v>1 [19.495315]</v>
      </c>
      <c r="J50">
        <f>IF(FT!B50&lt;&gt;"",FT!C50,"")</f>
        <v>19.4953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124237</v>
      </c>
      <c r="D51" s="61">
        <f>FH!B51*1</f>
        <v>124237</v>
      </c>
      <c r="E51">
        <f t="shared" si="3"/>
        <v>49</v>
      </c>
      <c r="F51" s="61">
        <f>IF(FT!A51&lt;&gt;"",FT!A51*10,"")</f>
        <v>3.17699</v>
      </c>
      <c r="G51" s="61">
        <f>IF(FT!B51&lt;&gt;"",FT!B51*100,"")</f>
        <v>34.060099999999998</v>
      </c>
      <c r="H51" s="61">
        <f t="shared" si="1"/>
        <v>1</v>
      </c>
      <c r="I51" t="str">
        <f>IF(FT!B51&lt;&gt;"",FT!E51,"")</f>
        <v>1 [19.907694]</v>
      </c>
      <c r="J51">
        <f>IF(FT!B51&lt;&gt;"",FT!C51,"")</f>
        <v>19.907699999999998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3.1565099999999999</v>
      </c>
      <c r="G52" s="61">
        <f>IF(FT!B52&lt;&gt;"",FT!B52*100,"")</f>
        <v>34.290900000000001</v>
      </c>
      <c r="H52" s="61">
        <f t="shared" si="1"/>
        <v>1</v>
      </c>
      <c r="I52" t="str">
        <f>IF(FT!B52&lt;&gt;"",FT!E52,"")</f>
        <v>1 [20.312612]</v>
      </c>
      <c r="J52">
        <f>IF(FT!B52&lt;&gt;"",FT!C52,"")</f>
        <v>20.3126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3.13964</v>
      </c>
      <c r="G53" s="61">
        <f>IF(FT!B53&lt;&gt;"",FT!B53*100,"")</f>
        <v>34.497999999999998</v>
      </c>
      <c r="H53" s="61">
        <f t="shared" si="1"/>
        <v>1</v>
      </c>
      <c r="I53" t="str">
        <f>IF(FT!B53&lt;&gt;"",FT!E53,"")</f>
        <v>1 [20.712574]</v>
      </c>
      <c r="J53">
        <f>IF(FT!B53&lt;&gt;"",FT!C53,"")</f>
        <v>20.712599999999998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140406</v>
      </c>
      <c r="D54" s="61">
        <f>FH!B54*1</f>
        <v>140406</v>
      </c>
      <c r="E54">
        <f t="shared" si="3"/>
        <v>52</v>
      </c>
      <c r="F54" s="61">
        <f>IF(FT!A54&lt;&gt;"",FT!A54*10,"")</f>
        <v>3.12819</v>
      </c>
      <c r="G54" s="61">
        <f>IF(FT!B54&lt;&gt;"",FT!B54*100,"")</f>
        <v>34.633000000000003</v>
      </c>
      <c r="H54" s="61">
        <f t="shared" si="1"/>
        <v>1</v>
      </c>
      <c r="I54" t="str">
        <f>IF(FT!B54&lt;&gt;"",FT!E54,"")</f>
        <v>1 [21.122485]</v>
      </c>
      <c r="J54">
        <f>IF(FT!B54&lt;&gt;"",FT!C54,"")</f>
        <v>21.122499999999999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3.1206200000000002</v>
      </c>
      <c r="G55" s="61">
        <f>IF(FT!B55&lt;&gt;"",FT!B55*100,"")</f>
        <v>34.765299999999996</v>
      </c>
      <c r="H55" s="61">
        <f t="shared" si="1"/>
        <v>1</v>
      </c>
      <c r="I55" t="str">
        <f>IF(FT!B55&lt;&gt;"",FT!E55,"")</f>
        <v>1 [21.530388]</v>
      </c>
      <c r="J55">
        <f>IF(FT!B55&lt;&gt;"",FT!C55,"")</f>
        <v>21.5304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3.11795</v>
      </c>
      <c r="G56" s="61">
        <f>IF(FT!B56&lt;&gt;"",FT!B56*100,"")</f>
        <v>34.888599999999997</v>
      </c>
      <c r="H56" s="61">
        <f t="shared" si="1"/>
        <v>1</v>
      </c>
      <c r="I56" t="str">
        <f>IF(FT!B56&lt;&gt;"",FT!E56,"")</f>
        <v>1 [21.935635]</v>
      </c>
      <c r="J56">
        <f>IF(FT!B56&lt;&gt;"",FT!C56,"")</f>
        <v>21.935600000000001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143533</v>
      </c>
      <c r="D57" s="61">
        <f>FH!B57*1</f>
        <v>143533</v>
      </c>
      <c r="E57">
        <f t="shared" si="3"/>
        <v>55</v>
      </c>
      <c r="F57" s="61">
        <f>IF(FT!A57&lt;&gt;"",FT!A57*10,"")</f>
        <v>3.1186199999999999</v>
      </c>
      <c r="G57" s="61">
        <f>IF(FT!B57&lt;&gt;"",FT!B57*100,"")</f>
        <v>35.0274</v>
      </c>
      <c r="H57" s="61">
        <f t="shared" si="1"/>
        <v>1</v>
      </c>
      <c r="I57" t="str">
        <f>IF(FT!B57&lt;&gt;"",FT!E57,"")</f>
        <v>1 [22.345273]</v>
      </c>
      <c r="J57">
        <f>IF(FT!B57&lt;&gt;"",FT!C57,"")</f>
        <v>22.345300000000002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3.1205500000000002</v>
      </c>
      <c r="G58" s="61">
        <f>IF(FT!B58&lt;&gt;"",FT!B58*100,"")</f>
        <v>35.140599999999999</v>
      </c>
      <c r="H58" s="61">
        <f t="shared" si="1"/>
        <v>1</v>
      </c>
      <c r="I58" t="str">
        <f>IF(FT!B58&lt;&gt;"",FT!E58,"")</f>
        <v>1 [22.752129]</v>
      </c>
      <c r="J58">
        <f>IF(FT!B58&lt;&gt;"",FT!C58,"")</f>
        <v>22.752099999999999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166898</v>
      </c>
      <c r="D59" s="61">
        <f>FH!B59*1</f>
        <v>166898</v>
      </c>
      <c r="E59">
        <f t="shared" si="3"/>
        <v>57</v>
      </c>
      <c r="F59" s="61">
        <f>IF(FT!A59&lt;&gt;"",FT!A59*10,"")</f>
        <v>3.12453</v>
      </c>
      <c r="G59" s="61">
        <f>IF(FT!B59&lt;&gt;"",FT!B59*100,"")</f>
        <v>35.242899999999999</v>
      </c>
      <c r="H59" s="61">
        <f t="shared" si="1"/>
        <v>1</v>
      </c>
      <c r="I59" t="str">
        <f>IF(FT!B59&lt;&gt;"",FT!E59,"")</f>
        <v>1 [23.156014]</v>
      </c>
      <c r="J59">
        <f>IF(FT!B59&lt;&gt;"",FT!C59,"")</f>
        <v>23.155999999999999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3.1300299999999996</v>
      </c>
      <c r="G60" s="61">
        <f>IF(FT!B60&lt;&gt;"",FT!B60*100,"")</f>
        <v>35.330199999999998</v>
      </c>
      <c r="H60" s="61">
        <f t="shared" si="1"/>
        <v>1</v>
      </c>
      <c r="I60" t="str">
        <f>IF(FT!B60&lt;&gt;"",FT!E60,"")</f>
        <v>1 [23.560194]</v>
      </c>
      <c r="J60">
        <f>IF(FT!B60&lt;&gt;"",FT!C60,"")</f>
        <v>23.560199999999998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3.1360900000000003</v>
      </c>
      <c r="G61" s="61">
        <f>IF(FT!B61&lt;&gt;"",FT!B61*100,"")</f>
        <v>35.380299999999998</v>
      </c>
      <c r="H61" s="61">
        <f t="shared" si="1"/>
        <v>1</v>
      </c>
      <c r="I61" t="str">
        <f>IF(FT!B61&lt;&gt;"",FT!E61,"")</f>
        <v>1 [23.966873]</v>
      </c>
      <c r="J61">
        <f>IF(FT!B61&lt;&gt;"",FT!C61,"")</f>
        <v>23.966899999999999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186948</v>
      </c>
      <c r="D62" s="61">
        <f>FH!B62*1</f>
        <v>186948</v>
      </c>
      <c r="E62">
        <f t="shared" si="3"/>
        <v>60</v>
      </c>
      <c r="F62" s="61">
        <f>IF(FT!A62&lt;&gt;"",FT!A62*10,"")</f>
        <v>3.14506</v>
      </c>
      <c r="G62" s="61">
        <f>IF(FT!B62&lt;&gt;"",FT!B62*100,"")</f>
        <v>35.327100000000002</v>
      </c>
      <c r="H62" s="61">
        <f t="shared" si="1"/>
        <v>1</v>
      </c>
      <c r="I62" t="str">
        <f>IF(FT!B62&lt;&gt;"",FT!E62,"")</f>
        <v>1 [24.370960]</v>
      </c>
      <c r="J62">
        <f>IF(FT!B62&lt;&gt;"",FT!C62,"")</f>
        <v>24.370999999999999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3.1550000000000002</v>
      </c>
      <c r="G63" s="61">
        <f>IF(FT!B63&lt;&gt;"",FT!B63*100,"")</f>
        <v>35.337899999999998</v>
      </c>
      <c r="H63" s="61">
        <f t="shared" si="1"/>
        <v>1</v>
      </c>
      <c r="I63" t="str">
        <f>IF(FT!B63&lt;&gt;"",FT!E63,"")</f>
        <v>1 [24.780722]</v>
      </c>
      <c r="J63">
        <f>IF(FT!B63&lt;&gt;"",FT!C63,"")</f>
        <v>24.7807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204695</v>
      </c>
      <c r="D64" s="61">
        <f>FH!B64*1</f>
        <v>204695</v>
      </c>
      <c r="E64">
        <f t="shared" si="3"/>
        <v>62</v>
      </c>
      <c r="F64" s="61">
        <f>IF(FT!A64&lt;&gt;"",FT!A64*10,"")</f>
        <v>3.1633299999999998</v>
      </c>
      <c r="G64" s="61">
        <f>IF(FT!B64&lt;&gt;"",FT!B64*100,"")</f>
        <v>35.369099999999996</v>
      </c>
      <c r="H64" s="61">
        <f t="shared" si="1"/>
        <v>1</v>
      </c>
      <c r="I64" t="str">
        <f>IF(FT!B64&lt;&gt;"",FT!E64,"")</f>
        <v>1 [25.186641]</v>
      </c>
      <c r="J64">
        <f>IF(FT!B64&lt;&gt;"",FT!C64,"")</f>
        <v>25.186599999999999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3.1711899999999997</v>
      </c>
      <c r="G65" s="61">
        <f>IF(FT!B65&lt;&gt;"",FT!B65*100,"")</f>
        <v>35.388799999999996</v>
      </c>
      <c r="H65" s="61">
        <f t="shared" si="1"/>
        <v>1</v>
      </c>
      <c r="I65" t="str">
        <f>IF(FT!B65&lt;&gt;"",FT!E65,"")</f>
        <v>1 [25.592665]</v>
      </c>
      <c r="J65">
        <f>IF(FT!B65&lt;&gt;"",FT!C65,"")</f>
        <v>25.592700000000001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3.1771199999999999</v>
      </c>
      <c r="G66" s="61">
        <f>IF(FT!B66&lt;&gt;"",FT!B66*100,"")</f>
        <v>35.418100000000003</v>
      </c>
      <c r="H66" s="61">
        <f t="shared" si="1"/>
        <v>1</v>
      </c>
      <c r="I66" t="str">
        <f>IF(FT!B66&lt;&gt;"",FT!E66,"")</f>
        <v>1 [25.994461]</v>
      </c>
      <c r="J66">
        <f>IF(FT!B66&lt;&gt;"",FT!C66,"")</f>
        <v>25.994499999999999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220536</v>
      </c>
      <c r="D67" s="61">
        <f>FH!B67*1</f>
        <v>220536</v>
      </c>
      <c r="E67">
        <f t="shared" si="3"/>
        <v>65</v>
      </c>
      <c r="F67" s="61">
        <f>IF(FT!A67&lt;&gt;"",FT!A67*10,"")</f>
        <v>3.1838199999999999</v>
      </c>
      <c r="G67" s="61">
        <f>IF(FT!B67&lt;&gt;"",FT!B67*100,"")</f>
        <v>35.451000000000001</v>
      </c>
      <c r="H67" s="61">
        <f t="shared" ref="H67:H130" si="9">(IF(F67&lt;&gt;"",1,""))</f>
        <v>1</v>
      </c>
      <c r="I67" t="str">
        <f>IF(FT!B67&lt;&gt;"",FT!E67,"")</f>
        <v>1 [26.404343]</v>
      </c>
      <c r="J67">
        <f>IF(FT!B67&lt;&gt;"",FT!C67,"")</f>
        <v>26.404299999999999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3.18933</v>
      </c>
      <c r="G68" s="61">
        <f>IF(FT!B68&lt;&gt;"",FT!B68*100,"")</f>
        <v>35.469799999999999</v>
      </c>
      <c r="H68" s="61">
        <f t="shared" si="9"/>
        <v>1</v>
      </c>
      <c r="I68" t="str">
        <f>IF(FT!B68&lt;&gt;"",FT!E68,"")</f>
        <v>1 [26.812306]</v>
      </c>
      <c r="J68">
        <f>IF(FT!B68&lt;&gt;"",FT!C68,"")</f>
        <v>26.8123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211636</v>
      </c>
      <c r="D69" s="61">
        <f>FH!B69*1</f>
        <v>211636</v>
      </c>
      <c r="E69">
        <f t="shared" si="11"/>
        <v>67</v>
      </c>
      <c r="F69" s="61">
        <f>IF(FT!A69&lt;&gt;"",FT!A69*10,"")</f>
        <v>3.1952999999999996</v>
      </c>
      <c r="G69" s="61">
        <f>IF(FT!B69&lt;&gt;"",FT!B69*100,"")</f>
        <v>35.442900000000002</v>
      </c>
      <c r="H69" s="61">
        <f t="shared" si="9"/>
        <v>1</v>
      </c>
      <c r="I69" t="str">
        <f>IF(FT!B69&lt;&gt;"",FT!E69,"")</f>
        <v>1 [27.220182]</v>
      </c>
      <c r="J69">
        <f>IF(FT!B69&lt;&gt;"",FT!C69,"")</f>
        <v>27.220199999999998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3.20533</v>
      </c>
      <c r="G70" s="61">
        <f>IF(FT!B70&lt;&gt;"",FT!B70*100,"")</f>
        <v>35.436099999999996</v>
      </c>
      <c r="H70" s="61">
        <f t="shared" si="9"/>
        <v>1</v>
      </c>
      <c r="I70" t="str">
        <f>IF(FT!B70&lt;&gt;"",FT!E70,"")</f>
        <v>1 [27.624393]</v>
      </c>
      <c r="J70">
        <f>IF(FT!B70&lt;&gt;"",FT!C70,"")</f>
        <v>27.624400000000001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3.2170800000000002</v>
      </c>
      <c r="G71" s="61">
        <f>IF(FT!B71&lt;&gt;"",FT!B71*100,"")</f>
        <v>35.446600000000004</v>
      </c>
      <c r="H71" s="61">
        <f t="shared" si="9"/>
        <v>1</v>
      </c>
      <c r="I71" t="str">
        <f>IF(FT!B71&lt;&gt;"",FT!E71,"")</f>
        <v>1 [28.027480]</v>
      </c>
      <c r="J71">
        <f>IF(FT!B71&lt;&gt;"",FT!C71,"")</f>
        <v>28.0275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222100</v>
      </c>
      <c r="D72" s="61">
        <f>FH!B72*1</f>
        <v>222100</v>
      </c>
      <c r="E72">
        <f t="shared" si="11"/>
        <v>70</v>
      </c>
      <c r="F72" s="61">
        <f>IF(FT!A72&lt;&gt;"",FT!A72*10,"")</f>
        <v>3.2278899999999999</v>
      </c>
      <c r="G72" s="61">
        <f>IF(FT!B72&lt;&gt;"",FT!B72*100,"")</f>
        <v>35.455199999999998</v>
      </c>
      <c r="H72" s="61">
        <f t="shared" si="9"/>
        <v>1</v>
      </c>
      <c r="I72" t="str">
        <f>IF(FT!B72&lt;&gt;"",FT!E72,"")</f>
        <v>1 [28.432192]</v>
      </c>
      <c r="J72">
        <f>IF(FT!B72&lt;&gt;"",FT!C72,"")</f>
        <v>28.432200000000002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3.23936</v>
      </c>
      <c r="G73" s="61">
        <f>IF(FT!B73&lt;&gt;"",FT!B73*100,"")</f>
        <v>35.477499999999999</v>
      </c>
      <c r="H73" s="61">
        <f t="shared" si="9"/>
        <v>1</v>
      </c>
      <c r="I73" t="str">
        <f>IF(FT!B73&lt;&gt;"",FT!E73,"")</f>
        <v>1 [28.840013]</v>
      </c>
      <c r="J73">
        <f>IF(FT!B73&lt;&gt;"",FT!C73,"")</f>
        <v>28.84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3.2508300000000001</v>
      </c>
      <c r="G74" s="61">
        <f>IF(FT!B74&lt;&gt;"",FT!B74*100,"")</f>
        <v>35.603400000000001</v>
      </c>
      <c r="H74" s="61">
        <f t="shared" si="9"/>
        <v>1</v>
      </c>
      <c r="I74" t="str">
        <f>IF(FT!B74&lt;&gt;"",FT!E74,"")</f>
        <v>1 [29.251215]</v>
      </c>
      <c r="J74">
        <f>IF(FT!B74&lt;&gt;"",FT!C74,"")</f>
        <v>29.251200000000001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238422</v>
      </c>
      <c r="D75" s="61">
        <f>FH!B75*1</f>
        <v>238422</v>
      </c>
      <c r="E75">
        <f t="shared" si="11"/>
        <v>73</v>
      </c>
      <c r="F75" s="61">
        <f>IF(FT!A75&lt;&gt;"",FT!A75*10,"")</f>
        <v>3.2577800000000003</v>
      </c>
      <c r="G75" s="61">
        <f>IF(FT!B75&lt;&gt;"",FT!B75*100,"")</f>
        <v>35.802399999999999</v>
      </c>
      <c r="H75" s="61">
        <f t="shared" si="9"/>
        <v>1</v>
      </c>
      <c r="I75" t="str">
        <f>IF(FT!B75&lt;&gt;"",FT!E75,"")</f>
        <v>1 [29.654692]</v>
      </c>
      <c r="J75">
        <f>IF(FT!B75&lt;&gt;"",FT!C75,"")</f>
        <v>29.654699999999998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3.2621199999999999</v>
      </c>
      <c r="G76" s="61">
        <f>IF(FT!B76&lt;&gt;"",FT!B76*100,"")</f>
        <v>35.972300000000004</v>
      </c>
      <c r="H76" s="61">
        <f t="shared" si="9"/>
        <v>1</v>
      </c>
      <c r="I76" t="str">
        <f>IF(FT!B76&lt;&gt;"",FT!E76,"")</f>
        <v>2 [30.062659]</v>
      </c>
      <c r="J76">
        <f>IF(FT!B76&lt;&gt;"",FT!C76,"")</f>
        <v>30.0627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236220</v>
      </c>
      <c r="D77" s="61">
        <f>FH!B77*1</f>
        <v>236220</v>
      </c>
      <c r="E77">
        <f t="shared" si="11"/>
        <v>75</v>
      </c>
      <c r="F77" s="61">
        <f>IF(FT!A77&lt;&gt;"",FT!A77*10,"")</f>
        <v>3.2656099999999997</v>
      </c>
      <c r="G77" s="61">
        <f>IF(FT!B77&lt;&gt;"",FT!B77*100,"")</f>
        <v>36.1875</v>
      </c>
      <c r="H77" s="61">
        <f t="shared" si="9"/>
        <v>1</v>
      </c>
      <c r="I77" t="str">
        <f>IF(FT!B77&lt;&gt;"",FT!E77,"")</f>
        <v>2 [30.465478]</v>
      </c>
      <c r="J77">
        <f>IF(FT!B77&lt;&gt;"",FT!C77,"")</f>
        <v>30.465499999999999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3.2693499999999998</v>
      </c>
      <c r="G78" s="61">
        <f>IF(FT!B78&lt;&gt;"",FT!B78*100,"")</f>
        <v>36.392699999999998</v>
      </c>
      <c r="H78" s="61">
        <f t="shared" si="9"/>
        <v>1</v>
      </c>
      <c r="I78" t="str">
        <f>IF(FT!B78&lt;&gt;"",FT!E78,"")</f>
        <v>2 [30.874462]</v>
      </c>
      <c r="J78">
        <f>IF(FT!B78&lt;&gt;"",FT!C78,"")</f>
        <v>30.874500000000001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3.2729799999999996</v>
      </c>
      <c r="G79" s="61">
        <f>IF(FT!B79&lt;&gt;"",FT!B79*100,"")</f>
        <v>36.5212</v>
      </c>
      <c r="H79" s="61">
        <f t="shared" si="9"/>
        <v>1</v>
      </c>
      <c r="I79" t="str">
        <f>IF(FT!B79&lt;&gt;"",FT!E79,"")</f>
        <v>2 [31.279600]</v>
      </c>
      <c r="J79">
        <f>IF(FT!B79&lt;&gt;"",FT!C79,"")</f>
        <v>31.279599999999999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239436</v>
      </c>
      <c r="D80" s="61">
        <f>FH!B80*1</f>
        <v>239436</v>
      </c>
      <c r="E80">
        <f t="shared" si="11"/>
        <v>78</v>
      </c>
      <c r="F80" s="61">
        <f>IF(FT!A80&lt;&gt;"",FT!A80*10,"")</f>
        <v>3.2798400000000001</v>
      </c>
      <c r="G80" s="61">
        <f>IF(FT!B80&lt;&gt;"",FT!B80*100,"")</f>
        <v>36.600100000000005</v>
      </c>
      <c r="H80" s="61">
        <f t="shared" si="9"/>
        <v>1</v>
      </c>
      <c r="I80" t="str">
        <f>IF(FT!B80&lt;&gt;"",FT!E80,"")</f>
        <v>2 [31.687170]</v>
      </c>
      <c r="J80">
        <f>IF(FT!B80&lt;&gt;"",FT!C80,"")</f>
        <v>31.687200000000001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3.2894800000000002</v>
      </c>
      <c r="G81" s="61">
        <f>IF(FT!B81&lt;&gt;"",FT!B81*100,"")</f>
        <v>36.717799999999997</v>
      </c>
      <c r="H81" s="61">
        <f t="shared" si="9"/>
        <v>1</v>
      </c>
      <c r="I81" t="str">
        <f>IF(FT!B81&lt;&gt;"",FT!E81,"")</f>
        <v>2 [32.095296]</v>
      </c>
      <c r="J81">
        <f>IF(FT!B81&lt;&gt;"",FT!C81,"")</f>
        <v>32.095300000000002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235197</v>
      </c>
      <c r="D82" s="61">
        <f>FH!B82*1</f>
        <v>235197</v>
      </c>
      <c r="E82">
        <f t="shared" si="11"/>
        <v>80</v>
      </c>
      <c r="F82" s="61">
        <f>IF(FT!A82&lt;&gt;"",FT!A82*10,"")</f>
        <v>3.2993899999999998</v>
      </c>
      <c r="G82" s="61">
        <f>IF(FT!B82&lt;&gt;"",FT!B82*100,"")</f>
        <v>36.9358</v>
      </c>
      <c r="H82" s="61">
        <f t="shared" si="9"/>
        <v>1</v>
      </c>
      <c r="I82" t="str">
        <f>IF(FT!B82&lt;&gt;"",FT!E82,"")</f>
        <v>2 [32.500013]</v>
      </c>
      <c r="J82">
        <f>IF(FT!B82&lt;&gt;"",FT!C82,"")</f>
        <v>32.5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3.31162</v>
      </c>
      <c r="G83" s="61">
        <f>IF(FT!B83&lt;&gt;"",FT!B83*100,"")</f>
        <v>37.140599999999999</v>
      </c>
      <c r="H83" s="61">
        <f t="shared" si="9"/>
        <v>1</v>
      </c>
      <c r="I83" t="str">
        <f>IF(FT!B83&lt;&gt;"",FT!E83,"")</f>
        <v>2 [32.905915]</v>
      </c>
      <c r="J83">
        <f>IF(FT!B83&lt;&gt;"",FT!C83,"")</f>
        <v>32.905900000000003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3.3278300000000001</v>
      </c>
      <c r="G84" s="61">
        <f>IF(FT!B84&lt;&gt;"",FT!B84*100,"")</f>
        <v>37.308700000000002</v>
      </c>
      <c r="H84" s="61">
        <f t="shared" si="9"/>
        <v>1</v>
      </c>
      <c r="I84" t="str">
        <f>IF(FT!B84&lt;&gt;"",FT!E84,"")</f>
        <v>2 [33.312035]</v>
      </c>
      <c r="J84">
        <f>IF(FT!B84&lt;&gt;"",FT!C84,"")</f>
        <v>33.311999999999998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237481</v>
      </c>
      <c r="D85" s="61">
        <f>FH!B85*1</f>
        <v>237481</v>
      </c>
      <c r="E85">
        <f t="shared" si="11"/>
        <v>83</v>
      </c>
      <c r="F85" s="61">
        <f>IF(FT!A85&lt;&gt;"",FT!A85*10,"")</f>
        <v>3.34843</v>
      </c>
      <c r="G85" s="61">
        <f>IF(FT!B85&lt;&gt;"",FT!B85*100,"")</f>
        <v>37.429200000000002</v>
      </c>
      <c r="H85" s="61">
        <f t="shared" si="9"/>
        <v>1</v>
      </c>
      <c r="I85" t="str">
        <f>IF(FT!B85&lt;&gt;"",FT!E85,"")</f>
        <v>2 [33.716822]</v>
      </c>
      <c r="J85">
        <f>IF(FT!B85&lt;&gt;"",FT!C85,"")</f>
        <v>33.716799999999999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3.3730700000000002</v>
      </c>
      <c r="G86" s="61">
        <f>IF(FT!B86&lt;&gt;"",FT!B86*100,"")</f>
        <v>37.498199999999997</v>
      </c>
      <c r="H86" s="61">
        <f t="shared" si="9"/>
        <v>1</v>
      </c>
      <c r="I86" t="str">
        <f>IF(FT!B86&lt;&gt;"",FT!E86,"")</f>
        <v>2 [34.122713]</v>
      </c>
      <c r="J86">
        <f>IF(FT!B86&lt;&gt;"",FT!C86,"")</f>
        <v>34.122700000000002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3.3992099999999996</v>
      </c>
      <c r="G87" s="61">
        <f>IF(FT!B87&lt;&gt;"",FT!B87*100,"")</f>
        <v>37.645000000000003</v>
      </c>
      <c r="H87" s="61">
        <f t="shared" si="9"/>
        <v>1</v>
      </c>
      <c r="I87" t="str">
        <f>IF(FT!B87&lt;&gt;"",FT!E87,"")</f>
        <v>2 [34.532605]</v>
      </c>
      <c r="J87">
        <f>IF(FT!B87&lt;&gt;"",FT!C87,"")</f>
        <v>34.532600000000002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241893</v>
      </c>
      <c r="D88" s="61">
        <f>FH!B88*1</f>
        <v>241893</v>
      </c>
      <c r="E88">
        <f t="shared" si="11"/>
        <v>86</v>
      </c>
      <c r="F88" s="61">
        <f>IF(FT!A88&lt;&gt;"",FT!A88*10,"")</f>
        <v>3.4265400000000001</v>
      </c>
      <c r="G88" s="61">
        <f>IF(FT!B88&lt;&gt;"",FT!B88*100,"")</f>
        <v>37.801099999999998</v>
      </c>
      <c r="H88" s="61">
        <f t="shared" si="9"/>
        <v>1</v>
      </c>
      <c r="I88" t="str">
        <f>IF(FT!B88&lt;&gt;"",FT!E88,"")</f>
        <v>2 [34.935481]</v>
      </c>
      <c r="J88">
        <f>IF(FT!B88&lt;&gt;"",FT!C88,"")</f>
        <v>34.935499999999998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3.45208</v>
      </c>
      <c r="G89" s="61">
        <f>IF(FT!B89&lt;&gt;"",FT!B89*100,"")</f>
        <v>37.981300000000005</v>
      </c>
      <c r="H89" s="61">
        <f t="shared" si="9"/>
        <v>1</v>
      </c>
      <c r="I89" t="str">
        <f>IF(FT!B89&lt;&gt;"",FT!E89,"")</f>
        <v>2 [35.340405]</v>
      </c>
      <c r="J89">
        <f>IF(FT!B89&lt;&gt;"",FT!C89,"")</f>
        <v>35.340400000000002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235171</v>
      </c>
      <c r="D90" s="61">
        <f>FH!B90*1</f>
        <v>235171</v>
      </c>
      <c r="E90">
        <f t="shared" si="11"/>
        <v>88</v>
      </c>
      <c r="F90" s="61">
        <f>IF(FT!A90&lt;&gt;"",FT!A90*10,"")</f>
        <v>3.4768700000000003</v>
      </c>
      <c r="G90" s="61">
        <f>IF(FT!B90&lt;&gt;"",FT!B90*100,"")</f>
        <v>38.167200000000001</v>
      </c>
      <c r="H90" s="61">
        <f t="shared" si="9"/>
        <v>1</v>
      </c>
      <c r="I90" t="str">
        <f>IF(FT!B90&lt;&gt;"",FT!E90,"")</f>
        <v>2 [35.747362]</v>
      </c>
      <c r="J90">
        <f>IF(FT!B90&lt;&gt;"",FT!C90,"")</f>
        <v>35.747399999999999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3.5008400000000002</v>
      </c>
      <c r="G91" s="61">
        <f>IF(FT!B91&lt;&gt;"",FT!B91*100,"")</f>
        <v>38.339800000000004</v>
      </c>
      <c r="H91" s="61">
        <f t="shared" si="9"/>
        <v>1</v>
      </c>
      <c r="I91" t="str">
        <f>IF(FT!B91&lt;&gt;"",FT!E91,"")</f>
        <v>2 [36.154226]</v>
      </c>
      <c r="J91">
        <f>IF(FT!B91&lt;&gt;"",FT!C91,"")</f>
        <v>36.154200000000003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3.5244599999999999</v>
      </c>
      <c r="G92" s="61">
        <f>IF(FT!B92&lt;&gt;"",FT!B92*100,"")</f>
        <v>38.524500000000003</v>
      </c>
      <c r="H92" s="61">
        <f t="shared" si="9"/>
        <v>1</v>
      </c>
      <c r="I92" t="str">
        <f>IF(FT!B92&lt;&gt;"",FT!E92,"")</f>
        <v>2 [36.558117]</v>
      </c>
      <c r="J92">
        <f>IF(FT!B92&lt;&gt;"",FT!C92,"")</f>
        <v>36.558100000000003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217856</v>
      </c>
      <c r="D93" s="61">
        <f>FH!B93*1</f>
        <v>217856</v>
      </c>
      <c r="E93">
        <f t="shared" si="11"/>
        <v>91</v>
      </c>
      <c r="F93" s="61">
        <f>IF(FT!A93&lt;&gt;"",FT!A93*10,"")</f>
        <v>3.5491999999999999</v>
      </c>
      <c r="G93" s="61">
        <f>IF(FT!B93&lt;&gt;"",FT!B93*100,"")</f>
        <v>38.7121</v>
      </c>
      <c r="H93" s="61">
        <f t="shared" si="9"/>
        <v>1</v>
      </c>
      <c r="I93" t="str">
        <f>IF(FT!B93&lt;&gt;"",FT!E93,"")</f>
        <v>2 [36.966095]</v>
      </c>
      <c r="J93">
        <f>IF(FT!B93&lt;&gt;"",FT!C93,"")</f>
        <v>36.966099999999997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3.57375</v>
      </c>
      <c r="G94" s="61">
        <f>IF(FT!B94&lt;&gt;"",FT!B94*100,"")</f>
        <v>38.915199999999999</v>
      </c>
      <c r="H94" s="61">
        <f t="shared" si="9"/>
        <v>1</v>
      </c>
      <c r="I94" t="str">
        <f>IF(FT!B94&lt;&gt;"",FT!E94,"")</f>
        <v>2 [37.376259]</v>
      </c>
      <c r="J94">
        <f>IF(FT!B94&lt;&gt;"",FT!C94,"")</f>
        <v>37.376300000000001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200667</v>
      </c>
      <c r="D95" s="61">
        <f>FH!B95*1</f>
        <v>200667</v>
      </c>
      <c r="E95">
        <f t="shared" si="11"/>
        <v>93</v>
      </c>
      <c r="F95" s="61">
        <f>IF(FT!A95&lt;&gt;"",FT!A95*10,"")</f>
        <v>3.5990199999999999</v>
      </c>
      <c r="G95" s="61">
        <f>IF(FT!B95&lt;&gt;"",FT!B95*100,"")</f>
        <v>39.031999999999996</v>
      </c>
      <c r="H95" s="61">
        <f t="shared" si="9"/>
        <v>1</v>
      </c>
      <c r="I95" t="str">
        <f>IF(FT!B95&lt;&gt;"",FT!E95,"")</f>
        <v>2 [37.779886]</v>
      </c>
      <c r="J95">
        <f>IF(FT!B95&lt;&gt;"",FT!C95,"")</f>
        <v>37.779899999999998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3.6244800000000001</v>
      </c>
      <c r="G96" s="61">
        <f>IF(FT!B96&lt;&gt;"",FT!B96*100,"")</f>
        <v>39.174799999999998</v>
      </c>
      <c r="H96" s="61">
        <f t="shared" si="9"/>
        <v>1</v>
      </c>
      <c r="I96" t="str">
        <f>IF(FT!B96&lt;&gt;"",FT!E96,"")</f>
        <v>2 [38.184830]</v>
      </c>
      <c r="J96">
        <f>IF(FT!B96&lt;&gt;"",FT!C96,"")</f>
        <v>38.184800000000003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3.6531799999999999</v>
      </c>
      <c r="G97" s="61">
        <f>IF(FT!B97&lt;&gt;"",FT!B97*100,"")</f>
        <v>39.235199999999999</v>
      </c>
      <c r="H97" s="61">
        <f t="shared" si="9"/>
        <v>1</v>
      </c>
      <c r="I97" t="str">
        <f>IF(FT!B97&lt;&gt;"",FT!E97,"")</f>
        <v>2 [38.590840]</v>
      </c>
      <c r="J97">
        <f>IF(FT!B97&lt;&gt;"",FT!C97,"")</f>
        <v>38.590800000000002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175287</v>
      </c>
      <c r="D98" s="61">
        <f>FH!B98*1</f>
        <v>175287</v>
      </c>
      <c r="E98">
        <f t="shared" si="11"/>
        <v>96</v>
      </c>
      <c r="F98" s="61">
        <f>IF(FT!A98&lt;&gt;"",FT!A98*10,"")</f>
        <v>3.6832599999999998</v>
      </c>
      <c r="G98" s="61">
        <f>IF(FT!B98&lt;&gt;"",FT!B98*100,"")</f>
        <v>39.316499999999998</v>
      </c>
      <c r="H98" s="61">
        <f t="shared" si="9"/>
        <v>1</v>
      </c>
      <c r="I98" t="str">
        <f>IF(FT!B98&lt;&gt;"",FT!E98,"")</f>
        <v>2 [38.998722]</v>
      </c>
      <c r="J98">
        <f>IF(FT!B98&lt;&gt;"",FT!C98,"")</f>
        <v>38.998699999999999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3.7139800000000003</v>
      </c>
      <c r="G99" s="61">
        <f>IF(FT!B99&lt;&gt;"",FT!B99*100,"")</f>
        <v>39.297900000000006</v>
      </c>
      <c r="H99" s="61">
        <f t="shared" si="9"/>
        <v>1</v>
      </c>
      <c r="I99" t="str">
        <f>IF(FT!B99&lt;&gt;"",FT!E99,"")</f>
        <v>2 [39.405484]</v>
      </c>
      <c r="J99">
        <f>IF(FT!B99&lt;&gt;"",FT!C99,"")</f>
        <v>39.405500000000004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158096</v>
      </c>
      <c r="D100" s="61">
        <f>FH!B100*1</f>
        <v>158096</v>
      </c>
      <c r="E100">
        <f t="shared" si="11"/>
        <v>98</v>
      </c>
      <c r="F100" s="61">
        <f>IF(FT!A100&lt;&gt;"",FT!A100*10,"")</f>
        <v>3.74552</v>
      </c>
      <c r="G100" s="61">
        <f>IF(FT!B100&lt;&gt;"",FT!B100*100,"")</f>
        <v>39.377899999999997</v>
      </c>
      <c r="H100" s="61">
        <f t="shared" si="9"/>
        <v>1</v>
      </c>
      <c r="I100" t="str">
        <f>IF(FT!B100&lt;&gt;"",FT!E100,"")</f>
        <v>2 [39.811895]</v>
      </c>
      <c r="J100">
        <f>IF(FT!B100&lt;&gt;"",FT!C100,"")</f>
        <v>39.811900000000001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3.7765900000000001</v>
      </c>
      <c r="G101" s="61">
        <f>IF(FT!B101&lt;&gt;"",FT!B101*100,"")</f>
        <v>39.473500000000001</v>
      </c>
      <c r="H101" s="61">
        <f t="shared" si="9"/>
        <v>1</v>
      </c>
      <c r="I101" t="str">
        <f>IF(FT!B101&lt;&gt;"",FT!E101,"")</f>
        <v>2 [40.217430]</v>
      </c>
      <c r="J101">
        <f>IF(FT!B101&lt;&gt;"",FT!C101,"")</f>
        <v>40.217399999999998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3.8079800000000001</v>
      </c>
      <c r="G102" s="61">
        <f>IF(FT!B102&lt;&gt;"",FT!B102*100,"")</f>
        <v>39.610399999999998</v>
      </c>
      <c r="H102" s="61">
        <f t="shared" si="9"/>
        <v>1</v>
      </c>
      <c r="I102" t="str">
        <f>IF(FT!B102&lt;&gt;"",FT!E102,"")</f>
        <v>2 [40.624410]</v>
      </c>
      <c r="J102">
        <f>IF(FT!B102&lt;&gt;"",FT!C102,"")</f>
        <v>40.624400000000001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149346</v>
      </c>
      <c r="D103" s="61">
        <f>FH!B103*1</f>
        <v>149346</v>
      </c>
      <c r="E103">
        <f t="shared" si="11"/>
        <v>101</v>
      </c>
      <c r="F103" s="61">
        <f>IF(FT!A103&lt;&gt;"",FT!A103*10,"")</f>
        <v>3.8378800000000002</v>
      </c>
      <c r="G103" s="61">
        <f>IF(FT!B103&lt;&gt;"",FT!B103*100,"")</f>
        <v>39.752600000000001</v>
      </c>
      <c r="H103" s="61">
        <f t="shared" si="9"/>
        <v>1</v>
      </c>
      <c r="I103" t="str">
        <f>IF(FT!B103&lt;&gt;"",FT!E103,"")</f>
        <v>2 [41.029227]</v>
      </c>
      <c r="J103">
        <f>IF(FT!B103&lt;&gt;"",FT!C103,"")</f>
        <v>41.029200000000003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3.8628499999999999</v>
      </c>
      <c r="G104" s="61">
        <f>IF(FT!B104&lt;&gt;"",FT!B104*100,"")</f>
        <v>39.943400000000004</v>
      </c>
      <c r="H104" s="61">
        <f t="shared" si="9"/>
        <v>1</v>
      </c>
      <c r="I104" t="str">
        <f>IF(FT!B104&lt;&gt;"",FT!E104,"")</f>
        <v>2 [41.437109]</v>
      </c>
      <c r="J104">
        <f>IF(FT!B104&lt;&gt;"",FT!C104,"")</f>
        <v>41.437100000000001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3.8817400000000002</v>
      </c>
      <c r="G105" s="61">
        <f>IF(FT!B105&lt;&gt;"",FT!B105*100,"")</f>
        <v>40.034700000000001</v>
      </c>
      <c r="H105" s="61">
        <f t="shared" si="9"/>
        <v>1</v>
      </c>
      <c r="I105" t="str">
        <f>IF(FT!B105&lt;&gt;"",FT!E105,"")</f>
        <v>2 [41.846015]</v>
      </c>
      <c r="J105">
        <f>IF(FT!B105&lt;&gt;"",FT!C105,"")</f>
        <v>41.845999999999997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126746</v>
      </c>
      <c r="D106" s="61">
        <f>FH!B106*1</f>
        <v>126746</v>
      </c>
      <c r="E106">
        <f t="shared" si="11"/>
        <v>104</v>
      </c>
      <c r="F106" s="61">
        <f>IF(FT!A106&lt;&gt;"",FT!A106*10,"")</f>
        <v>3.8966799999999999</v>
      </c>
      <c r="G106" s="61">
        <f>IF(FT!B106&lt;&gt;"",FT!B106*100,"")</f>
        <v>40.018700000000003</v>
      </c>
      <c r="H106" s="61">
        <f t="shared" si="9"/>
        <v>1</v>
      </c>
      <c r="I106" t="str">
        <f>IF(FT!B106&lt;&gt;"",FT!E106,"")</f>
        <v>2 [42.247131]</v>
      </c>
      <c r="J106">
        <f>IF(FT!B106&lt;&gt;"",FT!C106,"")</f>
        <v>42.247100000000003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3.9093899999999997</v>
      </c>
      <c r="G107" s="61">
        <f>IF(FT!B107&lt;&gt;"",FT!B107*100,"")</f>
        <v>39.886600000000001</v>
      </c>
      <c r="H107" s="61">
        <f t="shared" si="9"/>
        <v>1</v>
      </c>
      <c r="I107" t="str">
        <f>IF(FT!B107&lt;&gt;"",FT!E107,"")</f>
        <v>2 [42.654884]</v>
      </c>
      <c r="J107">
        <f>IF(FT!B107&lt;&gt;"",FT!C107,"")</f>
        <v>42.654899999999998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109919</v>
      </c>
      <c r="D108" s="61">
        <f>FH!B108*1</f>
        <v>109919</v>
      </c>
      <c r="E108">
        <f t="shared" si="11"/>
        <v>106</v>
      </c>
      <c r="F108" s="61">
        <f>IF(FT!A108&lt;&gt;"",FT!A108*10,"")</f>
        <v>3.9192100000000001</v>
      </c>
      <c r="G108" s="61">
        <f>IF(FT!B108&lt;&gt;"",FT!B108*100,"")</f>
        <v>39.7164</v>
      </c>
      <c r="H108" s="61">
        <f t="shared" si="9"/>
        <v>1</v>
      </c>
      <c r="I108" t="str">
        <f>IF(FT!B108&lt;&gt;"",FT!E108,"")</f>
        <v>2 [43.063789]</v>
      </c>
      <c r="J108">
        <f>IF(FT!B108&lt;&gt;"",FT!C108,"")</f>
        <v>43.063800000000001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3.9253100000000001</v>
      </c>
      <c r="G109" s="61">
        <f>IF(FT!B109&lt;&gt;"",FT!B109*100,"")</f>
        <v>39.449400000000004</v>
      </c>
      <c r="H109" s="61">
        <f t="shared" si="9"/>
        <v>1</v>
      </c>
      <c r="I109" t="str">
        <f>IF(FT!B109&lt;&gt;"",FT!E109,"")</f>
        <v>2 [43.462751]</v>
      </c>
      <c r="J109">
        <f>IF(FT!B109&lt;&gt;"",FT!C109,"")</f>
        <v>43.462800000000001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3.92706</v>
      </c>
      <c r="G110" s="61">
        <f>IF(FT!B110&lt;&gt;"",FT!B110*100,"")</f>
        <v>39.084699999999998</v>
      </c>
      <c r="H110" s="61">
        <f t="shared" si="9"/>
        <v>1</v>
      </c>
      <c r="I110" t="str">
        <f>IF(FT!B110&lt;&gt;"",FT!E110,"")</f>
        <v>2 [43.871922]</v>
      </c>
      <c r="J110">
        <f>IF(FT!B110&lt;&gt;"",FT!C110,"")</f>
        <v>43.871899999999997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93429</v>
      </c>
      <c r="D111" s="61">
        <f>FH!B111*1</f>
        <v>93429</v>
      </c>
      <c r="E111">
        <f t="shared" si="11"/>
        <v>109</v>
      </c>
      <c r="F111" s="61">
        <f>IF(FT!A111&lt;&gt;"",FT!A111*10,"")</f>
        <v>3.92517</v>
      </c>
      <c r="G111" s="61">
        <f>IF(FT!B111&lt;&gt;"",FT!B111*100,"")</f>
        <v>38.709600000000002</v>
      </c>
      <c r="H111" s="61">
        <f t="shared" si="9"/>
        <v>1</v>
      </c>
      <c r="I111" t="str">
        <f>IF(FT!B111&lt;&gt;"",FT!E111,"")</f>
        <v>2 [44.281542]</v>
      </c>
      <c r="J111">
        <f>IF(FT!B111&lt;&gt;"",FT!C111,"")</f>
        <v>44.281500000000001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3.9201700000000002</v>
      </c>
      <c r="G112" s="61">
        <f>IF(FT!B112&lt;&gt;"",FT!B112*100,"")</f>
        <v>38.216899999999995</v>
      </c>
      <c r="H112" s="61">
        <f t="shared" si="9"/>
        <v>1</v>
      </c>
      <c r="I112" t="str">
        <f>IF(FT!B112&lt;&gt;"",FT!E112,"")</f>
        <v>2 [44.687591]</v>
      </c>
      <c r="J112">
        <f>IF(FT!B112&lt;&gt;"",FT!C112,"")</f>
        <v>44.687600000000003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87185</v>
      </c>
      <c r="D113" s="61">
        <f>FH!B113*1</f>
        <v>87185</v>
      </c>
      <c r="E113">
        <f t="shared" si="11"/>
        <v>111</v>
      </c>
      <c r="F113" s="61">
        <f>IF(FT!A113&lt;&gt;"",FT!A113*10,"")</f>
        <v>3.9120700000000004</v>
      </c>
      <c r="G113" s="61">
        <f>IF(FT!B113&lt;&gt;"",FT!B113*100,"")</f>
        <v>37.670400000000001</v>
      </c>
      <c r="H113" s="61">
        <f t="shared" si="9"/>
        <v>1</v>
      </c>
      <c r="I113" t="str">
        <f>IF(FT!B113&lt;&gt;"",FT!E113,"")</f>
        <v>2 [45.092301]</v>
      </c>
      <c r="J113">
        <f>IF(FT!B113&lt;&gt;"",FT!C113,"")</f>
        <v>45.092300000000002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3.9028900000000002</v>
      </c>
      <c r="G114" s="61">
        <f>IF(FT!B114&lt;&gt;"",FT!B114*100,"")</f>
        <v>37.052900000000001</v>
      </c>
      <c r="H114" s="61">
        <f t="shared" si="9"/>
        <v>1</v>
      </c>
      <c r="I114" t="str">
        <f>IF(FT!B114&lt;&gt;"",FT!E114,"")</f>
        <v>2 [45.499264]</v>
      </c>
      <c r="J114">
        <f>IF(FT!B114&lt;&gt;"",FT!C114,"")</f>
        <v>45.499299999999998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3.8928699999999998</v>
      </c>
      <c r="G115" s="61">
        <f>IF(FT!B115&lt;&gt;"",FT!B115*100,"")</f>
        <v>36.4527</v>
      </c>
      <c r="H115" s="61">
        <f t="shared" si="9"/>
        <v>1</v>
      </c>
      <c r="I115" t="str">
        <f>IF(FT!B115&lt;&gt;"",FT!E115,"")</f>
        <v>2 [45.904522]</v>
      </c>
      <c r="J115">
        <f>IF(FT!B115&lt;&gt;"",FT!C115,"")</f>
        <v>45.904499999999999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76559</v>
      </c>
      <c r="D116" s="61">
        <f>FH!B116*1</f>
        <v>76559</v>
      </c>
      <c r="E116">
        <f t="shared" si="11"/>
        <v>114</v>
      </c>
      <c r="F116" s="61">
        <f>IF(FT!A116&lt;&gt;"",FT!A116*10,"")</f>
        <v>3.8815300000000001</v>
      </c>
      <c r="G116" s="61">
        <f>IF(FT!B116&lt;&gt;"",FT!B116*100,"")</f>
        <v>35.868299999999998</v>
      </c>
      <c r="H116" s="61">
        <f t="shared" si="9"/>
        <v>1</v>
      </c>
      <c r="I116" t="str">
        <f>IF(FT!B116&lt;&gt;"",FT!E116,"")</f>
        <v>2 [46.310393]</v>
      </c>
      <c r="J116">
        <f>IF(FT!B116&lt;&gt;"",FT!C116,"")</f>
        <v>46.310400000000001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3.8695200000000001</v>
      </c>
      <c r="G117" s="61">
        <f>IF(FT!B117&lt;&gt;"",FT!B117*100,"")</f>
        <v>35.287800000000004</v>
      </c>
      <c r="H117" s="61">
        <f t="shared" si="9"/>
        <v>1</v>
      </c>
      <c r="I117" t="str">
        <f>IF(FT!B117&lt;&gt;"",FT!E117,"")</f>
        <v>2 [46.719062]</v>
      </c>
      <c r="J117">
        <f>IF(FT!B117&lt;&gt;"",FT!C117,"")</f>
        <v>46.719099999999997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64573</v>
      </c>
      <c r="D118" s="61">
        <f>FH!B118*1</f>
        <v>64573</v>
      </c>
      <c r="E118">
        <f t="shared" si="11"/>
        <v>116</v>
      </c>
      <c r="F118" s="61">
        <f>IF(FT!A118&lt;&gt;"",FT!A118*10,"")</f>
        <v>3.8565300000000002</v>
      </c>
      <c r="G118" s="61">
        <f>IF(FT!B118&lt;&gt;"",FT!B118*100,"")</f>
        <v>34.793600000000005</v>
      </c>
      <c r="H118" s="61">
        <f t="shared" si="9"/>
        <v>1</v>
      </c>
      <c r="I118" t="str">
        <f>IF(FT!B118&lt;&gt;"",FT!E118,"")</f>
        <v>2 [47.120132]</v>
      </c>
      <c r="J118">
        <f>IF(FT!B118&lt;&gt;"",FT!C118,"")</f>
        <v>47.120100000000001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3.8434200000000001</v>
      </c>
      <c r="G119" s="61">
        <f>IF(FT!B119&lt;&gt;"",FT!B119*100,"")</f>
        <v>34.349299999999999</v>
      </c>
      <c r="H119" s="61">
        <f t="shared" si="9"/>
        <v>1</v>
      </c>
      <c r="I119" t="str">
        <f>IF(FT!B119&lt;&gt;"",FT!E119,"")</f>
        <v>2 [47.529891]</v>
      </c>
      <c r="J119">
        <f>IF(FT!B119&lt;&gt;"",FT!C119,"")</f>
        <v>47.529899999999998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3.8288600000000002</v>
      </c>
      <c r="G120" s="61">
        <f>IF(FT!B120&lt;&gt;"",FT!B120*100,"")</f>
        <v>33.949300000000001</v>
      </c>
      <c r="H120" s="61">
        <f t="shared" si="9"/>
        <v>1</v>
      </c>
      <c r="I120" t="str">
        <f>IF(FT!B120&lt;&gt;"",FT!E120,"")</f>
        <v>2 [47.936004]</v>
      </c>
      <c r="J120">
        <f>IF(FT!B120&lt;&gt;"",FT!C120,"")</f>
        <v>47.936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65451</v>
      </c>
      <c r="D121" s="61">
        <f>FH!B121*1</f>
        <v>65451</v>
      </c>
      <c r="E121">
        <f t="shared" si="11"/>
        <v>119</v>
      </c>
      <c r="F121" s="61">
        <f>IF(FT!A121&lt;&gt;"",FT!A121*10,"")</f>
        <v>3.8131700000000004</v>
      </c>
      <c r="G121" s="61">
        <f>IF(FT!B121&lt;&gt;"",FT!B121*100,"")</f>
        <v>33.592799999999997</v>
      </c>
      <c r="H121" s="61">
        <f t="shared" si="9"/>
        <v>1</v>
      </c>
      <c r="I121" t="str">
        <f>IF(FT!B121&lt;&gt;"",FT!E121,"")</f>
        <v>2 [48.342760]</v>
      </c>
      <c r="J121">
        <f>IF(FT!B121&lt;&gt;"",FT!C121,"")</f>
        <v>48.342799999999997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3.7957999999999998</v>
      </c>
      <c r="G122" s="61">
        <f>IF(FT!B122&lt;&gt;"",FT!B122*100,"")</f>
        <v>33.3474</v>
      </c>
      <c r="H122" s="61">
        <f t="shared" si="9"/>
        <v>1</v>
      </c>
      <c r="I122" t="str">
        <f>IF(FT!B122&lt;&gt;"",FT!E122,"")</f>
        <v>2 [48.746643]</v>
      </c>
      <c r="J122">
        <f>IF(FT!B122&lt;&gt;"",FT!C122,"")</f>
        <v>48.746600000000001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3.77658</v>
      </c>
      <c r="G123" s="61">
        <f>IF(FT!B123&lt;&gt;"",FT!B123*100,"")</f>
        <v>33.145499999999998</v>
      </c>
      <c r="H123" s="61">
        <f t="shared" si="9"/>
        <v>1</v>
      </c>
      <c r="I123" t="str">
        <f>IF(FT!B123&lt;&gt;"",FT!E123,"")</f>
        <v>2 [49.158481]</v>
      </c>
      <c r="J123">
        <f>IF(FT!B123&lt;&gt;"",FT!C123,"")</f>
        <v>49.158499999999997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56805</v>
      </c>
      <c r="D124" s="61">
        <f>FH!B124*1</f>
        <v>56805</v>
      </c>
      <c r="E124">
        <f t="shared" si="11"/>
        <v>122</v>
      </c>
      <c r="F124" s="61">
        <f>IF(FT!A124&lt;&gt;"",FT!A124*10,"")</f>
        <v>3.7546900000000001</v>
      </c>
      <c r="G124" s="61">
        <f>IF(FT!B124&lt;&gt;"",FT!B124*100,"")</f>
        <v>33.042999999999999</v>
      </c>
      <c r="H124" s="61">
        <f t="shared" si="9"/>
        <v>1</v>
      </c>
      <c r="I124" t="str">
        <f>IF(FT!B124&lt;&gt;"",FT!E124,"")</f>
        <v>2 [49.561348]</v>
      </c>
      <c r="J124">
        <f>IF(FT!B124&lt;&gt;"",FT!C124,"")</f>
        <v>49.561300000000003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3.7355300000000002</v>
      </c>
      <c r="G125" s="61">
        <f>IF(FT!B125&lt;&gt;"",FT!B125*100,"")</f>
        <v>32.978499999999997</v>
      </c>
      <c r="H125" s="61">
        <f t="shared" si="9"/>
        <v>1</v>
      </c>
      <c r="I125" t="str">
        <f>IF(FT!B125&lt;&gt;"",FT!E125,"")</f>
        <v>2 [49.966254]</v>
      </c>
      <c r="J125">
        <f>IF(FT!B125&lt;&gt;"",FT!C125,"")</f>
        <v>49.966299999999997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49233</v>
      </c>
      <c r="D126" s="61">
        <f>FH!B126*1</f>
        <v>49233</v>
      </c>
      <c r="E126">
        <f t="shared" si="11"/>
        <v>124</v>
      </c>
      <c r="F126" s="61">
        <f>IF(FT!A126&lt;&gt;"",FT!A126*10,"")</f>
        <v>3.71976</v>
      </c>
      <c r="G126" s="61">
        <f>IF(FT!B126&lt;&gt;"",FT!B126*100,"")</f>
        <v>32.842700000000001</v>
      </c>
      <c r="H126" s="61">
        <f t="shared" si="9"/>
        <v>1</v>
      </c>
      <c r="I126" t="str">
        <f>IF(FT!B126&lt;&gt;"",FT!E126,"")</f>
        <v>2 [50.375192]</v>
      </c>
      <c r="J126">
        <f>IF(FT!B126&lt;&gt;"",FT!C126,"")</f>
        <v>50.3752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3.7019400000000005</v>
      </c>
      <c r="G127" s="61">
        <f>IF(FT!B127&lt;&gt;"",FT!B127*100,"")</f>
        <v>32.710099999999997</v>
      </c>
      <c r="H127" s="61">
        <f t="shared" si="9"/>
        <v>1</v>
      </c>
      <c r="I127" t="str">
        <f>IF(FT!B127&lt;&gt;"",FT!E127,"")</f>
        <v>2 [50.780147]</v>
      </c>
      <c r="J127">
        <f>IF(FT!B127&lt;&gt;"",FT!C127,"")</f>
        <v>50.780099999999997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3.6839200000000001</v>
      </c>
      <c r="G128" s="61">
        <f>IF(FT!B128&lt;&gt;"",FT!B128*100,"")</f>
        <v>32.640900000000002</v>
      </c>
      <c r="H128" s="61">
        <f t="shared" si="9"/>
        <v>1</v>
      </c>
      <c r="I128" t="str">
        <f>IF(FT!B128&lt;&gt;"",FT!E128,"")</f>
        <v>2 [51.187174]</v>
      </c>
      <c r="J128">
        <f>IF(FT!B128&lt;&gt;"",FT!C128,"")</f>
        <v>51.187199999999997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44167</v>
      </c>
      <c r="D129" s="61">
        <f>FH!B129*1</f>
        <v>44167</v>
      </c>
      <c r="E129">
        <f t="shared" si="11"/>
        <v>127</v>
      </c>
      <c r="F129" s="61">
        <f>IF(FT!A129&lt;&gt;"",FT!A129*10,"")</f>
        <v>3.6695499999999996</v>
      </c>
      <c r="G129" s="61">
        <f>IF(FT!B129&lt;&gt;"",FT!B129*100,"")</f>
        <v>32.576899999999995</v>
      </c>
      <c r="H129" s="61">
        <f t="shared" si="9"/>
        <v>1</v>
      </c>
      <c r="I129" t="str">
        <f>IF(FT!B129&lt;&gt;"",FT!E129,"")</f>
        <v>2 [51.594138]</v>
      </c>
      <c r="J129">
        <f>IF(FT!B129&lt;&gt;"",FT!C129,"")</f>
        <v>51.594099999999997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3.6593</v>
      </c>
      <c r="G130" s="61">
        <f>IF(FT!B130&lt;&gt;"",FT!B130*100,"")</f>
        <v>32.558100000000003</v>
      </c>
      <c r="H130" s="61">
        <f t="shared" si="9"/>
        <v>1</v>
      </c>
      <c r="I130" t="str">
        <f>IF(FT!B130&lt;&gt;"",FT!E130,"")</f>
        <v>2 [52.000829]</v>
      </c>
      <c r="J130">
        <f>IF(FT!B130&lt;&gt;"",FT!C130,"")</f>
        <v>52.000799999999998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37422</v>
      </c>
      <c r="D131" s="61">
        <f>FH!B131*1</f>
        <v>37422</v>
      </c>
      <c r="E131">
        <f t="shared" si="11"/>
        <v>129</v>
      </c>
      <c r="F131" s="61">
        <f>IF(FT!A131&lt;&gt;"",FT!A131*10,"")</f>
        <v>3.6513400000000003</v>
      </c>
      <c r="G131" s="61">
        <f>IF(FT!B131&lt;&gt;"",FT!B131*100,"")</f>
        <v>32.564399999999999</v>
      </c>
      <c r="H131" s="61">
        <f t="shared" ref="H131:H194" si="13">(IF(F131&lt;&gt;"",1,""))</f>
        <v>1</v>
      </c>
      <c r="I131" t="str">
        <f>IF(FT!B131&lt;&gt;"",FT!E131,"")</f>
        <v>2 [52.405782]</v>
      </c>
      <c r="J131">
        <f>IF(FT!B131&lt;&gt;"",FT!C131,"")</f>
        <v>52.405799999999999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3.6452800000000001</v>
      </c>
      <c r="G132" s="61">
        <f>IF(FT!B132&lt;&gt;"",FT!B132*100,"")</f>
        <v>32.579700000000003</v>
      </c>
      <c r="H132" s="61">
        <f t="shared" si="13"/>
        <v>1</v>
      </c>
      <c r="I132" t="str">
        <f>IF(FT!B132&lt;&gt;"",FT!E132,"")</f>
        <v>2 [52.811704]</v>
      </c>
      <c r="J132">
        <f>IF(FT!B132&lt;&gt;"",FT!C132,"")</f>
        <v>52.811700000000002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3.6405599999999998</v>
      </c>
      <c r="G133" s="61">
        <f>IF(FT!B133&lt;&gt;"",FT!B133*100,"")</f>
        <v>32.611699999999999</v>
      </c>
      <c r="H133" s="61">
        <f t="shared" si="13"/>
        <v>1</v>
      </c>
      <c r="I133" t="str">
        <f>IF(FT!B133&lt;&gt;"",FT!E133,"")</f>
        <v>2 [53.217732]</v>
      </c>
      <c r="J133">
        <f>IF(FT!B133&lt;&gt;"",FT!C133,"")</f>
        <v>53.217700000000001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32339</v>
      </c>
      <c r="D134" s="61">
        <f>FH!B134*1</f>
        <v>32339</v>
      </c>
      <c r="E134">
        <f t="shared" si="15"/>
        <v>132</v>
      </c>
      <c r="F134" s="61">
        <f>IF(FT!A134&lt;&gt;"",FT!A134*10,"")</f>
        <v>3.63713</v>
      </c>
      <c r="G134" s="61">
        <f>IF(FT!B134&lt;&gt;"",FT!B134*100,"")</f>
        <v>32.681399999999996</v>
      </c>
      <c r="H134" s="61">
        <f t="shared" si="13"/>
        <v>1</v>
      </c>
      <c r="I134" t="str">
        <f>IF(FT!B134&lt;&gt;"",FT!E134,"")</f>
        <v>2 [53.625517]</v>
      </c>
      <c r="J134">
        <f>IF(FT!B134&lt;&gt;"",FT!C134,"")</f>
        <v>53.625500000000002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3.6354899999999999</v>
      </c>
      <c r="G135" s="61">
        <f>IF(FT!B135&lt;&gt;"",FT!B135*100,"")</f>
        <v>32.774000000000001</v>
      </c>
      <c r="H135" s="61">
        <f t="shared" si="13"/>
        <v>1</v>
      </c>
      <c r="I135" t="str">
        <f>IF(FT!B135&lt;&gt;"",FT!E135,"")</f>
        <v>2 [54.030435]</v>
      </c>
      <c r="J135">
        <f>IF(FT!B135&lt;&gt;"",FT!C135,"")</f>
        <v>54.0304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29118</v>
      </c>
      <c r="D136" s="61">
        <f>FH!B136*1</f>
        <v>29118</v>
      </c>
      <c r="E136">
        <f t="shared" si="15"/>
        <v>134</v>
      </c>
      <c r="F136" s="61">
        <f>IF(FT!A136&lt;&gt;"",FT!A136*10,"")</f>
        <v>3.63334</v>
      </c>
      <c r="G136" s="61">
        <f>IF(FT!B136&lt;&gt;"",FT!B136*100,"")</f>
        <v>32.846899999999998</v>
      </c>
      <c r="H136" s="61">
        <f t="shared" si="13"/>
        <v>1</v>
      </c>
      <c r="I136" t="str">
        <f>IF(FT!B136&lt;&gt;"",FT!E136,"")</f>
        <v>2 [54.436330]</v>
      </c>
      <c r="J136">
        <f>IF(FT!B136&lt;&gt;"",FT!C136,"")</f>
        <v>54.436300000000003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3.6306899999999995</v>
      </c>
      <c r="G137" s="61">
        <f>IF(FT!B137&lt;&gt;"",FT!B137*100,"")</f>
        <v>32.976499999999994</v>
      </c>
      <c r="H137" s="61">
        <f t="shared" si="13"/>
        <v>1</v>
      </c>
      <c r="I137" t="str">
        <f>IF(FT!B137&lt;&gt;"",FT!E137,"")</f>
        <v>2 [54.841251]</v>
      </c>
      <c r="J137">
        <f>IF(FT!B137&lt;&gt;"",FT!C137,"")</f>
        <v>54.841299999999997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3.6288999999999998</v>
      </c>
      <c r="G138" s="61">
        <f>IF(FT!B138&lt;&gt;"",FT!B138*100,"")</f>
        <v>33.1068</v>
      </c>
      <c r="H138" s="61">
        <f t="shared" si="13"/>
        <v>1</v>
      </c>
      <c r="I138" t="str">
        <f>IF(FT!B138&lt;&gt;"",FT!E138,"")</f>
        <v>2 [55.247313]</v>
      </c>
      <c r="J138">
        <f>IF(FT!B138&lt;&gt;"",FT!C138,"")</f>
        <v>55.247300000000003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26344</v>
      </c>
      <c r="D139" s="61">
        <f>FH!B139*1</f>
        <v>26344</v>
      </c>
      <c r="E139">
        <f t="shared" si="15"/>
        <v>137</v>
      </c>
      <c r="F139" s="61">
        <f>IF(FT!A139&lt;&gt;"",FT!A139*10,"")</f>
        <v>3.6301099999999997</v>
      </c>
      <c r="G139" s="61">
        <f>IF(FT!B139&lt;&gt;"",FT!B139*100,"")</f>
        <v>33.332599999999999</v>
      </c>
      <c r="H139" s="61">
        <f t="shared" si="13"/>
        <v>1</v>
      </c>
      <c r="I139" t="str">
        <f>IF(FT!B139&lt;&gt;"",FT!E139,"")</f>
        <v>2 [55.657084]</v>
      </c>
      <c r="J139">
        <f>IF(FT!B139&lt;&gt;"",FT!C139,"")</f>
        <v>55.6571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3.6317399999999997</v>
      </c>
      <c r="G140" s="61">
        <f>IF(FT!B140&lt;&gt;"",FT!B140*100,"")</f>
        <v>33.578499999999998</v>
      </c>
      <c r="H140" s="61">
        <f t="shared" si="13"/>
        <v>1</v>
      </c>
      <c r="I140" t="str">
        <f>IF(FT!B140&lt;&gt;"",FT!E140,"")</f>
        <v>2 [56.066006]</v>
      </c>
      <c r="J140">
        <f>IF(FT!B140&lt;&gt;"",FT!C140,"")</f>
        <v>56.066000000000003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3.6374899999999997</v>
      </c>
      <c r="G141" s="61">
        <f>IF(FT!B141&lt;&gt;"",FT!B141*100,"")</f>
        <v>33.877600000000001</v>
      </c>
      <c r="H141" s="61">
        <f t="shared" si="13"/>
        <v>1</v>
      </c>
      <c r="I141" t="str">
        <f>IF(FT!B141&lt;&gt;"",FT!E141,"")</f>
        <v>2 [56.468963]</v>
      </c>
      <c r="J141">
        <f>IF(FT!B141&lt;&gt;"",FT!C141,"")</f>
        <v>56.469000000000001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29631</v>
      </c>
      <c r="D142" s="61">
        <f>FH!B142*1</f>
        <v>29631</v>
      </c>
      <c r="E142">
        <f t="shared" si="15"/>
        <v>140</v>
      </c>
      <c r="F142" s="61">
        <f>IF(FT!A142&lt;&gt;"",FT!A142*10,"")</f>
        <v>3.6437199999999996</v>
      </c>
      <c r="G142" s="61">
        <f>IF(FT!B142&lt;&gt;"",FT!B142*100,"")</f>
        <v>34.166999999999994</v>
      </c>
      <c r="H142" s="61">
        <f t="shared" si="13"/>
        <v>1</v>
      </c>
      <c r="I142" t="str">
        <f>IF(FT!B142&lt;&gt;"",FT!E142,"")</f>
        <v>2 [56.874907]</v>
      </c>
      <c r="J142">
        <f>IF(FT!B142&lt;&gt;"",FT!C142,"")</f>
        <v>56.874899999999997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3.6485300000000001</v>
      </c>
      <c r="G143" s="61">
        <f>IF(FT!B143&lt;&gt;"",FT!B143*100,"")</f>
        <v>34.380500000000005</v>
      </c>
      <c r="H143" s="61">
        <f t="shared" si="13"/>
        <v>1</v>
      </c>
      <c r="I143" t="str">
        <f>IF(FT!B143&lt;&gt;"",FT!E143,"")</f>
        <v>2 [57.277800]</v>
      </c>
      <c r="J143">
        <f>IF(FT!B143&lt;&gt;"",FT!C143,"")</f>
        <v>57.277799999999999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26253</v>
      </c>
      <c r="D144" s="61">
        <f>FH!B144*1</f>
        <v>26253</v>
      </c>
      <c r="E144">
        <f t="shared" si="15"/>
        <v>142</v>
      </c>
      <c r="F144" s="61">
        <f>IF(FT!A144&lt;&gt;"",FT!A144*10,"")</f>
        <v>3.6513499999999999</v>
      </c>
      <c r="G144" s="61">
        <f>IF(FT!B144&lt;&gt;"",FT!B144*100,"")</f>
        <v>34.613500000000002</v>
      </c>
      <c r="H144" s="61">
        <f t="shared" si="13"/>
        <v>1</v>
      </c>
      <c r="I144" t="str">
        <f>IF(FT!B144&lt;&gt;"",FT!E144,"")</f>
        <v>2 [57.686663]</v>
      </c>
      <c r="J144">
        <f>IF(FT!B144&lt;&gt;"",FT!C144,"")</f>
        <v>57.686700000000002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3.65679</v>
      </c>
      <c r="G145" s="61">
        <f>IF(FT!B145&lt;&gt;"",FT!B145*100,"")</f>
        <v>34.936099999999996</v>
      </c>
      <c r="H145" s="61">
        <f t="shared" si="13"/>
        <v>1</v>
      </c>
      <c r="I145" t="str">
        <f>IF(FT!B145&lt;&gt;"",FT!E145,"")</f>
        <v>2 [58.090562]</v>
      </c>
      <c r="J145">
        <f>IF(FT!B145&lt;&gt;"",FT!C145,"")</f>
        <v>58.090600000000002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3.6640899999999998</v>
      </c>
      <c r="G146" s="61">
        <f>IF(FT!B146&lt;&gt;"",FT!B146*100,"")</f>
        <v>35.193799999999996</v>
      </c>
      <c r="H146" s="61">
        <f t="shared" si="13"/>
        <v>1</v>
      </c>
      <c r="I146" t="str">
        <f>IF(FT!B146&lt;&gt;"",FT!E146,"")</f>
        <v>2 [58.499270]</v>
      </c>
      <c r="J146">
        <f>IF(FT!B146&lt;&gt;"",FT!C146,"")</f>
        <v>58.499299999999998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27368</v>
      </c>
      <c r="D147" s="61">
        <f>FH!B147*1</f>
        <v>27368</v>
      </c>
      <c r="E147">
        <f t="shared" si="15"/>
        <v>145</v>
      </c>
      <c r="F147" s="61">
        <f>IF(FT!A147&lt;&gt;"",FT!A147*10,"")</f>
        <v>3.6598700000000002</v>
      </c>
      <c r="G147" s="61">
        <f>IF(FT!B147&lt;&gt;"",FT!B147*100,"")</f>
        <v>35.5002</v>
      </c>
      <c r="H147" s="61">
        <f t="shared" si="13"/>
        <v>1</v>
      </c>
      <c r="I147" t="str">
        <f>IF(FT!B147&lt;&gt;"",FT!E147,"")</f>
        <v>2 [58.902404]</v>
      </c>
      <c r="J147">
        <f>IF(FT!B147&lt;&gt;"",FT!C147,"")</f>
        <v>58.9024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3.657</v>
      </c>
      <c r="G148" s="61">
        <f>IF(FT!B148&lt;&gt;"",FT!B148*100,"")</f>
        <v>35.695399999999999</v>
      </c>
      <c r="H148" s="61">
        <f t="shared" si="13"/>
        <v>1</v>
      </c>
      <c r="I148" t="str">
        <f>IF(FT!B148&lt;&gt;"",FT!E148,"")</f>
        <v>2 [59.312429]</v>
      </c>
      <c r="J148">
        <f>IF(FT!B148&lt;&gt;"",FT!C148,"")</f>
        <v>59.312399999999997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26376</v>
      </c>
      <c r="D149" s="61">
        <f>FH!B149*1</f>
        <v>26376</v>
      </c>
      <c r="E149">
        <f t="shared" si="15"/>
        <v>147</v>
      </c>
      <c r="F149" s="61">
        <f>IF(FT!A149&lt;&gt;"",FT!A149*10,"")</f>
        <v>3.6727599999999998</v>
      </c>
      <c r="G149" s="61">
        <f>IF(FT!B149&lt;&gt;"",FT!B149*100,"")</f>
        <v>36.179899999999996</v>
      </c>
      <c r="H149" s="61">
        <f t="shared" si="13"/>
        <v>1</v>
      </c>
      <c r="I149" t="str">
        <f>IF(FT!B149&lt;&gt;"",FT!E149,"")</f>
        <v>2 [59.719353]</v>
      </c>
      <c r="J149">
        <f>IF(FT!B149&lt;&gt;"",FT!C149,"")</f>
        <v>59.7194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28002</v>
      </c>
      <c r="D152" s="61">
        <f>FH!B152*1</f>
        <v>28002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28301</v>
      </c>
      <c r="D154" s="61">
        <f>FH!B154*1</f>
        <v>28301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22787</v>
      </c>
      <c r="D157" s="61">
        <f>FH!B157*1</f>
        <v>22787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23946</v>
      </c>
      <c r="D160" s="61">
        <f>FH!B160*1</f>
        <v>23946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23398</v>
      </c>
      <c r="D162" s="61">
        <f>FH!B162*1</f>
        <v>23398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24531</v>
      </c>
      <c r="D165" s="61">
        <f>FH!B165*1</f>
        <v>24531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25882</v>
      </c>
      <c r="D167" s="61">
        <f>FH!B167*1</f>
        <v>25882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25566</v>
      </c>
      <c r="D170" s="61">
        <f>FH!B170*1</f>
        <v>25566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24126</v>
      </c>
      <c r="D173" s="61">
        <f>FH!B173*1</f>
        <v>24126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25636</v>
      </c>
      <c r="D175" s="61">
        <f>FH!B175*1</f>
        <v>25636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27728</v>
      </c>
      <c r="D178" s="61">
        <f>FH!B178*1</f>
        <v>27728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27727</v>
      </c>
      <c r="D180" s="61">
        <f>FH!B180*1</f>
        <v>27727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26272</v>
      </c>
      <c r="D183" s="61">
        <f>FH!B183*1</f>
        <v>26272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19134</v>
      </c>
      <c r="D185" s="61">
        <f>FH!B185*1</f>
        <v>19134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18111</v>
      </c>
      <c r="D188" s="61">
        <f>FH!B188*1</f>
        <v>18111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16487</v>
      </c>
      <c r="D191" s="61">
        <f>FH!B191*1</f>
        <v>16487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10276</v>
      </c>
      <c r="D193" s="61">
        <f>FH!B193*1</f>
        <v>10276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8510</v>
      </c>
      <c r="D196" s="61">
        <f>FH!B196*1</f>
        <v>8510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8256</v>
      </c>
      <c r="D198" s="61">
        <f>FH!B198*1</f>
        <v>8256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5001</v>
      </c>
      <c r="D201" s="61">
        <f>FH!B201*1</f>
        <v>5001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3379</v>
      </c>
      <c r="D203" s="61">
        <f>FH!B203*1</f>
        <v>3379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924</v>
      </c>
      <c r="D206" s="61">
        <f>FH!B206*1</f>
        <v>924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700</v>
      </c>
      <c r="D209" s="61">
        <f>FH!B209*1</f>
        <v>700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503</v>
      </c>
      <c r="D211" s="61">
        <f>FH!B211*1</f>
        <v>503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40.038600000000002</v>
      </c>
      <c r="C5" s="66">
        <v>8.1635899999999992</v>
      </c>
      <c r="D5" s="66">
        <v>20.389299999999999</v>
      </c>
      <c r="E5" s="66">
        <v>20</v>
      </c>
      <c r="F5" s="66">
        <v>10.5411</v>
      </c>
      <c r="G5" s="66">
        <v>50</v>
      </c>
      <c r="H5" s="66">
        <v>46.803699999999999</v>
      </c>
    </row>
    <row r="6" spans="1:8">
      <c r="A6" s="58" t="s">
        <v>303</v>
      </c>
      <c r="B6" s="66">
        <v>20.5425</v>
      </c>
      <c r="C6" s="66">
        <v>3.2856100000000001</v>
      </c>
      <c r="D6" s="66">
        <v>15.994199999999999</v>
      </c>
      <c r="E6" s="66">
        <v>20</v>
      </c>
      <c r="F6" s="66">
        <v>17.740600000000001</v>
      </c>
      <c r="G6" s="66">
        <v>40</v>
      </c>
      <c r="H6" s="66">
        <v>29.121500000000001</v>
      </c>
    </row>
    <row r="7" spans="1:8">
      <c r="A7" s="58" t="s">
        <v>304</v>
      </c>
      <c r="B7" s="66">
        <v>21.092700000000001</v>
      </c>
      <c r="C7" s="66">
        <v>9.1834100000000003</v>
      </c>
      <c r="D7" s="66">
        <v>43.5383</v>
      </c>
      <c r="E7" s="66">
        <v>15</v>
      </c>
      <c r="F7" s="66">
        <v>6.1706399999999997</v>
      </c>
      <c r="G7" s="66">
        <v>40</v>
      </c>
      <c r="H7" s="66">
        <v>47.417099999999998</v>
      </c>
    </row>
    <row r="8" spans="1:8">
      <c r="A8" s="58" t="s">
        <v>305</v>
      </c>
      <c r="B8" s="66">
        <v>27.467099999999999</v>
      </c>
      <c r="C8" s="66">
        <v>4.2860899999999997</v>
      </c>
      <c r="D8" s="66">
        <v>15.6045</v>
      </c>
      <c r="E8" s="66">
        <v>20</v>
      </c>
      <c r="F8" s="66">
        <v>17.792400000000001</v>
      </c>
      <c r="G8" s="66">
        <v>50</v>
      </c>
      <c r="H8" s="66">
        <v>34.947000000000003</v>
      </c>
    </row>
    <row r="9" spans="1:8">
      <c r="A9" s="58" t="s">
        <v>306</v>
      </c>
      <c r="B9" s="66">
        <v>54.133800000000001</v>
      </c>
      <c r="C9" s="66">
        <v>8.6201100000000004</v>
      </c>
      <c r="D9" s="66">
        <v>15.9237</v>
      </c>
      <c r="E9" s="66">
        <v>50</v>
      </c>
      <c r="F9" s="66">
        <v>35.0779</v>
      </c>
      <c r="G9" s="66">
        <v>100</v>
      </c>
      <c r="H9" s="66">
        <v>80.151600000000002</v>
      </c>
    </row>
    <row r="10" spans="1:8">
      <c r="A10" s="58" t="s">
        <v>307</v>
      </c>
      <c r="B10" s="66">
        <v>83.9709</v>
      </c>
      <c r="C10" s="66">
        <v>2.0537299999999998</v>
      </c>
      <c r="D10" s="66">
        <v>2.4457599999999999</v>
      </c>
      <c r="E10" s="66">
        <v>40</v>
      </c>
      <c r="F10" s="66">
        <v>77.861500000000007</v>
      </c>
      <c r="G10" s="66">
        <v>100</v>
      </c>
      <c r="H10" s="66">
        <v>87.52</v>
      </c>
    </row>
    <row r="11" spans="1:8">
      <c r="A11" s="58" t="s">
        <v>308</v>
      </c>
      <c r="B11" s="66">
        <v>20.112100000000002</v>
      </c>
      <c r="C11" s="66">
        <v>4.4143400000000002</v>
      </c>
      <c r="D11" s="66">
        <v>21.948599999999999</v>
      </c>
      <c r="E11" s="66">
        <v>10</v>
      </c>
      <c r="F11" s="66">
        <v>7.0060099999999998</v>
      </c>
      <c r="G11" s="66">
        <v>50</v>
      </c>
      <c r="H11" s="66">
        <v>29.243200000000002</v>
      </c>
    </row>
    <row r="12" spans="1:8">
      <c r="A12" s="58" t="s">
        <v>309</v>
      </c>
      <c r="B12" s="66">
        <v>68.492900000000006</v>
      </c>
      <c r="C12" s="66">
        <v>4.1830100000000003</v>
      </c>
      <c r="D12" s="66">
        <v>6.1072100000000002</v>
      </c>
      <c r="E12" s="66">
        <v>50</v>
      </c>
      <c r="F12" s="66">
        <v>59.977499999999999</v>
      </c>
      <c r="G12" s="66">
        <v>100</v>
      </c>
      <c r="H12" s="66">
        <v>82.939400000000006</v>
      </c>
    </row>
    <row r="13" spans="1:8">
      <c r="A13" s="58" t="s">
        <v>310</v>
      </c>
      <c r="B13" s="66">
        <v>22.969899999999999</v>
      </c>
      <c r="C13" s="66">
        <v>2.85371</v>
      </c>
      <c r="D13" s="66">
        <v>12.4237</v>
      </c>
      <c r="E13" s="66">
        <v>10</v>
      </c>
      <c r="F13" s="66">
        <v>15.2934</v>
      </c>
      <c r="G13" s="66">
        <v>25</v>
      </c>
      <c r="H13" s="66">
        <v>35.353299999999997</v>
      </c>
    </row>
    <row r="14" spans="1:8">
      <c r="A14" s="58" t="s">
        <v>311</v>
      </c>
      <c r="B14" s="66">
        <v>28.537099999999999</v>
      </c>
      <c r="C14" s="66">
        <v>9.1559100000000004</v>
      </c>
      <c r="D14" s="66">
        <v>32.084200000000003</v>
      </c>
      <c r="E14" s="66">
        <v>10</v>
      </c>
      <c r="F14" s="66">
        <v>0.27739999999999998</v>
      </c>
      <c r="G14" s="66">
        <v>50</v>
      </c>
      <c r="H14" s="66">
        <v>31.2027</v>
      </c>
    </row>
    <row r="15" spans="1:8">
      <c r="A15" s="58" t="s">
        <v>312</v>
      </c>
      <c r="B15" s="66">
        <v>4.3052899999999998E-2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7.0940600000000006E-2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18.646000000000001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0.45943200000000001</v>
      </c>
      <c r="C18" s="66">
        <v>2.1497200000000001E-2</v>
      </c>
      <c r="D18" s="66">
        <v>4.6790900000000003E-2</v>
      </c>
      <c r="E18" s="66">
        <v>0</v>
      </c>
      <c r="F18" s="66">
        <v>0.43793500000000002</v>
      </c>
      <c r="G18" s="66">
        <v>0</v>
      </c>
      <c r="H18" s="66">
        <v>0.480929</v>
      </c>
    </row>
    <row r="19" spans="1:8">
      <c r="A19" s="58" t="s">
        <v>316</v>
      </c>
      <c r="B19" s="66">
        <v>0.66270799999999996</v>
      </c>
      <c r="C19" s="66">
        <v>4.3174400000000002E-2</v>
      </c>
      <c r="D19" s="66">
        <v>6.5148399999999995E-2</v>
      </c>
      <c r="E19" s="66">
        <v>0</v>
      </c>
      <c r="F19" s="66">
        <v>0.61953400000000003</v>
      </c>
      <c r="G19" s="66">
        <v>0</v>
      </c>
      <c r="H19" s="66">
        <v>0.70588200000000001</v>
      </c>
    </row>
    <row r="20" spans="1:8">
      <c r="A20" s="58" t="s">
        <v>317</v>
      </c>
      <c r="B20" s="66">
        <v>4.1177100000000001E-3</v>
      </c>
      <c r="C20" s="66">
        <v>8.4221400000000002E-2</v>
      </c>
      <c r="D20" s="66">
        <v>20.453399999999998</v>
      </c>
      <c r="E20" s="66">
        <v>0</v>
      </c>
      <c r="F20" s="66">
        <v>0</v>
      </c>
      <c r="G20" s="66">
        <v>0</v>
      </c>
      <c r="H20" s="66">
        <v>0.76513399999999998</v>
      </c>
    </row>
    <row r="21" spans="1:8">
      <c r="A21" s="58" t="s">
        <v>318</v>
      </c>
      <c r="B21" s="66">
        <v>0.253521</v>
      </c>
      <c r="C21" s="66">
        <v>0.77017899999999995</v>
      </c>
      <c r="D21" s="66">
        <v>3.0379299999999998</v>
      </c>
      <c r="E21" s="66">
        <v>0</v>
      </c>
      <c r="F21" s="66">
        <v>4.9402599999999995E-4</v>
      </c>
      <c r="G21" s="66">
        <v>0</v>
      </c>
      <c r="H21" s="66">
        <v>5.30246</v>
      </c>
    </row>
    <row r="22" spans="1:8">
      <c r="A22" s="58" t="s">
        <v>319</v>
      </c>
      <c r="B22" s="66">
        <v>61.085700000000003</v>
      </c>
      <c r="C22" s="66">
        <v>20.864699999999999</v>
      </c>
      <c r="D22" s="66">
        <v>0.34156500000000001</v>
      </c>
      <c r="E22" s="66">
        <v>0</v>
      </c>
      <c r="F22" s="66">
        <v>21.103899999999999</v>
      </c>
      <c r="G22" s="66">
        <v>0</v>
      </c>
      <c r="H22" s="66">
        <v>167.03100000000001</v>
      </c>
    </row>
    <row r="23" spans="1:8">
      <c r="A23" s="58" t="s">
        <v>320</v>
      </c>
      <c r="B23" s="66">
        <v>21.895600000000002</v>
      </c>
      <c r="C23" s="66">
        <v>5.9108299999999998</v>
      </c>
      <c r="D23" s="66">
        <v>0.269955</v>
      </c>
      <c r="E23" s="66">
        <v>0</v>
      </c>
      <c r="F23" s="66">
        <v>9.2829599999999992</v>
      </c>
      <c r="G23" s="66">
        <v>0</v>
      </c>
      <c r="H23" s="66">
        <v>33.208399999999997</v>
      </c>
    </row>
    <row r="24" spans="1:8">
      <c r="A24" s="58" t="s">
        <v>321</v>
      </c>
      <c r="B24" s="66">
        <v>2.4743999999999999E-2</v>
      </c>
      <c r="C24" s="66">
        <v>6.85196E-2</v>
      </c>
      <c r="D24" s="66">
        <v>2.7691499999999998</v>
      </c>
      <c r="E24" s="66">
        <v>0</v>
      </c>
      <c r="F24" s="196">
        <v>4.7660600000000002E-5</v>
      </c>
      <c r="G24" s="66">
        <v>0</v>
      </c>
      <c r="H24" s="66">
        <v>0.59828700000000001</v>
      </c>
    </row>
    <row r="25" spans="1:8">
      <c r="A25" s="58" t="s">
        <v>322</v>
      </c>
      <c r="B25" s="66">
        <v>0.20568500000000001</v>
      </c>
      <c r="C25" s="66">
        <v>0.57858299999999996</v>
      </c>
      <c r="D25" s="66">
        <v>2.8129599999999999</v>
      </c>
      <c r="E25" s="66">
        <v>0</v>
      </c>
      <c r="F25" s="66">
        <v>4.1040600000000003E-2</v>
      </c>
      <c r="G25" s="66">
        <v>0</v>
      </c>
      <c r="H25" s="66">
        <v>2.8882400000000001</v>
      </c>
    </row>
    <row r="26" spans="1:8">
      <c r="A26" s="58" t="s">
        <v>323</v>
      </c>
      <c r="B26" s="66">
        <v>1.01924E-3</v>
      </c>
      <c r="C26" s="66">
        <v>8.6727200000000001E-3</v>
      </c>
      <c r="D26" s="66">
        <v>8.5090400000000006</v>
      </c>
      <c r="E26" s="66">
        <v>0</v>
      </c>
      <c r="F26" s="66">
        <v>0</v>
      </c>
      <c r="G26" s="66">
        <v>0</v>
      </c>
      <c r="H26" s="66">
        <v>7.2813799999999998E-2</v>
      </c>
    </row>
    <row r="27" spans="1:8">
      <c r="A27" s="58" t="s">
        <v>324</v>
      </c>
      <c r="B27" s="196">
        <v>-1.31303E-5</v>
      </c>
      <c r="C27" s="66">
        <v>2.98366E-3</v>
      </c>
      <c r="D27" s="66">
        <v>-227.23500000000001</v>
      </c>
      <c r="E27" s="66">
        <v>0</v>
      </c>
      <c r="F27" s="66">
        <v>-3.6459400000000003E-2</v>
      </c>
      <c r="G27" s="66">
        <v>0</v>
      </c>
      <c r="H27" s="66">
        <v>3.60983E-2</v>
      </c>
    </row>
    <row r="28" spans="1:8">
      <c r="A28" s="58" t="s">
        <v>325</v>
      </c>
      <c r="B28" s="66">
        <v>1.72233E-2</v>
      </c>
      <c r="C28" s="66">
        <v>4.5165900000000002E-2</v>
      </c>
      <c r="D28" s="66">
        <v>2.6223700000000001</v>
      </c>
      <c r="E28" s="66">
        <v>0</v>
      </c>
      <c r="F28" s="66">
        <v>1.7252599999999999E-4</v>
      </c>
      <c r="G28" s="66">
        <v>0</v>
      </c>
      <c r="H28" s="66">
        <v>0.23486000000000001</v>
      </c>
    </row>
    <row r="29" spans="1:8">
      <c r="A29" s="58" t="s">
        <v>326</v>
      </c>
      <c r="B29" s="66">
        <v>75.555099999999996</v>
      </c>
      <c r="C29" s="66">
        <v>11.476900000000001</v>
      </c>
      <c r="D29" s="66">
        <v>0.15190100000000001</v>
      </c>
      <c r="E29" s="66">
        <v>0</v>
      </c>
      <c r="F29" s="66">
        <v>42.561</v>
      </c>
      <c r="G29" s="66">
        <v>0</v>
      </c>
      <c r="H29" s="66">
        <v>113.539</v>
      </c>
    </row>
    <row r="30" spans="1:8">
      <c r="A30" s="58" t="s">
        <v>327</v>
      </c>
      <c r="B30" s="66">
        <v>23.129100000000001</v>
      </c>
      <c r="C30" s="66">
        <v>5.6252000000000004</v>
      </c>
      <c r="D30" s="66">
        <v>0.24320900000000001</v>
      </c>
      <c r="E30" s="66">
        <v>0</v>
      </c>
      <c r="F30" s="66">
        <v>9.3474799999999991</v>
      </c>
      <c r="G30" s="66">
        <v>0</v>
      </c>
      <c r="H30" s="66">
        <v>34.189700000000002</v>
      </c>
    </row>
    <row r="31" spans="1:8">
      <c r="A31" s="58" t="s">
        <v>328</v>
      </c>
      <c r="B31" s="66">
        <v>462.33300000000003</v>
      </c>
      <c r="C31" s="66">
        <v>93.188900000000004</v>
      </c>
      <c r="D31" s="66">
        <v>0.20156199999999999</v>
      </c>
      <c r="E31" s="66">
        <v>0</v>
      </c>
      <c r="F31" s="66">
        <v>113.116</v>
      </c>
      <c r="G31" s="66">
        <v>0</v>
      </c>
      <c r="H31" s="66">
        <v>546.89499999999998</v>
      </c>
    </row>
    <row r="32" spans="1:8">
      <c r="A32" s="58" t="s">
        <v>329</v>
      </c>
      <c r="B32" s="66">
        <v>0.210927</v>
      </c>
      <c r="C32" s="66">
        <v>9.1834100000000002E-2</v>
      </c>
      <c r="D32" s="66">
        <v>0.43538300000000002</v>
      </c>
      <c r="E32" s="66">
        <v>0.15</v>
      </c>
      <c r="F32" s="66">
        <v>6.1706400000000002E-2</v>
      </c>
      <c r="G32" s="66">
        <v>0.4</v>
      </c>
      <c r="H32" s="66">
        <v>0.47417100000000001</v>
      </c>
    </row>
    <row r="33" spans="1:8">
      <c r="A33" s="58" t="s">
        <v>330</v>
      </c>
      <c r="B33" s="66">
        <v>0.30892599999999998</v>
      </c>
      <c r="C33" s="66">
        <v>2.6159100000000001E-2</v>
      </c>
      <c r="D33" s="66">
        <v>8.4677500000000003E-2</v>
      </c>
      <c r="E33" s="66">
        <v>0</v>
      </c>
      <c r="F33" s="66">
        <v>0.20492299999999999</v>
      </c>
      <c r="G33" s="66">
        <v>0</v>
      </c>
      <c r="H33" s="66">
        <v>0.35182999999999998</v>
      </c>
    </row>
    <row r="34" spans="1:8">
      <c r="A34" s="58" t="s">
        <v>331</v>
      </c>
      <c r="B34" s="66">
        <v>0.22969899999999999</v>
      </c>
      <c r="C34" s="66">
        <v>2.8537099999999999E-2</v>
      </c>
      <c r="D34" s="66">
        <v>0.124237</v>
      </c>
      <c r="E34" s="66">
        <v>0.1</v>
      </c>
      <c r="F34" s="66">
        <v>0.15293399999999999</v>
      </c>
      <c r="G34" s="66">
        <v>0.25</v>
      </c>
      <c r="H34" s="66">
        <v>0.35353299999999999</v>
      </c>
    </row>
    <row r="35" spans="1:8">
      <c r="A35" s="58" t="s">
        <v>332</v>
      </c>
      <c r="B35" s="66">
        <v>9.1957300000000006E-2</v>
      </c>
      <c r="C35" s="66">
        <v>2.4765300000000001E-2</v>
      </c>
      <c r="D35" s="66">
        <v>0.26931300000000002</v>
      </c>
      <c r="E35" s="66">
        <v>0</v>
      </c>
      <c r="F35" s="66">
        <v>3.87517E-2</v>
      </c>
      <c r="G35" s="66">
        <v>0</v>
      </c>
      <c r="H35" s="66">
        <v>0.19601399999999999</v>
      </c>
    </row>
    <row r="36" spans="1:8">
      <c r="A36" s="58" t="s">
        <v>333</v>
      </c>
      <c r="B36" s="66">
        <v>0.21226900000000001</v>
      </c>
      <c r="C36" s="66">
        <v>0.101505</v>
      </c>
      <c r="D36" s="66">
        <v>0.47819200000000001</v>
      </c>
      <c r="E36" s="66">
        <v>0</v>
      </c>
      <c r="F36" s="66">
        <v>3.4910299999999998E-2</v>
      </c>
      <c r="G36" s="66">
        <v>0</v>
      </c>
      <c r="H36" s="66">
        <v>0.573237</v>
      </c>
    </row>
    <row r="37" spans="1:8">
      <c r="A37" s="58" t="s">
        <v>334</v>
      </c>
      <c r="B37" s="66">
        <v>0.28537099999999999</v>
      </c>
      <c r="C37" s="66">
        <v>9.1559100000000004E-2</v>
      </c>
      <c r="D37" s="66">
        <v>0.32084200000000002</v>
      </c>
      <c r="E37" s="66">
        <v>0.1</v>
      </c>
      <c r="F37" s="66">
        <v>2.774E-3</v>
      </c>
      <c r="G37" s="66">
        <v>0.5</v>
      </c>
      <c r="H37" s="66">
        <v>0.312027</v>
      </c>
    </row>
    <row r="38" spans="1:8">
      <c r="A38" s="58" t="s">
        <v>335</v>
      </c>
      <c r="B38" s="66">
        <v>-20.065899999999999</v>
      </c>
      <c r="C38" s="66">
        <v>51.442900000000002</v>
      </c>
      <c r="D38" s="66">
        <v>-2.5636899999999998</v>
      </c>
      <c r="E38" s="66">
        <v>0</v>
      </c>
      <c r="F38" s="66">
        <v>-107.86</v>
      </c>
      <c r="G38" s="66">
        <v>0</v>
      </c>
      <c r="H38" s="66">
        <v>471.65100000000001</v>
      </c>
    </row>
    <row r="39" spans="1:8">
      <c r="A39" s="58" t="s">
        <v>336</v>
      </c>
      <c r="B39" s="66">
        <v>-6.0663900000000002</v>
      </c>
      <c r="C39" s="66">
        <v>7.1810900000000002</v>
      </c>
      <c r="D39" s="66">
        <v>-1.1837500000000001</v>
      </c>
      <c r="E39" s="66">
        <v>0</v>
      </c>
      <c r="F39" s="66">
        <v>-30.247499999999999</v>
      </c>
      <c r="G39" s="66">
        <v>0</v>
      </c>
      <c r="H39" s="66">
        <v>63.923299999999998</v>
      </c>
    </row>
    <row r="40" spans="1:8">
      <c r="A40" s="58" t="s">
        <v>337</v>
      </c>
      <c r="B40" s="66">
        <v>-2.1144400000000001</v>
      </c>
      <c r="C40" s="66">
        <v>2.0684800000000001</v>
      </c>
      <c r="D40" s="66">
        <v>-0.97826199999999996</v>
      </c>
      <c r="E40" s="66">
        <v>0</v>
      </c>
      <c r="F40" s="66">
        <v>-7.4640399999999998</v>
      </c>
      <c r="G40" s="66">
        <v>0</v>
      </c>
      <c r="H40" s="66">
        <v>-0.80412799999999995</v>
      </c>
    </row>
    <row r="41" spans="1:8">
      <c r="A41" s="58" t="s">
        <v>338</v>
      </c>
      <c r="B41" s="66">
        <v>-9.4569399999999998E-2</v>
      </c>
      <c r="C41" s="66">
        <v>0.248913</v>
      </c>
      <c r="D41" s="66">
        <v>-2.6320700000000001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-8.8711200000000004E-2</v>
      </c>
      <c r="C42" s="66">
        <v>6.3958600000000004E-2</v>
      </c>
      <c r="D42" s="66">
        <v>-0.72097599999999995</v>
      </c>
      <c r="E42" s="66">
        <v>0</v>
      </c>
      <c r="F42" s="66">
        <v>-0.241395</v>
      </c>
      <c r="G42" s="66">
        <v>0</v>
      </c>
      <c r="H42" s="66">
        <v>0.31683800000000001</v>
      </c>
    </row>
    <row r="43" spans="1:8">
      <c r="A43" s="58" t="s">
        <v>340</v>
      </c>
      <c r="B43" s="66">
        <v>-0.10474799999999999</v>
      </c>
      <c r="C43" s="66">
        <v>4.4762400000000001E-2</v>
      </c>
      <c r="D43" s="66">
        <v>-0.42733500000000002</v>
      </c>
      <c r="E43" s="66">
        <v>0</v>
      </c>
      <c r="F43" s="66">
        <v>-0.21652099999999999</v>
      </c>
      <c r="G43" s="66">
        <v>0</v>
      </c>
      <c r="H43" s="66">
        <v>-3.8114700000000001E-2</v>
      </c>
    </row>
    <row r="44" spans="1:8">
      <c r="A44" s="58" t="s">
        <v>341</v>
      </c>
      <c r="B44" s="66">
        <v>-93.699399999999997</v>
      </c>
      <c r="C44" s="66">
        <v>34.599499999999999</v>
      </c>
      <c r="D44" s="66">
        <v>-0.36926100000000001</v>
      </c>
      <c r="E44" s="66">
        <v>0</v>
      </c>
      <c r="F44" s="66">
        <v>-144.792</v>
      </c>
      <c r="G44" s="66">
        <v>0</v>
      </c>
      <c r="H44" s="66">
        <v>-20.148800000000001</v>
      </c>
    </row>
    <row r="45" spans="1:8">
      <c r="A45" s="58" t="s">
        <v>342</v>
      </c>
      <c r="B45" s="66">
        <v>49.24</v>
      </c>
      <c r="C45" s="66">
        <v>7.9802799999999996</v>
      </c>
      <c r="D45" s="66">
        <v>0.16206899999999999</v>
      </c>
      <c r="E45" s="66">
        <v>0</v>
      </c>
      <c r="F45" s="66">
        <v>30.122</v>
      </c>
      <c r="G45" s="66">
        <v>0</v>
      </c>
      <c r="H45" s="66">
        <v>66.800200000000004</v>
      </c>
    </row>
    <row r="46" spans="1:8">
      <c r="A46" s="58" t="s">
        <v>343</v>
      </c>
      <c r="B46" s="66">
        <v>27.373699999999999</v>
      </c>
      <c r="C46" s="66">
        <v>5.5841399999999997</v>
      </c>
      <c r="D46" s="66">
        <v>0.20399600000000001</v>
      </c>
      <c r="E46" s="66">
        <v>0</v>
      </c>
      <c r="F46" s="66">
        <v>7.5654700000000004</v>
      </c>
      <c r="G46" s="66">
        <v>0</v>
      </c>
      <c r="H46" s="66">
        <v>31.397500000000001</v>
      </c>
    </row>
    <row r="47" spans="1:8">
      <c r="A47" s="58" t="s">
        <v>344</v>
      </c>
      <c r="B47" s="66">
        <v>0.93915300000000002</v>
      </c>
      <c r="C47" s="66">
        <v>1.3237000000000001</v>
      </c>
      <c r="D47" s="66">
        <v>1.4094599999999999</v>
      </c>
      <c r="E47" s="66">
        <v>0</v>
      </c>
      <c r="F47" s="66">
        <v>0.194383</v>
      </c>
      <c r="G47" s="66">
        <v>0</v>
      </c>
      <c r="H47" s="66">
        <v>6.9510399999999999</v>
      </c>
    </row>
    <row r="48" spans="1:8">
      <c r="A48" s="58" t="s">
        <v>345</v>
      </c>
      <c r="B48" s="66">
        <v>0.66670200000000002</v>
      </c>
      <c r="C48" s="66">
        <v>0.14337900000000001</v>
      </c>
      <c r="D48" s="66">
        <v>0.215057</v>
      </c>
      <c r="E48" s="66">
        <v>0</v>
      </c>
      <c r="F48" s="66">
        <v>0.52497499999999997</v>
      </c>
      <c r="G48" s="66">
        <v>0</v>
      </c>
      <c r="H48" s="66">
        <v>1.2849299999999999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-0.37259999999999849</v>
      </c>
      <c r="C5" s="66">
        <f>'M2'!C5-'M1'!C5</f>
        <v>-8.22879</v>
      </c>
      <c r="D5" s="66">
        <f>'M2'!D5-'M1'!D5</f>
        <v>-20.479690000000002</v>
      </c>
      <c r="E5" s="66">
        <f>'M2'!E5-'M1'!E5</f>
        <v>0</v>
      </c>
      <c r="F5" s="66">
        <f>'M2'!F5-'M1'!F5</f>
        <v>25.952599999999997</v>
      </c>
      <c r="G5" s="66">
        <f>'M2'!G5-'M1'!G5</f>
        <v>0</v>
      </c>
      <c r="H5" s="66">
        <f>'M2'!H5-'M1'!H5</f>
        <v>-0.57580000000000098</v>
      </c>
    </row>
    <row r="6" spans="1:8">
      <c r="A6" s="66" t="s">
        <v>244</v>
      </c>
      <c r="B6" s="66">
        <f>'M2'!B6-'M1'!B6</f>
        <v>-4.1931000000000012</v>
      </c>
      <c r="C6" s="66">
        <f>'M2'!C6-'M1'!C6</f>
        <v>-2.2995400000000004</v>
      </c>
      <c r="D6" s="66">
        <f>'M2'!D6-'M1'!D6</f>
        <v>-8.3667400000000001</v>
      </c>
      <c r="E6" s="66">
        <f>'M2'!E6-'M1'!E6</f>
        <v>0</v>
      </c>
      <c r="F6" s="66">
        <f>'M2'!F6-'M1'!F6</f>
        <v>0.98740000000000094</v>
      </c>
      <c r="G6" s="66">
        <f>'M2'!G6-'M1'!G6</f>
        <v>0</v>
      </c>
      <c r="H6" s="66">
        <f>'M2'!H6-'M1'!H6</f>
        <v>-3.1063000000000009</v>
      </c>
    </row>
    <row r="7" spans="1:8">
      <c r="A7" s="66" t="s">
        <v>245</v>
      </c>
      <c r="B7" s="66">
        <f>'M2'!B7-'M1'!B7</f>
        <v>-4.0886000000000031</v>
      </c>
      <c r="C7" s="66">
        <f>'M2'!C7-'M1'!C7</f>
        <v>9.2962199999999999</v>
      </c>
      <c r="D7" s="66">
        <f>'M2'!D7-'M1'!D7</f>
        <v>56.804400000000001</v>
      </c>
      <c r="E7" s="66">
        <f>'M2'!E7-'M1'!E7</f>
        <v>0</v>
      </c>
      <c r="F7" s="66">
        <f>'M2'!F7-'M1'!F7</f>
        <v>-8.7147600000000018</v>
      </c>
      <c r="G7" s="66">
        <f>'M2'!G7-'M1'!G7</f>
        <v>0</v>
      </c>
      <c r="H7" s="66">
        <f>'M2'!H7-'M1'!H7</f>
        <v>11.624600000000001</v>
      </c>
    </row>
    <row r="8" spans="1:8">
      <c r="A8" s="66" t="s">
        <v>246</v>
      </c>
      <c r="B8" s="66">
        <f>'M2'!B8-'M1'!B8</f>
        <v>-2.6015000000000015</v>
      </c>
      <c r="C8" s="66">
        <f>'M2'!C8-'M1'!C8</f>
        <v>-0.77036999999999978</v>
      </c>
      <c r="D8" s="66">
        <f>'M2'!D8-'M1'!D8</f>
        <v>-1.3435000000000006</v>
      </c>
      <c r="E8" s="66">
        <f>'M2'!E8-'M1'!E8</f>
        <v>0</v>
      </c>
      <c r="F8" s="66">
        <f>'M2'!F8-'M1'!F8</f>
        <v>4.5624000000000002</v>
      </c>
      <c r="G8" s="66">
        <f>'M2'!G8-'M1'!G8</f>
        <v>0</v>
      </c>
      <c r="H8" s="66">
        <f>'M2'!H8-'M1'!H8</f>
        <v>3.6515000000000022</v>
      </c>
    </row>
    <row r="9" spans="1:8">
      <c r="A9" s="66" t="s">
        <v>247</v>
      </c>
      <c r="B9" s="66">
        <f>'M2'!B9-'M1'!B9</f>
        <v>-6.6396999999999977</v>
      </c>
      <c r="C9" s="66">
        <f>'M2'!C9-'M1'!C9</f>
        <v>-0.35017000000000031</v>
      </c>
      <c r="D9" s="66">
        <f>'M2'!D9-'M1'!D9</f>
        <v>1.0389999999999997</v>
      </c>
      <c r="E9" s="66">
        <f>'M2'!E9-'M1'!E9</f>
        <v>0</v>
      </c>
      <c r="F9" s="66">
        <f>'M2'!F9-'M1'!F9</f>
        <v>-13.280500000000004</v>
      </c>
      <c r="G9" s="66">
        <f>'M2'!G9-'M1'!G9</f>
        <v>0</v>
      </c>
      <c r="H9" s="66">
        <f>'M2'!H9-'M1'!H9</f>
        <v>-15.638100000000009</v>
      </c>
    </row>
    <row r="10" spans="1:8">
      <c r="A10" s="66" t="s">
        <v>248</v>
      </c>
      <c r="B10" s="66">
        <f>'M2'!B10-'M1'!B10</f>
        <v>3.0087000000000046</v>
      </c>
      <c r="C10" s="66">
        <f>'M2'!C10-'M1'!C10</f>
        <v>-1.278232</v>
      </c>
      <c r="D10" s="66">
        <f>'M2'!D10-'M1'!D10</f>
        <v>-1.599156</v>
      </c>
      <c r="E10" s="66">
        <f>'M2'!E10-'M1'!E10</f>
        <v>0</v>
      </c>
      <c r="F10" s="66">
        <f>'M2'!F10-'M1'!F10</f>
        <v>3.5131999999999977</v>
      </c>
      <c r="G10" s="66">
        <f>'M2'!G10-'M1'!G10</f>
        <v>0</v>
      </c>
      <c r="H10" s="66">
        <f>'M2'!H10-'M1'!H10</f>
        <v>-1.0711000000000013</v>
      </c>
    </row>
    <row r="11" spans="1:8">
      <c r="A11" s="66" t="s">
        <v>249</v>
      </c>
      <c r="B11" s="66">
        <f>'M2'!B11-'M1'!B11</f>
        <v>4.6203000000000003</v>
      </c>
      <c r="C11" s="66">
        <f>'M2'!C11-'M1'!C11</f>
        <v>1.2669999999999959E-2</v>
      </c>
      <c r="D11" s="66">
        <f>'M2'!D11-'M1'!D11</f>
        <v>-3.8203000000000014</v>
      </c>
      <c r="E11" s="66">
        <f>'M2'!E11-'M1'!E11</f>
        <v>0</v>
      </c>
      <c r="F11" s="66">
        <f>'M2'!F11-'M1'!F11</f>
        <v>10.032589999999999</v>
      </c>
      <c r="G11" s="66">
        <f>'M2'!G11-'M1'!G11</f>
        <v>0</v>
      </c>
      <c r="H11" s="66">
        <f>'M2'!H11-'M1'!H11</f>
        <v>6.9487000000000023</v>
      </c>
    </row>
    <row r="12" spans="1:8">
      <c r="A12" s="66" t="s">
        <v>250</v>
      </c>
      <c r="B12" s="66">
        <f>'M2'!B12-'M1'!B12</f>
        <v>-1.8100000000000023</v>
      </c>
      <c r="C12" s="66">
        <f>'M2'!C12-'M1'!C12</f>
        <v>-0.90939000000000014</v>
      </c>
      <c r="D12" s="66">
        <f>'M2'!D12-'M1'!D12</f>
        <v>-1.1819899999999999</v>
      </c>
      <c r="E12" s="66">
        <f>'M2'!E12-'M1'!E12</f>
        <v>0</v>
      </c>
      <c r="F12" s="66">
        <f>'M2'!F12-'M1'!F12</f>
        <v>-4.5351999999999961</v>
      </c>
      <c r="G12" s="66">
        <f>'M2'!G12-'M1'!G12</f>
        <v>0</v>
      </c>
      <c r="H12" s="66">
        <f>'M2'!H12-'M1'!H12</f>
        <v>-9.6818000000000097</v>
      </c>
    </row>
    <row r="13" spans="1:8">
      <c r="A13" s="66" t="s">
        <v>251</v>
      </c>
      <c r="B13" s="66">
        <f>'M2'!B13-'M1'!B13</f>
        <v>1.8860000000000028</v>
      </c>
      <c r="C13" s="66">
        <f>'M2'!C13-'M1'!C13</f>
        <v>1.0582799999999999</v>
      </c>
      <c r="D13" s="66">
        <f>'M2'!D13-'M1'!D13</f>
        <v>3.6232600000000001</v>
      </c>
      <c r="E13" s="66">
        <f>'M2'!E13-'M1'!E13</f>
        <v>0</v>
      </c>
      <c r="F13" s="66">
        <f>'M2'!F13-'M1'!F13</f>
        <v>3.0923999999999996</v>
      </c>
      <c r="G13" s="66">
        <f>'M2'!G13-'M1'!G13</f>
        <v>0</v>
      </c>
      <c r="H13" s="66">
        <f>'M2'!H13-'M1'!H13</f>
        <v>6.9288999999999987</v>
      </c>
    </row>
    <row r="14" spans="1:8">
      <c r="A14" s="66" t="s">
        <v>252</v>
      </c>
      <c r="B14" s="66">
        <f>'M2'!B14-'M1'!B14</f>
        <v>10.582800000000002</v>
      </c>
      <c r="C14" s="66">
        <f>'M2'!C14-'M1'!C14</f>
        <v>2.9913099999999995</v>
      </c>
      <c r="D14" s="66">
        <f>'M2'!D14-'M1'!D14</f>
        <v>-1.9975999999999985</v>
      </c>
      <c r="E14" s="66">
        <f>'M2'!E14-'M1'!E14</f>
        <v>0</v>
      </c>
      <c r="F14" s="66">
        <f>'M2'!F14-'M1'!F14</f>
        <v>2.68404</v>
      </c>
      <c r="G14" s="66">
        <f>'M2'!G14-'M1'!G14</f>
        <v>0</v>
      </c>
      <c r="H14" s="66">
        <f>'M2'!H14-'M1'!H14</f>
        <v>4.9083000000000006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7.0089999999999875E-3</v>
      </c>
      <c r="C18" s="66">
        <f>'M2'!C18-'M1'!C18</f>
        <v>2.1497200000000001E-2</v>
      </c>
      <c r="D18" s="66">
        <f>'M2'!D18-'M1'!D18</f>
        <v>4.6790900000000003E-2</v>
      </c>
      <c r="E18" s="66">
        <f>'M2'!E18-'M1'!E18</f>
        <v>0</v>
      </c>
      <c r="F18" s="66">
        <f>'M2'!F18-'M1'!F18</f>
        <v>0.43793500000000002</v>
      </c>
      <c r="G18" s="66">
        <f>'M2'!G18-'M1'!G18</f>
        <v>0</v>
      </c>
      <c r="H18" s="66">
        <f>'M2'!H18-'M1'!H18</f>
        <v>0.480929</v>
      </c>
    </row>
    <row r="19" spans="1:8">
      <c r="A19" s="66" t="s">
        <v>256</v>
      </c>
      <c r="B19" s="66">
        <f>'M2'!B19-'M1'!B19</f>
        <v>0.11843999999999999</v>
      </c>
      <c r="C19" s="66">
        <f>'M2'!C19-'M1'!C19</f>
        <v>4.3174400000000002E-2</v>
      </c>
      <c r="D19" s="66">
        <f>'M2'!D19-'M1'!D19</f>
        <v>6.5148399999999995E-2</v>
      </c>
      <c r="E19" s="66">
        <f>'M2'!E19-'M1'!E19</f>
        <v>0</v>
      </c>
      <c r="F19" s="66">
        <f>'M2'!F19-'M1'!F19</f>
        <v>0.61953400000000003</v>
      </c>
      <c r="G19" s="66">
        <f>'M2'!G19-'M1'!G19</f>
        <v>0</v>
      </c>
      <c r="H19" s="66">
        <f>'M2'!H19-'M1'!H19</f>
        <v>0.70588200000000001</v>
      </c>
    </row>
    <row r="20" spans="1:8">
      <c r="A20" s="66" t="s">
        <v>63</v>
      </c>
      <c r="B20" s="66">
        <f>'M2'!B20-'M1'!B20</f>
        <v>1.5659302E-2</v>
      </c>
      <c r="C20" s="66">
        <f>'M2'!C20-'M1'!C20</f>
        <v>6.4873900000000012E-2</v>
      </c>
      <c r="D20" s="66">
        <f>'M2'!D20-'M1'!D20</f>
        <v>-57.948789999999995</v>
      </c>
      <c r="E20" s="66">
        <f>'M2'!E20-'M1'!E20</f>
        <v>0</v>
      </c>
      <c r="F20" s="66">
        <f>'M2'!F20-'M1'!F20</f>
        <v>-9.1396899999999992E-6</v>
      </c>
      <c r="G20" s="66">
        <f>'M2'!G20-'M1'!G20</f>
        <v>0</v>
      </c>
      <c r="H20" s="66">
        <f>'M2'!H20-'M1'!H20</f>
        <v>0.45952699999999996</v>
      </c>
    </row>
    <row r="21" spans="1:8">
      <c r="A21" s="66" t="s">
        <v>64</v>
      </c>
      <c r="B21" s="66">
        <f>'M2'!B21-'M1'!B21</f>
        <v>0.22014500000000004</v>
      </c>
      <c r="C21" s="66">
        <f>'M2'!C21-'M1'!C21</f>
        <v>0.67154700000000012</v>
      </c>
      <c r="D21" s="66">
        <f>'M2'!D21-'M1'!D21</f>
        <v>0.25039999999999996</v>
      </c>
      <c r="E21" s="66">
        <f>'M2'!E21-'M1'!E21</f>
        <v>0</v>
      </c>
      <c r="F21" s="66">
        <f>'M2'!F21-'M1'!F21</f>
        <v>3.4082240000000001E-3</v>
      </c>
      <c r="G21" s="66">
        <f>'M2'!G21-'M1'!G21</f>
        <v>0</v>
      </c>
      <c r="H21" s="66">
        <f>'M2'!H21-'M1'!H21</f>
        <v>3.6063399999999999</v>
      </c>
    </row>
    <row r="22" spans="1:8">
      <c r="A22" s="66" t="s">
        <v>65</v>
      </c>
      <c r="B22" s="66">
        <f>'M2'!B22-'M1'!B22</f>
        <v>3.6514999999999986</v>
      </c>
      <c r="C22" s="66">
        <f>'M2'!C22-'M1'!C22</f>
        <v>-1.5378000000000007</v>
      </c>
      <c r="D22" s="66">
        <f>'M2'!D22-'M1'!D22</f>
        <v>-4.5267000000000002E-2</v>
      </c>
      <c r="E22" s="66">
        <f>'M2'!E22-'M1'!E22</f>
        <v>0</v>
      </c>
      <c r="F22" s="66">
        <f>'M2'!F22-'M1'!F22</f>
        <v>17.988200000000003</v>
      </c>
      <c r="G22" s="66">
        <f>'M2'!G22-'M1'!G22</f>
        <v>0</v>
      </c>
      <c r="H22" s="66">
        <f>'M2'!H22-'M1'!H22</f>
        <v>-35.15300000000002</v>
      </c>
    </row>
    <row r="23" spans="1:8">
      <c r="A23" s="66" t="s">
        <v>66</v>
      </c>
      <c r="B23" s="66">
        <f>'M2'!B23-'M1'!B23</f>
        <v>8.125</v>
      </c>
      <c r="C23" s="66">
        <f>'M2'!C23-'M1'!C23</f>
        <v>0.61311000000000027</v>
      </c>
      <c r="D23" s="66">
        <f>'M2'!D23-'M1'!D23</f>
        <v>-2.5949E-2</v>
      </c>
      <c r="E23" s="66">
        <f>'M2'!E23-'M1'!E23</f>
        <v>0</v>
      </c>
      <c r="F23" s="66">
        <f>'M2'!F23-'M1'!F23</f>
        <v>8.5708400000000005</v>
      </c>
      <c r="G23" s="66">
        <f>'M2'!G23-'M1'!G23</f>
        <v>0</v>
      </c>
      <c r="H23" s="66">
        <f>'M2'!H23-'M1'!H23</f>
        <v>10.261199999999999</v>
      </c>
    </row>
    <row r="24" spans="1:8">
      <c r="A24" s="66" t="s">
        <v>67</v>
      </c>
      <c r="B24" s="66">
        <f>'M2'!B24-'M1'!B24</f>
        <v>2.8220139999999998E-2</v>
      </c>
      <c r="C24" s="66">
        <f>'M2'!C24-'M1'!C24</f>
        <v>6.2651100000000001E-2</v>
      </c>
      <c r="D24" s="66">
        <f>'M2'!D24-'M1'!D24</f>
        <v>-1.1491099999999999</v>
      </c>
      <c r="E24" s="66">
        <f>'M2'!E24-'M1'!E24</f>
        <v>0</v>
      </c>
      <c r="F24" s="66">
        <f>'M2'!F24-'M1'!F24</f>
        <v>3.9925999999999997E-6</v>
      </c>
      <c r="G24" s="66">
        <f>'M2'!G24-'M1'!G24</f>
        <v>0</v>
      </c>
      <c r="H24" s="66">
        <f>'M2'!H24-'M1'!H24</f>
        <v>0.45022099999999998</v>
      </c>
    </row>
    <row r="25" spans="1:8">
      <c r="A25" s="66" t="s">
        <v>68</v>
      </c>
      <c r="B25" s="66">
        <f>'M2'!B25-'M1'!B25</f>
        <v>0.31976499999999997</v>
      </c>
      <c r="C25" s="66">
        <f>'M2'!C25-'M1'!C25</f>
        <v>0.50936900000000007</v>
      </c>
      <c r="D25" s="66">
        <f>'M2'!D25-'M1'!D25</f>
        <v>0.16691999999999996</v>
      </c>
      <c r="E25" s="66">
        <f>'M2'!E25-'M1'!E25</f>
        <v>0</v>
      </c>
      <c r="F25" s="66">
        <f>'M2'!F25-'M1'!F25</f>
        <v>7.8072399999999986E-2</v>
      </c>
      <c r="G25" s="66">
        <f>'M2'!G25-'M1'!G25</f>
        <v>0</v>
      </c>
      <c r="H25" s="66">
        <f>'M2'!H25-'M1'!H25</f>
        <v>1.975886</v>
      </c>
    </row>
    <row r="26" spans="1:8">
      <c r="A26" s="66" t="s">
        <v>69</v>
      </c>
      <c r="B26" s="66">
        <f>'M2'!B26-'M1'!B26</f>
        <v>2.4619239999999999E-3</v>
      </c>
      <c r="C26" s="66">
        <f>'M2'!C26-'M1'!C26</f>
        <v>7.9795200000000004E-3</v>
      </c>
      <c r="D26" s="66">
        <f>'M2'!D26-'M1'!D26</f>
        <v>-12.414319999999998</v>
      </c>
      <c r="E26" s="66">
        <f>'M2'!E26-'M1'!E26</f>
        <v>0</v>
      </c>
      <c r="F26" s="66">
        <f>'M2'!F26-'M1'!F26</f>
        <v>-3.2825599999999999E-6</v>
      </c>
      <c r="G26" s="66">
        <f>'M2'!G26-'M1'!G26</f>
        <v>0</v>
      </c>
      <c r="H26" s="66">
        <f>'M2'!H26-'M1'!H26</f>
        <v>4.2643799999999996E-2</v>
      </c>
    </row>
    <row r="27" spans="1:8">
      <c r="A27" s="66" t="s">
        <v>70</v>
      </c>
      <c r="B27" s="66">
        <f>'M2'!B27-'M1'!B27</f>
        <v>-2.9543070000000003E-5</v>
      </c>
      <c r="C27" s="66">
        <f>'M2'!C27-'M1'!C27</f>
        <v>1.9195299999999998E-3</v>
      </c>
      <c r="D27" s="66">
        <f>'M2'!D27-'M1'!D27</f>
        <v>179.47800000000001</v>
      </c>
      <c r="E27" s="66">
        <f>'M2'!E27-'M1'!E27</f>
        <v>0</v>
      </c>
      <c r="F27" s="66">
        <f>'M2'!F27-'M1'!F27</f>
        <v>-2.38347E-2</v>
      </c>
      <c r="G27" s="66">
        <f>'M2'!G27-'M1'!G27</f>
        <v>0</v>
      </c>
      <c r="H27" s="66">
        <f>'M2'!H27-'M1'!H27</f>
        <v>2.0877099999999999E-2</v>
      </c>
    </row>
    <row r="28" spans="1:8">
      <c r="A28" s="66" t="s">
        <v>71</v>
      </c>
      <c r="B28" s="66">
        <f>'M2'!B28-'M1'!B28</f>
        <v>2.2918300000000003E-2</v>
      </c>
      <c r="C28" s="66">
        <f>'M2'!C28-'M1'!C28</f>
        <v>2.8599599999999999E-2</v>
      </c>
      <c r="D28" s="66">
        <f>'M2'!D28-'M1'!D28</f>
        <v>-0.67971000000000026</v>
      </c>
      <c r="E28" s="66">
        <f>'M2'!E28-'M1'!E28</f>
        <v>0</v>
      </c>
      <c r="F28" s="66">
        <f>'M2'!F28-'M1'!F28</f>
        <v>7.0312499999999997E-4</v>
      </c>
      <c r="G28" s="66">
        <f>'M2'!G28-'M1'!G28</f>
        <v>0</v>
      </c>
      <c r="H28" s="66">
        <f>'M2'!H28-'M1'!H28</f>
        <v>0.10387400000000002</v>
      </c>
    </row>
    <row r="29" spans="1:8">
      <c r="A29" s="66" t="s">
        <v>72</v>
      </c>
      <c r="B29" s="66">
        <f>'M2'!B29-'M1'!B29</f>
        <v>6.8429000000000002</v>
      </c>
      <c r="C29" s="66">
        <f>'M2'!C29-'M1'!C29</f>
        <v>1.3720999999999997</v>
      </c>
      <c r="D29" s="66">
        <f>'M2'!D29-'M1'!D29</f>
        <v>5.3030000000000022E-3</v>
      </c>
      <c r="E29" s="66">
        <f>'M2'!E29-'M1'!E29</f>
        <v>0</v>
      </c>
      <c r="F29" s="66">
        <f>'M2'!F29-'M1'!F29</f>
        <v>7.3100000000000023</v>
      </c>
      <c r="G29" s="66">
        <f>'M2'!G29-'M1'!G29</f>
        <v>0</v>
      </c>
      <c r="H29" s="66">
        <f>'M2'!H29-'M1'!H29</f>
        <v>12.158000000000001</v>
      </c>
    </row>
    <row r="30" spans="1:8">
      <c r="A30" s="66" t="s">
        <v>73</v>
      </c>
      <c r="B30" s="66">
        <f>'M2'!B30-'M1'!B30</f>
        <v>7.6408999999999985</v>
      </c>
      <c r="C30" s="66">
        <f>'M2'!C30-'M1'!C30</f>
        <v>0.76387999999999945</v>
      </c>
      <c r="D30" s="66">
        <f>'M2'!D30-'M1'!D30</f>
        <v>-1.3277000000000011E-2</v>
      </c>
      <c r="E30" s="66">
        <f>'M2'!E30-'M1'!E30</f>
        <v>0</v>
      </c>
      <c r="F30" s="66">
        <f>'M2'!F30-'M1'!F30</f>
        <v>8.6329200000000004</v>
      </c>
      <c r="G30" s="66">
        <f>'M2'!G30-'M1'!G30</f>
        <v>0</v>
      </c>
      <c r="H30" s="66">
        <f>'M2'!H30-'M1'!H30</f>
        <v>10.287400000000002</v>
      </c>
    </row>
    <row r="31" spans="1:8">
      <c r="A31" s="66" t="s">
        <v>74</v>
      </c>
      <c r="B31" s="66">
        <f>'M2'!B31-'M1'!B31</f>
        <v>55.96999999999997</v>
      </c>
      <c r="C31" s="66">
        <f>'M2'!C31-'M1'!C31</f>
        <v>-81.688000000000002</v>
      </c>
      <c r="D31" s="66">
        <f>'M2'!D31-'M1'!D31</f>
        <v>-0.20220299999999999</v>
      </c>
      <c r="E31" s="66">
        <f>'M2'!E31-'M1'!E31</f>
        <v>0</v>
      </c>
      <c r="F31" s="66">
        <f>'M2'!F31-'M1'!F31</f>
        <v>324.755</v>
      </c>
      <c r="G31" s="66">
        <f>'M2'!G31-'M1'!G31</f>
        <v>0</v>
      </c>
      <c r="H31" s="66">
        <f>'M2'!H31-'M1'!H31</f>
        <v>31.870000000000005</v>
      </c>
    </row>
    <row r="32" spans="1:8">
      <c r="A32" s="66" t="s">
        <v>75</v>
      </c>
      <c r="B32" s="66">
        <f>'M2'!B32-'M1'!B32</f>
        <v>-4.0886000000000006E-2</v>
      </c>
      <c r="C32" s="66">
        <f>'M2'!C32-'M1'!C32</f>
        <v>9.2962199999999995E-2</v>
      </c>
      <c r="D32" s="66">
        <f>'M2'!D32-'M1'!D32</f>
        <v>0.56804399999999999</v>
      </c>
      <c r="E32" s="66">
        <f>'M2'!E32-'M1'!E32</f>
        <v>0</v>
      </c>
      <c r="F32" s="66">
        <f>'M2'!F32-'M1'!F32</f>
        <v>-8.7147599999999992E-2</v>
      </c>
      <c r="G32" s="66">
        <f>'M2'!G32-'M1'!G32</f>
        <v>0</v>
      </c>
      <c r="H32" s="66">
        <f>'M2'!H32-'M1'!H32</f>
        <v>0.11624600000000002</v>
      </c>
    </row>
    <row r="33" spans="1:8">
      <c r="A33" s="66" t="s">
        <v>76</v>
      </c>
      <c r="B33" s="66">
        <f>'M2'!B33-'M1'!B33</f>
        <v>-3.7234000000000045E-2</v>
      </c>
      <c r="C33" s="66">
        <f>'M2'!C33-'M1'!C33</f>
        <v>-2.4547000000000006E-3</v>
      </c>
      <c r="D33" s="66">
        <f>'M2'!D33-'M1'!D33</f>
        <v>3.3930000000000071E-4</v>
      </c>
      <c r="E33" s="66">
        <f>'M2'!E33-'M1'!E33</f>
        <v>0</v>
      </c>
      <c r="F33" s="66">
        <f>'M2'!F33-'M1'!F33</f>
        <v>-3.4095000000000014E-2</v>
      </c>
      <c r="G33" s="66">
        <f>'M2'!G33-'M1'!G33</f>
        <v>0</v>
      </c>
      <c r="H33" s="66">
        <f>'M2'!H33-'M1'!H33</f>
        <v>-9.6799999999999664E-3</v>
      </c>
    </row>
    <row r="34" spans="1:8">
      <c r="A34" s="66" t="s">
        <v>77</v>
      </c>
      <c r="B34" s="66">
        <f>'M2'!B34-'M1'!B34</f>
        <v>1.8859999999999988E-2</v>
      </c>
      <c r="C34" s="66">
        <f>'M2'!C34-'M1'!C34</f>
        <v>1.0582800000000003E-2</v>
      </c>
      <c r="D34" s="66">
        <f>'M2'!D34-'M1'!D34</f>
        <v>3.6232600000000004E-2</v>
      </c>
      <c r="E34" s="66">
        <f>'M2'!E34-'M1'!E34</f>
        <v>0</v>
      </c>
      <c r="F34" s="66">
        <f>'M2'!F34-'M1'!F34</f>
        <v>3.0924000000000007E-2</v>
      </c>
      <c r="G34" s="66">
        <f>'M2'!G34-'M1'!G34</f>
        <v>0</v>
      </c>
      <c r="H34" s="66">
        <f>'M2'!H34-'M1'!H34</f>
        <v>6.9288999999999989E-2</v>
      </c>
    </row>
    <row r="35" spans="1:8">
      <c r="A35" s="66" t="s">
        <v>78</v>
      </c>
      <c r="B35" s="66">
        <f>'M2'!B35-'M1'!B35</f>
        <v>-1.5230199999999999E-2</v>
      </c>
      <c r="C35" s="66">
        <f>'M2'!C35-'M1'!C35</f>
        <v>1.2921999999999999E-2</v>
      </c>
      <c r="D35" s="66">
        <f>'M2'!D35-'M1'!D35</f>
        <v>0.19257300000000002</v>
      </c>
      <c r="E35" s="66">
        <f>'M2'!E35-'M1'!E35</f>
        <v>0</v>
      </c>
      <c r="F35" s="66">
        <f>'M2'!F35-'M1'!F35</f>
        <v>-1.79828E-2</v>
      </c>
      <c r="G35" s="66">
        <f>'M2'!G35-'M1'!G35</f>
        <v>0</v>
      </c>
      <c r="H35" s="66">
        <f>'M2'!H35-'M1'!H35</f>
        <v>5.8630999999999989E-2</v>
      </c>
    </row>
    <row r="36" spans="1:8">
      <c r="A36" s="66" t="s">
        <v>79</v>
      </c>
      <c r="B36" s="66">
        <f>'M2'!B36-'M1'!B36</f>
        <v>6.846999999999992E-3</v>
      </c>
      <c r="C36" s="66">
        <f>'M2'!C36-'M1'!C36</f>
        <v>-2.1639999999999993E-3</v>
      </c>
      <c r="D36" s="66">
        <f>'M2'!D36-'M1'!D36</f>
        <v>-2.4977000000000027E-2</v>
      </c>
      <c r="E36" s="66">
        <f>'M2'!E36-'M1'!E36</f>
        <v>0</v>
      </c>
      <c r="F36" s="66">
        <f>'M2'!F36-'M1'!F36</f>
        <v>6.5578999999999985E-3</v>
      </c>
      <c r="G36" s="66">
        <f>'M2'!G36-'M1'!G36</f>
        <v>0</v>
      </c>
      <c r="H36" s="66">
        <f>'M2'!H36-'M1'!H36</f>
        <v>7.5593000000000021E-2</v>
      </c>
    </row>
    <row r="37" spans="1:8">
      <c r="A37" s="66" t="s">
        <v>80</v>
      </c>
      <c r="B37" s="66">
        <f>'M2'!B37-'M1'!B37</f>
        <v>0.10582799999999998</v>
      </c>
      <c r="C37" s="66">
        <f>'M2'!C37-'M1'!C37</f>
        <v>2.9913100000000012E-2</v>
      </c>
      <c r="D37" s="66">
        <f>'M2'!D37-'M1'!D37</f>
        <v>-1.9975999999999994E-2</v>
      </c>
      <c r="E37" s="66">
        <f>'M2'!E37-'M1'!E37</f>
        <v>0</v>
      </c>
      <c r="F37" s="66">
        <f>'M2'!F37-'M1'!F37</f>
        <v>2.68404E-2</v>
      </c>
      <c r="G37" s="66">
        <f>'M2'!G37-'M1'!G37</f>
        <v>0</v>
      </c>
      <c r="H37" s="66">
        <f>'M2'!H37-'M1'!H37</f>
        <v>4.9082999999999988E-2</v>
      </c>
    </row>
    <row r="38" spans="1:8">
      <c r="A38" s="66" t="s">
        <v>81</v>
      </c>
      <c r="B38" s="66">
        <f>'M2'!B38-'M1'!B38</f>
        <v>-14.233799999999999</v>
      </c>
      <c r="C38" s="66">
        <f>'M2'!C38-'M1'!C38</f>
        <v>15.789000000000001</v>
      </c>
      <c r="D38" s="66">
        <f>'M2'!D38-'M1'!D38</f>
        <v>1.0114399999999999</v>
      </c>
      <c r="E38" s="66">
        <f>'M2'!E38-'M1'!E38</f>
        <v>0</v>
      </c>
      <c r="F38" s="66">
        <f>'M2'!F38-'M1'!F38</f>
        <v>-7.8419999999999987</v>
      </c>
      <c r="G38" s="66">
        <f>'M2'!G38-'M1'!G38</f>
        <v>0</v>
      </c>
      <c r="H38" s="66">
        <f>'M2'!H38-'M1'!H38</f>
        <v>275.78800000000001</v>
      </c>
    </row>
    <row r="39" spans="1:8">
      <c r="A39" s="66" t="s">
        <v>82</v>
      </c>
      <c r="B39" s="66">
        <f>'M2'!B39-'M1'!B39</f>
        <v>-3.2040100000000011</v>
      </c>
      <c r="C39" s="66">
        <f>'M2'!C39-'M1'!C39</f>
        <v>-1.4888299999999992</v>
      </c>
      <c r="D39" s="66">
        <f>'M2'!D39-'M1'!D39</f>
        <v>0.77240800000000009</v>
      </c>
      <c r="E39" s="66">
        <f>'M2'!E39-'M1'!E39</f>
        <v>0</v>
      </c>
      <c r="F39" s="66">
        <f>'M2'!F39-'M1'!F39</f>
        <v>-14.702799999999998</v>
      </c>
      <c r="G39" s="66">
        <f>'M2'!G39-'M1'!G39</f>
        <v>0</v>
      </c>
      <c r="H39" s="66">
        <f>'M2'!H39-'M1'!H39</f>
        <v>-62.865199999999994</v>
      </c>
    </row>
    <row r="40" spans="1:8">
      <c r="A40" s="66" t="s">
        <v>83</v>
      </c>
      <c r="B40" s="66">
        <f>'M2'!B40-'M1'!B40</f>
        <v>-3.6624600000000003</v>
      </c>
      <c r="C40" s="66">
        <f>'M2'!C40-'M1'!C40</f>
        <v>1.027825</v>
      </c>
      <c r="D40" s="66">
        <f>'M2'!D40-'M1'!D40</f>
        <v>-6.0552999999999996E-2</v>
      </c>
      <c r="E40" s="66">
        <f>'M2'!E40-'M1'!E40</f>
        <v>0</v>
      </c>
      <c r="F40" s="66">
        <f>'M2'!F40-'M1'!F40</f>
        <v>-5.30375</v>
      </c>
      <c r="G40" s="66">
        <f>'M2'!G40-'M1'!G40</f>
        <v>0</v>
      </c>
      <c r="H40" s="66">
        <f>'M2'!H40-'M1'!H40</f>
        <v>-0.9721820000000001</v>
      </c>
    </row>
    <row r="41" spans="1:8">
      <c r="A41" s="66" t="s">
        <v>84</v>
      </c>
      <c r="B41" s="66">
        <f>'M2'!B41-'M1'!B41</f>
        <v>-4.8312799999999989E-2</v>
      </c>
      <c r="C41" s="66">
        <f>'M2'!C41-'M1'!C41</f>
        <v>-0.10186800000000001</v>
      </c>
      <c r="D41" s="66">
        <f>'M2'!D41-'M1'!D41</f>
        <v>2.8467900000000004</v>
      </c>
      <c r="E41" s="66">
        <f>'M2'!E41-'M1'!E41</f>
        <v>0</v>
      </c>
      <c r="F41" s="66">
        <f>'M2'!F41-'M1'!F41</f>
        <v>0.57627099999999998</v>
      </c>
      <c r="G41" s="66">
        <f>'M2'!G41-'M1'!G41</f>
        <v>0</v>
      </c>
      <c r="H41" s="66">
        <f>'M2'!H41-'M1'!H41</f>
        <v>-0.21854099999999999</v>
      </c>
    </row>
    <row r="42" spans="1:8">
      <c r="A42" s="66" t="s">
        <v>85</v>
      </c>
      <c r="B42" s="66">
        <f>'M2'!B42-'M1'!B42</f>
        <v>-5.6423799999999996E-2</v>
      </c>
      <c r="C42" s="66">
        <f>'M2'!C42-'M1'!C42</f>
        <v>-2.0061999999999997E-3</v>
      </c>
      <c r="D42" s="66">
        <f>'M2'!D42-'M1'!D42</f>
        <v>0.40648999999999996</v>
      </c>
      <c r="E42" s="66">
        <f>'M2'!E42-'M1'!E42</f>
        <v>0</v>
      </c>
      <c r="F42" s="66">
        <f>'M2'!F42-'M1'!F42</f>
        <v>2.2049999999999847E-3</v>
      </c>
      <c r="G42" s="66">
        <f>'M2'!G42-'M1'!G42</f>
        <v>0</v>
      </c>
      <c r="H42" s="66">
        <f>'M2'!H42-'M1'!H42</f>
        <v>-0.26397700000000002</v>
      </c>
    </row>
    <row r="43" spans="1:8">
      <c r="A43" s="66" t="s">
        <v>86</v>
      </c>
      <c r="B43" s="66">
        <f>'M2'!B43-'M1'!B43</f>
        <v>-7.7086299999999996E-2</v>
      </c>
      <c r="C43" s="66">
        <f>'M2'!C43-'M1'!C43</f>
        <v>1.3008000000000002E-2</v>
      </c>
      <c r="D43" s="66">
        <f>'M2'!D43-'M1'!D43</f>
        <v>2.9189999999999994E-2</v>
      </c>
      <c r="E43" s="66">
        <f>'M2'!E43-'M1'!E43</f>
        <v>0</v>
      </c>
      <c r="F43" s="66">
        <f>'M2'!F43-'M1'!F43</f>
        <v>-8.5266999999999982E-2</v>
      </c>
      <c r="G43" s="66">
        <f>'M2'!G43-'M1'!G43</f>
        <v>0</v>
      </c>
      <c r="H43" s="66">
        <f>'M2'!H43-'M1'!H43</f>
        <v>-3.0500299999999994E-2</v>
      </c>
    </row>
    <row r="44" spans="1:8">
      <c r="A44" s="66" t="s">
        <v>87</v>
      </c>
      <c r="B44" s="66">
        <f>'M2'!B44-'M1'!B44</f>
        <v>-65.321599999999989</v>
      </c>
      <c r="C44" s="66">
        <f>'M2'!C44-'M1'!C44</f>
        <v>-16.129699999999996</v>
      </c>
      <c r="D44" s="66">
        <f>'M2'!D44-'M1'!D44</f>
        <v>0.61190999999999995</v>
      </c>
      <c r="E44" s="66">
        <f>'M2'!E44-'M1'!E44</f>
        <v>0</v>
      </c>
      <c r="F44" s="66">
        <f>'M2'!F44-'M1'!F44</f>
        <v>-16.544000000000011</v>
      </c>
      <c r="G44" s="66">
        <f>'M2'!G44-'M1'!G44</f>
        <v>0</v>
      </c>
      <c r="H44" s="66">
        <f>'M2'!H44-'M1'!H44</f>
        <v>-57.0867</v>
      </c>
    </row>
    <row r="45" spans="1:8">
      <c r="A45" s="66" t="s">
        <v>88</v>
      </c>
      <c r="B45" s="66">
        <f>'M2'!B45-'M1'!B45</f>
        <v>-7.6991000000000014</v>
      </c>
      <c r="C45" s="66">
        <f>'M2'!C45-'M1'!C45</f>
        <v>1.5297700000000001</v>
      </c>
      <c r="D45" s="66">
        <f>'M2'!D45-'M1'!D45</f>
        <v>5.5408999999999986E-2</v>
      </c>
      <c r="E45" s="66">
        <f>'M2'!E45-'M1'!E45</f>
        <v>0</v>
      </c>
      <c r="F45" s="66">
        <f>'M2'!F45-'M1'!F45</f>
        <v>-10.0152</v>
      </c>
      <c r="G45" s="66">
        <f>'M2'!G45-'M1'!G45</f>
        <v>0</v>
      </c>
      <c r="H45" s="66">
        <f>'M2'!H45-'M1'!H45</f>
        <v>-0.60250000000000625</v>
      </c>
    </row>
    <row r="46" spans="1:8">
      <c r="A46" s="66" t="s">
        <v>89</v>
      </c>
      <c r="B46" s="66">
        <f>'M2'!B46-'M1'!B46</f>
        <v>-1.959699999999998</v>
      </c>
      <c r="C46" s="66">
        <f>'M2'!C46-'M1'!C46</f>
        <v>-5.9653400000000003</v>
      </c>
      <c r="D46" s="66">
        <f>'M2'!D46-'M1'!D46</f>
        <v>-0.20278650000000004</v>
      </c>
      <c r="E46" s="66">
        <f>'M2'!E46-'M1'!E46</f>
        <v>0</v>
      </c>
      <c r="F46" s="66">
        <f>'M2'!F46-'M1'!F46</f>
        <v>17.227129999999999</v>
      </c>
      <c r="G46" s="66">
        <f>'M2'!G46-'M1'!G46</f>
        <v>0</v>
      </c>
      <c r="H46" s="66">
        <f>'M2'!H46-'M1'!H46</f>
        <v>-1.6023999999999994</v>
      </c>
    </row>
    <row r="47" spans="1:8">
      <c r="A47" s="66" t="s">
        <v>90</v>
      </c>
      <c r="B47" s="66">
        <f>'M2'!B47-'M1'!B47</f>
        <v>0.87841100000000016</v>
      </c>
      <c r="C47" s="66">
        <f>'M2'!C47-'M1'!C47</f>
        <v>0.64147100000000001</v>
      </c>
      <c r="D47" s="66">
        <f>'M2'!D47-'M1'!D47</f>
        <v>-0.21722900000000001</v>
      </c>
      <c r="E47" s="66">
        <f>'M2'!E47-'M1'!E47</f>
        <v>0</v>
      </c>
      <c r="F47" s="66">
        <f>'M2'!F47-'M1'!F47</f>
        <v>0.20773800000000001</v>
      </c>
      <c r="G47" s="66">
        <f>'M2'!G47-'M1'!G47</f>
        <v>0</v>
      </c>
      <c r="H47" s="66">
        <f>'M2'!H47-'M1'!H47</f>
        <v>0.84053999999999984</v>
      </c>
    </row>
    <row r="48" spans="1:8">
      <c r="A48" s="66" t="s">
        <v>91</v>
      </c>
      <c r="B48" s="66">
        <f>'M2'!B48-'M1'!B48</f>
        <v>8.9050000000000518E-3</v>
      </c>
      <c r="C48" s="66">
        <f>'M2'!C48-'M1'!C48</f>
        <v>-6.6222000000000003E-2</v>
      </c>
      <c r="D48" s="66">
        <f>'M2'!D48-'M1'!D48</f>
        <v>-0.10209199999999999</v>
      </c>
      <c r="E48" s="66">
        <f>'M2'!E48-'M1'!E48</f>
        <v>0</v>
      </c>
      <c r="F48" s="66">
        <f>'M2'!F48-'M1'!F48</f>
        <v>3.8070000000000048E-2</v>
      </c>
      <c r="G48" s="66">
        <f>'M2'!G48-'M1'!G48</f>
        <v>0</v>
      </c>
      <c r="H48" s="66">
        <f>'M2'!H48-'M1'!H48</f>
        <v>-0.34713199999999989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40.072299999999998</v>
      </c>
      <c r="C5" s="66">
        <v>10.584899999999999</v>
      </c>
      <c r="D5" s="66">
        <v>26.4145</v>
      </c>
      <c r="E5" s="66">
        <v>20</v>
      </c>
      <c r="F5" s="66">
        <v>10.5411</v>
      </c>
      <c r="G5" s="66">
        <v>50</v>
      </c>
      <c r="H5" s="66">
        <v>46.803699999999999</v>
      </c>
    </row>
    <row r="6" spans="1:8">
      <c r="A6" s="66" t="s">
        <v>303</v>
      </c>
      <c r="B6" s="66">
        <v>24.2669</v>
      </c>
      <c r="C6" s="66">
        <v>3.5882700000000001</v>
      </c>
      <c r="D6" s="66">
        <v>14.7867</v>
      </c>
      <c r="E6" s="66">
        <v>20</v>
      </c>
      <c r="F6" s="66">
        <v>17.740600000000001</v>
      </c>
      <c r="G6" s="66">
        <v>40</v>
      </c>
      <c r="H6" s="66">
        <v>29.121500000000001</v>
      </c>
    </row>
    <row r="7" spans="1:8">
      <c r="A7" s="66" t="s">
        <v>304</v>
      </c>
      <c r="B7" s="66">
        <v>21.542100000000001</v>
      </c>
      <c r="C7" s="66">
        <v>3.2568800000000002</v>
      </c>
      <c r="D7" s="66">
        <v>15.1187</v>
      </c>
      <c r="E7" s="66">
        <v>15</v>
      </c>
      <c r="F7" s="66">
        <v>14.885400000000001</v>
      </c>
      <c r="G7" s="66">
        <v>40</v>
      </c>
      <c r="H7" s="66">
        <v>35.792499999999997</v>
      </c>
    </row>
    <row r="8" spans="1:8">
      <c r="A8" s="66" t="s">
        <v>305</v>
      </c>
      <c r="B8" s="66">
        <v>29.2468</v>
      </c>
      <c r="C8" s="66">
        <v>4.6361999999999997</v>
      </c>
      <c r="D8" s="66">
        <v>15.852</v>
      </c>
      <c r="E8" s="66">
        <v>20</v>
      </c>
      <c r="F8" s="66">
        <v>17.792400000000001</v>
      </c>
      <c r="G8" s="66">
        <v>50</v>
      </c>
      <c r="H8" s="66">
        <v>31.295500000000001</v>
      </c>
    </row>
    <row r="9" spans="1:8">
      <c r="A9" s="66" t="s">
        <v>306</v>
      </c>
      <c r="B9" s="66">
        <v>56.543399999999998</v>
      </c>
      <c r="C9" s="66">
        <v>7.3978900000000003</v>
      </c>
      <c r="D9" s="66">
        <v>13.083600000000001</v>
      </c>
      <c r="E9" s="66">
        <v>50</v>
      </c>
      <c r="F9" s="66">
        <v>48.358400000000003</v>
      </c>
      <c r="G9" s="66">
        <v>100</v>
      </c>
      <c r="H9" s="66">
        <v>80.151600000000002</v>
      </c>
    </row>
    <row r="10" spans="1:8">
      <c r="A10" s="66" t="s">
        <v>307</v>
      </c>
      <c r="B10" s="66">
        <v>81.774699999999996</v>
      </c>
      <c r="C10" s="66">
        <v>2.1087899999999999</v>
      </c>
      <c r="D10" s="66">
        <v>2.5787800000000001</v>
      </c>
      <c r="E10" s="66">
        <v>40</v>
      </c>
      <c r="F10" s="66">
        <v>77.861500000000007</v>
      </c>
      <c r="G10" s="66">
        <v>100</v>
      </c>
      <c r="H10" s="66">
        <v>87.52</v>
      </c>
    </row>
    <row r="11" spans="1:8">
      <c r="A11" s="66" t="s">
        <v>308</v>
      </c>
      <c r="B11" s="66">
        <v>18.025700000000001</v>
      </c>
      <c r="C11" s="66">
        <v>3.4247999999999998</v>
      </c>
      <c r="D11" s="66">
        <v>18.999500000000001</v>
      </c>
      <c r="E11" s="66">
        <v>10</v>
      </c>
      <c r="F11" s="66">
        <v>7.0060099999999998</v>
      </c>
      <c r="G11" s="66">
        <v>50</v>
      </c>
      <c r="H11" s="66">
        <v>22.294499999999999</v>
      </c>
    </row>
    <row r="12" spans="1:8">
      <c r="A12" s="66" t="s">
        <v>309</v>
      </c>
      <c r="B12" s="66">
        <v>69.373500000000007</v>
      </c>
      <c r="C12" s="66">
        <v>4.2467300000000003</v>
      </c>
      <c r="D12" s="66">
        <v>6.12155</v>
      </c>
      <c r="E12" s="66">
        <v>50</v>
      </c>
      <c r="F12" s="66">
        <v>64.512699999999995</v>
      </c>
      <c r="G12" s="66">
        <v>100</v>
      </c>
      <c r="H12" s="66">
        <v>82.939400000000006</v>
      </c>
    </row>
    <row r="13" spans="1:8">
      <c r="A13" s="66" t="s">
        <v>310</v>
      </c>
      <c r="B13" s="66">
        <v>22.311499999999999</v>
      </c>
      <c r="C13" s="66">
        <v>2.1478299999999999</v>
      </c>
      <c r="D13" s="66">
        <v>9.6265400000000003</v>
      </c>
      <c r="E13" s="66">
        <v>10</v>
      </c>
      <c r="F13" s="66">
        <v>15.2934</v>
      </c>
      <c r="G13" s="66">
        <v>25</v>
      </c>
      <c r="H13" s="66">
        <v>28.424399999999999</v>
      </c>
    </row>
    <row r="14" spans="1:8">
      <c r="A14" s="66" t="s">
        <v>311</v>
      </c>
      <c r="B14" s="66">
        <v>21.478300000000001</v>
      </c>
      <c r="C14" s="66">
        <v>7.3708900000000002</v>
      </c>
      <c r="D14" s="66">
        <v>34.317799999999998</v>
      </c>
      <c r="E14" s="66">
        <v>10</v>
      </c>
      <c r="F14" s="66">
        <v>0.27739999999999998</v>
      </c>
      <c r="G14" s="66">
        <v>50</v>
      </c>
      <c r="H14" s="66">
        <v>26.2944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0.45242300000000002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0.54426799999999997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6.61398E-4</v>
      </c>
      <c r="C20" s="66">
        <v>4.2686099999999998E-2</v>
      </c>
      <c r="D20" s="66">
        <v>64.539199999999994</v>
      </c>
      <c r="E20" s="66">
        <v>0</v>
      </c>
      <c r="F20" s="196">
        <v>9.1396899999999992E-6</v>
      </c>
      <c r="G20" s="66">
        <v>0</v>
      </c>
      <c r="H20" s="66">
        <v>0.30560700000000002</v>
      </c>
    </row>
    <row r="21" spans="1:8">
      <c r="A21" s="66" t="s">
        <v>318</v>
      </c>
      <c r="B21" s="66">
        <v>0.116712</v>
      </c>
      <c r="C21" s="66">
        <v>0.31130799999999997</v>
      </c>
      <c r="D21" s="66">
        <v>2.6673200000000001</v>
      </c>
      <c r="E21" s="66">
        <v>0</v>
      </c>
      <c r="F21" s="66">
        <v>4.9402599999999995E-4</v>
      </c>
      <c r="G21" s="66">
        <v>0</v>
      </c>
      <c r="H21" s="66">
        <v>1.6961200000000001</v>
      </c>
    </row>
    <row r="22" spans="1:8">
      <c r="A22" s="66" t="s">
        <v>319</v>
      </c>
      <c r="B22" s="66">
        <v>59.342199999999998</v>
      </c>
      <c r="C22" s="66">
        <v>21.3505</v>
      </c>
      <c r="D22" s="66">
        <v>0.35978599999999999</v>
      </c>
      <c r="E22" s="66">
        <v>0</v>
      </c>
      <c r="F22" s="66">
        <v>21.103899999999999</v>
      </c>
      <c r="G22" s="66">
        <v>0</v>
      </c>
      <c r="H22" s="66">
        <v>167.03100000000001</v>
      </c>
    </row>
    <row r="23" spans="1:8">
      <c r="A23" s="66" t="s">
        <v>320</v>
      </c>
      <c r="B23" s="66">
        <v>19.302099999999999</v>
      </c>
      <c r="C23" s="66">
        <v>3.1473499999999999</v>
      </c>
      <c r="D23" s="66">
        <v>0.16305700000000001</v>
      </c>
      <c r="E23" s="66">
        <v>0</v>
      </c>
      <c r="F23" s="66">
        <v>9.2829599999999992</v>
      </c>
      <c r="G23" s="66">
        <v>0</v>
      </c>
      <c r="H23" s="66">
        <v>22.947199999999999</v>
      </c>
    </row>
    <row r="24" spans="1:8">
      <c r="A24" s="66" t="s">
        <v>321</v>
      </c>
      <c r="B24" s="66">
        <v>7.1421599999999998E-3</v>
      </c>
      <c r="C24" s="66">
        <v>2.6140500000000001E-2</v>
      </c>
      <c r="D24" s="66">
        <v>3.6600199999999998</v>
      </c>
      <c r="E24" s="66">
        <v>0</v>
      </c>
      <c r="F24" s="196">
        <v>4.7660600000000002E-5</v>
      </c>
      <c r="G24" s="66">
        <v>0</v>
      </c>
      <c r="H24" s="66">
        <v>0.148066</v>
      </c>
    </row>
    <row r="25" spans="1:8">
      <c r="A25" s="66" t="s">
        <v>322</v>
      </c>
      <c r="B25" s="66">
        <v>0.14285200000000001</v>
      </c>
      <c r="C25" s="66">
        <v>0.19305900000000001</v>
      </c>
      <c r="D25" s="66">
        <v>1.3514600000000001</v>
      </c>
      <c r="E25" s="66">
        <v>0</v>
      </c>
      <c r="F25" s="66">
        <v>4.1040600000000003E-2</v>
      </c>
      <c r="G25" s="66">
        <v>0</v>
      </c>
      <c r="H25" s="66">
        <v>0.912354</v>
      </c>
    </row>
    <row r="26" spans="1:8">
      <c r="A26" s="66" t="s">
        <v>323</v>
      </c>
      <c r="B26" s="66">
        <v>2.0023600000000001E-4</v>
      </c>
      <c r="C26" s="66">
        <v>3.3369799999999998E-3</v>
      </c>
      <c r="D26" s="66">
        <v>16.665199999999999</v>
      </c>
      <c r="E26" s="66">
        <v>0</v>
      </c>
      <c r="F26" s="196">
        <v>3.2825599999999999E-6</v>
      </c>
      <c r="G26" s="66">
        <v>0</v>
      </c>
      <c r="H26" s="66">
        <v>3.0169999999999999E-2</v>
      </c>
    </row>
    <row r="27" spans="1:8">
      <c r="A27" s="66" t="s">
        <v>324</v>
      </c>
      <c r="B27" s="196">
        <v>-6.5651299999999996E-6</v>
      </c>
      <c r="C27" s="66">
        <v>1.8667E-3</v>
      </c>
      <c r="D27" s="66">
        <v>-284.33600000000001</v>
      </c>
      <c r="E27" s="66">
        <v>0</v>
      </c>
      <c r="F27" s="66">
        <v>-1.2624700000000001E-2</v>
      </c>
      <c r="G27" s="66">
        <v>0</v>
      </c>
      <c r="H27" s="66">
        <v>1.5221200000000001E-2</v>
      </c>
    </row>
    <row r="28" spans="1:8">
      <c r="A28" s="66" t="s">
        <v>325</v>
      </c>
      <c r="B28" s="66">
        <v>1.11637E-2</v>
      </c>
      <c r="C28" s="66">
        <v>2.5215499999999998E-2</v>
      </c>
      <c r="D28" s="66">
        <v>2.2587000000000002</v>
      </c>
      <c r="E28" s="66">
        <v>0</v>
      </c>
      <c r="F28" s="66">
        <v>1.7252599999999999E-4</v>
      </c>
      <c r="G28" s="66">
        <v>0</v>
      </c>
      <c r="H28" s="66">
        <v>0.13098599999999999</v>
      </c>
    </row>
    <row r="29" spans="1:8">
      <c r="A29" s="66" t="s">
        <v>326</v>
      </c>
      <c r="B29" s="66">
        <v>72.123800000000003</v>
      </c>
      <c r="C29" s="66">
        <v>10.0488</v>
      </c>
      <c r="D29" s="66">
        <v>0.13932700000000001</v>
      </c>
      <c r="E29" s="66">
        <v>0</v>
      </c>
      <c r="F29" s="66">
        <v>42.561</v>
      </c>
      <c r="G29" s="66">
        <v>0</v>
      </c>
      <c r="H29" s="66">
        <v>101.381</v>
      </c>
    </row>
    <row r="30" spans="1:8">
      <c r="A30" s="66" t="s">
        <v>327</v>
      </c>
      <c r="B30" s="66">
        <v>21.668500000000002</v>
      </c>
      <c r="C30" s="66">
        <v>3.2697500000000002</v>
      </c>
      <c r="D30" s="66">
        <v>0.15089900000000001</v>
      </c>
      <c r="E30" s="66">
        <v>0</v>
      </c>
      <c r="F30" s="66">
        <v>9.3474799999999991</v>
      </c>
      <c r="G30" s="66">
        <v>0</v>
      </c>
      <c r="H30" s="66">
        <v>23.9023</v>
      </c>
    </row>
    <row r="31" spans="1:8">
      <c r="A31" s="66" t="s">
        <v>328</v>
      </c>
      <c r="B31" s="66">
        <v>419.423</v>
      </c>
      <c r="C31" s="66">
        <v>108.194</v>
      </c>
      <c r="D31" s="66">
        <v>0.25795899999999999</v>
      </c>
      <c r="E31" s="66">
        <v>0</v>
      </c>
      <c r="F31" s="66">
        <v>113.116</v>
      </c>
      <c r="G31" s="66">
        <v>0</v>
      </c>
      <c r="H31" s="66">
        <v>515.02499999999998</v>
      </c>
    </row>
    <row r="32" spans="1:8">
      <c r="A32" s="66" t="s">
        <v>329</v>
      </c>
      <c r="B32" s="66">
        <v>0.215421</v>
      </c>
      <c r="C32" s="66">
        <v>3.2568800000000002E-2</v>
      </c>
      <c r="D32" s="66">
        <v>0.15118699999999999</v>
      </c>
      <c r="E32" s="66">
        <v>0.15</v>
      </c>
      <c r="F32" s="66">
        <v>0.14885399999999999</v>
      </c>
      <c r="G32" s="66">
        <v>0.4</v>
      </c>
      <c r="H32" s="66">
        <v>0.35792499999999999</v>
      </c>
    </row>
    <row r="33" spans="1:8">
      <c r="A33" s="66" t="s">
        <v>330</v>
      </c>
      <c r="B33" s="66">
        <v>0.33583800000000003</v>
      </c>
      <c r="C33" s="66">
        <v>2.3053799999999999E-2</v>
      </c>
      <c r="D33" s="66">
        <v>6.8645600000000001E-2</v>
      </c>
      <c r="E33" s="66">
        <v>0</v>
      </c>
      <c r="F33" s="66">
        <v>0.23901800000000001</v>
      </c>
      <c r="G33" s="66">
        <v>0</v>
      </c>
      <c r="H33" s="66">
        <v>0.35182999999999998</v>
      </c>
    </row>
    <row r="34" spans="1:8">
      <c r="A34" s="66" t="s">
        <v>331</v>
      </c>
      <c r="B34" s="66">
        <v>0.22311500000000001</v>
      </c>
      <c r="C34" s="66">
        <v>2.1478299999999999E-2</v>
      </c>
      <c r="D34" s="66">
        <v>9.6265400000000001E-2</v>
      </c>
      <c r="E34" s="66">
        <v>0.1</v>
      </c>
      <c r="F34" s="66">
        <v>0.15293399999999999</v>
      </c>
      <c r="G34" s="66">
        <v>0.25</v>
      </c>
      <c r="H34" s="66">
        <v>0.284244</v>
      </c>
    </row>
    <row r="35" spans="1:8">
      <c r="A35" s="66" t="s">
        <v>332</v>
      </c>
      <c r="B35" s="66">
        <v>9.6557699999999996E-2</v>
      </c>
      <c r="C35" s="66">
        <v>1.7367799999999999E-2</v>
      </c>
      <c r="D35" s="66">
        <v>0.17987</v>
      </c>
      <c r="E35" s="66">
        <v>0</v>
      </c>
      <c r="F35" s="66">
        <v>5.67345E-2</v>
      </c>
      <c r="G35" s="66">
        <v>0</v>
      </c>
      <c r="H35" s="66">
        <v>0.13738300000000001</v>
      </c>
    </row>
    <row r="36" spans="1:8">
      <c r="A36" s="66" t="s">
        <v>333</v>
      </c>
      <c r="B36" s="66">
        <v>0.212114</v>
      </c>
      <c r="C36" s="66">
        <v>0.102371</v>
      </c>
      <c r="D36" s="66">
        <v>0.48262300000000002</v>
      </c>
      <c r="E36" s="66">
        <v>0</v>
      </c>
      <c r="F36" s="66">
        <v>3.4910299999999998E-2</v>
      </c>
      <c r="G36" s="66">
        <v>0</v>
      </c>
      <c r="H36" s="66">
        <v>0.49764399999999998</v>
      </c>
    </row>
    <row r="37" spans="1:8">
      <c r="A37" s="66" t="s">
        <v>334</v>
      </c>
      <c r="B37" s="66">
        <v>0.214783</v>
      </c>
      <c r="C37" s="66">
        <v>7.3708899999999994E-2</v>
      </c>
      <c r="D37" s="66">
        <v>0.34317799999999998</v>
      </c>
      <c r="E37" s="66">
        <v>0.1</v>
      </c>
      <c r="F37" s="66">
        <v>2.774E-3</v>
      </c>
      <c r="G37" s="66">
        <v>0.5</v>
      </c>
      <c r="H37" s="66">
        <v>0.26294400000000001</v>
      </c>
    </row>
    <row r="38" spans="1:8">
      <c r="A38" s="66" t="s">
        <v>335</v>
      </c>
      <c r="B38" s="66">
        <v>-13.8</v>
      </c>
      <c r="C38" s="66">
        <v>42.798099999999998</v>
      </c>
      <c r="D38" s="66">
        <v>-3.1013199999999999</v>
      </c>
      <c r="E38" s="66">
        <v>0</v>
      </c>
      <c r="F38" s="66">
        <v>-100.018</v>
      </c>
      <c r="G38" s="66">
        <v>0</v>
      </c>
      <c r="H38" s="66">
        <v>195.863</v>
      </c>
    </row>
    <row r="39" spans="1:8">
      <c r="A39" s="66" t="s">
        <v>336</v>
      </c>
      <c r="B39" s="66">
        <v>-4.9172599999999997</v>
      </c>
      <c r="C39" s="66">
        <v>7.3423299999999996</v>
      </c>
      <c r="D39" s="66">
        <v>-1.4931700000000001</v>
      </c>
      <c r="E39" s="66">
        <v>0</v>
      </c>
      <c r="F39" s="66">
        <v>-15.544700000000001</v>
      </c>
      <c r="G39" s="66">
        <v>0</v>
      </c>
      <c r="H39" s="66">
        <v>63.923299999999998</v>
      </c>
    </row>
    <row r="40" spans="1:8">
      <c r="A40" s="66" t="s">
        <v>337</v>
      </c>
      <c r="B40" s="66">
        <v>-1.6379300000000001</v>
      </c>
      <c r="C40" s="66">
        <v>0.31612499999999999</v>
      </c>
      <c r="D40" s="66">
        <v>-0.19300300000000001</v>
      </c>
      <c r="E40" s="66">
        <v>0</v>
      </c>
      <c r="F40" s="66">
        <v>-2.1602899999999998</v>
      </c>
      <c r="G40" s="66">
        <v>0</v>
      </c>
      <c r="H40" s="66">
        <v>-0.80412799999999995</v>
      </c>
    </row>
    <row r="41" spans="1:8">
      <c r="A41" s="66" t="s">
        <v>338</v>
      </c>
      <c r="B41" s="66">
        <v>-6.4485200000000006E-2</v>
      </c>
      <c r="C41" s="66">
        <v>0.29263400000000001</v>
      </c>
      <c r="D41" s="66">
        <v>-4.5380000000000003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-6.83642E-2</v>
      </c>
      <c r="C42" s="66">
        <v>5.9028900000000002E-2</v>
      </c>
      <c r="D42" s="66">
        <v>-0.86344699999999996</v>
      </c>
      <c r="E42" s="66">
        <v>0</v>
      </c>
      <c r="F42" s="66">
        <v>-0.241395</v>
      </c>
      <c r="G42" s="66">
        <v>0</v>
      </c>
      <c r="H42" s="66">
        <v>0.31683800000000001</v>
      </c>
    </row>
    <row r="43" spans="1:8">
      <c r="A43" s="66" t="s">
        <v>340</v>
      </c>
      <c r="B43" s="66">
        <v>-7.21667E-2</v>
      </c>
      <c r="C43" s="66">
        <v>1.62566E-2</v>
      </c>
      <c r="D43" s="66">
        <v>-0.22526399999999999</v>
      </c>
      <c r="E43" s="66">
        <v>0</v>
      </c>
      <c r="F43" s="66">
        <v>-0.13125400000000001</v>
      </c>
      <c r="G43" s="66">
        <v>0</v>
      </c>
      <c r="H43" s="66">
        <v>-3.8114700000000001E-2</v>
      </c>
    </row>
    <row r="44" spans="1:8">
      <c r="A44" s="66" t="s">
        <v>341</v>
      </c>
      <c r="B44" s="66">
        <v>-42.4754</v>
      </c>
      <c r="C44" s="66">
        <v>32.403399999999998</v>
      </c>
      <c r="D44" s="66">
        <v>-0.762876</v>
      </c>
      <c r="E44" s="66">
        <v>0</v>
      </c>
      <c r="F44" s="66">
        <v>-128.24799999999999</v>
      </c>
      <c r="G44" s="66">
        <v>0</v>
      </c>
      <c r="H44" s="66">
        <v>-20.148800000000001</v>
      </c>
    </row>
    <row r="45" spans="1:8">
      <c r="A45" s="66" t="s">
        <v>342</v>
      </c>
      <c r="B45" s="66">
        <v>52.773699999999998</v>
      </c>
      <c r="C45" s="66">
        <v>6.6336599999999999</v>
      </c>
      <c r="D45" s="66">
        <v>0.12570000000000001</v>
      </c>
      <c r="E45" s="66">
        <v>0</v>
      </c>
      <c r="F45" s="66">
        <v>40.1372</v>
      </c>
      <c r="G45" s="66">
        <v>0</v>
      </c>
      <c r="H45" s="66">
        <v>66.800200000000004</v>
      </c>
    </row>
    <row r="46" spans="1:8">
      <c r="A46" s="66" t="s">
        <v>343</v>
      </c>
      <c r="B46" s="66">
        <v>28.880199999999999</v>
      </c>
      <c r="C46" s="66">
        <v>7.4603000000000002</v>
      </c>
      <c r="D46" s="66">
        <v>0.25831900000000002</v>
      </c>
      <c r="E46" s="66">
        <v>0</v>
      </c>
      <c r="F46" s="66">
        <v>7.5654700000000004</v>
      </c>
      <c r="G46" s="66">
        <v>0</v>
      </c>
      <c r="H46" s="66">
        <v>31.397500000000001</v>
      </c>
    </row>
    <row r="47" spans="1:8">
      <c r="A47" s="66" t="s">
        <v>344</v>
      </c>
      <c r="B47" s="66">
        <v>0.74558899999999995</v>
      </c>
      <c r="C47" s="66">
        <v>0.84391899999999997</v>
      </c>
      <c r="D47" s="66">
        <v>1.13188</v>
      </c>
      <c r="E47" s="66">
        <v>0</v>
      </c>
      <c r="F47" s="66">
        <v>0.194383</v>
      </c>
      <c r="G47" s="66">
        <v>0</v>
      </c>
      <c r="H47" s="66">
        <v>6.1105</v>
      </c>
    </row>
    <row r="48" spans="1:8">
      <c r="A48" s="66" t="s">
        <v>345</v>
      </c>
      <c r="B48" s="66">
        <v>0.66247699999999998</v>
      </c>
      <c r="C48" s="66">
        <v>0.17260300000000001</v>
      </c>
      <c r="D48" s="66">
        <v>0.260542</v>
      </c>
      <c r="E48" s="66">
        <v>0</v>
      </c>
      <c r="F48" s="66">
        <v>0.52497499999999997</v>
      </c>
      <c r="G48" s="66">
        <v>0</v>
      </c>
      <c r="H48" s="66">
        <v>1.2849299999999999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39.6997</v>
      </c>
      <c r="C5" s="66">
        <v>2.3561100000000001</v>
      </c>
      <c r="D5" s="66">
        <v>5.9348099999999997</v>
      </c>
      <c r="E5" s="66">
        <v>20</v>
      </c>
      <c r="F5" s="66">
        <v>36.493699999999997</v>
      </c>
      <c r="G5" s="66">
        <v>50</v>
      </c>
      <c r="H5" s="66">
        <v>46.227899999999998</v>
      </c>
    </row>
    <row r="6" spans="1:8">
      <c r="A6" s="66" t="s">
        <v>303</v>
      </c>
      <c r="B6" s="66">
        <v>20.073799999999999</v>
      </c>
      <c r="C6" s="66">
        <v>1.2887299999999999</v>
      </c>
      <c r="D6" s="66">
        <v>6.4199599999999997</v>
      </c>
      <c r="E6" s="66">
        <v>20</v>
      </c>
      <c r="F6" s="66">
        <v>18.728000000000002</v>
      </c>
      <c r="G6" s="66">
        <v>40</v>
      </c>
      <c r="H6" s="66">
        <v>26.0152</v>
      </c>
    </row>
    <row r="7" spans="1:8">
      <c r="A7" s="66" t="s">
        <v>304</v>
      </c>
      <c r="B7" s="66">
        <v>17.453499999999998</v>
      </c>
      <c r="C7" s="66">
        <v>12.553100000000001</v>
      </c>
      <c r="D7" s="66">
        <v>71.923100000000005</v>
      </c>
      <c r="E7" s="66">
        <v>15</v>
      </c>
      <c r="F7" s="66">
        <v>6.1706399999999997</v>
      </c>
      <c r="G7" s="66">
        <v>40</v>
      </c>
      <c r="H7" s="66">
        <v>47.417099999999998</v>
      </c>
    </row>
    <row r="8" spans="1:8">
      <c r="A8" s="66" t="s">
        <v>305</v>
      </c>
      <c r="B8" s="66">
        <v>26.645299999999999</v>
      </c>
      <c r="C8" s="66">
        <v>3.8658299999999999</v>
      </c>
      <c r="D8" s="66">
        <v>14.5085</v>
      </c>
      <c r="E8" s="66">
        <v>20</v>
      </c>
      <c r="F8" s="66">
        <v>22.354800000000001</v>
      </c>
      <c r="G8" s="66">
        <v>50</v>
      </c>
      <c r="H8" s="66">
        <v>34.947000000000003</v>
      </c>
    </row>
    <row r="9" spans="1:8">
      <c r="A9" s="66" t="s">
        <v>306</v>
      </c>
      <c r="B9" s="66">
        <v>49.903700000000001</v>
      </c>
      <c r="C9" s="66">
        <v>7.04772</v>
      </c>
      <c r="D9" s="66">
        <v>14.1226</v>
      </c>
      <c r="E9" s="66">
        <v>50</v>
      </c>
      <c r="F9" s="66">
        <v>35.0779</v>
      </c>
      <c r="G9" s="66">
        <v>100</v>
      </c>
      <c r="H9" s="66">
        <v>64.513499999999993</v>
      </c>
    </row>
    <row r="10" spans="1:8">
      <c r="A10" s="66" t="s">
        <v>307</v>
      </c>
      <c r="B10" s="66">
        <v>84.7834</v>
      </c>
      <c r="C10" s="66">
        <v>0.83055800000000002</v>
      </c>
      <c r="D10" s="66">
        <v>0.97962400000000005</v>
      </c>
      <c r="E10" s="66">
        <v>40</v>
      </c>
      <c r="F10" s="66">
        <v>81.374700000000004</v>
      </c>
      <c r="G10" s="66">
        <v>100</v>
      </c>
      <c r="H10" s="66">
        <v>86.448899999999995</v>
      </c>
    </row>
    <row r="11" spans="1:8">
      <c r="A11" s="66" t="s">
        <v>308</v>
      </c>
      <c r="B11" s="66">
        <v>22.646000000000001</v>
      </c>
      <c r="C11" s="66">
        <v>3.4374699999999998</v>
      </c>
      <c r="D11" s="66">
        <v>15.1792</v>
      </c>
      <c r="E11" s="66">
        <v>10</v>
      </c>
      <c r="F11" s="66">
        <v>17.038599999999999</v>
      </c>
      <c r="G11" s="66">
        <v>50</v>
      </c>
      <c r="H11" s="66">
        <v>29.243200000000002</v>
      </c>
    </row>
    <row r="12" spans="1:8">
      <c r="A12" s="66" t="s">
        <v>309</v>
      </c>
      <c r="B12" s="66">
        <v>67.563500000000005</v>
      </c>
      <c r="C12" s="66">
        <v>3.3373400000000002</v>
      </c>
      <c r="D12" s="66">
        <v>4.9395600000000002</v>
      </c>
      <c r="E12" s="66">
        <v>50</v>
      </c>
      <c r="F12" s="66">
        <v>59.977499999999999</v>
      </c>
      <c r="G12" s="66">
        <v>100</v>
      </c>
      <c r="H12" s="66">
        <v>73.257599999999996</v>
      </c>
    </row>
    <row r="13" spans="1:8">
      <c r="A13" s="66" t="s">
        <v>310</v>
      </c>
      <c r="B13" s="66">
        <v>24.197500000000002</v>
      </c>
      <c r="C13" s="66">
        <v>3.2061099999999998</v>
      </c>
      <c r="D13" s="66">
        <v>13.2498</v>
      </c>
      <c r="E13" s="66">
        <v>10</v>
      </c>
      <c r="F13" s="66">
        <v>18.3858</v>
      </c>
      <c r="G13" s="66">
        <v>25</v>
      </c>
      <c r="H13" s="66">
        <v>35.353299999999997</v>
      </c>
    </row>
    <row r="14" spans="1:8">
      <c r="A14" s="66" t="s">
        <v>311</v>
      </c>
      <c r="B14" s="66">
        <v>32.061100000000003</v>
      </c>
      <c r="C14" s="66">
        <v>10.3622</v>
      </c>
      <c r="D14" s="66">
        <v>32.3202</v>
      </c>
      <c r="E14" s="66">
        <v>10</v>
      </c>
      <c r="F14" s="66">
        <v>2.9614400000000001</v>
      </c>
      <c r="G14" s="66">
        <v>50</v>
      </c>
      <c r="H14" s="66">
        <v>31.2027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0.45943200000000001</v>
      </c>
      <c r="C18" s="66">
        <v>2.1497200000000001E-2</v>
      </c>
      <c r="D18" s="66">
        <v>4.6790900000000003E-2</v>
      </c>
      <c r="E18" s="66">
        <v>0</v>
      </c>
      <c r="F18" s="66">
        <v>0.43793500000000002</v>
      </c>
      <c r="G18" s="66">
        <v>0</v>
      </c>
      <c r="H18" s="66">
        <v>0.480929</v>
      </c>
    </row>
    <row r="19" spans="1:8">
      <c r="A19" s="66" t="s">
        <v>316</v>
      </c>
      <c r="B19" s="66">
        <v>0.66270799999999996</v>
      </c>
      <c r="C19" s="66">
        <v>4.3174400000000002E-2</v>
      </c>
      <c r="D19" s="66">
        <v>6.5148399999999995E-2</v>
      </c>
      <c r="E19" s="66">
        <v>0</v>
      </c>
      <c r="F19" s="66">
        <v>0.61953400000000003</v>
      </c>
      <c r="G19" s="66">
        <v>0</v>
      </c>
      <c r="H19" s="66">
        <v>0.70588200000000001</v>
      </c>
    </row>
    <row r="20" spans="1:8">
      <c r="A20" s="66" t="s">
        <v>317</v>
      </c>
      <c r="B20" s="66">
        <v>1.63207E-2</v>
      </c>
      <c r="C20" s="66">
        <v>0.10756</v>
      </c>
      <c r="D20" s="66">
        <v>6.5904100000000003</v>
      </c>
      <c r="E20" s="66">
        <v>0</v>
      </c>
      <c r="F20" s="66">
        <v>0</v>
      </c>
      <c r="G20" s="66">
        <v>0</v>
      </c>
      <c r="H20" s="66">
        <v>0.76513399999999998</v>
      </c>
    </row>
    <row r="21" spans="1:8">
      <c r="A21" s="66" t="s">
        <v>318</v>
      </c>
      <c r="B21" s="66">
        <v>0.33685700000000002</v>
      </c>
      <c r="C21" s="66">
        <v>0.98285500000000003</v>
      </c>
      <c r="D21" s="66">
        <v>2.9177200000000001</v>
      </c>
      <c r="E21" s="66">
        <v>0</v>
      </c>
      <c r="F21" s="66">
        <v>3.9022499999999999E-3</v>
      </c>
      <c r="G21" s="66">
        <v>0</v>
      </c>
      <c r="H21" s="66">
        <v>5.30246</v>
      </c>
    </row>
    <row r="22" spans="1:8">
      <c r="A22" s="66" t="s">
        <v>319</v>
      </c>
      <c r="B22" s="66">
        <v>62.993699999999997</v>
      </c>
      <c r="C22" s="66">
        <v>19.8127</v>
      </c>
      <c r="D22" s="66">
        <v>0.31451899999999999</v>
      </c>
      <c r="E22" s="66">
        <v>0</v>
      </c>
      <c r="F22" s="66">
        <v>39.092100000000002</v>
      </c>
      <c r="G22" s="66">
        <v>0</v>
      </c>
      <c r="H22" s="66">
        <v>131.87799999999999</v>
      </c>
    </row>
    <row r="23" spans="1:8">
      <c r="A23" s="66" t="s">
        <v>320</v>
      </c>
      <c r="B23" s="66">
        <v>27.427099999999999</v>
      </c>
      <c r="C23" s="66">
        <v>3.7604600000000001</v>
      </c>
      <c r="D23" s="66">
        <v>0.13710800000000001</v>
      </c>
      <c r="E23" s="66">
        <v>0</v>
      </c>
      <c r="F23" s="66">
        <v>17.8538</v>
      </c>
      <c r="G23" s="66">
        <v>0</v>
      </c>
      <c r="H23" s="66">
        <v>33.208399999999997</v>
      </c>
    </row>
    <row r="24" spans="1:8">
      <c r="A24" s="66" t="s">
        <v>346</v>
      </c>
      <c r="B24" s="66">
        <v>3.5362299999999999E-2</v>
      </c>
      <c r="C24" s="66">
        <v>8.8791599999999998E-2</v>
      </c>
      <c r="D24" s="66">
        <v>2.51091</v>
      </c>
      <c r="E24" s="66">
        <v>0</v>
      </c>
      <c r="F24" s="196">
        <v>5.1653200000000002E-5</v>
      </c>
      <c r="G24" s="66">
        <v>0</v>
      </c>
      <c r="H24" s="66">
        <v>0.59828700000000001</v>
      </c>
    </row>
    <row r="25" spans="1:8">
      <c r="A25" s="66" t="s">
        <v>322</v>
      </c>
      <c r="B25" s="66">
        <v>0.462617</v>
      </c>
      <c r="C25" s="66">
        <v>0.70242800000000005</v>
      </c>
      <c r="D25" s="66">
        <v>1.5183800000000001</v>
      </c>
      <c r="E25" s="66">
        <v>0</v>
      </c>
      <c r="F25" s="66">
        <v>0.119113</v>
      </c>
      <c r="G25" s="66">
        <v>0</v>
      </c>
      <c r="H25" s="66">
        <v>2.8882400000000001</v>
      </c>
    </row>
    <row r="26" spans="1:8">
      <c r="A26" s="66" t="s">
        <v>323</v>
      </c>
      <c r="B26" s="66">
        <v>2.6621599999999998E-3</v>
      </c>
      <c r="C26" s="66">
        <v>1.13165E-2</v>
      </c>
      <c r="D26" s="66">
        <v>4.2508800000000004</v>
      </c>
      <c r="E26" s="66">
        <v>0</v>
      </c>
      <c r="F26" s="66">
        <v>0</v>
      </c>
      <c r="G26" s="66">
        <v>0</v>
      </c>
      <c r="H26" s="66">
        <v>7.2813799999999998E-2</v>
      </c>
    </row>
    <row r="27" spans="1:8">
      <c r="A27" s="66" t="s">
        <v>324</v>
      </c>
      <c r="B27" s="196">
        <v>-3.6108200000000001E-5</v>
      </c>
      <c r="C27" s="66">
        <v>3.7862299999999998E-3</v>
      </c>
      <c r="D27" s="66">
        <v>-104.858</v>
      </c>
      <c r="E27" s="66">
        <v>0</v>
      </c>
      <c r="F27" s="66">
        <v>-3.6459400000000003E-2</v>
      </c>
      <c r="G27" s="66">
        <v>0</v>
      </c>
      <c r="H27" s="66">
        <v>3.60983E-2</v>
      </c>
    </row>
    <row r="28" spans="1:8">
      <c r="A28" s="66" t="s">
        <v>325</v>
      </c>
      <c r="B28" s="66">
        <v>3.4082000000000001E-2</v>
      </c>
      <c r="C28" s="66">
        <v>5.3815099999999998E-2</v>
      </c>
      <c r="D28" s="66">
        <v>1.5789899999999999</v>
      </c>
      <c r="E28" s="66">
        <v>0</v>
      </c>
      <c r="F28" s="66">
        <v>8.7565099999999997E-4</v>
      </c>
      <c r="G28" s="66">
        <v>0</v>
      </c>
      <c r="H28" s="66">
        <v>0.23486000000000001</v>
      </c>
    </row>
    <row r="29" spans="1:8">
      <c r="A29" s="66" t="s">
        <v>326</v>
      </c>
      <c r="B29" s="66">
        <v>78.966700000000003</v>
      </c>
      <c r="C29" s="66">
        <v>11.4209</v>
      </c>
      <c r="D29" s="66">
        <v>0.14463000000000001</v>
      </c>
      <c r="E29" s="66">
        <v>0</v>
      </c>
      <c r="F29" s="66">
        <v>49.871000000000002</v>
      </c>
      <c r="G29" s="66">
        <v>0</v>
      </c>
      <c r="H29" s="66">
        <v>113.539</v>
      </c>
    </row>
    <row r="30" spans="1:8">
      <c r="A30" s="66" t="s">
        <v>327</v>
      </c>
      <c r="B30" s="66">
        <v>29.3094</v>
      </c>
      <c r="C30" s="66">
        <v>4.0336299999999996</v>
      </c>
      <c r="D30" s="66">
        <v>0.13762199999999999</v>
      </c>
      <c r="E30" s="66">
        <v>0</v>
      </c>
      <c r="F30" s="66">
        <v>17.980399999999999</v>
      </c>
      <c r="G30" s="66">
        <v>0</v>
      </c>
      <c r="H30" s="66">
        <v>34.189700000000002</v>
      </c>
    </row>
    <row r="31" spans="1:8">
      <c r="A31" s="66" t="s">
        <v>328</v>
      </c>
      <c r="B31" s="66">
        <v>475.39299999999997</v>
      </c>
      <c r="C31" s="66">
        <v>26.506</v>
      </c>
      <c r="D31" s="66">
        <v>5.5756E-2</v>
      </c>
      <c r="E31" s="66">
        <v>0</v>
      </c>
      <c r="F31" s="66">
        <v>437.87099999999998</v>
      </c>
      <c r="G31" s="66">
        <v>0</v>
      </c>
      <c r="H31" s="66">
        <v>546.89499999999998</v>
      </c>
    </row>
    <row r="32" spans="1:8">
      <c r="A32" s="66" t="s">
        <v>329</v>
      </c>
      <c r="B32" s="66">
        <v>0.174535</v>
      </c>
      <c r="C32" s="66">
        <v>0.125531</v>
      </c>
      <c r="D32" s="66">
        <v>0.71923099999999995</v>
      </c>
      <c r="E32" s="66">
        <v>0.15</v>
      </c>
      <c r="F32" s="66">
        <v>6.1706400000000002E-2</v>
      </c>
      <c r="G32" s="66">
        <v>0.4</v>
      </c>
      <c r="H32" s="66">
        <v>0.47417100000000001</v>
      </c>
    </row>
    <row r="33" spans="1:8">
      <c r="A33" s="66" t="s">
        <v>330</v>
      </c>
      <c r="B33" s="66">
        <v>0.29860399999999998</v>
      </c>
      <c r="C33" s="66">
        <v>2.0599099999999999E-2</v>
      </c>
      <c r="D33" s="66">
        <v>6.8984900000000002E-2</v>
      </c>
      <c r="E33" s="66">
        <v>0</v>
      </c>
      <c r="F33" s="66">
        <v>0.20492299999999999</v>
      </c>
      <c r="G33" s="66">
        <v>0</v>
      </c>
      <c r="H33" s="66">
        <v>0.34215000000000001</v>
      </c>
    </row>
    <row r="34" spans="1:8">
      <c r="A34" s="66" t="s">
        <v>331</v>
      </c>
      <c r="B34" s="66">
        <v>0.241975</v>
      </c>
      <c r="C34" s="66">
        <v>3.2061100000000002E-2</v>
      </c>
      <c r="D34" s="66">
        <v>0.132498</v>
      </c>
      <c r="E34" s="66">
        <v>0.1</v>
      </c>
      <c r="F34" s="66">
        <v>0.18385799999999999</v>
      </c>
      <c r="G34" s="66">
        <v>0.25</v>
      </c>
      <c r="H34" s="66">
        <v>0.35353299999999999</v>
      </c>
    </row>
    <row r="35" spans="1:8">
      <c r="A35" s="66" t="s">
        <v>332</v>
      </c>
      <c r="B35" s="66">
        <v>8.1327499999999997E-2</v>
      </c>
      <c r="C35" s="66">
        <v>3.0289799999999999E-2</v>
      </c>
      <c r="D35" s="66">
        <v>0.37244300000000002</v>
      </c>
      <c r="E35" s="66">
        <v>0</v>
      </c>
      <c r="F35" s="66">
        <v>3.87517E-2</v>
      </c>
      <c r="G35" s="66">
        <v>0</v>
      </c>
      <c r="H35" s="66">
        <v>0.19601399999999999</v>
      </c>
    </row>
    <row r="36" spans="1:8">
      <c r="A36" s="66" t="s">
        <v>333</v>
      </c>
      <c r="B36" s="66">
        <v>0.21896099999999999</v>
      </c>
      <c r="C36" s="66">
        <v>0.100207</v>
      </c>
      <c r="D36" s="66">
        <v>0.457646</v>
      </c>
      <c r="E36" s="66">
        <v>0</v>
      </c>
      <c r="F36" s="66">
        <v>4.1468199999999997E-2</v>
      </c>
      <c r="G36" s="66">
        <v>0</v>
      </c>
      <c r="H36" s="66">
        <v>0.573237</v>
      </c>
    </row>
    <row r="37" spans="1:8">
      <c r="A37" s="66" t="s">
        <v>334</v>
      </c>
      <c r="B37" s="66">
        <v>0.32061099999999998</v>
      </c>
      <c r="C37" s="66">
        <v>0.10362200000000001</v>
      </c>
      <c r="D37" s="66">
        <v>0.32320199999999999</v>
      </c>
      <c r="E37" s="66">
        <v>0.1</v>
      </c>
      <c r="F37" s="66">
        <v>2.9614399999999999E-2</v>
      </c>
      <c r="G37" s="66">
        <v>0.5</v>
      </c>
      <c r="H37" s="66">
        <v>0.312027</v>
      </c>
    </row>
    <row r="38" spans="1:8">
      <c r="A38" s="66" t="s">
        <v>335</v>
      </c>
      <c r="B38" s="66">
        <v>-28.033799999999999</v>
      </c>
      <c r="C38" s="66">
        <v>58.5871</v>
      </c>
      <c r="D38" s="66">
        <v>-2.08988</v>
      </c>
      <c r="E38" s="66">
        <v>0</v>
      </c>
      <c r="F38" s="66">
        <v>-107.86</v>
      </c>
      <c r="G38" s="66">
        <v>0</v>
      </c>
      <c r="H38" s="66">
        <v>471.65100000000001</v>
      </c>
    </row>
    <row r="39" spans="1:8">
      <c r="A39" s="66" t="s">
        <v>336</v>
      </c>
      <c r="B39" s="66">
        <v>-8.1212700000000009</v>
      </c>
      <c r="C39" s="66">
        <v>5.8535000000000004</v>
      </c>
      <c r="D39" s="66">
        <v>-0.72076200000000001</v>
      </c>
      <c r="E39" s="66">
        <v>0</v>
      </c>
      <c r="F39" s="66">
        <v>-30.247499999999999</v>
      </c>
      <c r="G39" s="66">
        <v>0</v>
      </c>
      <c r="H39" s="66">
        <v>1.0581</v>
      </c>
    </row>
    <row r="40" spans="1:8">
      <c r="A40" s="66" t="s">
        <v>337</v>
      </c>
      <c r="B40" s="66">
        <v>-5.3003900000000002</v>
      </c>
      <c r="C40" s="66">
        <v>1.34395</v>
      </c>
      <c r="D40" s="66">
        <v>-0.253556</v>
      </c>
      <c r="E40" s="66">
        <v>0</v>
      </c>
      <c r="F40" s="66">
        <v>-7.4640399999999998</v>
      </c>
      <c r="G40" s="66">
        <v>0</v>
      </c>
      <c r="H40" s="66">
        <v>-1.7763100000000001</v>
      </c>
    </row>
    <row r="41" spans="1:8">
      <c r="A41" s="66" t="s">
        <v>338</v>
      </c>
      <c r="B41" s="66">
        <v>-0.112798</v>
      </c>
      <c r="C41" s="66">
        <v>0.19076599999999999</v>
      </c>
      <c r="D41" s="66">
        <v>-1.6912100000000001</v>
      </c>
      <c r="E41" s="66">
        <v>0</v>
      </c>
      <c r="F41" s="66">
        <v>-0.42372900000000002</v>
      </c>
      <c r="G41" s="66">
        <v>0</v>
      </c>
      <c r="H41" s="66">
        <v>0.78145900000000001</v>
      </c>
    </row>
    <row r="42" spans="1:8">
      <c r="A42" s="66" t="s">
        <v>339</v>
      </c>
      <c r="B42" s="66">
        <v>-0.124788</v>
      </c>
      <c r="C42" s="66">
        <v>5.7022700000000003E-2</v>
      </c>
      <c r="D42" s="66">
        <v>-0.456957</v>
      </c>
      <c r="E42" s="66">
        <v>0</v>
      </c>
      <c r="F42" s="66">
        <v>-0.23919000000000001</v>
      </c>
      <c r="G42" s="66">
        <v>0</v>
      </c>
      <c r="H42" s="66">
        <v>5.2860999999999998E-2</v>
      </c>
    </row>
    <row r="43" spans="1:8">
      <c r="A43" s="66" t="s">
        <v>340</v>
      </c>
      <c r="B43" s="66">
        <v>-0.149253</v>
      </c>
      <c r="C43" s="66">
        <v>2.9264600000000002E-2</v>
      </c>
      <c r="D43" s="66">
        <v>-0.196074</v>
      </c>
      <c r="E43" s="66">
        <v>0</v>
      </c>
      <c r="F43" s="66">
        <v>-0.21652099999999999</v>
      </c>
      <c r="G43" s="66">
        <v>0</v>
      </c>
      <c r="H43" s="66">
        <v>-6.8614999999999995E-2</v>
      </c>
    </row>
    <row r="44" spans="1:8">
      <c r="A44" s="66" t="s">
        <v>341</v>
      </c>
      <c r="B44" s="66">
        <v>-107.797</v>
      </c>
      <c r="C44" s="66">
        <v>16.273700000000002</v>
      </c>
      <c r="D44" s="66">
        <v>-0.15096599999999999</v>
      </c>
      <c r="E44" s="66">
        <v>0</v>
      </c>
      <c r="F44" s="66">
        <v>-144.792</v>
      </c>
      <c r="G44" s="66">
        <v>0</v>
      </c>
      <c r="H44" s="66">
        <v>-77.235500000000002</v>
      </c>
    </row>
    <row r="45" spans="1:8">
      <c r="A45" s="66" t="s">
        <v>342</v>
      </c>
      <c r="B45" s="66">
        <v>45.074599999999997</v>
      </c>
      <c r="C45" s="66">
        <v>8.16343</v>
      </c>
      <c r="D45" s="66">
        <v>0.18110899999999999</v>
      </c>
      <c r="E45" s="66">
        <v>0</v>
      </c>
      <c r="F45" s="66">
        <v>30.122</v>
      </c>
      <c r="G45" s="66">
        <v>0</v>
      </c>
      <c r="H45" s="66">
        <v>66.197699999999998</v>
      </c>
    </row>
    <row r="46" spans="1:8">
      <c r="A46" s="66" t="s">
        <v>343</v>
      </c>
      <c r="B46" s="66">
        <v>26.920500000000001</v>
      </c>
      <c r="C46" s="66">
        <v>1.4949600000000001</v>
      </c>
      <c r="D46" s="66">
        <v>5.5532499999999999E-2</v>
      </c>
      <c r="E46" s="66">
        <v>0</v>
      </c>
      <c r="F46" s="66">
        <v>24.7926</v>
      </c>
      <c r="G46" s="66">
        <v>0</v>
      </c>
      <c r="H46" s="66">
        <v>29.795100000000001</v>
      </c>
    </row>
    <row r="47" spans="1:8">
      <c r="A47" s="66" t="s">
        <v>344</v>
      </c>
      <c r="B47" s="66">
        <v>1.6240000000000001</v>
      </c>
      <c r="C47" s="66">
        <v>1.48539</v>
      </c>
      <c r="D47" s="66">
        <v>0.91465099999999999</v>
      </c>
      <c r="E47" s="66">
        <v>0</v>
      </c>
      <c r="F47" s="66">
        <v>0.40212100000000001</v>
      </c>
      <c r="G47" s="66">
        <v>0</v>
      </c>
      <c r="H47" s="66">
        <v>6.9510399999999999</v>
      </c>
    </row>
    <row r="48" spans="1:8">
      <c r="A48" s="66" t="s">
        <v>345</v>
      </c>
      <c r="B48" s="66">
        <v>0.67138200000000003</v>
      </c>
      <c r="C48" s="66">
        <v>0.106381</v>
      </c>
      <c r="D48" s="66">
        <v>0.15845000000000001</v>
      </c>
      <c r="E48" s="66">
        <v>0</v>
      </c>
      <c r="F48" s="66">
        <v>0.56304500000000002</v>
      </c>
      <c r="G48" s="66">
        <v>0</v>
      </c>
      <c r="H48" s="66">
        <v>0.93779800000000002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347</v>
      </c>
      <c r="B1" s="60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84.74028402314201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1.636122202989716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0.66118809831906999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1870</v>
      </c>
      <c r="B8" s="66">
        <v>1870</v>
      </c>
      <c r="D8">
        <f t="shared" si="0"/>
        <v>7.7306908426453018E-3</v>
      </c>
      <c r="E8">
        <f t="shared" si="0"/>
        <v>7.7306908426453018E-3</v>
      </c>
      <c r="G8">
        <f t="shared" ca="1" si="1"/>
        <v>6</v>
      </c>
      <c r="H8">
        <f t="shared" ca="1" si="2"/>
        <v>4.6384145055871809E-2</v>
      </c>
      <c r="I8">
        <f t="shared" ca="1" si="3"/>
        <v>47.930533142522876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2269</v>
      </c>
      <c r="B10" s="66">
        <v>2269</v>
      </c>
      <c r="D10">
        <f t="shared" si="0"/>
        <v>9.3801804930279085E-3</v>
      </c>
      <c r="E10">
        <f t="shared" si="0"/>
        <v>9.3801804930279085E-3</v>
      </c>
      <c r="G10">
        <f t="shared" ca="1" si="1"/>
        <v>8</v>
      </c>
      <c r="H10">
        <f t="shared" ca="1" si="2"/>
        <v>7.5041443944223268E-2</v>
      </c>
      <c r="I10">
        <f t="shared" ca="1" si="3"/>
        <v>55.240550716805501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5684</v>
      </c>
      <c r="B13" s="66">
        <v>5684</v>
      </c>
      <c r="D13">
        <f t="shared" si="0"/>
        <v>2.3497992914222405E-2</v>
      </c>
      <c r="E13">
        <f t="shared" si="0"/>
        <v>2.3497992914222405E-2</v>
      </c>
      <c r="G13">
        <f t="shared" ca="1" si="1"/>
        <v>11</v>
      </c>
      <c r="H13">
        <f t="shared" ca="1" si="2"/>
        <v>0.25847792205644643</v>
      </c>
      <c r="I13">
        <f t="shared" ca="1" si="3"/>
        <v>127.77337917481202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7619</v>
      </c>
      <c r="B15" s="66">
        <v>7619</v>
      </c>
      <c r="D15">
        <f t="shared" si="0"/>
        <v>3.1497397609686929E-2</v>
      </c>
      <c r="E15">
        <f t="shared" si="0"/>
        <v>3.1497397609686929E-2</v>
      </c>
      <c r="G15">
        <f t="shared" ca="1" si="1"/>
        <v>13</v>
      </c>
      <c r="H15">
        <f t="shared" ca="1" si="2"/>
        <v>0.40946616892593007</v>
      </c>
      <c r="I15">
        <f t="shared" ca="1" si="3"/>
        <v>162.10665943935106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10794</v>
      </c>
      <c r="B18" s="66">
        <v>10794</v>
      </c>
      <c r="D18">
        <f t="shared" si="0"/>
        <v>4.462303580508737E-2</v>
      </c>
      <c r="E18">
        <f t="shared" si="0"/>
        <v>4.462303580508737E-2</v>
      </c>
      <c r="G18">
        <f t="shared" ca="1" si="1"/>
        <v>16</v>
      </c>
      <c r="H18">
        <f t="shared" ca="1" si="2"/>
        <v>0.71396857288139792</v>
      </c>
      <c r="I18">
        <f t="shared" ca="1" si="3"/>
        <v>210.85395788221493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15373</v>
      </c>
      <c r="B21" s="66">
        <v>15373</v>
      </c>
      <c r="D21">
        <f t="shared" si="0"/>
        <v>6.3552893221383008E-2</v>
      </c>
      <c r="E21">
        <f t="shared" si="0"/>
        <v>6.3552893221383008E-2</v>
      </c>
      <c r="G21">
        <f t="shared" ca="1" si="1"/>
        <v>19</v>
      </c>
      <c r="H21">
        <f t="shared" ca="1" si="2"/>
        <v>1.2075049712062771</v>
      </c>
      <c r="I21">
        <f t="shared" ca="1" si="3"/>
        <v>274.66193703643802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20697</v>
      </c>
      <c r="B23" s="66">
        <v>20697</v>
      </c>
      <c r="D23">
        <f t="shared" si="0"/>
        <v>8.5562624796914344E-2</v>
      </c>
      <c r="E23">
        <f t="shared" si="0"/>
        <v>8.5562624796914344E-2</v>
      </c>
      <c r="G23">
        <f t="shared" ca="1" si="1"/>
        <v>21</v>
      </c>
      <c r="H23">
        <f t="shared" ca="1" si="2"/>
        <v>1.7968151207352012</v>
      </c>
      <c r="I23">
        <f t="shared" ca="1" si="3"/>
        <v>347.62586904432862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23620</v>
      </c>
      <c r="B26" s="66">
        <v>23620</v>
      </c>
      <c r="D26">
        <f t="shared" si="0"/>
        <v>9.7646480055231036E-2</v>
      </c>
      <c r="E26">
        <f t="shared" si="0"/>
        <v>9.7646480055231036E-2</v>
      </c>
      <c r="G26">
        <f t="shared" ca="1" si="1"/>
        <v>24</v>
      </c>
      <c r="H26">
        <f t="shared" ca="1" si="2"/>
        <v>2.343515521325545</v>
      </c>
      <c r="I26">
        <f t="shared" ca="1" si="3"/>
        <v>360.25517595741303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31058</v>
      </c>
      <c r="B28" s="66">
        <v>31058</v>
      </c>
      <c r="D28">
        <f t="shared" si="0"/>
        <v>0.12839561293629828</v>
      </c>
      <c r="E28">
        <f t="shared" si="0"/>
        <v>0.12839561293629828</v>
      </c>
      <c r="G28">
        <f t="shared" ca="1" si="1"/>
        <v>26</v>
      </c>
      <c r="H28">
        <f t="shared" ca="1" si="2"/>
        <v>3.3382859363437554</v>
      </c>
      <c r="I28">
        <f t="shared" ca="1" si="3"/>
        <v>443.01891496154951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37553</v>
      </c>
      <c r="B31" s="66">
        <v>37553</v>
      </c>
      <c r="D31">
        <f t="shared" si="0"/>
        <v>0.15524632792184975</v>
      </c>
      <c r="E31">
        <f t="shared" si="0"/>
        <v>0.15524632792184975</v>
      </c>
      <c r="G31">
        <f t="shared" ca="1" si="1"/>
        <v>29</v>
      </c>
      <c r="H31">
        <f t="shared" ca="1" si="2"/>
        <v>4.5021435097336431</v>
      </c>
      <c r="I31">
        <f t="shared" ca="1" si="3"/>
        <v>482.34712150706406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48530</v>
      </c>
      <c r="B33" s="66">
        <v>48530</v>
      </c>
      <c r="D33">
        <f t="shared" si="0"/>
        <v>0.20062589657410507</v>
      </c>
      <c r="E33">
        <f t="shared" si="0"/>
        <v>0.20062589657410507</v>
      </c>
      <c r="G33">
        <f t="shared" ca="1" si="1"/>
        <v>31</v>
      </c>
      <c r="H33">
        <f t="shared" ca="1" si="2"/>
        <v>6.2194027937972569</v>
      </c>
      <c r="I33">
        <f t="shared" ca="1" si="3"/>
        <v>579.41122602916698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66383</v>
      </c>
      <c r="B36" s="66">
        <v>66383</v>
      </c>
      <c r="D36">
        <f t="shared" si="0"/>
        <v>0.27443125679535996</v>
      </c>
      <c r="E36">
        <f t="shared" si="0"/>
        <v>0.27443125679535996</v>
      </c>
      <c r="G36">
        <f t="shared" ca="1" si="1"/>
        <v>34</v>
      </c>
      <c r="H36">
        <f t="shared" ca="1" si="2"/>
        <v>9.3306627310422385</v>
      </c>
      <c r="I36">
        <f t="shared" ca="1" si="3"/>
        <v>706.54424341074309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63592</v>
      </c>
      <c r="B39" s="66">
        <v>63592</v>
      </c>
      <c r="D39">
        <f t="shared" si="0"/>
        <v>0.26289309736122995</v>
      </c>
      <c r="E39">
        <f t="shared" si="0"/>
        <v>0.26289309736122995</v>
      </c>
      <c r="G39">
        <f t="shared" ca="1" si="1"/>
        <v>37</v>
      </c>
      <c r="H39">
        <f t="shared" ca="1" si="2"/>
        <v>9.7270446023655079</v>
      </c>
      <c r="I39">
        <f t="shared" ca="1" si="3"/>
        <v>599.16878547896874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78917</v>
      </c>
      <c r="B41" s="66">
        <v>78917</v>
      </c>
      <c r="D41">
        <f t="shared" si="0"/>
        <v>0.32624755573745418</v>
      </c>
      <c r="E41">
        <f t="shared" si="0"/>
        <v>0.32624755573745418</v>
      </c>
      <c r="G41">
        <f t="shared" ca="1" si="1"/>
        <v>39</v>
      </c>
      <c r="H41">
        <f t="shared" ca="1" si="2"/>
        <v>12.723654673760713</v>
      </c>
      <c r="I41">
        <f t="shared" ca="1" si="3"/>
        <v>682.56651747487263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91656</v>
      </c>
      <c r="B44" s="66">
        <v>91656</v>
      </c>
      <c r="D44">
        <f t="shared" si="0"/>
        <v>0.37891133683074746</v>
      </c>
      <c r="E44">
        <f t="shared" si="0"/>
        <v>0.37891133683074746</v>
      </c>
      <c r="G44">
        <f t="shared" ca="1" si="1"/>
        <v>42</v>
      </c>
      <c r="H44">
        <f t="shared" ca="1" si="2"/>
        <v>15.914276146891392</v>
      </c>
      <c r="I44">
        <f t="shared" ca="1" si="3"/>
        <v>692.16941806787179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100573</v>
      </c>
      <c r="B46" s="66">
        <v>100573</v>
      </c>
      <c r="D46">
        <f t="shared" si="0"/>
        <v>0.41577474337827058</v>
      </c>
      <c r="E46">
        <f t="shared" si="0"/>
        <v>0.41577474337827058</v>
      </c>
      <c r="G46">
        <f t="shared" ca="1" si="1"/>
        <v>44</v>
      </c>
      <c r="H46">
        <f t="shared" ca="1" si="2"/>
        <v>18.294088708643905</v>
      </c>
      <c r="I46">
        <f t="shared" ca="1" si="3"/>
        <v>690.09075444083987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109683</v>
      </c>
      <c r="B49" s="66">
        <v>109683</v>
      </c>
      <c r="D49">
        <f t="shared" si="0"/>
        <v>0.45343602336570304</v>
      </c>
      <c r="E49">
        <f t="shared" si="0"/>
        <v>0.45343602336570304</v>
      </c>
      <c r="G49">
        <f t="shared" ca="1" si="1"/>
        <v>47</v>
      </c>
      <c r="H49">
        <f t="shared" ca="1" si="2"/>
        <v>21.311493098188045</v>
      </c>
      <c r="I49">
        <f t="shared" ca="1" si="3"/>
        <v>645.8420950218665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124237</v>
      </c>
      <c r="B51" s="66">
        <v>124237</v>
      </c>
      <c r="D51">
        <f t="shared" si="0"/>
        <v>0.51360312204156389</v>
      </c>
      <c r="E51">
        <f t="shared" si="0"/>
        <v>0.51360312204156389</v>
      </c>
      <c r="G51">
        <f t="shared" ca="1" si="1"/>
        <v>49</v>
      </c>
      <c r="H51">
        <f t="shared" ca="1" si="2"/>
        <v>25.166552980036631</v>
      </c>
      <c r="I51">
        <f t="shared" ca="1" si="3"/>
        <v>656.06014249105863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140406</v>
      </c>
      <c r="B54" s="66">
        <v>140406</v>
      </c>
      <c r="D54">
        <f t="shared" si="0"/>
        <v>0.58044672644516382</v>
      </c>
      <c r="E54">
        <f t="shared" si="0"/>
        <v>0.58044672644516382</v>
      </c>
      <c r="G54">
        <f t="shared" ca="1" si="1"/>
        <v>52</v>
      </c>
      <c r="H54">
        <f t="shared" ca="1" si="2"/>
        <v>30.183229775148519</v>
      </c>
      <c r="I54">
        <f t="shared" ca="1" si="3"/>
        <v>622.19605257115768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143533</v>
      </c>
      <c r="B57" s="66">
        <v>143533</v>
      </c>
      <c r="D57">
        <f t="shared" si="0"/>
        <v>0.59337392979540537</v>
      </c>
      <c r="E57">
        <f t="shared" si="0"/>
        <v>0.59337392979540537</v>
      </c>
      <c r="G57">
        <f t="shared" ca="1" si="1"/>
        <v>55</v>
      </c>
      <c r="H57">
        <f t="shared" ca="1" si="2"/>
        <v>32.635566138747294</v>
      </c>
      <c r="I57">
        <f t="shared" ca="1" si="3"/>
        <v>524.83003991565079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166898</v>
      </c>
      <c r="B59" s="66">
        <v>166898</v>
      </c>
      <c r="D59">
        <f t="shared" si="0"/>
        <v>0.68996622473573022</v>
      </c>
      <c r="E59">
        <f t="shared" si="0"/>
        <v>0.68996622473573022</v>
      </c>
      <c r="G59">
        <f t="shared" ca="1" si="1"/>
        <v>57</v>
      </c>
      <c r="H59">
        <f t="shared" ca="1" si="2"/>
        <v>39.328074809936624</v>
      </c>
      <c r="I59">
        <f t="shared" ca="1" si="3"/>
        <v>530.94512594759806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186948</v>
      </c>
      <c r="B62" s="66">
        <v>186948</v>
      </c>
      <c r="D62">
        <f t="shared" si="0"/>
        <v>0.77285411318227482</v>
      </c>
      <c r="E62">
        <f t="shared" si="0"/>
        <v>0.77285411318227482</v>
      </c>
      <c r="G62">
        <f t="shared" ca="1" si="1"/>
        <v>60</v>
      </c>
      <c r="H62">
        <f t="shared" ca="1" si="2"/>
        <v>46.371246790936489</v>
      </c>
      <c r="I62">
        <f t="shared" ca="1" si="3"/>
        <v>473.04982354623002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204695</v>
      </c>
      <c r="B64" s="66">
        <v>204695</v>
      </c>
      <c r="D64">
        <f t="shared" si="0"/>
        <v>0.84622126312047063</v>
      </c>
      <c r="E64">
        <f t="shared" si="0"/>
        <v>0.84622126312047063</v>
      </c>
      <c r="G64">
        <f t="shared" ca="1" si="1"/>
        <v>62</v>
      </c>
      <c r="H64">
        <f t="shared" ca="1" si="2"/>
        <v>52.465718313469182</v>
      </c>
      <c r="I64">
        <f t="shared" ca="1" si="3"/>
        <v>437.59837746473096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220536</v>
      </c>
      <c r="B67" s="66">
        <v>220536</v>
      </c>
      <c r="D67">
        <f t="shared" ref="D67:E130" si="4">IFERROR( A67/MAX(A$2:A$257), 0 )</f>
        <v>0.911708896082152</v>
      </c>
      <c r="E67">
        <f t="shared" si="4"/>
        <v>0.911708896082152</v>
      </c>
      <c r="G67">
        <f t="shared" ref="G67:G130" ca="1" si="5">CELL("row",D67)-2</f>
        <v>65</v>
      </c>
      <c r="H67">
        <f t="shared" ref="H67:H130" ca="1" si="6">D67*G67</f>
        <v>59.261078245339881</v>
      </c>
      <c r="I67">
        <f t="shared" ref="I67:I130" ca="1" si="7">D67*((G67-$L$1)^2)</f>
        <v>355.27364071339775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211636</v>
      </c>
      <c r="B69" s="66">
        <v>211636</v>
      </c>
      <c r="D69">
        <f t="shared" si="4"/>
        <v>0.87491576854228936</v>
      </c>
      <c r="E69">
        <f t="shared" si="4"/>
        <v>0.87491576854228936</v>
      </c>
      <c r="G69">
        <f t="shared" ca="1" si="5"/>
        <v>67</v>
      </c>
      <c r="H69">
        <f t="shared" ca="1" si="6"/>
        <v>58.619356492333388</v>
      </c>
      <c r="I69">
        <f t="shared" ca="1" si="7"/>
        <v>275.3514584403095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222100</v>
      </c>
      <c r="B72" s="66">
        <v>222100</v>
      </c>
      <c r="D72">
        <f t="shared" si="4"/>
        <v>0.91817456478690995</v>
      </c>
      <c r="E72">
        <f t="shared" si="4"/>
        <v>0.91817456478690995</v>
      </c>
      <c r="G72">
        <f t="shared" ca="1" si="5"/>
        <v>70</v>
      </c>
      <c r="H72">
        <f t="shared" ca="1" si="6"/>
        <v>64.272219535083693</v>
      </c>
      <c r="I72">
        <f t="shared" ca="1" si="7"/>
        <v>199.49727202404003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238422</v>
      </c>
      <c r="B75" s="66">
        <v>238422</v>
      </c>
      <c r="D75">
        <f t="shared" si="4"/>
        <v>0.98565068025945357</v>
      </c>
      <c r="E75">
        <f t="shared" si="4"/>
        <v>0.98565068025945357</v>
      </c>
      <c r="G75">
        <f t="shared" ca="1" si="5"/>
        <v>73</v>
      </c>
      <c r="H75">
        <f t="shared" ca="1" si="6"/>
        <v>71.952499658940113</v>
      </c>
      <c r="I75">
        <f t="shared" ca="1" si="7"/>
        <v>135.856440947761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236220</v>
      </c>
      <c r="B77" s="66">
        <v>236220</v>
      </c>
      <c r="D77">
        <f t="shared" si="4"/>
        <v>0.97654748173779315</v>
      </c>
      <c r="E77">
        <f t="shared" si="4"/>
        <v>0.97654748173779315</v>
      </c>
      <c r="G77">
        <f t="shared" ca="1" si="5"/>
        <v>75</v>
      </c>
      <c r="H77">
        <f t="shared" ca="1" si="6"/>
        <v>73.241061130334487</v>
      </c>
      <c r="I77">
        <f t="shared" ca="1" si="7"/>
        <v>92.648118970683498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239436</v>
      </c>
      <c r="B80" s="66">
        <v>239436</v>
      </c>
      <c r="D80">
        <f t="shared" si="4"/>
        <v>0.9898426163634334</v>
      </c>
      <c r="E80">
        <f t="shared" si="4"/>
        <v>0.9898426163634334</v>
      </c>
      <c r="G80">
        <f t="shared" ca="1" si="5"/>
        <v>78</v>
      </c>
      <c r="H80">
        <f t="shared" ca="1" si="6"/>
        <v>77.207724076347802</v>
      </c>
      <c r="I80">
        <f t="shared" ca="1" si="7"/>
        <v>44.969964262032001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235197</v>
      </c>
      <c r="B82" s="66">
        <v>235197</v>
      </c>
      <c r="D82">
        <f t="shared" si="4"/>
        <v>0.97231833910034604</v>
      </c>
      <c r="E82">
        <f t="shared" si="4"/>
        <v>0.97231833910034604</v>
      </c>
      <c r="G82">
        <f t="shared" ca="1" si="5"/>
        <v>80</v>
      </c>
      <c r="H82">
        <f t="shared" ca="1" si="6"/>
        <v>77.785467128027676</v>
      </c>
      <c r="I82">
        <f t="shared" ca="1" si="7"/>
        <v>21.848277599431029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237481</v>
      </c>
      <c r="B85" s="66">
        <v>237481</v>
      </c>
      <c r="D85">
        <f t="shared" si="4"/>
        <v>0.98176053048248602</v>
      </c>
      <c r="E85">
        <f t="shared" si="4"/>
        <v>0.98176053048248602</v>
      </c>
      <c r="G85">
        <f t="shared" ca="1" si="5"/>
        <v>83</v>
      </c>
      <c r="H85">
        <f t="shared" ca="1" si="6"/>
        <v>81.486124030046341</v>
      </c>
      <c r="I85">
        <f t="shared" ca="1" si="7"/>
        <v>2.9733486339193376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241893</v>
      </c>
      <c r="B88" s="66">
        <v>241893</v>
      </c>
      <c r="D88">
        <f t="shared" si="4"/>
        <v>1</v>
      </c>
      <c r="E88">
        <f t="shared" si="4"/>
        <v>1</v>
      </c>
      <c r="G88">
        <f t="shared" ca="1" si="5"/>
        <v>86</v>
      </c>
      <c r="H88">
        <f t="shared" ca="1" si="6"/>
        <v>86</v>
      </c>
      <c r="I88">
        <f t="shared" ca="1" si="7"/>
        <v>1.58688434235128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235171</v>
      </c>
      <c r="B90" s="66">
        <v>235171</v>
      </c>
      <c r="D90">
        <f t="shared" si="4"/>
        <v>0.97221085355921832</v>
      </c>
      <c r="E90">
        <f t="shared" si="4"/>
        <v>0.97221085355921832</v>
      </c>
      <c r="G90">
        <f t="shared" ca="1" si="5"/>
        <v>88</v>
      </c>
      <c r="H90">
        <f t="shared" ca="1" si="6"/>
        <v>85.554555113211208</v>
      </c>
      <c r="I90">
        <f t="shared" ca="1" si="7"/>
        <v>10.330467775627133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217856</v>
      </c>
      <c r="B93" s="66">
        <v>217856</v>
      </c>
      <c r="D93">
        <f t="shared" si="4"/>
        <v>0.90062961722745183</v>
      </c>
      <c r="E93">
        <f t="shared" si="4"/>
        <v>0.90062961722745183</v>
      </c>
      <c r="G93">
        <f t="shared" ca="1" si="5"/>
        <v>91</v>
      </c>
      <c r="H93">
        <f t="shared" ca="1" si="6"/>
        <v>81.957295167698121</v>
      </c>
      <c r="I93">
        <f t="shared" ca="1" si="7"/>
        <v>35.290310649051541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200667</v>
      </c>
      <c r="B95" s="66">
        <v>200667</v>
      </c>
      <c r="D95">
        <f t="shared" si="4"/>
        <v>0.82956927236422717</v>
      </c>
      <c r="E95">
        <f t="shared" si="4"/>
        <v>0.82956927236422717</v>
      </c>
      <c r="G95">
        <f t="shared" ca="1" si="5"/>
        <v>93</v>
      </c>
      <c r="H95">
        <f t="shared" ca="1" si="6"/>
        <v>77.149942329873127</v>
      </c>
      <c r="I95">
        <f t="shared" ca="1" si="7"/>
        <v>56.595628163365113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175287</v>
      </c>
      <c r="B98" s="66">
        <v>175287</v>
      </c>
      <c r="D98">
        <f t="shared" si="4"/>
        <v>0.72464684798650647</v>
      </c>
      <c r="E98">
        <f t="shared" si="4"/>
        <v>0.72464684798650647</v>
      </c>
      <c r="G98">
        <f t="shared" ca="1" si="5"/>
        <v>96</v>
      </c>
      <c r="H98">
        <f t="shared" ca="1" si="6"/>
        <v>69.566097406704614</v>
      </c>
      <c r="I98">
        <f t="shared" ca="1" si="7"/>
        <v>91.87159977522235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158096</v>
      </c>
      <c r="B100" s="66">
        <v>158096</v>
      </c>
      <c r="D100">
        <f t="shared" si="4"/>
        <v>0.65357823500473344</v>
      </c>
      <c r="E100">
        <f t="shared" si="4"/>
        <v>0.65357823500473344</v>
      </c>
      <c r="G100">
        <f t="shared" ca="1" si="5"/>
        <v>98</v>
      </c>
      <c r="H100">
        <f t="shared" ca="1" si="6"/>
        <v>64.05066703046387</v>
      </c>
      <c r="I100">
        <f t="shared" ca="1" si="7"/>
        <v>114.91216958260283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149346</v>
      </c>
      <c r="B103" s="66">
        <v>149346</v>
      </c>
      <c r="D103">
        <f t="shared" si="4"/>
        <v>0.6174052163559921</v>
      </c>
      <c r="E103">
        <f t="shared" si="4"/>
        <v>0.6174052163559921</v>
      </c>
      <c r="G103">
        <f t="shared" ca="1" si="5"/>
        <v>101</v>
      </c>
      <c r="H103">
        <f t="shared" ca="1" si="6"/>
        <v>62.357926851955206</v>
      </c>
      <c r="I103">
        <f t="shared" ca="1" si="7"/>
        <v>163.22858080799276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126746</v>
      </c>
      <c r="B106" s="66">
        <v>126746</v>
      </c>
      <c r="D106">
        <f t="shared" si="4"/>
        <v>0.52397547676038581</v>
      </c>
      <c r="E106">
        <f t="shared" si="4"/>
        <v>0.52397547676038581</v>
      </c>
      <c r="G106">
        <f t="shared" ca="1" si="5"/>
        <v>104</v>
      </c>
      <c r="H106">
        <f t="shared" ca="1" si="6"/>
        <v>54.493449583080121</v>
      </c>
      <c r="I106">
        <f t="shared" ca="1" si="7"/>
        <v>194.36171301425836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109919</v>
      </c>
      <c r="B108" s="66">
        <v>109919</v>
      </c>
      <c r="D108">
        <f t="shared" si="4"/>
        <v>0.45441166135440048</v>
      </c>
      <c r="E108">
        <f t="shared" si="4"/>
        <v>0.45441166135440048</v>
      </c>
      <c r="G108">
        <f t="shared" ca="1" si="5"/>
        <v>106</v>
      </c>
      <c r="H108">
        <f t="shared" ca="1" si="6"/>
        <v>48.167636103566451</v>
      </c>
      <c r="I108">
        <f t="shared" ca="1" si="7"/>
        <v>205.38294848729413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93429</v>
      </c>
      <c r="B111" s="66">
        <v>93429</v>
      </c>
      <c r="D111">
        <f t="shared" si="4"/>
        <v>0.386241023923801</v>
      </c>
      <c r="E111">
        <f t="shared" si="4"/>
        <v>0.386241023923801</v>
      </c>
      <c r="G111">
        <f t="shared" ca="1" si="5"/>
        <v>109</v>
      </c>
      <c r="H111">
        <f t="shared" ca="1" si="6"/>
        <v>42.10027160769431</v>
      </c>
      <c r="I111">
        <f t="shared" ca="1" si="7"/>
        <v>227.31590497164999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87185</v>
      </c>
      <c r="B113" s="66">
        <v>87185</v>
      </c>
      <c r="D113">
        <f t="shared" si="4"/>
        <v>0.36042795781605919</v>
      </c>
      <c r="E113">
        <f t="shared" si="4"/>
        <v>0.36042795781605919</v>
      </c>
      <c r="G113">
        <f t="shared" ca="1" si="5"/>
        <v>111</v>
      </c>
      <c r="H113">
        <f t="shared" ca="1" si="6"/>
        <v>40.007503317582568</v>
      </c>
      <c r="I113">
        <f t="shared" ca="1" si="7"/>
        <v>248.54127396620029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76559</v>
      </c>
      <c r="B116" s="66">
        <v>76559</v>
      </c>
      <c r="D116">
        <f t="shared" si="4"/>
        <v>0.31649944396902763</v>
      </c>
      <c r="E116">
        <f t="shared" si="4"/>
        <v>0.31649944396902763</v>
      </c>
      <c r="G116">
        <f t="shared" ca="1" si="5"/>
        <v>114</v>
      </c>
      <c r="H116">
        <f t="shared" ca="1" si="6"/>
        <v>36.080936612469152</v>
      </c>
      <c r="I116">
        <f t="shared" ca="1" si="7"/>
        <v>270.96497883284445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64573</v>
      </c>
      <c r="B118" s="66">
        <v>64573</v>
      </c>
      <c r="D118">
        <f t="shared" si="4"/>
        <v>0.26694860950916316</v>
      </c>
      <c r="E118">
        <f t="shared" si="4"/>
        <v>0.26694860950916316</v>
      </c>
      <c r="G118">
        <f t="shared" ca="1" si="5"/>
        <v>116</v>
      </c>
      <c r="H118">
        <f t="shared" ca="1" si="6"/>
        <v>30.966038703062928</v>
      </c>
      <c r="I118">
        <f t="shared" ca="1" si="7"/>
        <v>260.85413083081244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65451</v>
      </c>
      <c r="B121" s="66">
        <v>65451</v>
      </c>
      <c r="D121">
        <f t="shared" si="4"/>
        <v>0.27057831355185968</v>
      </c>
      <c r="E121">
        <f t="shared" si="4"/>
        <v>0.27057831355185968</v>
      </c>
      <c r="G121">
        <f t="shared" ca="1" si="5"/>
        <v>119</v>
      </c>
      <c r="H121">
        <f t="shared" ca="1" si="6"/>
        <v>32.198819312671304</v>
      </c>
      <c r="I121">
        <f t="shared" ca="1" si="7"/>
        <v>317.58538036891997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56805</v>
      </c>
      <c r="B124" s="66">
        <v>56805</v>
      </c>
      <c r="D124">
        <f t="shared" si="4"/>
        <v>0.23483523706762907</v>
      </c>
      <c r="E124">
        <f t="shared" si="4"/>
        <v>0.23483523706762907</v>
      </c>
      <c r="G124">
        <f t="shared" ca="1" si="5"/>
        <v>122</v>
      </c>
      <c r="H124">
        <f t="shared" ca="1" si="6"/>
        <v>28.649898922250745</v>
      </c>
      <c r="I124">
        <f t="shared" ca="1" si="7"/>
        <v>326.01857400494174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49233</v>
      </c>
      <c r="B126" s="66">
        <v>49233</v>
      </c>
      <c r="D126">
        <f t="shared" si="4"/>
        <v>0.20353214024382682</v>
      </c>
      <c r="E126">
        <f t="shared" si="4"/>
        <v>0.20353214024382682</v>
      </c>
      <c r="G126">
        <f t="shared" ca="1" si="5"/>
        <v>124</v>
      </c>
      <c r="H126">
        <f t="shared" ca="1" si="6"/>
        <v>25.237985390234527</v>
      </c>
      <c r="I126">
        <f t="shared" ca="1" si="7"/>
        <v>313.7092368326671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44167</v>
      </c>
      <c r="B129" s="66">
        <v>44167</v>
      </c>
      <c r="D129">
        <f t="shared" si="4"/>
        <v>0.1825889959610241</v>
      </c>
      <c r="E129">
        <f t="shared" si="4"/>
        <v>0.1825889959610241</v>
      </c>
      <c r="G129">
        <f t="shared" ca="1" si="5"/>
        <v>127</v>
      </c>
      <c r="H129">
        <f t="shared" ca="1" si="6"/>
        <v>23.188802487050062</v>
      </c>
      <c r="I129">
        <f t="shared" ca="1" si="7"/>
        <v>326.08269241292368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37422</v>
      </c>
      <c r="B131" s="66">
        <v>37422</v>
      </c>
      <c r="D131">
        <f t="shared" ref="D131:E194" si="8">IFERROR( A131/MAX(A$2:A$257), 0 )</f>
        <v>0.15470476615693715</v>
      </c>
      <c r="E131">
        <f t="shared" si="8"/>
        <v>0.15470476615693715</v>
      </c>
      <c r="G131">
        <f t="shared" ref="G131:G194" ca="1" si="9">CELL("row",D131)-2</f>
        <v>129</v>
      </c>
      <c r="H131">
        <f t="shared" ref="H131:H194" ca="1" si="10">D131*G131</f>
        <v>19.956914834244891</v>
      </c>
      <c r="I131">
        <f t="shared" ref="I131:I194" ca="1" si="11">D131*((G131-$L$1)^2)</f>
        <v>303.05464083894003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32339</v>
      </c>
      <c r="B134" s="66">
        <v>32339</v>
      </c>
      <c r="D134">
        <f t="shared" si="8"/>
        <v>0.13369134286647402</v>
      </c>
      <c r="E134">
        <f t="shared" si="8"/>
        <v>0.13369134286647402</v>
      </c>
      <c r="G134">
        <f t="shared" ca="1" si="9"/>
        <v>132</v>
      </c>
      <c r="H134">
        <f t="shared" ca="1" si="10"/>
        <v>17.647257258374569</v>
      </c>
      <c r="I134">
        <f t="shared" ca="1" si="11"/>
        <v>298.59704129719944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29118</v>
      </c>
      <c r="B136" s="66">
        <v>29118</v>
      </c>
      <c r="D136">
        <f t="shared" si="8"/>
        <v>0.12037553794446305</v>
      </c>
      <c r="E136">
        <f t="shared" si="8"/>
        <v>0.12037553794446305</v>
      </c>
      <c r="G136">
        <f t="shared" ca="1" si="9"/>
        <v>134</v>
      </c>
      <c r="H136">
        <f t="shared" ca="1" si="10"/>
        <v>16.130322084558049</v>
      </c>
      <c r="I136">
        <f t="shared" ca="1" si="11"/>
        <v>292.09360436407457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26344</v>
      </c>
      <c r="B139" s="66">
        <v>26344</v>
      </c>
      <c r="D139">
        <f t="shared" si="8"/>
        <v>0.10890765751799349</v>
      </c>
      <c r="E139">
        <f t="shared" si="8"/>
        <v>0.10890765751799349</v>
      </c>
      <c r="G139">
        <f t="shared" ca="1" si="9"/>
        <v>137</v>
      </c>
      <c r="H139">
        <f t="shared" ca="1" si="10"/>
        <v>14.920349079965108</v>
      </c>
      <c r="I139">
        <f t="shared" ca="1" si="11"/>
        <v>297.4352981108932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29631</v>
      </c>
      <c r="B142" s="66">
        <v>29631</v>
      </c>
      <c r="D142">
        <f t="shared" si="8"/>
        <v>0.12249631035209783</v>
      </c>
      <c r="E142">
        <f t="shared" si="8"/>
        <v>0.12249631035209783</v>
      </c>
      <c r="G142">
        <f t="shared" ca="1" si="9"/>
        <v>140</v>
      </c>
      <c r="H142">
        <f t="shared" ca="1" si="10"/>
        <v>17.149483449293697</v>
      </c>
      <c r="I142">
        <f t="shared" ca="1" si="11"/>
        <v>374.05916886333358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26253</v>
      </c>
      <c r="B144" s="66">
        <v>26253</v>
      </c>
      <c r="D144">
        <f t="shared" si="8"/>
        <v>0.10853145812404658</v>
      </c>
      <c r="E144">
        <f t="shared" si="8"/>
        <v>0.10853145812404658</v>
      </c>
      <c r="G144">
        <f t="shared" ca="1" si="9"/>
        <v>142</v>
      </c>
      <c r="H144">
        <f t="shared" ca="1" si="10"/>
        <v>15.411467053614613</v>
      </c>
      <c r="I144">
        <f t="shared" ca="1" si="11"/>
        <v>355.8393864691019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27368</v>
      </c>
      <c r="B147" s="66">
        <v>27368</v>
      </c>
      <c r="D147">
        <f t="shared" si="8"/>
        <v>0.11314093421471477</v>
      </c>
      <c r="E147">
        <f t="shared" si="8"/>
        <v>0.11314093421471477</v>
      </c>
      <c r="G147">
        <f t="shared" ca="1" si="9"/>
        <v>145</v>
      </c>
      <c r="H147">
        <f t="shared" ca="1" si="10"/>
        <v>16.405435461133642</v>
      </c>
      <c r="I147">
        <f t="shared" ca="1" si="11"/>
        <v>410.84113578950246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26376</v>
      </c>
      <c r="B149" s="66">
        <v>26376</v>
      </c>
      <c r="D149">
        <f t="shared" si="8"/>
        <v>0.10903994741476604</v>
      </c>
      <c r="E149">
        <f t="shared" si="8"/>
        <v>0.10903994741476604</v>
      </c>
      <c r="G149">
        <f t="shared" ca="1" si="9"/>
        <v>147</v>
      </c>
      <c r="H149">
        <f t="shared" ca="1" si="10"/>
        <v>16.028872269970609</v>
      </c>
      <c r="I149">
        <f t="shared" ca="1" si="11"/>
        <v>422.66852050823229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28002</v>
      </c>
      <c r="B152" s="66">
        <v>28002</v>
      </c>
      <c r="D152">
        <f t="shared" si="8"/>
        <v>0.11576192779452071</v>
      </c>
      <c r="E152">
        <f t="shared" si="8"/>
        <v>0.11576192779452071</v>
      </c>
      <c r="G152">
        <f t="shared" ca="1" si="9"/>
        <v>150</v>
      </c>
      <c r="H152">
        <f t="shared" ca="1" si="10"/>
        <v>17.364289169178107</v>
      </c>
      <c r="I152">
        <f t="shared" ca="1" si="11"/>
        <v>493.01043223120814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28301</v>
      </c>
      <c r="B154" s="66">
        <v>28301</v>
      </c>
      <c r="D154">
        <f t="shared" si="8"/>
        <v>0.11699801151748913</v>
      </c>
      <c r="E154">
        <f t="shared" si="8"/>
        <v>0.11699801151748913</v>
      </c>
      <c r="G154">
        <f t="shared" ca="1" si="9"/>
        <v>152</v>
      </c>
      <c r="H154">
        <f t="shared" ca="1" si="10"/>
        <v>17.783697750658348</v>
      </c>
      <c r="I154">
        <f t="shared" ca="1" si="11"/>
        <v>529.28372337947985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22787</v>
      </c>
      <c r="B157" s="66">
        <v>22787</v>
      </c>
      <c r="D157">
        <f t="shared" si="8"/>
        <v>9.4202808679870853E-2</v>
      </c>
      <c r="E157">
        <f t="shared" si="8"/>
        <v>9.4202808679870853E-2</v>
      </c>
      <c r="G157">
        <f t="shared" ca="1" si="9"/>
        <v>155</v>
      </c>
      <c r="H157">
        <f t="shared" ca="1" si="10"/>
        <v>14.601435345379983</v>
      </c>
      <c r="I157">
        <f t="shared" ca="1" si="11"/>
        <v>465.02535316289709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23946</v>
      </c>
      <c r="B160" s="66">
        <v>23946</v>
      </c>
      <c r="D160">
        <f t="shared" si="8"/>
        <v>9.8994183378601289E-2</v>
      </c>
      <c r="E160">
        <f t="shared" si="8"/>
        <v>9.8994183378601289E-2</v>
      </c>
      <c r="G160">
        <f t="shared" ca="1" si="9"/>
        <v>158</v>
      </c>
      <c r="H160">
        <f t="shared" ca="1" si="10"/>
        <v>15.641080973819003</v>
      </c>
      <c r="I160">
        <f t="shared" ca="1" si="11"/>
        <v>531.30039479045331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23398</v>
      </c>
      <c r="B162" s="66">
        <v>23398</v>
      </c>
      <c r="D162">
        <f t="shared" si="8"/>
        <v>9.6728718896371538E-2</v>
      </c>
      <c r="E162">
        <f t="shared" si="8"/>
        <v>9.6728718896371538E-2</v>
      </c>
      <c r="G162">
        <f t="shared" ca="1" si="9"/>
        <v>160</v>
      </c>
      <c r="H162">
        <f t="shared" ca="1" si="10"/>
        <v>15.476595023419446</v>
      </c>
      <c r="I162">
        <f t="shared" ca="1" si="11"/>
        <v>547.87386743298805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24531</v>
      </c>
      <c r="B165" s="66">
        <v>24531</v>
      </c>
      <c r="D165">
        <f t="shared" si="8"/>
        <v>0.10141260805397428</v>
      </c>
      <c r="E165">
        <f t="shared" si="8"/>
        <v>0.10141260805397428</v>
      </c>
      <c r="G165">
        <f t="shared" ca="1" si="9"/>
        <v>163</v>
      </c>
      <c r="H165">
        <f t="shared" ca="1" si="10"/>
        <v>16.530255112797807</v>
      </c>
      <c r="I165">
        <f t="shared" ca="1" si="11"/>
        <v>621.1099499553975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25882</v>
      </c>
      <c r="B167" s="66">
        <v>25882</v>
      </c>
      <c r="D167">
        <f t="shared" si="8"/>
        <v>0.10699772213333995</v>
      </c>
      <c r="E167">
        <f t="shared" si="8"/>
        <v>0.10699772213333995</v>
      </c>
      <c r="G167">
        <f t="shared" ca="1" si="9"/>
        <v>165</v>
      </c>
      <c r="H167">
        <f t="shared" ca="1" si="10"/>
        <v>17.654624152001091</v>
      </c>
      <c r="I167">
        <f t="shared" ca="1" si="11"/>
        <v>689.23888177338256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25566</v>
      </c>
      <c r="B170" s="66">
        <v>25566</v>
      </c>
      <c r="D170">
        <f t="shared" si="8"/>
        <v>0.10569135940271111</v>
      </c>
      <c r="E170">
        <f t="shared" si="8"/>
        <v>0.10569135940271111</v>
      </c>
      <c r="G170">
        <f t="shared" ca="1" si="9"/>
        <v>168</v>
      </c>
      <c r="H170">
        <f t="shared" ca="1" si="10"/>
        <v>17.756148379655468</v>
      </c>
      <c r="I170">
        <f t="shared" ca="1" si="11"/>
        <v>732.67156001227886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24126</v>
      </c>
      <c r="B173" s="66">
        <v>24126</v>
      </c>
      <c r="D173">
        <f t="shared" si="8"/>
        <v>9.9738314047946822E-2</v>
      </c>
      <c r="E173">
        <f t="shared" si="8"/>
        <v>9.9738314047946822E-2</v>
      </c>
      <c r="G173">
        <f t="shared" ca="1" si="9"/>
        <v>171</v>
      </c>
      <c r="H173">
        <f t="shared" ca="1" si="10"/>
        <v>17.055251702198905</v>
      </c>
      <c r="I173">
        <f t="shared" ca="1" si="11"/>
        <v>742.1267232761943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25636</v>
      </c>
      <c r="B175" s="66">
        <v>25636</v>
      </c>
      <c r="D175">
        <f t="shared" si="8"/>
        <v>0.10598074355190104</v>
      </c>
      <c r="E175">
        <f t="shared" si="8"/>
        <v>0.10598074355190104</v>
      </c>
      <c r="G175">
        <f t="shared" ca="1" si="9"/>
        <v>173</v>
      </c>
      <c r="H175">
        <f t="shared" ca="1" si="10"/>
        <v>18.334668634478881</v>
      </c>
      <c r="I175">
        <f t="shared" ca="1" si="11"/>
        <v>825.56640777201403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27728</v>
      </c>
      <c r="B178" s="66">
        <v>27728</v>
      </c>
      <c r="D178">
        <f t="shared" si="8"/>
        <v>0.11462919555340584</v>
      </c>
      <c r="E178">
        <f t="shared" si="8"/>
        <v>0.11462919555340584</v>
      </c>
      <c r="G178">
        <f t="shared" ca="1" si="9"/>
        <v>176</v>
      </c>
      <c r="H178">
        <f t="shared" ca="1" si="10"/>
        <v>20.174738417399428</v>
      </c>
      <c r="I178">
        <f t="shared" ca="1" si="11"/>
        <v>954.67042848772803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27727</v>
      </c>
      <c r="B180" s="66">
        <v>27727</v>
      </c>
      <c r="D180">
        <f t="shared" si="8"/>
        <v>0.11462506149413171</v>
      </c>
      <c r="E180">
        <f t="shared" si="8"/>
        <v>0.11462506149413171</v>
      </c>
      <c r="G180">
        <f t="shared" ca="1" si="9"/>
        <v>178</v>
      </c>
      <c r="H180">
        <f t="shared" ca="1" si="10"/>
        <v>20.403260945955445</v>
      </c>
      <c r="I180">
        <f t="shared" ca="1" si="11"/>
        <v>996.93710112315443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26272</v>
      </c>
      <c r="B183" s="66">
        <v>26272</v>
      </c>
      <c r="D183">
        <f t="shared" si="8"/>
        <v>0.10861000525025528</v>
      </c>
      <c r="E183">
        <f t="shared" si="8"/>
        <v>0.10861000525025528</v>
      </c>
      <c r="G183">
        <f t="shared" ca="1" si="9"/>
        <v>181</v>
      </c>
      <c r="H183">
        <f t="shared" ca="1" si="10"/>
        <v>19.658410950296208</v>
      </c>
      <c r="I183">
        <f t="shared" ca="1" si="11"/>
        <v>1006.3730230837799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19134</v>
      </c>
      <c r="B185" s="66">
        <v>19134</v>
      </c>
      <c r="D185">
        <f t="shared" si="8"/>
        <v>7.9101090151430589E-2</v>
      </c>
      <c r="E185">
        <f t="shared" si="8"/>
        <v>7.9101090151430589E-2</v>
      </c>
      <c r="G185">
        <f t="shared" ca="1" si="9"/>
        <v>183</v>
      </c>
      <c r="H185">
        <f t="shared" ca="1" si="10"/>
        <v>14.475499497711798</v>
      </c>
      <c r="I185">
        <f t="shared" ca="1" si="11"/>
        <v>763.71879348405901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18111</v>
      </c>
      <c r="B188" s="66">
        <v>18111</v>
      </c>
      <c r="D188">
        <f t="shared" si="8"/>
        <v>7.4871947513983461E-2</v>
      </c>
      <c r="E188">
        <f t="shared" si="8"/>
        <v>7.4871947513983461E-2</v>
      </c>
      <c r="G188">
        <f t="shared" ca="1" si="9"/>
        <v>186</v>
      </c>
      <c r="H188">
        <f t="shared" ca="1" si="10"/>
        <v>13.926182237600925</v>
      </c>
      <c r="I188">
        <f t="shared" ca="1" si="11"/>
        <v>767.70176596139356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16487</v>
      </c>
      <c r="B191" s="66">
        <v>16487</v>
      </c>
      <c r="D191">
        <f t="shared" si="8"/>
        <v>6.8158235252777061E-2</v>
      </c>
      <c r="E191">
        <f t="shared" si="8"/>
        <v>6.8158235252777061E-2</v>
      </c>
      <c r="G191">
        <f t="shared" ca="1" si="9"/>
        <v>189</v>
      </c>
      <c r="H191">
        <f t="shared" ca="1" si="10"/>
        <v>12.881906462774865</v>
      </c>
      <c r="I191">
        <f t="shared" ca="1" si="11"/>
        <v>740.88604072092471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10276</v>
      </c>
      <c r="B193" s="66">
        <v>10276</v>
      </c>
      <c r="D193">
        <f t="shared" si="8"/>
        <v>4.2481593101081884E-2</v>
      </c>
      <c r="E193">
        <f t="shared" si="8"/>
        <v>4.2481593101081884E-2</v>
      </c>
      <c r="G193">
        <f t="shared" ca="1" si="9"/>
        <v>191</v>
      </c>
      <c r="H193">
        <f t="shared" ca="1" si="10"/>
        <v>8.1139842823066406</v>
      </c>
      <c r="I193">
        <f t="shared" ca="1" si="11"/>
        <v>479.66507304023878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8510</v>
      </c>
      <c r="B196" s="66">
        <v>8510</v>
      </c>
      <c r="D196">
        <f t="shared" si="12"/>
        <v>3.518084442294734E-2</v>
      </c>
      <c r="E196">
        <f t="shared" si="12"/>
        <v>3.518084442294734E-2</v>
      </c>
      <c r="G196">
        <f t="shared" ca="1" si="13"/>
        <v>194</v>
      </c>
      <c r="H196">
        <f t="shared" ca="1" si="14"/>
        <v>6.8250838180517839</v>
      </c>
      <c r="I196">
        <f t="shared" ca="1" si="15"/>
        <v>419.97785758899471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8256</v>
      </c>
      <c r="B198" s="66">
        <v>8256</v>
      </c>
      <c r="D198">
        <f t="shared" si="12"/>
        <v>3.4130793367315303E-2</v>
      </c>
      <c r="E198">
        <f t="shared" si="12"/>
        <v>3.4130793367315303E-2</v>
      </c>
      <c r="G198">
        <f t="shared" ca="1" si="13"/>
        <v>196</v>
      </c>
      <c r="H198">
        <f t="shared" ca="1" si="14"/>
        <v>6.6896354999937993</v>
      </c>
      <c r="I198">
        <f t="shared" ca="1" si="15"/>
        <v>422.49568462178382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5001</v>
      </c>
      <c r="B201" s="66">
        <v>5001</v>
      </c>
      <c r="D201">
        <f t="shared" si="12"/>
        <v>2.0674430429983504E-2</v>
      </c>
      <c r="E201">
        <f t="shared" si="12"/>
        <v>2.0674430429983504E-2</v>
      </c>
      <c r="G201">
        <f t="shared" ca="1" si="13"/>
        <v>199</v>
      </c>
      <c r="H201">
        <f t="shared" ca="1" si="14"/>
        <v>4.1142116555667174</v>
      </c>
      <c r="I201">
        <f t="shared" ca="1" si="15"/>
        <v>269.91053382386588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3379</v>
      </c>
      <c r="B203" s="66">
        <v>3379</v>
      </c>
      <c r="D203">
        <f t="shared" si="12"/>
        <v>1.3968986287325388E-2</v>
      </c>
      <c r="E203">
        <f t="shared" si="12"/>
        <v>1.3968986287325388E-2</v>
      </c>
      <c r="G203">
        <f t="shared" ca="1" si="13"/>
        <v>201</v>
      </c>
      <c r="H203">
        <f t="shared" ca="1" si="14"/>
        <v>2.8077662437524031</v>
      </c>
      <c r="I203">
        <f t="shared" ca="1" si="15"/>
        <v>188.80931051302656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924</v>
      </c>
      <c r="B206" s="66">
        <v>924</v>
      </c>
      <c r="D206">
        <f t="shared" si="12"/>
        <v>3.8198707693070902E-3</v>
      </c>
      <c r="E206">
        <f t="shared" si="12"/>
        <v>3.8198707693070902E-3</v>
      </c>
      <c r="G206">
        <f t="shared" ca="1" si="13"/>
        <v>204</v>
      </c>
      <c r="H206">
        <f t="shared" ca="1" si="14"/>
        <v>0.77925363693864635</v>
      </c>
      <c r="I206">
        <f t="shared" ca="1" si="15"/>
        <v>54.329563013025982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700</v>
      </c>
      <c r="B209" s="66">
        <v>700</v>
      </c>
      <c r="D209">
        <f t="shared" si="12"/>
        <v>2.8938414918993106E-3</v>
      </c>
      <c r="E209">
        <f t="shared" si="12"/>
        <v>2.8938414918993106E-3</v>
      </c>
      <c r="G209">
        <f t="shared" ca="1" si="13"/>
        <v>207</v>
      </c>
      <c r="H209">
        <f t="shared" ca="1" si="14"/>
        <v>0.59902518882315725</v>
      </c>
      <c r="I209">
        <f t="shared" ca="1" si="15"/>
        <v>43.255516718215858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503</v>
      </c>
      <c r="B211" s="66">
        <v>503</v>
      </c>
      <c r="D211">
        <f t="shared" si="12"/>
        <v>2.0794318148933621E-3</v>
      </c>
      <c r="E211">
        <f t="shared" si="12"/>
        <v>2.0794318148933621E-3</v>
      </c>
      <c r="G211">
        <f t="shared" ca="1" si="13"/>
        <v>209</v>
      </c>
      <c r="H211">
        <f t="shared" ca="1" si="14"/>
        <v>0.43460124931271266</v>
      </c>
      <c r="I211">
        <f t="shared" ca="1" si="15"/>
        <v>32.107419141391681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347</v>
      </c>
      <c r="B1" s="66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73.881852973733658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1.4264731519584706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0.63951585992399007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1488</v>
      </c>
      <c r="B8" s="66">
        <v>1488</v>
      </c>
      <c r="D8">
        <f t="shared" si="0"/>
        <v>1.6694902893558774</v>
      </c>
      <c r="E8">
        <f t="shared" si="1"/>
        <v>1.6694902893558774</v>
      </c>
      <c r="G8">
        <f t="shared" ca="1" si="2"/>
        <v>6</v>
      </c>
      <c r="H8">
        <f t="shared" ca="1" si="3"/>
        <v>10.016941736135264</v>
      </c>
      <c r="I8">
        <f t="shared" ca="1" si="4"/>
        <v>7692.9210393515223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1973</v>
      </c>
      <c r="B10" s="66">
        <v>1973</v>
      </c>
      <c r="D10">
        <f t="shared" si="0"/>
        <v>2.2136453903892113</v>
      </c>
      <c r="E10">
        <f t="shared" si="1"/>
        <v>2.2136453903892113</v>
      </c>
      <c r="G10">
        <f t="shared" ca="1" si="2"/>
        <v>8</v>
      </c>
      <c r="H10">
        <f t="shared" ca="1" si="3"/>
        <v>17.70916312311369</v>
      </c>
      <c r="I10">
        <f t="shared" ca="1" si="4"/>
        <v>9608.1475183402654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4818</v>
      </c>
      <c r="B13" s="66">
        <v>4818</v>
      </c>
      <c r="D13">
        <f t="shared" si="0"/>
        <v>5.4056479933579418</v>
      </c>
      <c r="E13">
        <f t="shared" si="1"/>
        <v>5.4056479933579418</v>
      </c>
      <c r="G13">
        <f t="shared" ca="1" si="2"/>
        <v>11</v>
      </c>
      <c r="H13">
        <f t="shared" ca="1" si="3"/>
        <v>59.462127926937356</v>
      </c>
      <c r="I13">
        <f t="shared" ca="1" si="4"/>
        <v>21374.62102589574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6750</v>
      </c>
      <c r="B15" s="66">
        <v>6750</v>
      </c>
      <c r="D15">
        <f t="shared" si="0"/>
        <v>7.5732926432474281</v>
      </c>
      <c r="E15">
        <f t="shared" si="1"/>
        <v>7.5732926432474281</v>
      </c>
      <c r="G15">
        <f t="shared" ca="1" si="2"/>
        <v>13</v>
      </c>
      <c r="H15">
        <f t="shared" ca="1" si="3"/>
        <v>98.452804362216568</v>
      </c>
      <c r="I15">
        <f t="shared" ca="1" si="4"/>
        <v>28071.166674402746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9762</v>
      </c>
      <c r="B18" s="66">
        <v>9762</v>
      </c>
      <c r="D18">
        <f t="shared" si="0"/>
        <v>10.952664116056502</v>
      </c>
      <c r="E18">
        <f t="shared" si="1"/>
        <v>10.952664116056502</v>
      </c>
      <c r="G18">
        <f t="shared" ca="1" si="2"/>
        <v>16</v>
      </c>
      <c r="H18">
        <f t="shared" ca="1" si="3"/>
        <v>175.24262585690403</v>
      </c>
      <c r="I18">
        <f t="shared" ca="1" si="4"/>
        <v>36694.808106962984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13594</v>
      </c>
      <c r="B21" s="66">
        <v>13594</v>
      </c>
      <c r="D21">
        <f t="shared" si="0"/>
        <v>15.25205039886008</v>
      </c>
      <c r="E21">
        <f t="shared" si="1"/>
        <v>15.25205039886008</v>
      </c>
      <c r="G21">
        <f t="shared" ca="1" si="2"/>
        <v>19</v>
      </c>
      <c r="H21">
        <f t="shared" ca="1" si="3"/>
        <v>289.78895757834152</v>
      </c>
      <c r="I21">
        <f t="shared" ca="1" si="4"/>
        <v>45939.447071750001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17923</v>
      </c>
      <c r="B23" s="66">
        <v>17923</v>
      </c>
      <c r="D23">
        <f t="shared" si="0"/>
        <v>20.109055414062762</v>
      </c>
      <c r="E23">
        <f t="shared" si="1"/>
        <v>20.109055414062762</v>
      </c>
      <c r="G23">
        <f t="shared" ca="1" si="2"/>
        <v>21</v>
      </c>
      <c r="H23">
        <f t="shared" ca="1" si="3"/>
        <v>422.29016369531803</v>
      </c>
      <c r="I23">
        <f t="shared" ca="1" si="4"/>
        <v>56234.779894363739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20769</v>
      </c>
      <c r="B26" s="66">
        <v>20769</v>
      </c>
      <c r="D26">
        <f t="shared" si="0"/>
        <v>23.302179986311973</v>
      </c>
      <c r="E26">
        <f t="shared" si="1"/>
        <v>23.302179986311973</v>
      </c>
      <c r="G26">
        <f t="shared" ca="1" si="2"/>
        <v>24</v>
      </c>
      <c r="H26">
        <f t="shared" ca="1" si="3"/>
        <v>559.25231967148738</v>
      </c>
      <c r="I26">
        <f t="shared" ca="1" si="4"/>
        <v>57980.466907290865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25287</v>
      </c>
      <c r="B28" s="66">
        <v>25287</v>
      </c>
      <c r="D28">
        <f t="shared" si="0"/>
        <v>28.371237195525588</v>
      </c>
      <c r="E28">
        <f t="shared" si="1"/>
        <v>28.371237195525588</v>
      </c>
      <c r="G28">
        <f t="shared" ca="1" si="2"/>
        <v>26</v>
      </c>
      <c r="H28">
        <f t="shared" ca="1" si="3"/>
        <v>737.65216708366529</v>
      </c>
      <c r="I28">
        <f t="shared" ca="1" si="4"/>
        <v>65045.936703251537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28344</v>
      </c>
      <c r="B31" s="66">
        <v>28344</v>
      </c>
      <c r="D31">
        <f t="shared" si="0"/>
        <v>31.80109728595631</v>
      </c>
      <c r="E31">
        <f t="shared" si="1"/>
        <v>31.80109728595631</v>
      </c>
      <c r="G31">
        <f t="shared" ca="1" si="2"/>
        <v>29</v>
      </c>
      <c r="H31">
        <f t="shared" ca="1" si="3"/>
        <v>922.231821292733</v>
      </c>
      <c r="I31">
        <f t="shared" ca="1" si="4"/>
        <v>64059.517449797553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38264</v>
      </c>
      <c r="B33" s="66">
        <v>38264</v>
      </c>
      <c r="D33">
        <f t="shared" si="0"/>
        <v>42.93103254832883</v>
      </c>
      <c r="E33">
        <f t="shared" si="1"/>
        <v>42.93103254832883</v>
      </c>
      <c r="G33">
        <f t="shared" ca="1" si="2"/>
        <v>31</v>
      </c>
      <c r="H33">
        <f t="shared" ca="1" si="3"/>
        <v>1330.8620089981937</v>
      </c>
      <c r="I33">
        <f t="shared" ca="1" si="4"/>
        <v>78943.871494723673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54646</v>
      </c>
      <c r="B36" s="66">
        <v>54646</v>
      </c>
      <c r="D36">
        <f t="shared" si="0"/>
        <v>61.311133301170216</v>
      </c>
      <c r="E36">
        <f t="shared" si="1"/>
        <v>61.311133301170216</v>
      </c>
      <c r="G36">
        <f t="shared" ca="1" si="2"/>
        <v>34</v>
      </c>
      <c r="H36">
        <f t="shared" ca="1" si="3"/>
        <v>2084.5785322397874</v>
      </c>
      <c r="I36">
        <f t="shared" ca="1" si="4"/>
        <v>97519.170860679456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52464</v>
      </c>
      <c r="B39" s="66">
        <v>52464</v>
      </c>
      <c r="D39">
        <f t="shared" si="0"/>
        <v>58.862996331160453</v>
      </c>
      <c r="E39">
        <f t="shared" si="1"/>
        <v>58.862996331160453</v>
      </c>
      <c r="G39">
        <f t="shared" ca="1" si="2"/>
        <v>37</v>
      </c>
      <c r="H39">
        <f t="shared" ca="1" si="3"/>
        <v>2177.9308642529368</v>
      </c>
      <c r="I39">
        <f t="shared" ca="1" si="4"/>
        <v>80069.631519381612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62676</v>
      </c>
      <c r="B41" s="66">
        <v>62676</v>
      </c>
      <c r="D41">
        <f t="shared" si="0"/>
        <v>70.320546623433444</v>
      </c>
      <c r="E41">
        <f t="shared" si="1"/>
        <v>70.320546623433444</v>
      </c>
      <c r="G41">
        <f t="shared" ca="1" si="2"/>
        <v>39</v>
      </c>
      <c r="H41">
        <f t="shared" ca="1" si="3"/>
        <v>2742.5013183139044</v>
      </c>
      <c r="I41">
        <f t="shared" ca="1" si="4"/>
        <v>85562.079755684797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74520</v>
      </c>
      <c r="B44" s="66">
        <v>74520</v>
      </c>
      <c r="D44">
        <f t="shared" si="0"/>
        <v>83.609150781451604</v>
      </c>
      <c r="E44">
        <f t="shared" si="1"/>
        <v>83.609150781451604</v>
      </c>
      <c r="G44">
        <f t="shared" ca="1" si="2"/>
        <v>42</v>
      </c>
      <c r="H44">
        <f t="shared" ca="1" si="3"/>
        <v>3511.5843328209676</v>
      </c>
      <c r="I44">
        <f t="shared" ca="1" si="4"/>
        <v>84984.734434773331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76172</v>
      </c>
      <c r="B46" s="66">
        <v>76172</v>
      </c>
      <c r="D46">
        <f t="shared" si="0"/>
        <v>85.462644032806381</v>
      </c>
      <c r="E46">
        <f t="shared" si="1"/>
        <v>85.462644032806381</v>
      </c>
      <c r="G46">
        <f t="shared" ca="1" si="2"/>
        <v>44</v>
      </c>
      <c r="H46">
        <f t="shared" ca="1" si="3"/>
        <v>3760.3563374434807</v>
      </c>
      <c r="I46">
        <f t="shared" ca="1" si="4"/>
        <v>76311.743143668398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77012</v>
      </c>
      <c r="B49" s="66">
        <v>77012</v>
      </c>
      <c r="D49">
        <f t="shared" si="0"/>
        <v>86.405098228410509</v>
      </c>
      <c r="E49">
        <f t="shared" si="1"/>
        <v>86.405098228410509</v>
      </c>
      <c r="G49">
        <f t="shared" ca="1" si="2"/>
        <v>47</v>
      </c>
      <c r="H49">
        <f t="shared" ca="1" si="3"/>
        <v>4061.0396167352937</v>
      </c>
      <c r="I49">
        <f t="shared" ca="1" si="4"/>
        <v>62439.263420931427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82989</v>
      </c>
      <c r="B51" s="66">
        <v>82989</v>
      </c>
      <c r="D51">
        <f t="shared" si="0"/>
        <v>93.111108617846043</v>
      </c>
      <c r="E51">
        <f t="shared" si="1"/>
        <v>93.111108617846043</v>
      </c>
      <c r="G51">
        <f t="shared" ca="1" si="2"/>
        <v>49</v>
      </c>
      <c r="H51">
        <f t="shared" ca="1" si="3"/>
        <v>4562.4443222744558</v>
      </c>
      <c r="I51">
        <f t="shared" ca="1" si="4"/>
        <v>57645.702568252651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84947</v>
      </c>
      <c r="B54" s="66">
        <v>84947</v>
      </c>
      <c r="D54">
        <f t="shared" si="0"/>
        <v>95.307924469028038</v>
      </c>
      <c r="E54">
        <f t="shared" si="1"/>
        <v>95.307924469028038</v>
      </c>
      <c r="G54">
        <f t="shared" ca="1" si="2"/>
        <v>52</v>
      </c>
      <c r="H54">
        <f t="shared" ca="1" si="3"/>
        <v>4956.0120723894579</v>
      </c>
      <c r="I54">
        <f t="shared" ca="1" si="4"/>
        <v>45634.910513975592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85343</v>
      </c>
      <c r="B57" s="66">
        <v>85343</v>
      </c>
      <c r="D57">
        <f t="shared" si="0"/>
        <v>95.752224304098547</v>
      </c>
      <c r="E57">
        <f t="shared" si="1"/>
        <v>95.752224304098547</v>
      </c>
      <c r="G57">
        <f t="shared" ca="1" si="2"/>
        <v>55</v>
      </c>
      <c r="H57">
        <f t="shared" ca="1" si="3"/>
        <v>5266.3723367254197</v>
      </c>
      <c r="I57">
        <f t="shared" ca="1" si="4"/>
        <v>34138.001610973508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87307</v>
      </c>
      <c r="B59" s="66">
        <v>87307</v>
      </c>
      <c r="D59">
        <f t="shared" si="0"/>
        <v>97.95577197096344</v>
      </c>
      <c r="E59">
        <f t="shared" si="1"/>
        <v>97.95577197096344</v>
      </c>
      <c r="G59">
        <f t="shared" ca="1" si="2"/>
        <v>57</v>
      </c>
      <c r="H59">
        <f t="shared" ca="1" si="3"/>
        <v>5583.4790023449159</v>
      </c>
      <c r="I59">
        <f t="shared" ca="1" si="4"/>
        <v>27917.097209207928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89129</v>
      </c>
      <c r="B62" s="66">
        <v>89129</v>
      </c>
      <c r="D62">
        <f t="shared" si="0"/>
        <v>100</v>
      </c>
      <c r="E62">
        <f t="shared" si="1"/>
        <v>100</v>
      </c>
      <c r="G62">
        <f t="shared" ca="1" si="2"/>
        <v>60</v>
      </c>
      <c r="H62">
        <f t="shared" ca="1" si="3"/>
        <v>6000</v>
      </c>
      <c r="I62">
        <f t="shared" ca="1" si="4"/>
        <v>19270.584198435798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87743</v>
      </c>
      <c r="B64" s="66">
        <v>87743</v>
      </c>
      <c r="D64">
        <f t="shared" si="0"/>
        <v>98.444950577253195</v>
      </c>
      <c r="E64">
        <f t="shared" si="1"/>
        <v>98.444950577253195</v>
      </c>
      <c r="G64">
        <f t="shared" ca="1" si="2"/>
        <v>62</v>
      </c>
      <c r="H64">
        <f t="shared" ca="1" si="3"/>
        <v>6103.5869357896981</v>
      </c>
      <c r="I64">
        <f t="shared" ca="1" si="4"/>
        <v>13898.303572727478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86170</v>
      </c>
      <c r="B67" s="66">
        <v>86170</v>
      </c>
      <c r="D67">
        <f t="shared" ref="D67:D130" si="5">IFERROR( 100*A67/MAX(A$2:A$257), 0 )</f>
        <v>96.680092899056419</v>
      </c>
      <c r="E67">
        <f t="shared" ref="E67:E130" si="6">IFERROR( 100*B67/MAX(B$2:B$257), 0 )</f>
        <v>96.680092899056419</v>
      </c>
      <c r="G67">
        <f t="shared" ref="G67:G130" ca="1" si="7">CELL("row",D67)-2</f>
        <v>65</v>
      </c>
      <c r="H67">
        <f t="shared" ref="H67:H130" ca="1" si="8">D67*G67</f>
        <v>6284.2060384386668</v>
      </c>
      <c r="I67">
        <f t="shared" ref="I67:I130" ca="1" si="9">D67*((G67-$L$1)^2)</f>
        <v>7626.8326765989013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81867</v>
      </c>
      <c r="B69" s="66">
        <v>81867</v>
      </c>
      <c r="D69">
        <f t="shared" si="5"/>
        <v>91.852259085146244</v>
      </c>
      <c r="E69">
        <f t="shared" si="6"/>
        <v>91.852259085146244</v>
      </c>
      <c r="G69">
        <f t="shared" ca="1" si="7"/>
        <v>67</v>
      </c>
      <c r="H69">
        <f t="shared" ca="1" si="8"/>
        <v>6154.1013587047983</v>
      </c>
      <c r="I69">
        <f t="shared" ca="1" si="9"/>
        <v>4350.1138373865842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79311</v>
      </c>
      <c r="B72" s="66">
        <v>79311</v>
      </c>
      <c r="D72">
        <f t="shared" si="5"/>
        <v>88.98450560423656</v>
      </c>
      <c r="E72">
        <f t="shared" si="6"/>
        <v>88.98450560423656</v>
      </c>
      <c r="G72">
        <f t="shared" ca="1" si="7"/>
        <v>70</v>
      </c>
      <c r="H72">
        <f t="shared" ca="1" si="8"/>
        <v>6228.9153922965588</v>
      </c>
      <c r="I72">
        <f t="shared" ca="1" si="9"/>
        <v>1340.8881616820725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85156</v>
      </c>
      <c r="B75" s="66">
        <v>85156</v>
      </c>
      <c r="D75">
        <f t="shared" si="5"/>
        <v>95.54241604864859</v>
      </c>
      <c r="E75">
        <f t="shared" si="6"/>
        <v>95.54241604864859</v>
      </c>
      <c r="G75">
        <f t="shared" ca="1" si="7"/>
        <v>73</v>
      </c>
      <c r="H75">
        <f t="shared" ca="1" si="8"/>
        <v>6974.5963715513471</v>
      </c>
      <c r="I75">
        <f t="shared" ca="1" si="9"/>
        <v>74.299961187876235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81564</v>
      </c>
      <c r="B77" s="66">
        <v>81564</v>
      </c>
      <c r="D77">
        <f t="shared" si="5"/>
        <v>91.512302393160482</v>
      </c>
      <c r="E77">
        <f t="shared" si="6"/>
        <v>91.512302393160482</v>
      </c>
      <c r="G77">
        <f t="shared" ca="1" si="7"/>
        <v>75</v>
      </c>
      <c r="H77">
        <f t="shared" ca="1" si="8"/>
        <v>6863.4226794870365</v>
      </c>
      <c r="I77">
        <f t="shared" ca="1" si="9"/>
        <v>114.41350977102162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80220</v>
      </c>
      <c r="B80" s="66">
        <v>80220</v>
      </c>
      <c r="D80">
        <f t="shared" si="5"/>
        <v>90.004375680193874</v>
      </c>
      <c r="E80">
        <f t="shared" si="6"/>
        <v>90.004375680193874</v>
      </c>
      <c r="G80">
        <f t="shared" ca="1" si="7"/>
        <v>78</v>
      </c>
      <c r="H80">
        <f t="shared" ca="1" si="8"/>
        <v>7020.3413030551219</v>
      </c>
      <c r="I80">
        <f t="shared" ca="1" si="9"/>
        <v>1526.396351445987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81262</v>
      </c>
      <c r="B82" s="66">
        <v>81262</v>
      </c>
      <c r="D82">
        <f t="shared" si="5"/>
        <v>91.173467670455182</v>
      </c>
      <c r="E82">
        <f t="shared" si="6"/>
        <v>91.173467670455182</v>
      </c>
      <c r="G82">
        <f t="shared" ca="1" si="7"/>
        <v>80</v>
      </c>
      <c r="H82">
        <f t="shared" ca="1" si="8"/>
        <v>7293.8774136364145</v>
      </c>
      <c r="I82">
        <f t="shared" ca="1" si="9"/>
        <v>3412.7799899820707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84787</v>
      </c>
      <c r="B85" s="66">
        <v>84787</v>
      </c>
      <c r="D85">
        <f t="shared" si="5"/>
        <v>95.128409384151055</v>
      </c>
      <c r="E85">
        <f t="shared" si="6"/>
        <v>95.128409384151055</v>
      </c>
      <c r="G85">
        <f t="shared" ca="1" si="7"/>
        <v>83</v>
      </c>
      <c r="H85">
        <f t="shared" ca="1" si="8"/>
        <v>7895.6579788845374</v>
      </c>
      <c r="I85">
        <f t="shared" ca="1" si="9"/>
        <v>7909.033527208654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82355</v>
      </c>
      <c r="B88" s="66">
        <v>82355</v>
      </c>
      <c r="D88">
        <f t="shared" si="5"/>
        <v>92.399780094021025</v>
      </c>
      <c r="E88">
        <f t="shared" si="6"/>
        <v>92.399780094021025</v>
      </c>
      <c r="G88">
        <f t="shared" ca="1" si="7"/>
        <v>86</v>
      </c>
      <c r="H88">
        <f t="shared" ca="1" si="8"/>
        <v>7946.3810880858082</v>
      </c>
      <c r="I88">
        <f t="shared" ca="1" si="9"/>
        <v>13568.860338078923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78178</v>
      </c>
      <c r="B90" s="66">
        <v>78178</v>
      </c>
      <c r="D90">
        <f t="shared" si="5"/>
        <v>87.713314409451471</v>
      </c>
      <c r="E90">
        <f t="shared" si="6"/>
        <v>87.713314409451471</v>
      </c>
      <c r="G90">
        <f t="shared" ca="1" si="7"/>
        <v>88</v>
      </c>
      <c r="H90">
        <f t="shared" ca="1" si="8"/>
        <v>7718.7716680317299</v>
      </c>
      <c r="I90">
        <f t="shared" ca="1" si="9"/>
        <v>17483.199873152786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74362</v>
      </c>
      <c r="B93" s="66">
        <v>74362</v>
      </c>
      <c r="D93">
        <f t="shared" si="5"/>
        <v>83.431879635135587</v>
      </c>
      <c r="E93">
        <f t="shared" si="6"/>
        <v>83.431879635135587</v>
      </c>
      <c r="G93">
        <f t="shared" ca="1" si="7"/>
        <v>91</v>
      </c>
      <c r="H93">
        <f t="shared" ca="1" si="8"/>
        <v>7592.3010467973381</v>
      </c>
      <c r="I93">
        <f t="shared" ca="1" si="9"/>
        <v>24448.123584925594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66827</v>
      </c>
      <c r="B95" s="66">
        <v>66827</v>
      </c>
      <c r="D95">
        <f t="shared" si="5"/>
        <v>74.9778411067105</v>
      </c>
      <c r="E95">
        <f t="shared" si="6"/>
        <v>74.9778411067105</v>
      </c>
      <c r="G95">
        <f t="shared" ca="1" si="7"/>
        <v>93</v>
      </c>
      <c r="H95">
        <f t="shared" ca="1" si="8"/>
        <v>6972.9392229240766</v>
      </c>
      <c r="I95">
        <f t="shared" ca="1" si="9"/>
        <v>27404.666774778747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55630</v>
      </c>
      <c r="B98" s="66">
        <v>55630</v>
      </c>
      <c r="D98">
        <f t="shared" si="5"/>
        <v>62.415151073163614</v>
      </c>
      <c r="E98">
        <f t="shared" si="6"/>
        <v>62.415151073163614</v>
      </c>
      <c r="G98">
        <f t="shared" ca="1" si="7"/>
        <v>96</v>
      </c>
      <c r="H98">
        <f t="shared" ca="1" si="8"/>
        <v>5991.8545030237074</v>
      </c>
      <c r="I98">
        <f t="shared" ca="1" si="9"/>
        <v>30534.267592720655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48323</v>
      </c>
      <c r="B100" s="66">
        <v>48323</v>
      </c>
      <c r="D100">
        <f t="shared" si="5"/>
        <v>54.216921540688219</v>
      </c>
      <c r="E100">
        <f t="shared" si="6"/>
        <v>54.216921540688219</v>
      </c>
      <c r="G100">
        <f t="shared" ca="1" si="7"/>
        <v>98</v>
      </c>
      <c r="H100">
        <f t="shared" ca="1" si="8"/>
        <v>5313.2583109874458</v>
      </c>
      <c r="I100">
        <f t="shared" ca="1" si="9"/>
        <v>31537.170872814164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42874</v>
      </c>
      <c r="B103" s="66">
        <v>42874</v>
      </c>
      <c r="D103">
        <f t="shared" si="5"/>
        <v>48.103310931346698</v>
      </c>
      <c r="E103">
        <f t="shared" si="6"/>
        <v>48.103310931346698</v>
      </c>
      <c r="G103">
        <f t="shared" ca="1" si="7"/>
        <v>101</v>
      </c>
      <c r="H103">
        <f t="shared" ca="1" si="8"/>
        <v>4858.4344040660162</v>
      </c>
      <c r="I103">
        <f t="shared" ca="1" si="9"/>
        <v>35374.881339156847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34799</v>
      </c>
      <c r="B106" s="66">
        <v>34799</v>
      </c>
      <c r="D106">
        <f t="shared" si="5"/>
        <v>39.043408991461817</v>
      </c>
      <c r="E106">
        <f t="shared" si="6"/>
        <v>39.043408991461817</v>
      </c>
      <c r="G106">
        <f t="shared" ca="1" si="7"/>
        <v>104</v>
      </c>
      <c r="H106">
        <f t="shared" ca="1" si="8"/>
        <v>4060.5145351120291</v>
      </c>
      <c r="I106">
        <f t="shared" ca="1" si="9"/>
        <v>35416.384848380898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29225</v>
      </c>
      <c r="B108" s="66">
        <v>29225</v>
      </c>
      <c r="D108">
        <f t="shared" si="5"/>
        <v>32.789552222060159</v>
      </c>
      <c r="E108">
        <f t="shared" si="6"/>
        <v>32.789552222060159</v>
      </c>
      <c r="G108">
        <f t="shared" ca="1" si="7"/>
        <v>106</v>
      </c>
      <c r="H108">
        <f t="shared" ca="1" si="8"/>
        <v>3475.6925355383769</v>
      </c>
      <c r="I108">
        <f t="shared" ca="1" si="9"/>
        <v>33824.894413170994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23070</v>
      </c>
      <c r="B111" s="66">
        <v>23070</v>
      </c>
      <c r="D111">
        <f t="shared" si="5"/>
        <v>25.883831300698986</v>
      </c>
      <c r="E111">
        <f t="shared" si="6"/>
        <v>25.883831300698986</v>
      </c>
      <c r="G111">
        <f t="shared" ca="1" si="7"/>
        <v>109</v>
      </c>
      <c r="H111">
        <f t="shared" ca="1" si="8"/>
        <v>2821.3376117761895</v>
      </c>
      <c r="I111">
        <f t="shared" ca="1" si="9"/>
        <v>31922.121487264143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18020</v>
      </c>
      <c r="B113" s="66">
        <v>18020</v>
      </c>
      <c r="D113">
        <f t="shared" si="5"/>
        <v>20.217886434269431</v>
      </c>
      <c r="E113">
        <f t="shared" si="6"/>
        <v>20.217886434269431</v>
      </c>
      <c r="G113">
        <f t="shared" ca="1" si="7"/>
        <v>111</v>
      </c>
      <c r="H113">
        <f t="shared" ca="1" si="8"/>
        <v>2244.185394203907</v>
      </c>
      <c r="I113">
        <f t="shared" ca="1" si="9"/>
        <v>27855.331298137215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16190</v>
      </c>
      <c r="B116" s="66">
        <v>16190</v>
      </c>
      <c r="D116">
        <f t="shared" si="5"/>
        <v>18.164682650989015</v>
      </c>
      <c r="E116">
        <f t="shared" si="6"/>
        <v>18.164682650989015</v>
      </c>
      <c r="G116">
        <f t="shared" ca="1" si="7"/>
        <v>114</v>
      </c>
      <c r="H116">
        <f t="shared" ca="1" si="8"/>
        <v>2070.7738222127477</v>
      </c>
      <c r="I116">
        <f t="shared" ca="1" si="9"/>
        <v>29235.43405636098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14287</v>
      </c>
      <c r="B118" s="66">
        <v>14287</v>
      </c>
      <c r="D118">
        <f t="shared" si="5"/>
        <v>16.02957511023348</v>
      </c>
      <c r="E118">
        <f t="shared" si="6"/>
        <v>16.02957511023348</v>
      </c>
      <c r="G118">
        <f t="shared" ca="1" si="7"/>
        <v>116</v>
      </c>
      <c r="H118">
        <f t="shared" ca="1" si="8"/>
        <v>1859.4307127870838</v>
      </c>
      <c r="I118">
        <f t="shared" ca="1" si="9"/>
        <v>28435.477363852897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13987</v>
      </c>
      <c r="B121" s="66">
        <v>13987</v>
      </c>
      <c r="D121">
        <f t="shared" si="5"/>
        <v>15.692984326089151</v>
      </c>
      <c r="E121">
        <f t="shared" si="6"/>
        <v>15.692984326089151</v>
      </c>
      <c r="G121">
        <f t="shared" ca="1" si="7"/>
        <v>119</v>
      </c>
      <c r="H121">
        <f t="shared" ca="1" si="8"/>
        <v>1867.4651348046091</v>
      </c>
      <c r="I121">
        <f t="shared" ca="1" si="9"/>
        <v>31945.379463125268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11158</v>
      </c>
      <c r="B124" s="66">
        <v>11158</v>
      </c>
      <c r="D124">
        <f t="shared" si="5"/>
        <v>12.518933231608118</v>
      </c>
      <c r="E124">
        <f t="shared" si="6"/>
        <v>12.518933231608118</v>
      </c>
      <c r="G124">
        <f t="shared" ca="1" si="7"/>
        <v>122</v>
      </c>
      <c r="H124">
        <f t="shared" ca="1" si="8"/>
        <v>1527.3098542561904</v>
      </c>
      <c r="I124">
        <f t="shared" ca="1" si="9"/>
        <v>28985.788088307247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10623</v>
      </c>
      <c r="B126" s="66">
        <v>10623</v>
      </c>
      <c r="D126">
        <f t="shared" si="5"/>
        <v>11.91867966655073</v>
      </c>
      <c r="E126">
        <f t="shared" si="6"/>
        <v>11.91867966655073</v>
      </c>
      <c r="G126">
        <f t="shared" ca="1" si="7"/>
        <v>124</v>
      </c>
      <c r="H126">
        <f t="shared" ca="1" si="8"/>
        <v>1477.9162786522907</v>
      </c>
      <c r="I126">
        <f t="shared" ca="1" si="9"/>
        <v>29937.681191849271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10434</v>
      </c>
      <c r="B129" s="66">
        <v>10434</v>
      </c>
      <c r="D129">
        <f t="shared" si="5"/>
        <v>11.706627472539802</v>
      </c>
      <c r="E129">
        <f t="shared" si="6"/>
        <v>11.706627472539802</v>
      </c>
      <c r="G129">
        <f t="shared" ca="1" si="7"/>
        <v>127</v>
      </c>
      <c r="H129">
        <f t="shared" ca="1" si="8"/>
        <v>1486.7416890125548</v>
      </c>
      <c r="I129">
        <f t="shared" ca="1" si="9"/>
        <v>33030.688921586952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8261</v>
      </c>
      <c r="B131" s="66">
        <v>8261</v>
      </c>
      <c r="D131">
        <f t="shared" ref="D131:D194" si="10">IFERROR( 100*A131/MAX(A$2:A$257), 0 )</f>
        <v>9.268588226054371</v>
      </c>
      <c r="E131">
        <f t="shared" ref="E131:E194" si="11">IFERROR( 100*B131/MAX(B$2:B$257), 0 )</f>
        <v>9.268588226054371</v>
      </c>
      <c r="G131">
        <f t="shared" ref="G131:G194" ca="1" si="12">CELL("row",D131)-2</f>
        <v>129</v>
      </c>
      <c r="H131">
        <f t="shared" ref="H131:H194" ca="1" si="13">D131*G131</f>
        <v>1195.6478811610139</v>
      </c>
      <c r="I131">
        <f t="shared" ref="I131:I194" ca="1" si="14">D131*((G131-$L$1)^2)</f>
        <v>28158.064936466115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8641</v>
      </c>
      <c r="B134" s="66">
        <v>8641</v>
      </c>
      <c r="D134">
        <f t="shared" si="10"/>
        <v>9.6949365526371896</v>
      </c>
      <c r="E134">
        <f t="shared" si="11"/>
        <v>9.6949365526371896</v>
      </c>
      <c r="G134">
        <f t="shared" ca="1" si="12"/>
        <v>132</v>
      </c>
      <c r="H134">
        <f t="shared" ca="1" si="13"/>
        <v>1279.7316249481091</v>
      </c>
      <c r="I134">
        <f t="shared" ca="1" si="14"/>
        <v>32746.771531104529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7571</v>
      </c>
      <c r="B136" s="66">
        <v>7571</v>
      </c>
      <c r="D136">
        <f t="shared" si="10"/>
        <v>8.494429422522412</v>
      </c>
      <c r="E136">
        <f t="shared" si="11"/>
        <v>8.494429422522412</v>
      </c>
      <c r="G136">
        <f t="shared" ca="1" si="12"/>
        <v>134</v>
      </c>
      <c r="H136">
        <f t="shared" ca="1" si="13"/>
        <v>1138.2535426180032</v>
      </c>
      <c r="I136">
        <f t="shared" ca="1" si="14"/>
        <v>30700.495481573027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5976</v>
      </c>
      <c r="B139" s="66">
        <v>5976</v>
      </c>
      <c r="D139">
        <f t="shared" si="10"/>
        <v>6.704888420155056</v>
      </c>
      <c r="E139">
        <f t="shared" si="11"/>
        <v>6.704888420155056</v>
      </c>
      <c r="G139">
        <f t="shared" ca="1" si="12"/>
        <v>137</v>
      </c>
      <c r="H139">
        <f t="shared" ca="1" si="13"/>
        <v>918.56971356124268</v>
      </c>
      <c r="I139">
        <f t="shared" ca="1" si="14"/>
        <v>26711.608222418676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8759</v>
      </c>
      <c r="B142" s="66">
        <v>8759</v>
      </c>
      <c r="D142">
        <f t="shared" si="10"/>
        <v>9.8273289277339586</v>
      </c>
      <c r="E142">
        <f t="shared" si="11"/>
        <v>9.8273289277339586</v>
      </c>
      <c r="G142">
        <f t="shared" ca="1" si="12"/>
        <v>140</v>
      </c>
      <c r="H142">
        <f t="shared" ca="1" si="13"/>
        <v>1375.8260498827542</v>
      </c>
      <c r="I142">
        <f t="shared" ca="1" si="14"/>
        <v>42961.243185081956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9129</v>
      </c>
      <c r="B144" s="66">
        <v>9129</v>
      </c>
      <c r="D144">
        <f t="shared" si="10"/>
        <v>10.242457561511966</v>
      </c>
      <c r="E144">
        <f t="shared" si="11"/>
        <v>10.242457561511966</v>
      </c>
      <c r="G144">
        <f t="shared" ca="1" si="12"/>
        <v>142</v>
      </c>
      <c r="H144">
        <f t="shared" ca="1" si="13"/>
        <v>1454.4289737346992</v>
      </c>
      <c r="I144">
        <f t="shared" ca="1" si="14"/>
        <v>47525.842498773702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9032</v>
      </c>
      <c r="B147" s="66">
        <v>9032</v>
      </c>
      <c r="D147">
        <f t="shared" si="10"/>
        <v>10.133626541305299</v>
      </c>
      <c r="E147">
        <f t="shared" si="11"/>
        <v>10.133626541305299</v>
      </c>
      <c r="G147">
        <f t="shared" ca="1" si="12"/>
        <v>145</v>
      </c>
      <c r="H147">
        <f t="shared" ca="1" si="13"/>
        <v>1469.3758484892683</v>
      </c>
      <c r="I147">
        <f t="shared" ca="1" si="14"/>
        <v>51253.763460616763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8989</v>
      </c>
      <c r="B149" s="66">
        <v>8989</v>
      </c>
      <c r="D149">
        <f t="shared" si="10"/>
        <v>10.085381862244612</v>
      </c>
      <c r="E149">
        <f t="shared" si="11"/>
        <v>10.085381862244612</v>
      </c>
      <c r="G149">
        <f t="shared" ca="1" si="12"/>
        <v>147</v>
      </c>
      <c r="H149">
        <f t="shared" ca="1" si="13"/>
        <v>1482.5511337499579</v>
      </c>
      <c r="I149">
        <f t="shared" ca="1" si="14"/>
        <v>53919.108172785753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13002</v>
      </c>
      <c r="B152" s="66">
        <v>13002</v>
      </c>
      <c r="D152">
        <f t="shared" si="10"/>
        <v>14.587844584815267</v>
      </c>
      <c r="E152">
        <f t="shared" si="11"/>
        <v>14.587844584815267</v>
      </c>
      <c r="G152">
        <f t="shared" ca="1" si="12"/>
        <v>150</v>
      </c>
      <c r="H152">
        <f t="shared" ca="1" si="13"/>
        <v>2188.1766877222899</v>
      </c>
      <c r="I152">
        <f t="shared" ca="1" si="14"/>
        <v>84521.567539042633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11437</v>
      </c>
      <c r="B154" s="66">
        <v>11437</v>
      </c>
      <c r="D154">
        <f t="shared" si="10"/>
        <v>12.831962660862345</v>
      </c>
      <c r="E154">
        <f t="shared" si="11"/>
        <v>12.831962660862345</v>
      </c>
      <c r="G154">
        <f t="shared" ca="1" si="12"/>
        <v>152</v>
      </c>
      <c r="H154">
        <f t="shared" ca="1" si="13"/>
        <v>1950.4583244510764</v>
      </c>
      <c r="I154">
        <f t="shared" ca="1" si="14"/>
        <v>78306.345030266471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9835</v>
      </c>
      <c r="B157" s="66">
        <v>9835</v>
      </c>
      <c r="D157">
        <f t="shared" si="10"/>
        <v>11.034567873531623</v>
      </c>
      <c r="E157">
        <f t="shared" si="11"/>
        <v>11.034567873531623</v>
      </c>
      <c r="G157">
        <f t="shared" ca="1" si="12"/>
        <v>155</v>
      </c>
      <c r="H157">
        <f t="shared" ca="1" si="13"/>
        <v>1710.3580203974016</v>
      </c>
      <c r="I157">
        <f t="shared" ca="1" si="14"/>
        <v>72609.153470305697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9061</v>
      </c>
      <c r="B160" s="66">
        <v>9061</v>
      </c>
      <c r="D160">
        <f t="shared" si="10"/>
        <v>10.166163650439252</v>
      </c>
      <c r="E160">
        <f t="shared" si="11"/>
        <v>10.166163650439252</v>
      </c>
      <c r="G160">
        <f t="shared" ca="1" si="12"/>
        <v>158</v>
      </c>
      <c r="H160">
        <f t="shared" ca="1" si="13"/>
        <v>1606.2538567694019</v>
      </c>
      <c r="I160">
        <f t="shared" ca="1" si="14"/>
        <v>71934.377760773874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7735</v>
      </c>
      <c r="B162" s="66">
        <v>7735</v>
      </c>
      <c r="D162">
        <f t="shared" si="10"/>
        <v>8.6784323845213116</v>
      </c>
      <c r="E162">
        <f t="shared" si="11"/>
        <v>8.6784323845213116</v>
      </c>
      <c r="G162">
        <f t="shared" ca="1" si="12"/>
        <v>160</v>
      </c>
      <c r="H162">
        <f t="shared" ca="1" si="13"/>
        <v>1388.54918152341</v>
      </c>
      <c r="I162">
        <f t="shared" ca="1" si="14"/>
        <v>64362.163984093888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9837</v>
      </c>
      <c r="B165" s="66">
        <v>9837</v>
      </c>
      <c r="D165">
        <f t="shared" si="10"/>
        <v>11.036811812092585</v>
      </c>
      <c r="E165">
        <f t="shared" si="11"/>
        <v>11.036811812092585</v>
      </c>
      <c r="G165">
        <f t="shared" ca="1" si="12"/>
        <v>163</v>
      </c>
      <c r="H165">
        <f t="shared" ca="1" si="13"/>
        <v>1799.0003253710913</v>
      </c>
      <c r="I165">
        <f t="shared" ca="1" si="14"/>
        <v>87654.846459469787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9597</v>
      </c>
      <c r="B167" s="66">
        <v>9597</v>
      </c>
      <c r="D167">
        <f t="shared" si="10"/>
        <v>10.767539184777121</v>
      </c>
      <c r="E167">
        <f t="shared" si="11"/>
        <v>10.767539184777121</v>
      </c>
      <c r="G167">
        <f t="shared" ca="1" si="12"/>
        <v>165</v>
      </c>
      <c r="H167">
        <f t="shared" ca="1" si="13"/>
        <v>1776.6439654882249</v>
      </c>
      <c r="I167">
        <f t="shared" ca="1" si="14"/>
        <v>89397.674087951484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9190</v>
      </c>
      <c r="B170" s="66">
        <v>9190</v>
      </c>
      <c r="D170">
        <f t="shared" si="10"/>
        <v>10.310897687621313</v>
      </c>
      <c r="E170">
        <f t="shared" si="11"/>
        <v>10.310897687621313</v>
      </c>
      <c r="G170">
        <f t="shared" ca="1" si="12"/>
        <v>168</v>
      </c>
      <c r="H170">
        <f t="shared" ca="1" si="13"/>
        <v>1732.2308115203807</v>
      </c>
      <c r="I170">
        <f t="shared" ca="1" si="14"/>
        <v>91336.257851940434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8037</v>
      </c>
      <c r="B173" s="66">
        <v>8037</v>
      </c>
      <c r="D173">
        <f t="shared" si="10"/>
        <v>9.0172671072266048</v>
      </c>
      <c r="E173">
        <f t="shared" si="11"/>
        <v>9.0172671072266048</v>
      </c>
      <c r="G173">
        <f t="shared" ca="1" si="12"/>
        <v>171</v>
      </c>
      <c r="H173">
        <f t="shared" ca="1" si="13"/>
        <v>1541.9526753357495</v>
      </c>
      <c r="I173">
        <f t="shared" ca="1" si="14"/>
        <v>85050.272560391197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6414</v>
      </c>
      <c r="B175" s="66">
        <v>6414</v>
      </c>
      <c r="D175">
        <f t="shared" si="10"/>
        <v>7.1963109650057779</v>
      </c>
      <c r="E175">
        <f t="shared" si="11"/>
        <v>7.1963109650057779</v>
      </c>
      <c r="G175">
        <f t="shared" ca="1" si="12"/>
        <v>173</v>
      </c>
      <c r="H175">
        <f t="shared" ca="1" si="13"/>
        <v>1244.9617969459996</v>
      </c>
      <c r="I175">
        <f t="shared" ca="1" si="14"/>
        <v>70699.488321949553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6748</v>
      </c>
      <c r="B178" s="66">
        <v>6748</v>
      </c>
      <c r="D178">
        <f t="shared" si="10"/>
        <v>7.5710487046864658</v>
      </c>
      <c r="E178">
        <f t="shared" si="11"/>
        <v>7.5710487046864658</v>
      </c>
      <c r="G178">
        <f t="shared" ca="1" si="12"/>
        <v>176</v>
      </c>
      <c r="H178">
        <f t="shared" ca="1" si="13"/>
        <v>1332.5045720248179</v>
      </c>
      <c r="I178">
        <f t="shared" ca="1" si="14"/>
        <v>78951.773771301538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6903</v>
      </c>
      <c r="B180" s="66">
        <v>6903</v>
      </c>
      <c r="D180">
        <f t="shared" si="10"/>
        <v>7.7449539431610361</v>
      </c>
      <c r="E180">
        <f t="shared" si="11"/>
        <v>7.7449539431610361</v>
      </c>
      <c r="G180">
        <f t="shared" ca="1" si="12"/>
        <v>178</v>
      </c>
      <c r="H180">
        <f t="shared" ca="1" si="13"/>
        <v>1378.6018018826644</v>
      </c>
      <c r="I180">
        <f t="shared" ca="1" si="14"/>
        <v>83959.858960478334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4797</v>
      </c>
      <c r="B183" s="66">
        <v>4797</v>
      </c>
      <c r="D183">
        <f t="shared" si="10"/>
        <v>5.3820866384678387</v>
      </c>
      <c r="E183">
        <f t="shared" si="11"/>
        <v>5.3820866384678387</v>
      </c>
      <c r="G183">
        <f t="shared" ca="1" si="12"/>
        <v>181</v>
      </c>
      <c r="H183">
        <f t="shared" ca="1" si="13"/>
        <v>974.15768156267882</v>
      </c>
      <c r="I183">
        <f t="shared" ca="1" si="14"/>
        <v>61755.662842586455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3835</v>
      </c>
      <c r="B185" s="66">
        <v>3835</v>
      </c>
      <c r="D185">
        <f t="shared" si="10"/>
        <v>4.3027521906450206</v>
      </c>
      <c r="E185">
        <f t="shared" si="11"/>
        <v>4.3027521906450206</v>
      </c>
      <c r="G185">
        <f t="shared" ca="1" si="12"/>
        <v>183</v>
      </c>
      <c r="H185">
        <f t="shared" ca="1" si="13"/>
        <v>787.40365088803878</v>
      </c>
      <c r="I185">
        <f t="shared" ca="1" si="14"/>
        <v>51231.88074595244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2648</v>
      </c>
      <c r="B188" s="66">
        <v>2648</v>
      </c>
      <c r="D188">
        <f t="shared" si="10"/>
        <v>2.9709746547139537</v>
      </c>
      <c r="E188">
        <f t="shared" si="11"/>
        <v>2.9709746547139537</v>
      </c>
      <c r="G188">
        <f t="shared" ca="1" si="12"/>
        <v>186</v>
      </c>
      <c r="H188">
        <f t="shared" ca="1" si="13"/>
        <v>552.60128577679541</v>
      </c>
      <c r="I188">
        <f t="shared" ca="1" si="14"/>
        <v>37346.574187541657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1905</v>
      </c>
      <c r="B191" s="66">
        <v>1905</v>
      </c>
      <c r="D191">
        <f t="shared" si="10"/>
        <v>2.1373514793164965</v>
      </c>
      <c r="E191">
        <f t="shared" si="11"/>
        <v>2.1373514793164965</v>
      </c>
      <c r="G191">
        <f t="shared" ca="1" si="12"/>
        <v>189</v>
      </c>
      <c r="H191">
        <f t="shared" ca="1" si="13"/>
        <v>403.95942959081782</v>
      </c>
      <c r="I191">
        <f t="shared" ca="1" si="14"/>
        <v>28324.583144565571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884</v>
      </c>
      <c r="B193" s="66">
        <v>884</v>
      </c>
      <c r="D193">
        <f t="shared" si="10"/>
        <v>0.9918208439452928</v>
      </c>
      <c r="E193">
        <f t="shared" si="11"/>
        <v>0.9918208439452928</v>
      </c>
      <c r="G193">
        <f t="shared" ca="1" si="12"/>
        <v>191</v>
      </c>
      <c r="H193">
        <f t="shared" ca="1" si="13"/>
        <v>189.43778119355093</v>
      </c>
      <c r="I193">
        <f t="shared" ca="1" si="14"/>
        <v>13604.469657208841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602</v>
      </c>
      <c r="B196" s="66">
        <v>602</v>
      </c>
      <c r="D196">
        <f t="shared" si="15"/>
        <v>0.67542550684962244</v>
      </c>
      <c r="E196">
        <f t="shared" si="16"/>
        <v>0.67542550684962244</v>
      </c>
      <c r="G196">
        <f t="shared" ca="1" si="17"/>
        <v>194</v>
      </c>
      <c r="H196">
        <f t="shared" ca="1" si="18"/>
        <v>131.03254832882675</v>
      </c>
      <c r="I196">
        <f t="shared" ca="1" si="19"/>
        <v>9745.2886103336623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156</v>
      </c>
      <c r="B198" s="66">
        <v>156</v>
      </c>
      <c r="D198">
        <f t="shared" si="15"/>
        <v>0.17502720775505168</v>
      </c>
      <c r="E198">
        <f t="shared" si="16"/>
        <v>0.17502720775505168</v>
      </c>
      <c r="G198">
        <f t="shared" ca="1" si="17"/>
        <v>196</v>
      </c>
      <c r="H198">
        <f t="shared" ca="1" si="18"/>
        <v>34.305332719990126</v>
      </c>
      <c r="I198">
        <f t="shared" ca="1" si="19"/>
        <v>2610.1530657452608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156</v>
      </c>
      <c r="B201" s="66">
        <v>156</v>
      </c>
      <c r="D201">
        <f t="shared" si="15"/>
        <v>0.17502720775505168</v>
      </c>
      <c r="E201">
        <f t="shared" si="16"/>
        <v>0.17502720775505168</v>
      </c>
      <c r="G201">
        <f t="shared" ca="1" si="17"/>
        <v>199</v>
      </c>
      <c r="H201">
        <f t="shared" ca="1" si="18"/>
        <v>34.830414343255285</v>
      </c>
      <c r="I201">
        <f t="shared" ca="1" si="19"/>
        <v>2739.9723003564259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78</v>
      </c>
      <c r="B203" s="66">
        <v>78</v>
      </c>
      <c r="D203">
        <f t="shared" si="15"/>
        <v>8.7513603877525839E-2</v>
      </c>
      <c r="E203">
        <f t="shared" si="16"/>
        <v>8.7513603877525839E-2</v>
      </c>
      <c r="G203">
        <f t="shared" ca="1" si="17"/>
        <v>201</v>
      </c>
      <c r="H203">
        <f t="shared" ca="1" si="18"/>
        <v>17.590234379382693</v>
      </c>
      <c r="I203">
        <f t="shared" ca="1" si="19"/>
        <v>1414.1343644207097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347</v>
      </c>
      <c r="B1" s="66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91.861042359888927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1.7736061747651009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0.63839733846787017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429</v>
      </c>
      <c r="B8" s="66">
        <v>429</v>
      </c>
      <c r="D8">
        <f t="shared" si="0"/>
        <v>0.26498329184605024</v>
      </c>
      <c r="E8">
        <f t="shared" si="1"/>
        <v>0.26498329184605024</v>
      </c>
      <c r="G8">
        <f t="shared" ca="1" si="2"/>
        <v>6</v>
      </c>
      <c r="H8">
        <f t="shared" ca="1" si="3"/>
        <v>1.5898997510763015</v>
      </c>
      <c r="I8">
        <f t="shared" ca="1" si="4"/>
        <v>1953.4882532161366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379</v>
      </c>
      <c r="B10" s="66">
        <v>379</v>
      </c>
      <c r="D10">
        <f t="shared" si="0"/>
        <v>0.23409945829755957</v>
      </c>
      <c r="E10">
        <f t="shared" si="1"/>
        <v>0.23409945829755957</v>
      </c>
      <c r="G10">
        <f t="shared" ca="1" si="2"/>
        <v>8</v>
      </c>
      <c r="H10">
        <f t="shared" ca="1" si="3"/>
        <v>1.8727956663804766</v>
      </c>
      <c r="I10">
        <f t="shared" ca="1" si="4"/>
        <v>1646.3452734364475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962</v>
      </c>
      <c r="B13" s="66">
        <v>962</v>
      </c>
      <c r="D13">
        <f t="shared" si="0"/>
        <v>0.5942049574729612</v>
      </c>
      <c r="E13">
        <f t="shared" si="1"/>
        <v>0.5942049574729612</v>
      </c>
      <c r="G13">
        <f t="shared" ca="1" si="2"/>
        <v>11</v>
      </c>
      <c r="H13">
        <f t="shared" ca="1" si="3"/>
        <v>6.5362545322025731</v>
      </c>
      <c r="I13">
        <f t="shared" ca="1" si="4"/>
        <v>3885.2139699992567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1080</v>
      </c>
      <c r="B15" s="66">
        <v>1080</v>
      </c>
      <c r="D15">
        <f t="shared" si="0"/>
        <v>0.66709080464739923</v>
      </c>
      <c r="E15">
        <f t="shared" si="1"/>
        <v>0.66709080464739923</v>
      </c>
      <c r="G15">
        <f t="shared" ca="1" si="2"/>
        <v>13</v>
      </c>
      <c r="H15">
        <f t="shared" ca="1" si="3"/>
        <v>8.6721804604161896</v>
      </c>
      <c r="I15">
        <f t="shared" ca="1" si="4"/>
        <v>4148.6804093066894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1256</v>
      </c>
      <c r="B18" s="66">
        <v>1256</v>
      </c>
      <c r="D18">
        <f t="shared" si="0"/>
        <v>0.77580189873808658</v>
      </c>
      <c r="E18">
        <f t="shared" si="1"/>
        <v>0.77580189873808658</v>
      </c>
      <c r="G18">
        <f t="shared" ca="1" si="2"/>
        <v>16</v>
      </c>
      <c r="H18">
        <f t="shared" ca="1" si="3"/>
        <v>12.412830379809385</v>
      </c>
      <c r="I18">
        <f t="shared" ca="1" si="4"/>
        <v>4464.6605998867499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2180</v>
      </c>
      <c r="B21" s="66">
        <v>2180</v>
      </c>
      <c r="D21">
        <f t="shared" si="0"/>
        <v>1.3465351427141947</v>
      </c>
      <c r="E21">
        <f t="shared" si="1"/>
        <v>1.3465351427141947</v>
      </c>
      <c r="G21">
        <f t="shared" ca="1" si="2"/>
        <v>19</v>
      </c>
      <c r="H21">
        <f t="shared" ca="1" si="3"/>
        <v>25.584167711569698</v>
      </c>
      <c r="I21">
        <f t="shared" ca="1" si="4"/>
        <v>7148.3935195942922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3169</v>
      </c>
      <c r="B23" s="66">
        <v>3169</v>
      </c>
      <c r="D23">
        <f t="shared" si="0"/>
        <v>1.9574173703033411</v>
      </c>
      <c r="E23">
        <f t="shared" si="1"/>
        <v>1.9574173703033411</v>
      </c>
      <c r="G23">
        <f t="shared" ca="1" si="2"/>
        <v>21</v>
      </c>
      <c r="H23">
        <f t="shared" ca="1" si="3"/>
        <v>41.105764776370165</v>
      </c>
      <c r="I23">
        <f t="shared" ca="1" si="4"/>
        <v>9828.7550299274753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3427</v>
      </c>
      <c r="B26" s="66">
        <v>3427</v>
      </c>
      <c r="D26">
        <f t="shared" si="0"/>
        <v>2.1167779514135532</v>
      </c>
      <c r="E26">
        <f t="shared" si="1"/>
        <v>2.1167779514135532</v>
      </c>
      <c r="G26">
        <f t="shared" ca="1" si="2"/>
        <v>24</v>
      </c>
      <c r="H26">
        <f t="shared" ca="1" si="3"/>
        <v>50.802670833925276</v>
      </c>
      <c r="I26">
        <f t="shared" ca="1" si="4"/>
        <v>9748.0187449271962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6418</v>
      </c>
      <c r="B28" s="66">
        <v>6418</v>
      </c>
      <c r="D28">
        <f t="shared" si="0"/>
        <v>3.9642488742842672</v>
      </c>
      <c r="E28">
        <f t="shared" si="1"/>
        <v>3.9642488742842672</v>
      </c>
      <c r="G28">
        <f t="shared" ca="1" si="2"/>
        <v>26</v>
      </c>
      <c r="H28">
        <f t="shared" ca="1" si="3"/>
        <v>103.07047073139094</v>
      </c>
      <c r="I28">
        <f t="shared" ca="1" si="4"/>
        <v>17195.630770732067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9697</v>
      </c>
      <c r="B31" s="66">
        <v>9697</v>
      </c>
      <c r="D31">
        <f t="shared" si="0"/>
        <v>5.9896106783942873</v>
      </c>
      <c r="E31">
        <f t="shared" si="1"/>
        <v>5.9896106783942873</v>
      </c>
      <c r="G31">
        <f t="shared" ca="1" si="2"/>
        <v>29</v>
      </c>
      <c r="H31">
        <f t="shared" ca="1" si="3"/>
        <v>173.69870967343434</v>
      </c>
      <c r="I31">
        <f t="shared" ca="1" si="4"/>
        <v>23668.010364494869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10914</v>
      </c>
      <c r="B33" s="66">
        <v>10914</v>
      </c>
      <c r="D33">
        <f t="shared" si="0"/>
        <v>6.7413231869645518</v>
      </c>
      <c r="E33">
        <f t="shared" si="1"/>
        <v>6.7413231869645518</v>
      </c>
      <c r="G33">
        <f t="shared" ca="1" si="2"/>
        <v>31</v>
      </c>
      <c r="H33">
        <f t="shared" ca="1" si="3"/>
        <v>208.98101879590109</v>
      </c>
      <c r="I33">
        <f t="shared" ca="1" si="4"/>
        <v>24970.309228349364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12854</v>
      </c>
      <c r="B36" s="66">
        <v>12854</v>
      </c>
      <c r="D36">
        <f t="shared" si="0"/>
        <v>7.9396159286459911</v>
      </c>
      <c r="E36">
        <f t="shared" si="1"/>
        <v>7.9396159286459911</v>
      </c>
      <c r="G36">
        <f t="shared" ca="1" si="2"/>
        <v>34</v>
      </c>
      <c r="H36">
        <f t="shared" ca="1" si="3"/>
        <v>269.94694157396367</v>
      </c>
      <c r="I36">
        <f t="shared" ca="1" si="4"/>
        <v>26581.04193783279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12193</v>
      </c>
      <c r="B39" s="66">
        <v>12193</v>
      </c>
      <c r="D39">
        <f t="shared" si="0"/>
        <v>7.5313316491349438</v>
      </c>
      <c r="E39">
        <f t="shared" si="1"/>
        <v>7.5313316491349438</v>
      </c>
      <c r="G39">
        <f t="shared" ca="1" si="2"/>
        <v>37</v>
      </c>
      <c r="H39">
        <f t="shared" ca="1" si="3"/>
        <v>278.65927101799292</v>
      </c>
      <c r="I39">
        <f t="shared" ca="1" si="4"/>
        <v>22667.304694801842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17262</v>
      </c>
      <c r="B41" s="66">
        <v>17262</v>
      </c>
      <c r="D41">
        <f t="shared" si="0"/>
        <v>10.662334694280931</v>
      </c>
      <c r="E41">
        <f t="shared" si="1"/>
        <v>10.662334694280931</v>
      </c>
      <c r="G41">
        <f t="shared" ca="1" si="2"/>
        <v>39</v>
      </c>
      <c r="H41">
        <f t="shared" ca="1" si="3"/>
        <v>415.83105307695632</v>
      </c>
      <c r="I41">
        <f t="shared" ca="1" si="4"/>
        <v>29793.653073740399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18245</v>
      </c>
      <c r="B44" s="66">
        <v>18245</v>
      </c>
      <c r="D44">
        <f t="shared" si="0"/>
        <v>11.269510861844259</v>
      </c>
      <c r="E44">
        <f t="shared" si="1"/>
        <v>11.269510861844259</v>
      </c>
      <c r="G44">
        <f t="shared" ca="1" si="2"/>
        <v>42</v>
      </c>
      <c r="H44">
        <f t="shared" ca="1" si="3"/>
        <v>473.31945619745886</v>
      </c>
      <c r="I44">
        <f t="shared" ca="1" si="4"/>
        <v>28017.396296683117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25573</v>
      </c>
      <c r="B46" s="66">
        <v>25573</v>
      </c>
      <c r="D46">
        <f t="shared" si="0"/>
        <v>15.795845506711057</v>
      </c>
      <c r="E46">
        <f t="shared" si="1"/>
        <v>15.795845506711057</v>
      </c>
      <c r="G46">
        <f t="shared" ca="1" si="2"/>
        <v>44</v>
      </c>
      <c r="H46">
        <f t="shared" ca="1" si="3"/>
        <v>695.01720229528655</v>
      </c>
      <c r="I46">
        <f t="shared" ca="1" si="4"/>
        <v>36183.217525152519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34148</v>
      </c>
      <c r="B49" s="66">
        <v>34148</v>
      </c>
      <c r="D49">
        <f t="shared" si="0"/>
        <v>21.092422960277212</v>
      </c>
      <c r="E49">
        <f t="shared" si="1"/>
        <v>21.092422960277212</v>
      </c>
      <c r="G49">
        <f t="shared" ca="1" si="2"/>
        <v>47</v>
      </c>
      <c r="H49">
        <f t="shared" ca="1" si="3"/>
        <v>991.34387913302896</v>
      </c>
      <c r="I49">
        <f t="shared" ca="1" si="4"/>
        <v>42448.777974227181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43023</v>
      </c>
      <c r="B51" s="66">
        <v>43023</v>
      </c>
      <c r="D51">
        <f t="shared" si="0"/>
        <v>26.574303415134313</v>
      </c>
      <c r="E51">
        <f t="shared" si="1"/>
        <v>26.574303415134313</v>
      </c>
      <c r="G51">
        <f t="shared" ca="1" si="2"/>
        <v>49</v>
      </c>
      <c r="H51">
        <f t="shared" ca="1" si="3"/>
        <v>1302.1408673415813</v>
      </c>
      <c r="I51">
        <f t="shared" ca="1" si="4"/>
        <v>48818.827729653014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57237</v>
      </c>
      <c r="B54" s="66">
        <v>57237</v>
      </c>
      <c r="D54">
        <f t="shared" si="0"/>
        <v>35.35395961629925</v>
      </c>
      <c r="E54">
        <f t="shared" si="1"/>
        <v>35.35395961629925</v>
      </c>
      <c r="G54">
        <f t="shared" ca="1" si="2"/>
        <v>52</v>
      </c>
      <c r="H54">
        <f t="shared" ca="1" si="3"/>
        <v>1838.4059000475609</v>
      </c>
      <c r="I54">
        <f t="shared" ca="1" si="4"/>
        <v>56174.001819916972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60468</v>
      </c>
      <c r="B57" s="66">
        <v>60468</v>
      </c>
      <c r="D57">
        <f t="shared" si="0"/>
        <v>37.349672940202723</v>
      </c>
      <c r="E57">
        <f t="shared" si="1"/>
        <v>37.349672940202723</v>
      </c>
      <c r="G57">
        <f t="shared" ca="1" si="2"/>
        <v>55</v>
      </c>
      <c r="H57">
        <f t="shared" ca="1" si="3"/>
        <v>2054.2320117111499</v>
      </c>
      <c r="I57">
        <f t="shared" ca="1" si="4"/>
        <v>50748.361790012706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81901</v>
      </c>
      <c r="B59" s="66">
        <v>81901</v>
      </c>
      <c r="D59">
        <f t="shared" si="0"/>
        <v>50.588337029098746</v>
      </c>
      <c r="E59">
        <f t="shared" si="1"/>
        <v>50.588337029098746</v>
      </c>
      <c r="G59">
        <f t="shared" ca="1" si="2"/>
        <v>57</v>
      </c>
      <c r="H59">
        <f t="shared" ca="1" si="3"/>
        <v>2883.5352106586283</v>
      </c>
      <c r="I59">
        <f t="shared" ca="1" si="4"/>
        <v>61479.61516711623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100249</v>
      </c>
      <c r="B62" s="66">
        <v>100249</v>
      </c>
      <c r="D62">
        <f t="shared" si="0"/>
        <v>61.921468588052896</v>
      </c>
      <c r="E62">
        <f t="shared" si="1"/>
        <v>61.921468588052896</v>
      </c>
      <c r="G62">
        <f t="shared" ca="1" si="2"/>
        <v>60</v>
      </c>
      <c r="H62">
        <f t="shared" ca="1" si="3"/>
        <v>3715.2881152831737</v>
      </c>
      <c r="I62">
        <f t="shared" ca="1" si="4"/>
        <v>62858.093976360309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119661</v>
      </c>
      <c r="B64" s="66">
        <v>119661</v>
      </c>
      <c r="D64">
        <f t="shared" si="0"/>
        <v>73.911808124918934</v>
      </c>
      <c r="E64">
        <f t="shared" si="1"/>
        <v>73.911808124918934</v>
      </c>
      <c r="G64">
        <f t="shared" ca="1" si="2"/>
        <v>62</v>
      </c>
      <c r="H64">
        <f t="shared" ca="1" si="3"/>
        <v>4582.5321037449739</v>
      </c>
      <c r="I64">
        <f t="shared" ca="1" si="4"/>
        <v>65905.817866212499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137608</v>
      </c>
      <c r="B67" s="66">
        <v>137608</v>
      </c>
      <c r="D67">
        <f t="shared" ref="D67:D130" si="5">IFERROR(100*A67/MAX(A$2:A$257), 0 )</f>
        <v>84.997251338814181</v>
      </c>
      <c r="E67">
        <f t="shared" ref="E67:E130" si="6">IFERROR(100*B67/MAX(B$2:B$257), 0 )</f>
        <v>84.997251338814181</v>
      </c>
      <c r="G67">
        <f t="shared" ref="G67:G130" ca="1" si="7">CELL("row",D67)-2</f>
        <v>65</v>
      </c>
      <c r="H67">
        <f t="shared" ref="H67:H130" ca="1" si="8">D67*G67</f>
        <v>5524.8213370229214</v>
      </c>
      <c r="I67">
        <f t="shared" ref="I67:I130" ca="1" si="9">D67*((G67-$L$1)^2)</f>
        <v>61326.842514163021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132592</v>
      </c>
      <c r="B69" s="66">
        <v>132592</v>
      </c>
      <c r="D69">
        <f t="shared" si="5"/>
        <v>81.898985157229603</v>
      </c>
      <c r="E69">
        <f t="shared" si="6"/>
        <v>81.898985157229603</v>
      </c>
      <c r="G69">
        <f t="shared" ca="1" si="7"/>
        <v>67</v>
      </c>
      <c r="H69">
        <f t="shared" ca="1" si="8"/>
        <v>5487.2320055343835</v>
      </c>
      <c r="I69">
        <f t="shared" ca="1" si="9"/>
        <v>50619.422644014187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145360</v>
      </c>
      <c r="B72" s="66">
        <v>145360</v>
      </c>
      <c r="D72">
        <f t="shared" si="5"/>
        <v>89.785480892172188</v>
      </c>
      <c r="E72">
        <f t="shared" si="6"/>
        <v>89.785480892172188</v>
      </c>
      <c r="G72">
        <f t="shared" ca="1" si="7"/>
        <v>70</v>
      </c>
      <c r="H72">
        <f t="shared" ca="1" si="8"/>
        <v>6284.9836624520531</v>
      </c>
      <c r="I72">
        <f t="shared" ca="1" si="9"/>
        <v>42908.945784125914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156541</v>
      </c>
      <c r="B75" s="66">
        <v>156541</v>
      </c>
      <c r="D75">
        <f t="shared" si="5"/>
        <v>96.691723750285675</v>
      </c>
      <c r="E75">
        <f t="shared" si="6"/>
        <v>96.691723750285675</v>
      </c>
      <c r="G75">
        <f t="shared" ca="1" si="7"/>
        <v>73</v>
      </c>
      <c r="H75">
        <f t="shared" ca="1" si="8"/>
        <v>7058.495833770854</v>
      </c>
      <c r="I75">
        <f t="shared" ca="1" si="9"/>
        <v>34397.009273651485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157874</v>
      </c>
      <c r="B77" s="66">
        <v>157874</v>
      </c>
      <c r="D77">
        <f t="shared" si="5"/>
        <v>97.515086752688433</v>
      </c>
      <c r="E77">
        <f t="shared" si="6"/>
        <v>97.515086752688433</v>
      </c>
      <c r="G77">
        <f t="shared" ca="1" si="7"/>
        <v>75</v>
      </c>
      <c r="H77">
        <f t="shared" ca="1" si="8"/>
        <v>7313.631506451632</v>
      </c>
      <c r="I77">
        <f t="shared" ca="1" si="9"/>
        <v>27723.027157117707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161379</v>
      </c>
      <c r="B80" s="66">
        <v>161379</v>
      </c>
      <c r="D80">
        <f t="shared" si="5"/>
        <v>99.680043484437633</v>
      </c>
      <c r="E80">
        <f t="shared" si="6"/>
        <v>99.680043484437633</v>
      </c>
      <c r="G80">
        <f t="shared" ca="1" si="7"/>
        <v>78</v>
      </c>
      <c r="H80">
        <f t="shared" ca="1" si="8"/>
        <v>7775.0433917861355</v>
      </c>
      <c r="I80">
        <f t="shared" ca="1" si="9"/>
        <v>19151.376766366247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156713</v>
      </c>
      <c r="B82" s="66">
        <v>156713</v>
      </c>
      <c r="D82">
        <f t="shared" si="5"/>
        <v>96.797964137692489</v>
      </c>
      <c r="E82">
        <f t="shared" si="6"/>
        <v>96.797964137692489</v>
      </c>
      <c r="G82">
        <f t="shared" ca="1" si="7"/>
        <v>80</v>
      </c>
      <c r="H82">
        <f t="shared" ca="1" si="8"/>
        <v>7743.8371310153989</v>
      </c>
      <c r="I82">
        <f t="shared" ca="1" si="9"/>
        <v>13617.956329629813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154975</v>
      </c>
      <c r="B85" s="66">
        <v>154975</v>
      </c>
      <c r="D85">
        <f t="shared" si="5"/>
        <v>95.724442083546947</v>
      </c>
      <c r="E85">
        <f t="shared" si="6"/>
        <v>95.724442083546947</v>
      </c>
      <c r="G85">
        <f t="shared" ca="1" si="7"/>
        <v>83</v>
      </c>
      <c r="H85">
        <f t="shared" ca="1" si="8"/>
        <v>7945.1286929343969</v>
      </c>
      <c r="I85">
        <f t="shared" ca="1" si="9"/>
        <v>7516.0986073170125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161897</v>
      </c>
      <c r="B88" s="66">
        <v>161897</v>
      </c>
      <c r="D88">
        <f t="shared" si="5"/>
        <v>100</v>
      </c>
      <c r="E88">
        <f t="shared" si="6"/>
        <v>100</v>
      </c>
      <c r="G88">
        <f t="shared" ca="1" si="7"/>
        <v>86</v>
      </c>
      <c r="H88">
        <f t="shared" ca="1" si="8"/>
        <v>8600</v>
      </c>
      <c r="I88">
        <f t="shared" ca="1" si="9"/>
        <v>3435.1817544412361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159385</v>
      </c>
      <c r="B90" s="66">
        <v>159385</v>
      </c>
      <c r="D90">
        <f t="shared" si="5"/>
        <v>98.448396202523824</v>
      </c>
      <c r="E90">
        <f t="shared" si="6"/>
        <v>98.448396202523824</v>
      </c>
      <c r="G90">
        <f t="shared" ca="1" si="7"/>
        <v>88</v>
      </c>
      <c r="H90">
        <f t="shared" ca="1" si="8"/>
        <v>8663.4588658220964</v>
      </c>
      <c r="I90">
        <f t="shared" ca="1" si="9"/>
        <v>1467.6340470747314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145701</v>
      </c>
      <c r="B93" s="66">
        <v>145701</v>
      </c>
      <c r="D93">
        <f t="shared" si="5"/>
        <v>89.996108636972892</v>
      </c>
      <c r="E93">
        <f t="shared" si="6"/>
        <v>89.996108636972892</v>
      </c>
      <c r="G93">
        <f t="shared" ca="1" si="7"/>
        <v>91</v>
      </c>
      <c r="H93">
        <f t="shared" ca="1" si="8"/>
        <v>8189.6458859645336</v>
      </c>
      <c r="I93">
        <f t="shared" ca="1" si="9"/>
        <v>66.722570064090192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135329</v>
      </c>
      <c r="B95" s="66">
        <v>135329</v>
      </c>
      <c r="D95">
        <f t="shared" si="5"/>
        <v>83.589566205673975</v>
      </c>
      <c r="E95">
        <f t="shared" si="6"/>
        <v>83.589566205673975</v>
      </c>
      <c r="G95">
        <f t="shared" ca="1" si="7"/>
        <v>93</v>
      </c>
      <c r="H95">
        <f t="shared" ca="1" si="8"/>
        <v>7773.8296571276796</v>
      </c>
      <c r="I95">
        <f t="shared" ca="1" si="9"/>
        <v>108.43443372518341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121299</v>
      </c>
      <c r="B98" s="66">
        <v>121299</v>
      </c>
      <c r="D98">
        <f t="shared" si="5"/>
        <v>74.923562511967489</v>
      </c>
      <c r="E98">
        <f t="shared" si="6"/>
        <v>74.923562511967489</v>
      </c>
      <c r="G98">
        <f t="shared" ca="1" si="7"/>
        <v>96</v>
      </c>
      <c r="H98">
        <f t="shared" ca="1" si="8"/>
        <v>7192.6620011488794</v>
      </c>
      <c r="I98">
        <f t="shared" ca="1" si="9"/>
        <v>1283.5133276566805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111167</v>
      </c>
      <c r="B100" s="66">
        <v>111167</v>
      </c>
      <c r="D100">
        <f t="shared" si="5"/>
        <v>68.665262481701333</v>
      </c>
      <c r="E100">
        <f t="shared" si="6"/>
        <v>68.665262481701333</v>
      </c>
      <c r="G100">
        <f t="shared" ca="1" si="7"/>
        <v>98</v>
      </c>
      <c r="H100">
        <f t="shared" ca="1" si="8"/>
        <v>6729.1957232067307</v>
      </c>
      <c r="I100">
        <f t="shared" ca="1" si="9"/>
        <v>2587.7740763801389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107746</v>
      </c>
      <c r="B103" s="66">
        <v>107746</v>
      </c>
      <c r="D103">
        <f t="shared" si="5"/>
        <v>66.5521905903136</v>
      </c>
      <c r="E103">
        <f t="shared" si="6"/>
        <v>66.5521905903136</v>
      </c>
      <c r="G103">
        <f t="shared" ca="1" si="7"/>
        <v>101</v>
      </c>
      <c r="H103">
        <f t="shared" ca="1" si="8"/>
        <v>6721.7712496216736</v>
      </c>
      <c r="I103">
        <f t="shared" ca="1" si="9"/>
        <v>5558.4753453630919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93303</v>
      </c>
      <c r="B106" s="66">
        <v>93303</v>
      </c>
      <c r="D106">
        <f t="shared" si="5"/>
        <v>57.63108643149657</v>
      </c>
      <c r="E106">
        <f t="shared" si="6"/>
        <v>57.63108643149657</v>
      </c>
      <c r="G106">
        <f t="shared" ca="1" si="7"/>
        <v>104</v>
      </c>
      <c r="H106">
        <f t="shared" ca="1" si="8"/>
        <v>5993.6329888756436</v>
      </c>
      <c r="I106">
        <f t="shared" ca="1" si="9"/>
        <v>8492.1879722147478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81817</v>
      </c>
      <c r="B108" s="66">
        <v>81817</v>
      </c>
      <c r="D108">
        <f t="shared" si="5"/>
        <v>50.536452188737286</v>
      </c>
      <c r="E108">
        <f t="shared" si="6"/>
        <v>50.536452188737286</v>
      </c>
      <c r="G108">
        <f t="shared" ca="1" si="7"/>
        <v>106</v>
      </c>
      <c r="H108">
        <f t="shared" ca="1" si="8"/>
        <v>5356.863932006152</v>
      </c>
      <c r="I108">
        <f t="shared" ca="1" si="9"/>
        <v>10102.748380556708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70831</v>
      </c>
      <c r="B111" s="66">
        <v>70831</v>
      </c>
      <c r="D111">
        <f t="shared" si="5"/>
        <v>43.750656281462902</v>
      </c>
      <c r="E111">
        <f t="shared" si="6"/>
        <v>43.750656281462902</v>
      </c>
      <c r="G111">
        <f t="shared" ca="1" si="7"/>
        <v>109</v>
      </c>
      <c r="H111">
        <f t="shared" ca="1" si="8"/>
        <v>4768.8215346794559</v>
      </c>
      <c r="I111">
        <f t="shared" ca="1" si="9"/>
        <v>12851.487046947635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69565</v>
      </c>
      <c r="B113" s="66">
        <v>69565</v>
      </c>
      <c r="D113">
        <f t="shared" si="5"/>
        <v>42.968677616015121</v>
      </c>
      <c r="E113">
        <f t="shared" si="6"/>
        <v>42.968677616015121</v>
      </c>
      <c r="G113">
        <f t="shared" ca="1" si="7"/>
        <v>111</v>
      </c>
      <c r="H113">
        <f t="shared" ca="1" si="8"/>
        <v>4769.5232153776788</v>
      </c>
      <c r="I113">
        <f t="shared" ca="1" si="9"/>
        <v>15739.41370080569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60543</v>
      </c>
      <c r="B116" s="66">
        <v>60543</v>
      </c>
      <c r="D116">
        <f t="shared" si="5"/>
        <v>37.39599869052546</v>
      </c>
      <c r="E116">
        <f t="shared" si="6"/>
        <v>37.39599869052546</v>
      </c>
      <c r="G116">
        <f t="shared" ca="1" si="7"/>
        <v>114</v>
      </c>
      <c r="H116">
        <f t="shared" ca="1" si="8"/>
        <v>4263.1438507199027</v>
      </c>
      <c r="I116">
        <f t="shared" ca="1" si="9"/>
        <v>18329.029682010823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50504</v>
      </c>
      <c r="B118" s="66">
        <v>50504</v>
      </c>
      <c r="D118">
        <f t="shared" si="5"/>
        <v>31.195142590659493</v>
      </c>
      <c r="E118">
        <f t="shared" si="6"/>
        <v>31.195142590659493</v>
      </c>
      <c r="G118">
        <f t="shared" ca="1" si="7"/>
        <v>116</v>
      </c>
      <c r="H118">
        <f t="shared" ca="1" si="8"/>
        <v>3618.6365405165011</v>
      </c>
      <c r="I118">
        <f t="shared" ca="1" si="9"/>
        <v>18177.075049341976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52035</v>
      </c>
      <c r="B121" s="66">
        <v>52035</v>
      </c>
      <c r="D121">
        <f t="shared" si="5"/>
        <v>32.140805573914278</v>
      </c>
      <c r="E121">
        <f t="shared" si="6"/>
        <v>32.140805573914278</v>
      </c>
      <c r="G121">
        <f t="shared" ca="1" si="7"/>
        <v>119</v>
      </c>
      <c r="H121">
        <f t="shared" ca="1" si="8"/>
        <v>3824.7558632957989</v>
      </c>
      <c r="I121">
        <f t="shared" ca="1" si="9"/>
        <v>23672.443244120248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46015</v>
      </c>
      <c r="B124" s="66">
        <v>46015</v>
      </c>
      <c r="D124">
        <f t="shared" si="5"/>
        <v>28.422392014675999</v>
      </c>
      <c r="E124">
        <f t="shared" si="6"/>
        <v>28.422392014675999</v>
      </c>
      <c r="G124">
        <f t="shared" ca="1" si="7"/>
        <v>122</v>
      </c>
      <c r="H124">
        <f t="shared" ca="1" si="8"/>
        <v>3467.5318257904719</v>
      </c>
      <c r="I124">
        <f t="shared" ca="1" si="9"/>
        <v>25817.672138832302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38855</v>
      </c>
      <c r="B126" s="66">
        <v>38855</v>
      </c>
      <c r="D126">
        <f t="shared" si="5"/>
        <v>23.999827050532129</v>
      </c>
      <c r="E126">
        <f t="shared" si="6"/>
        <v>23.999827050532129</v>
      </c>
      <c r="G126">
        <f t="shared" ca="1" si="7"/>
        <v>124</v>
      </c>
      <c r="H126">
        <f t="shared" ca="1" si="8"/>
        <v>2975.9785542659843</v>
      </c>
      <c r="I126">
        <f t="shared" ca="1" si="9"/>
        <v>24789.723714944281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33928</v>
      </c>
      <c r="B129" s="66">
        <v>33928</v>
      </c>
      <c r="D129">
        <f t="shared" si="5"/>
        <v>20.956534092663855</v>
      </c>
      <c r="E129">
        <f t="shared" si="6"/>
        <v>20.956534092663855</v>
      </c>
      <c r="G129">
        <f t="shared" ca="1" si="7"/>
        <v>127</v>
      </c>
      <c r="H129">
        <f t="shared" ca="1" si="8"/>
        <v>2661.4798297683096</v>
      </c>
      <c r="I129">
        <f t="shared" ca="1" si="9"/>
        <v>25876.003854530521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29410</v>
      </c>
      <c r="B131" s="66">
        <v>29410</v>
      </c>
      <c r="D131">
        <f t="shared" ref="D131:D194" si="10">IFERROR(100*A131/MAX(A$2:A$257), 0 )</f>
        <v>18.165870893222234</v>
      </c>
      <c r="E131">
        <f t="shared" ref="E131:E194" si="11">IFERROR(100*B131/MAX(B$2:B$257), 0 )</f>
        <v>18.165870893222234</v>
      </c>
      <c r="G131">
        <f t="shared" ref="G131:G194" ca="1" si="12">CELL("row",D131)-2</f>
        <v>129</v>
      </c>
      <c r="H131">
        <f t="shared" ref="H131:H194" ca="1" si="13">D131*G131</f>
        <v>2343.3973452256682</v>
      </c>
      <c r="I131">
        <f t="shared" ref="I131:I194" ca="1" si="14">D131*((G131-$L$1)^2)</f>
        <v>25056.225226414634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24091</v>
      </c>
      <c r="B134" s="66">
        <v>24091</v>
      </c>
      <c r="D134">
        <f t="shared" si="10"/>
        <v>14.880448680333792</v>
      </c>
      <c r="E134">
        <f t="shared" si="11"/>
        <v>14.880448680333792</v>
      </c>
      <c r="G134">
        <f t="shared" ca="1" si="12"/>
        <v>132</v>
      </c>
      <c r="H134">
        <f t="shared" ca="1" si="13"/>
        <v>1964.2192258040607</v>
      </c>
      <c r="I134">
        <f t="shared" ca="1" si="14"/>
        <v>23974.425381069876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21795</v>
      </c>
      <c r="B136" s="66">
        <v>21795</v>
      </c>
      <c r="D136">
        <f t="shared" si="10"/>
        <v>13.462263043787098</v>
      </c>
      <c r="E136">
        <f t="shared" si="11"/>
        <v>13.462263043787098</v>
      </c>
      <c r="G136">
        <f t="shared" ca="1" si="12"/>
        <v>134</v>
      </c>
      <c r="H136">
        <f t="shared" ca="1" si="13"/>
        <v>1803.9432478674712</v>
      </c>
      <c r="I136">
        <f t="shared" ca="1" si="14"/>
        <v>23904.829436578606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20535</v>
      </c>
      <c r="B139" s="66">
        <v>20535</v>
      </c>
      <c r="D139">
        <f t="shared" si="10"/>
        <v>12.683990438365134</v>
      </c>
      <c r="E139">
        <f t="shared" si="11"/>
        <v>12.683990438365134</v>
      </c>
      <c r="G139">
        <f t="shared" ca="1" si="12"/>
        <v>137</v>
      </c>
      <c r="H139">
        <f t="shared" ca="1" si="13"/>
        <v>1737.7066900560233</v>
      </c>
      <c r="I139">
        <f t="shared" ca="1" si="14"/>
        <v>25843.953919789717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21073</v>
      </c>
      <c r="B142" s="66">
        <v>21073</v>
      </c>
      <c r="D142">
        <f t="shared" si="10"/>
        <v>13.016300487346893</v>
      </c>
      <c r="E142">
        <f t="shared" si="11"/>
        <v>13.016300487346893</v>
      </c>
      <c r="G142">
        <f t="shared" ca="1" si="12"/>
        <v>140</v>
      </c>
      <c r="H142">
        <f t="shared" ca="1" si="13"/>
        <v>1822.2820682285651</v>
      </c>
      <c r="I142">
        <f t="shared" ca="1" si="14"/>
        <v>30163.444239806755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17447</v>
      </c>
      <c r="B144" s="66">
        <v>17447</v>
      </c>
      <c r="D144">
        <f t="shared" si="10"/>
        <v>10.776604878410348</v>
      </c>
      <c r="E144">
        <f t="shared" si="11"/>
        <v>10.776604878410348</v>
      </c>
      <c r="G144">
        <f t="shared" ca="1" si="12"/>
        <v>142</v>
      </c>
      <c r="H144">
        <f t="shared" ca="1" si="13"/>
        <v>1530.2778927342695</v>
      </c>
      <c r="I144">
        <f t="shared" ca="1" si="14"/>
        <v>27091.469442153571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18602</v>
      </c>
      <c r="B147" s="66">
        <v>18602</v>
      </c>
      <c r="D147">
        <f t="shared" si="10"/>
        <v>11.490021433380482</v>
      </c>
      <c r="E147">
        <f t="shared" si="11"/>
        <v>11.490021433380482</v>
      </c>
      <c r="G147">
        <f t="shared" ca="1" si="12"/>
        <v>145</v>
      </c>
      <c r="H147">
        <f t="shared" ca="1" si="13"/>
        <v>1666.05310784017</v>
      </c>
      <c r="I147">
        <f t="shared" ca="1" si="14"/>
        <v>32444.934453683516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17608</v>
      </c>
      <c r="B149" s="66">
        <v>17608</v>
      </c>
      <c r="D149">
        <f t="shared" si="10"/>
        <v>10.876050822436488</v>
      </c>
      <c r="E149">
        <f t="shared" si="11"/>
        <v>10.876050822436488</v>
      </c>
      <c r="G149">
        <f t="shared" ca="1" si="12"/>
        <v>147</v>
      </c>
      <c r="H149">
        <f t="shared" ca="1" si="13"/>
        <v>1598.7794708981637</v>
      </c>
      <c r="I149">
        <f t="shared" ca="1" si="14"/>
        <v>33066.507885152452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15580</v>
      </c>
      <c r="B152" s="66">
        <v>15580</v>
      </c>
      <c r="D152">
        <f t="shared" si="10"/>
        <v>9.6234025337097044</v>
      </c>
      <c r="E152">
        <f t="shared" si="11"/>
        <v>9.6234025337097044</v>
      </c>
      <c r="G152">
        <f t="shared" ca="1" si="12"/>
        <v>150</v>
      </c>
      <c r="H152">
        <f t="shared" ca="1" si="13"/>
        <v>1443.5103800564557</v>
      </c>
      <c r="I152">
        <f t="shared" ca="1" si="14"/>
        <v>32528.432399338501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17314</v>
      </c>
      <c r="B154" s="66">
        <v>17314</v>
      </c>
      <c r="D154">
        <f t="shared" si="10"/>
        <v>10.694453881171363</v>
      </c>
      <c r="E154">
        <f t="shared" si="11"/>
        <v>10.694453881171363</v>
      </c>
      <c r="G154">
        <f t="shared" ca="1" si="12"/>
        <v>152</v>
      </c>
      <c r="H154">
        <f t="shared" ca="1" si="13"/>
        <v>1625.5569899380471</v>
      </c>
      <c r="I154">
        <f t="shared" ca="1" si="14"/>
        <v>38678.569602673633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12952</v>
      </c>
      <c r="B157" s="66">
        <v>12952</v>
      </c>
      <c r="D157">
        <f t="shared" si="10"/>
        <v>8.000148242401032</v>
      </c>
      <c r="E157">
        <f t="shared" si="11"/>
        <v>8.000148242401032</v>
      </c>
      <c r="G157">
        <f t="shared" ca="1" si="12"/>
        <v>155</v>
      </c>
      <c r="H157">
        <f t="shared" ca="1" si="13"/>
        <v>1240.02297757216</v>
      </c>
      <c r="I157">
        <f t="shared" ca="1" si="14"/>
        <v>31892.814747516259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15455</v>
      </c>
      <c r="B160" s="66">
        <v>15455</v>
      </c>
      <c r="D160">
        <f t="shared" si="10"/>
        <v>9.5461929498384777</v>
      </c>
      <c r="E160">
        <f t="shared" si="11"/>
        <v>9.5461929498384777</v>
      </c>
      <c r="G160">
        <f t="shared" ca="1" si="12"/>
        <v>158</v>
      </c>
      <c r="H160">
        <f t="shared" ca="1" si="13"/>
        <v>1508.2984860744796</v>
      </c>
      <c r="I160">
        <f t="shared" ca="1" si="14"/>
        <v>41758.50098974588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16089</v>
      </c>
      <c r="B162" s="66">
        <v>16089</v>
      </c>
      <c r="D162">
        <f t="shared" si="10"/>
        <v>9.9377999592333399</v>
      </c>
      <c r="E162">
        <f t="shared" si="11"/>
        <v>9.9377999592333399</v>
      </c>
      <c r="G162">
        <f t="shared" ca="1" si="12"/>
        <v>160</v>
      </c>
      <c r="H162">
        <f t="shared" ca="1" si="13"/>
        <v>1590.0479934773343</v>
      </c>
      <c r="I162">
        <f t="shared" ca="1" si="14"/>
        <v>46140.385822029202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15001</v>
      </c>
      <c r="B165" s="66">
        <v>15001</v>
      </c>
      <c r="D165">
        <f t="shared" si="10"/>
        <v>9.2657677412181823</v>
      </c>
      <c r="E165">
        <f t="shared" si="11"/>
        <v>9.2657677412181823</v>
      </c>
      <c r="G165">
        <f t="shared" ca="1" si="12"/>
        <v>163</v>
      </c>
      <c r="H165">
        <f t="shared" ca="1" si="13"/>
        <v>1510.3201418185638</v>
      </c>
      <c r="I165">
        <f t="shared" ca="1" si="14"/>
        <v>46891.746087399326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16689</v>
      </c>
      <c r="B167" s="66">
        <v>16689</v>
      </c>
      <c r="D167">
        <f t="shared" si="10"/>
        <v>10.308405961815229</v>
      </c>
      <c r="E167">
        <f t="shared" si="11"/>
        <v>10.308405961815229</v>
      </c>
      <c r="G167">
        <f t="shared" ca="1" si="12"/>
        <v>165</v>
      </c>
      <c r="H167">
        <f t="shared" ca="1" si="13"/>
        <v>1700.8869836995127</v>
      </c>
      <c r="I167">
        <f t="shared" ca="1" si="14"/>
        <v>55142.829455652216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17319</v>
      </c>
      <c r="B170" s="66">
        <v>17319</v>
      </c>
      <c r="D170">
        <f t="shared" si="10"/>
        <v>10.697542264526211</v>
      </c>
      <c r="E170">
        <f t="shared" si="11"/>
        <v>10.697542264526211</v>
      </c>
      <c r="G170">
        <f t="shared" ca="1" si="12"/>
        <v>168</v>
      </c>
      <c r="H170">
        <f t="shared" ca="1" si="13"/>
        <v>1797.1871004404034</v>
      </c>
      <c r="I170">
        <f t="shared" ca="1" si="14"/>
        <v>62015.159475828092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16797</v>
      </c>
      <c r="B173" s="66">
        <v>16797</v>
      </c>
      <c r="D173">
        <f t="shared" si="10"/>
        <v>10.375115042279969</v>
      </c>
      <c r="E173">
        <f t="shared" si="11"/>
        <v>10.375115042279969</v>
      </c>
      <c r="G173">
        <f t="shared" ca="1" si="12"/>
        <v>171</v>
      </c>
      <c r="H173">
        <f t="shared" ca="1" si="13"/>
        <v>1774.1446722298747</v>
      </c>
      <c r="I173">
        <f t="shared" ca="1" si="14"/>
        <v>64979.082151648436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19424</v>
      </c>
      <c r="B175" s="66">
        <v>19424</v>
      </c>
      <c r="D175">
        <f t="shared" si="10"/>
        <v>11.99775165691767</v>
      </c>
      <c r="E175">
        <f t="shared" si="11"/>
        <v>11.99775165691767</v>
      </c>
      <c r="G175">
        <f t="shared" ca="1" si="12"/>
        <v>173</v>
      </c>
      <c r="H175">
        <f t="shared" ca="1" si="13"/>
        <v>2075.6110366467569</v>
      </c>
      <c r="I175">
        <f t="shared" ca="1" si="14"/>
        <v>78987.563327947209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20980</v>
      </c>
      <c r="B178" s="66">
        <v>20980</v>
      </c>
      <c r="D178">
        <f t="shared" si="10"/>
        <v>12.958856556946701</v>
      </c>
      <c r="E178">
        <f t="shared" si="11"/>
        <v>12.958856556946701</v>
      </c>
      <c r="G178">
        <f t="shared" ca="1" si="12"/>
        <v>176</v>
      </c>
      <c r="H178">
        <f t="shared" ca="1" si="13"/>
        <v>2280.7587540226195</v>
      </c>
      <c r="I178">
        <f t="shared" ca="1" si="14"/>
        <v>91740.465088418714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20824</v>
      </c>
      <c r="B180" s="66">
        <v>20824</v>
      </c>
      <c r="D180">
        <f t="shared" si="10"/>
        <v>12.862498996275409</v>
      </c>
      <c r="E180">
        <f t="shared" si="11"/>
        <v>12.862498996275409</v>
      </c>
      <c r="G180">
        <f t="shared" ca="1" si="12"/>
        <v>178</v>
      </c>
      <c r="H180">
        <f t="shared" ca="1" si="13"/>
        <v>2289.5248213370228</v>
      </c>
      <c r="I180">
        <f t="shared" ca="1" si="14"/>
        <v>95438.713852459681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21475</v>
      </c>
      <c r="B183" s="66">
        <v>21475</v>
      </c>
      <c r="D183">
        <f t="shared" si="10"/>
        <v>13.264606509076758</v>
      </c>
      <c r="E183">
        <f t="shared" si="11"/>
        <v>13.264606509076758</v>
      </c>
      <c r="G183">
        <f t="shared" ca="1" si="12"/>
        <v>181</v>
      </c>
      <c r="H183">
        <f t="shared" ca="1" si="13"/>
        <v>2400.8937781428931</v>
      </c>
      <c r="I183">
        <f t="shared" ca="1" si="14"/>
        <v>105397.2971659941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15299</v>
      </c>
      <c r="B185" s="66">
        <v>15299</v>
      </c>
      <c r="D185">
        <f t="shared" si="10"/>
        <v>9.4498353891671858</v>
      </c>
      <c r="E185">
        <f t="shared" si="11"/>
        <v>9.4498353891671858</v>
      </c>
      <c r="G185">
        <f t="shared" ca="1" si="12"/>
        <v>183</v>
      </c>
      <c r="H185">
        <f t="shared" ca="1" si="13"/>
        <v>1729.319876217595</v>
      </c>
      <c r="I185">
        <f t="shared" ca="1" si="14"/>
        <v>78493.2584088695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15463</v>
      </c>
      <c r="B188" s="66">
        <v>15463</v>
      </c>
      <c r="D188">
        <f t="shared" si="10"/>
        <v>9.551134363206236</v>
      </c>
      <c r="E188">
        <f t="shared" si="11"/>
        <v>9.551134363206236</v>
      </c>
      <c r="G188">
        <f t="shared" ca="1" si="12"/>
        <v>186</v>
      </c>
      <c r="H188">
        <f t="shared" ca="1" si="13"/>
        <v>1776.5109915563598</v>
      </c>
      <c r="I188">
        <f t="shared" ca="1" si="14"/>
        <v>84643.521839500885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14582</v>
      </c>
      <c r="B191" s="66">
        <v>14582</v>
      </c>
      <c r="D191">
        <f t="shared" si="10"/>
        <v>9.0069612160818302</v>
      </c>
      <c r="E191">
        <f t="shared" si="11"/>
        <v>9.0069612160818302</v>
      </c>
      <c r="G191">
        <f t="shared" ca="1" si="12"/>
        <v>189</v>
      </c>
      <c r="H191">
        <f t="shared" ca="1" si="13"/>
        <v>1702.315669839466</v>
      </c>
      <c r="I191">
        <f t="shared" ca="1" si="14"/>
        <v>84989.479698142139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9392</v>
      </c>
      <c r="B193" s="66">
        <v>9392</v>
      </c>
      <c r="D193">
        <f t="shared" si="10"/>
        <v>5.8012192937484945</v>
      </c>
      <c r="E193">
        <f t="shared" si="11"/>
        <v>5.8012192937484945</v>
      </c>
      <c r="G193">
        <f t="shared" ca="1" si="12"/>
        <v>191</v>
      </c>
      <c r="H193">
        <f t="shared" ca="1" si="13"/>
        <v>1108.0328851059624</v>
      </c>
      <c r="I193">
        <f t="shared" ca="1" si="14"/>
        <v>57017.474816161499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7908</v>
      </c>
      <c r="B196" s="66">
        <v>7908</v>
      </c>
      <c r="D196">
        <f t="shared" si="15"/>
        <v>4.8845871140292898</v>
      </c>
      <c r="E196">
        <f t="shared" si="16"/>
        <v>4.8845871140292898</v>
      </c>
      <c r="G196">
        <f t="shared" ca="1" si="17"/>
        <v>194</v>
      </c>
      <c r="H196">
        <f t="shared" ca="1" si="18"/>
        <v>947.60990012168224</v>
      </c>
      <c r="I196">
        <f t="shared" ca="1" si="19"/>
        <v>50957.803794405612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8100</v>
      </c>
      <c r="B198" s="66">
        <v>8100</v>
      </c>
      <c r="D198">
        <f t="shared" si="15"/>
        <v>5.0031810348554941</v>
      </c>
      <c r="E198">
        <f t="shared" si="16"/>
        <v>5.0031810348554941</v>
      </c>
      <c r="G198">
        <f t="shared" ca="1" si="17"/>
        <v>196</v>
      </c>
      <c r="H198">
        <f t="shared" ca="1" si="18"/>
        <v>980.62348283167682</v>
      </c>
      <c r="I198">
        <f t="shared" ca="1" si="19"/>
        <v>54259.11056831669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4845</v>
      </c>
      <c r="B201" s="66">
        <v>4845</v>
      </c>
      <c r="D201">
        <f t="shared" si="15"/>
        <v>2.9926434708487495</v>
      </c>
      <c r="E201">
        <f t="shared" si="16"/>
        <v>2.9926434708487495</v>
      </c>
      <c r="G201">
        <f t="shared" ca="1" si="17"/>
        <v>199</v>
      </c>
      <c r="H201">
        <f t="shared" ca="1" si="18"/>
        <v>595.53605069890114</v>
      </c>
      <c r="I201">
        <f t="shared" ca="1" si="19"/>
        <v>34351.824927697919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3301</v>
      </c>
      <c r="B203" s="66">
        <v>3301</v>
      </c>
      <c r="D203">
        <f t="shared" si="15"/>
        <v>2.0389506908713564</v>
      </c>
      <c r="E203">
        <f t="shared" si="16"/>
        <v>2.0389506908713564</v>
      </c>
      <c r="G203">
        <f t="shared" ca="1" si="17"/>
        <v>201</v>
      </c>
      <c r="H203">
        <f t="shared" ca="1" si="18"/>
        <v>409.82908886514264</v>
      </c>
      <c r="I203">
        <f t="shared" ca="1" si="19"/>
        <v>24286.577984036539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924</v>
      </c>
      <c r="B206" s="66">
        <v>924</v>
      </c>
      <c r="D206">
        <f t="shared" si="15"/>
        <v>0.57073324397610825</v>
      </c>
      <c r="E206">
        <f t="shared" si="16"/>
        <v>0.57073324397610825</v>
      </c>
      <c r="G206">
        <f t="shared" ca="1" si="17"/>
        <v>204</v>
      </c>
      <c r="H206">
        <f t="shared" ca="1" si="18"/>
        <v>116.42958177112608</v>
      </c>
      <c r="I206">
        <f t="shared" ca="1" si="19"/>
        <v>7177.0537676697022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700</v>
      </c>
      <c r="B209" s="66">
        <v>700</v>
      </c>
      <c r="D209">
        <f t="shared" si="15"/>
        <v>0.43237366967886992</v>
      </c>
      <c r="E209">
        <f t="shared" si="16"/>
        <v>0.43237366967886992</v>
      </c>
      <c r="G209">
        <f t="shared" ca="1" si="17"/>
        <v>207</v>
      </c>
      <c r="H209">
        <f t="shared" ca="1" si="18"/>
        <v>89.501349623526067</v>
      </c>
      <c r="I209">
        <f t="shared" ca="1" si="19"/>
        <v>5731.9689040043386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503</v>
      </c>
      <c r="B211" s="66">
        <v>503</v>
      </c>
      <c r="D211">
        <f t="shared" si="15"/>
        <v>0.31069136549781651</v>
      </c>
      <c r="E211">
        <f t="shared" si="16"/>
        <v>0.31069136549781651</v>
      </c>
      <c r="G211">
        <f t="shared" ca="1" si="17"/>
        <v>209</v>
      </c>
      <c r="H211">
        <f t="shared" ca="1" si="18"/>
        <v>64.934495389043647</v>
      </c>
      <c r="I211">
        <f t="shared" ca="1" si="19"/>
        <v>4263.1625692241996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349</v>
      </c>
      <c r="B1" s="68" t="s">
        <v>350</v>
      </c>
      <c r="C1" s="32" t="s">
        <v>351</v>
      </c>
      <c r="D1" s="32" t="s">
        <v>352</v>
      </c>
      <c r="E1" s="32" t="s">
        <v>353</v>
      </c>
    </row>
    <row r="2" spans="1:5">
      <c r="A2" s="68">
        <v>0.20219799999999999</v>
      </c>
      <c r="B2" s="68">
        <v>0.60566200000000003</v>
      </c>
      <c r="C2" s="68">
        <v>0</v>
      </c>
      <c r="D2" s="68">
        <v>1</v>
      </c>
      <c r="E2" s="68" t="s">
        <v>354</v>
      </c>
    </row>
    <row r="3" spans="1:5">
      <c r="A3" s="68">
        <v>0.20805199999999999</v>
      </c>
      <c r="B3" s="68">
        <v>0.597136</v>
      </c>
      <c r="C3" s="68">
        <v>0.40397899999999998</v>
      </c>
      <c r="D3" s="89">
        <v>1</v>
      </c>
      <c r="E3" s="68" t="s">
        <v>355</v>
      </c>
    </row>
    <row r="4" spans="1:5">
      <c r="A4" s="68">
        <v>0.21417900000000001</v>
      </c>
      <c r="B4" s="68">
        <v>0.58682000000000001</v>
      </c>
      <c r="C4" s="68">
        <v>0.81182799999999999</v>
      </c>
      <c r="D4" s="89">
        <v>1</v>
      </c>
      <c r="E4" s="68" t="s">
        <v>356</v>
      </c>
    </row>
    <row r="5" spans="1:5">
      <c r="A5" s="89">
        <v>0.22020799999999999</v>
      </c>
      <c r="B5" s="89">
        <v>0.57484800000000003</v>
      </c>
      <c r="C5" s="89">
        <v>1.21889</v>
      </c>
      <c r="D5" s="89">
        <v>1</v>
      </c>
      <c r="E5" s="68" t="s">
        <v>357</v>
      </c>
    </row>
    <row r="6" spans="1:5">
      <c r="A6" s="68">
        <v>0.22616600000000001</v>
      </c>
      <c r="B6" s="68">
        <v>0.561805</v>
      </c>
      <c r="C6" s="68">
        <v>1.62557</v>
      </c>
      <c r="D6" s="68">
        <v>1</v>
      </c>
      <c r="E6" s="68" t="s">
        <v>358</v>
      </c>
    </row>
    <row r="7" spans="1:5">
      <c r="A7" s="68">
        <v>0.231987</v>
      </c>
      <c r="B7" s="68">
        <v>0.54831300000000005</v>
      </c>
      <c r="C7" s="68">
        <v>2.0318200000000002</v>
      </c>
      <c r="D7" s="68">
        <v>1</v>
      </c>
      <c r="E7" s="68" t="s">
        <v>359</v>
      </c>
    </row>
    <row r="8" spans="1:5">
      <c r="A8" s="68">
        <v>0.23782600000000001</v>
      </c>
      <c r="B8" s="68">
        <v>0.53502499999999997</v>
      </c>
      <c r="C8" s="68">
        <v>2.43492</v>
      </c>
      <c r="D8" s="68">
        <v>1</v>
      </c>
      <c r="E8" s="68" t="s">
        <v>360</v>
      </c>
    </row>
    <row r="9" spans="1:5">
      <c r="A9" s="68">
        <v>0.24355099999999999</v>
      </c>
      <c r="B9" s="68">
        <v>0.52224899999999996</v>
      </c>
      <c r="C9" s="68">
        <v>2.8443999999999998</v>
      </c>
      <c r="D9" s="68">
        <v>1</v>
      </c>
      <c r="E9" s="68" t="s">
        <v>361</v>
      </c>
    </row>
    <row r="10" spans="1:5">
      <c r="A10" s="68">
        <v>0.24931900000000001</v>
      </c>
      <c r="B10" s="68">
        <v>0.50905999999999996</v>
      </c>
      <c r="C10" s="68">
        <v>3.2511999999999999</v>
      </c>
      <c r="D10" s="68">
        <v>1</v>
      </c>
      <c r="E10" s="68" t="s">
        <v>362</v>
      </c>
    </row>
    <row r="11" spans="1:5">
      <c r="A11" s="68">
        <v>0.25531999999999999</v>
      </c>
      <c r="B11" s="68">
        <v>0.49486599999999997</v>
      </c>
      <c r="C11" s="68">
        <v>3.6570900000000002</v>
      </c>
      <c r="D11" s="68">
        <v>1</v>
      </c>
      <c r="E11" s="68" t="s">
        <v>363</v>
      </c>
    </row>
    <row r="12" spans="1:5">
      <c r="A12" s="68">
        <v>0.26117899999999999</v>
      </c>
      <c r="B12" s="68">
        <v>0.48208800000000002</v>
      </c>
      <c r="C12" s="68">
        <v>4.0591999999999997</v>
      </c>
      <c r="D12" s="68">
        <v>1</v>
      </c>
      <c r="E12" s="68" t="s">
        <v>364</v>
      </c>
    </row>
    <row r="13" spans="1:5">
      <c r="A13" s="68">
        <v>0.26692399999999999</v>
      </c>
      <c r="B13" s="68">
        <v>0.47056300000000001</v>
      </c>
      <c r="C13" s="68">
        <v>4.4661200000000001</v>
      </c>
      <c r="D13" s="68">
        <v>1</v>
      </c>
      <c r="E13" s="68" t="s">
        <v>365</v>
      </c>
    </row>
    <row r="14" spans="1:5">
      <c r="A14" s="68">
        <v>0.27260800000000002</v>
      </c>
      <c r="B14" s="68">
        <v>0.45879399999999998</v>
      </c>
      <c r="C14" s="68">
        <v>4.8690600000000002</v>
      </c>
      <c r="D14" s="68">
        <v>1</v>
      </c>
      <c r="E14" s="68" t="s">
        <v>366</v>
      </c>
    </row>
    <row r="15" spans="1:5">
      <c r="A15" s="68">
        <v>0.27814299999999997</v>
      </c>
      <c r="B15" s="68">
        <v>0.44739499999999999</v>
      </c>
      <c r="C15" s="68">
        <v>5.2808400000000004</v>
      </c>
      <c r="D15" s="68">
        <v>1</v>
      </c>
      <c r="E15" s="68" t="s">
        <v>367</v>
      </c>
    </row>
    <row r="16" spans="1:5">
      <c r="A16" s="68">
        <v>0.28367900000000001</v>
      </c>
      <c r="B16" s="68">
        <v>0.43674200000000002</v>
      </c>
      <c r="C16" s="68">
        <v>5.6867400000000004</v>
      </c>
      <c r="D16" s="68">
        <v>1</v>
      </c>
      <c r="E16" s="68" t="s">
        <v>368</v>
      </c>
    </row>
    <row r="17" spans="1:5">
      <c r="A17" s="68">
        <v>0.28927199999999997</v>
      </c>
      <c r="B17" s="68">
        <v>0.42540099999999997</v>
      </c>
      <c r="C17" s="68">
        <v>6.0907</v>
      </c>
      <c r="D17" s="68">
        <v>1</v>
      </c>
      <c r="E17" s="68" t="s">
        <v>369</v>
      </c>
    </row>
    <row r="18" spans="1:5">
      <c r="A18" s="68">
        <v>0.294792</v>
      </c>
      <c r="B18" s="68">
        <v>0.41529899999999997</v>
      </c>
      <c r="C18" s="68">
        <v>6.4966600000000003</v>
      </c>
      <c r="D18" s="68">
        <v>1</v>
      </c>
      <c r="E18" s="68" t="s">
        <v>370</v>
      </c>
    </row>
    <row r="19" spans="1:5">
      <c r="A19" s="68">
        <v>0.300176</v>
      </c>
      <c r="B19" s="68">
        <v>0.40742400000000001</v>
      </c>
      <c r="C19" s="68">
        <v>6.9046500000000002</v>
      </c>
      <c r="D19" s="68">
        <v>1</v>
      </c>
      <c r="E19" s="68" t="s">
        <v>371</v>
      </c>
    </row>
    <row r="20" spans="1:5">
      <c r="A20" s="68">
        <v>0.30491800000000002</v>
      </c>
      <c r="B20" s="68">
        <v>0.40032400000000001</v>
      </c>
      <c r="C20" s="68">
        <v>7.30844</v>
      </c>
      <c r="D20" s="68">
        <v>1</v>
      </c>
      <c r="E20" s="68" t="s">
        <v>372</v>
      </c>
    </row>
    <row r="21" spans="1:5">
      <c r="A21" s="68">
        <v>0.30898300000000001</v>
      </c>
      <c r="B21" s="68">
        <v>0.39343600000000001</v>
      </c>
      <c r="C21" s="68">
        <v>7.7163500000000003</v>
      </c>
      <c r="D21" s="68">
        <v>1</v>
      </c>
      <c r="E21" s="68" t="s">
        <v>373</v>
      </c>
    </row>
    <row r="22" spans="1:5">
      <c r="A22" s="68">
        <v>0.312834</v>
      </c>
      <c r="B22" s="68">
        <v>0.38738899999999998</v>
      </c>
      <c r="C22" s="68">
        <v>8.1251899999999999</v>
      </c>
      <c r="D22" s="68">
        <v>1</v>
      </c>
      <c r="E22" s="68" t="s">
        <v>374</v>
      </c>
    </row>
    <row r="23" spans="1:5">
      <c r="A23" s="68">
        <v>0.31676900000000002</v>
      </c>
      <c r="B23" s="68">
        <v>0.38139899999999999</v>
      </c>
      <c r="C23" s="68">
        <v>8.5268200000000007</v>
      </c>
      <c r="D23" s="68">
        <v>1</v>
      </c>
      <c r="E23" s="68" t="s">
        <v>375</v>
      </c>
    </row>
    <row r="24" spans="1:5">
      <c r="A24" s="68">
        <v>0.32048100000000002</v>
      </c>
      <c r="B24" s="68">
        <v>0.37591799999999997</v>
      </c>
      <c r="C24" s="68">
        <v>8.9340700000000002</v>
      </c>
      <c r="D24" s="68">
        <v>1</v>
      </c>
      <c r="E24" s="68" t="s">
        <v>376</v>
      </c>
    </row>
    <row r="25" spans="1:5">
      <c r="A25" s="68">
        <v>0.32436999999999999</v>
      </c>
      <c r="B25" s="68">
        <v>0.37011100000000002</v>
      </c>
      <c r="C25" s="68">
        <v>9.3433399999999995</v>
      </c>
      <c r="D25" s="68">
        <v>1</v>
      </c>
      <c r="E25" s="68" t="s">
        <v>377</v>
      </c>
    </row>
    <row r="26" spans="1:5">
      <c r="A26" s="68">
        <v>0.32808300000000001</v>
      </c>
      <c r="B26" s="68">
        <v>0.36440299999999998</v>
      </c>
      <c r="C26" s="68">
        <v>9.7479600000000008</v>
      </c>
      <c r="D26" s="68">
        <v>1</v>
      </c>
      <c r="E26" s="68" t="s">
        <v>378</v>
      </c>
    </row>
    <row r="27" spans="1:5">
      <c r="A27" s="68">
        <v>0.33124399999999998</v>
      </c>
      <c r="B27" s="68">
        <v>0.35901899999999998</v>
      </c>
      <c r="C27" s="68">
        <v>10.1569</v>
      </c>
      <c r="D27" s="68">
        <v>1</v>
      </c>
      <c r="E27" s="68" t="s">
        <v>379</v>
      </c>
    </row>
    <row r="28" spans="1:5">
      <c r="A28" s="68">
        <v>0.33384000000000003</v>
      </c>
      <c r="B28" s="68">
        <v>0.35392600000000002</v>
      </c>
      <c r="C28" s="68">
        <v>10.5646</v>
      </c>
      <c r="D28" s="68">
        <v>1</v>
      </c>
      <c r="E28" s="68" t="s">
        <v>380</v>
      </c>
    </row>
    <row r="29" spans="1:5">
      <c r="A29" s="68">
        <v>0.335698</v>
      </c>
      <c r="B29" s="68">
        <v>0.34901500000000002</v>
      </c>
      <c r="C29" s="68">
        <v>10.9696</v>
      </c>
      <c r="D29" s="68">
        <v>1</v>
      </c>
      <c r="E29" s="68" t="s">
        <v>381</v>
      </c>
    </row>
    <row r="30" spans="1:5">
      <c r="A30" s="68">
        <v>0.33712900000000001</v>
      </c>
      <c r="B30" s="68">
        <v>0.34499299999999999</v>
      </c>
      <c r="C30" s="68">
        <v>11.3725</v>
      </c>
      <c r="D30" s="68">
        <v>1</v>
      </c>
      <c r="E30" s="68" t="s">
        <v>382</v>
      </c>
    </row>
    <row r="31" spans="1:5">
      <c r="A31" s="68">
        <v>0.337953</v>
      </c>
      <c r="B31" s="68">
        <v>0.34079700000000002</v>
      </c>
      <c r="C31" s="68">
        <v>11.781499999999999</v>
      </c>
      <c r="D31" s="68">
        <v>1</v>
      </c>
      <c r="E31" s="68" t="s">
        <v>383</v>
      </c>
    </row>
    <row r="32" spans="1:5">
      <c r="A32" s="68">
        <v>0.338426</v>
      </c>
      <c r="B32" s="68">
        <v>0.33618399999999998</v>
      </c>
      <c r="C32" s="68">
        <v>12.1884</v>
      </c>
      <c r="D32" s="68">
        <v>1</v>
      </c>
      <c r="E32" s="68" t="s">
        <v>384</v>
      </c>
    </row>
    <row r="33" spans="1:5">
      <c r="A33" s="68">
        <v>0.33867799999999998</v>
      </c>
      <c r="B33" s="68">
        <v>0.331401</v>
      </c>
      <c r="C33" s="68">
        <v>12.5923</v>
      </c>
      <c r="D33" s="68">
        <v>1</v>
      </c>
      <c r="E33" s="68" t="s">
        <v>385</v>
      </c>
    </row>
    <row r="34" spans="1:5">
      <c r="A34" s="68">
        <v>0.33868599999999999</v>
      </c>
      <c r="B34" s="68">
        <v>0.32713300000000001</v>
      </c>
      <c r="C34" s="68">
        <v>12.9968</v>
      </c>
      <c r="D34" s="68">
        <v>1</v>
      </c>
      <c r="E34" s="68" t="s">
        <v>386</v>
      </c>
    </row>
    <row r="35" spans="1:5">
      <c r="A35" s="68">
        <v>0.33832899999999999</v>
      </c>
      <c r="B35" s="68">
        <v>0.32406499999999999</v>
      </c>
      <c r="C35" s="68">
        <v>13.4041</v>
      </c>
      <c r="D35" s="68">
        <v>1</v>
      </c>
      <c r="E35" s="68" t="s">
        <v>387</v>
      </c>
    </row>
    <row r="36" spans="1:5">
      <c r="A36" s="68">
        <v>0.33750799999999997</v>
      </c>
      <c r="B36" s="68">
        <v>0.32170100000000001</v>
      </c>
      <c r="C36" s="68">
        <v>13.8104</v>
      </c>
      <c r="D36" s="68">
        <v>1</v>
      </c>
      <c r="E36" s="68" t="s">
        <v>388</v>
      </c>
    </row>
    <row r="37" spans="1:5">
      <c r="A37" s="68">
        <v>0.33652500000000002</v>
      </c>
      <c r="B37" s="68">
        <v>0.31975700000000001</v>
      </c>
      <c r="C37" s="68">
        <v>14.2159</v>
      </c>
      <c r="D37" s="68">
        <v>1</v>
      </c>
      <c r="E37" s="68" t="s">
        <v>389</v>
      </c>
    </row>
    <row r="38" spans="1:5">
      <c r="A38" s="68">
        <v>0.335478</v>
      </c>
      <c r="B38" s="68">
        <v>0.31766800000000001</v>
      </c>
      <c r="C38" s="68">
        <v>14.6228</v>
      </c>
      <c r="D38" s="68">
        <v>1</v>
      </c>
      <c r="E38" s="68" t="s">
        <v>390</v>
      </c>
    </row>
    <row r="39" spans="1:5">
      <c r="A39" s="68">
        <v>0.334476</v>
      </c>
      <c r="B39" s="68">
        <v>0.316994</v>
      </c>
      <c r="C39" s="68">
        <v>15.030799999999999</v>
      </c>
      <c r="D39" s="68">
        <v>1</v>
      </c>
      <c r="E39" s="68" t="s">
        <v>391</v>
      </c>
    </row>
    <row r="40" spans="1:5">
      <c r="A40" s="68">
        <v>0.33351700000000001</v>
      </c>
      <c r="B40" s="68">
        <v>0.31722299999999998</v>
      </c>
      <c r="C40" s="68">
        <v>15.438700000000001</v>
      </c>
      <c r="D40" s="68">
        <v>1</v>
      </c>
      <c r="E40" s="68" t="s">
        <v>392</v>
      </c>
    </row>
    <row r="41" spans="1:5">
      <c r="A41" s="68">
        <v>0.33260600000000001</v>
      </c>
      <c r="B41" s="68">
        <v>0.31804100000000002</v>
      </c>
      <c r="C41" s="68">
        <v>15.842700000000001</v>
      </c>
      <c r="D41" s="68">
        <v>1</v>
      </c>
      <c r="E41" s="68" t="s">
        <v>393</v>
      </c>
    </row>
    <row r="42" spans="1:5">
      <c r="A42" s="68">
        <v>0.33138899999999999</v>
      </c>
      <c r="B42" s="68">
        <v>0.32017000000000001</v>
      </c>
      <c r="C42" s="68">
        <v>16.249500000000001</v>
      </c>
      <c r="D42" s="68">
        <v>1</v>
      </c>
      <c r="E42" s="68" t="s">
        <v>394</v>
      </c>
    </row>
    <row r="43" spans="1:5">
      <c r="A43" s="68">
        <v>0.33013799999999999</v>
      </c>
      <c r="B43" s="68">
        <v>0.32209300000000002</v>
      </c>
      <c r="C43" s="68">
        <v>16.656700000000001</v>
      </c>
      <c r="D43" s="68">
        <v>1</v>
      </c>
      <c r="E43" s="68" t="s">
        <v>395</v>
      </c>
    </row>
    <row r="44" spans="1:5">
      <c r="A44" s="68">
        <v>0.32891599999999999</v>
      </c>
      <c r="B44" s="68">
        <v>0.32340000000000002</v>
      </c>
      <c r="C44" s="68">
        <v>17.061299999999999</v>
      </c>
      <c r="D44" s="68">
        <v>1</v>
      </c>
      <c r="E44" s="68" t="s">
        <v>396</v>
      </c>
    </row>
    <row r="45" spans="1:5">
      <c r="A45" s="68">
        <v>0.327538</v>
      </c>
      <c r="B45" s="68">
        <v>0.32564700000000002</v>
      </c>
      <c r="C45" s="68">
        <v>17.468399999999999</v>
      </c>
      <c r="D45" s="68">
        <v>1</v>
      </c>
      <c r="E45" s="68" t="s">
        <v>397</v>
      </c>
    </row>
    <row r="46" spans="1:5">
      <c r="A46" s="68">
        <v>0.32636599999999999</v>
      </c>
      <c r="B46" s="68">
        <v>0.327874</v>
      </c>
      <c r="C46" s="68">
        <v>17.8751</v>
      </c>
      <c r="D46" s="68">
        <v>1</v>
      </c>
      <c r="E46" s="68" t="s">
        <v>398</v>
      </c>
    </row>
    <row r="47" spans="1:5">
      <c r="A47" s="68">
        <v>0.32525900000000002</v>
      </c>
      <c r="B47" s="68">
        <v>0.33022099999999999</v>
      </c>
      <c r="C47" s="68">
        <v>18.280999999999999</v>
      </c>
      <c r="D47" s="68">
        <v>1</v>
      </c>
      <c r="E47" s="68" t="s">
        <v>399</v>
      </c>
    </row>
    <row r="48" spans="1:5">
      <c r="A48" s="68">
        <v>0.32362999999999997</v>
      </c>
      <c r="B48" s="68">
        <v>0.333119</v>
      </c>
      <c r="C48" s="68">
        <v>18.684999999999999</v>
      </c>
      <c r="D48" s="68">
        <v>1</v>
      </c>
      <c r="E48" s="68" t="s">
        <v>400</v>
      </c>
    </row>
    <row r="49" spans="1:5">
      <c r="A49" s="68">
        <v>0.32202700000000001</v>
      </c>
      <c r="B49" s="68">
        <v>0.33537499999999998</v>
      </c>
      <c r="C49" s="68">
        <v>19.097799999999999</v>
      </c>
      <c r="D49" s="68">
        <v>1</v>
      </c>
      <c r="E49" s="68" t="s">
        <v>401</v>
      </c>
    </row>
    <row r="50" spans="1:5">
      <c r="A50" s="68">
        <v>0.32000600000000001</v>
      </c>
      <c r="B50" s="68">
        <v>0.33782600000000002</v>
      </c>
      <c r="C50" s="68">
        <v>19.4953</v>
      </c>
      <c r="D50" s="68">
        <v>1</v>
      </c>
      <c r="E50" s="68" t="s">
        <v>402</v>
      </c>
    </row>
    <row r="51" spans="1:5">
      <c r="A51" s="68">
        <v>0.31769900000000001</v>
      </c>
      <c r="B51" s="68">
        <v>0.34060099999999999</v>
      </c>
      <c r="C51" s="68">
        <v>19.907699999999998</v>
      </c>
      <c r="D51" s="68">
        <v>1</v>
      </c>
      <c r="E51" s="68" t="s">
        <v>403</v>
      </c>
    </row>
    <row r="52" spans="1:5">
      <c r="A52" s="68">
        <v>0.31565100000000001</v>
      </c>
      <c r="B52" s="68">
        <v>0.34290900000000002</v>
      </c>
      <c r="C52" s="68">
        <v>20.3126</v>
      </c>
      <c r="D52" s="68">
        <v>1</v>
      </c>
      <c r="E52" s="68" t="s">
        <v>404</v>
      </c>
    </row>
    <row r="53" spans="1:5">
      <c r="A53" s="68">
        <v>0.31396400000000002</v>
      </c>
      <c r="B53" s="68">
        <v>0.34498000000000001</v>
      </c>
      <c r="C53" s="68">
        <v>20.712599999999998</v>
      </c>
      <c r="D53" s="68">
        <v>1</v>
      </c>
      <c r="E53" s="68" t="s">
        <v>405</v>
      </c>
    </row>
    <row r="54" spans="1:5">
      <c r="A54" s="68">
        <v>0.31281900000000001</v>
      </c>
      <c r="B54" s="68">
        <v>0.34633000000000003</v>
      </c>
      <c r="C54" s="68">
        <v>21.122499999999999</v>
      </c>
      <c r="D54" s="68">
        <v>1</v>
      </c>
      <c r="E54" s="68" t="s">
        <v>406</v>
      </c>
    </row>
    <row r="55" spans="1:5">
      <c r="A55" s="68">
        <v>0.31206200000000001</v>
      </c>
      <c r="B55" s="68">
        <v>0.34765299999999999</v>
      </c>
      <c r="C55" s="68">
        <v>21.5304</v>
      </c>
      <c r="D55" s="68">
        <v>1</v>
      </c>
      <c r="E55" s="68" t="s">
        <v>407</v>
      </c>
    </row>
    <row r="56" spans="1:5">
      <c r="A56" s="68">
        <v>0.31179499999999999</v>
      </c>
      <c r="B56" s="68">
        <v>0.34888599999999997</v>
      </c>
      <c r="C56" s="68">
        <v>21.935600000000001</v>
      </c>
      <c r="D56" s="68">
        <v>1</v>
      </c>
      <c r="E56" s="68" t="s">
        <v>408</v>
      </c>
    </row>
    <row r="57" spans="1:5">
      <c r="A57" s="68">
        <v>0.31186199999999997</v>
      </c>
      <c r="B57" s="68">
        <v>0.35027399999999997</v>
      </c>
      <c r="C57" s="68">
        <v>22.345300000000002</v>
      </c>
      <c r="D57" s="68">
        <v>1</v>
      </c>
      <c r="E57" s="68" t="s">
        <v>409</v>
      </c>
    </row>
    <row r="58" spans="1:5">
      <c r="A58" s="68">
        <v>0.31205500000000003</v>
      </c>
      <c r="B58" s="68">
        <v>0.351406</v>
      </c>
      <c r="C58" s="68">
        <v>22.752099999999999</v>
      </c>
      <c r="D58" s="68">
        <v>1</v>
      </c>
      <c r="E58" s="68" t="s">
        <v>410</v>
      </c>
    </row>
    <row r="59" spans="1:5">
      <c r="A59" s="68">
        <v>0.31245299999999998</v>
      </c>
      <c r="B59" s="68">
        <v>0.35242899999999999</v>
      </c>
      <c r="C59" s="68">
        <v>23.155999999999999</v>
      </c>
      <c r="D59" s="68">
        <v>1</v>
      </c>
      <c r="E59" s="68" t="s">
        <v>411</v>
      </c>
    </row>
    <row r="60" spans="1:5">
      <c r="A60" s="68">
        <v>0.31300299999999998</v>
      </c>
      <c r="B60" s="68">
        <v>0.353302</v>
      </c>
      <c r="C60" s="68">
        <v>23.560199999999998</v>
      </c>
      <c r="D60" s="68">
        <v>1</v>
      </c>
      <c r="E60" s="68" t="s">
        <v>412</v>
      </c>
    </row>
    <row r="61" spans="1:5">
      <c r="A61" s="68">
        <v>0.31360900000000003</v>
      </c>
      <c r="B61" s="68">
        <v>0.35380299999999998</v>
      </c>
      <c r="C61" s="68">
        <v>23.966899999999999</v>
      </c>
      <c r="D61" s="68">
        <v>1</v>
      </c>
      <c r="E61" s="68" t="s">
        <v>413</v>
      </c>
    </row>
    <row r="62" spans="1:5">
      <c r="A62" s="68">
        <v>0.31450600000000001</v>
      </c>
      <c r="B62" s="68">
        <v>0.353271</v>
      </c>
      <c r="C62" s="68">
        <v>24.370999999999999</v>
      </c>
      <c r="D62" s="68">
        <v>1</v>
      </c>
      <c r="E62" s="68" t="s">
        <v>414</v>
      </c>
    </row>
    <row r="63" spans="1:5">
      <c r="A63" s="68">
        <v>0.3155</v>
      </c>
      <c r="B63" s="68">
        <v>0.353379</v>
      </c>
      <c r="C63" s="68">
        <v>24.7807</v>
      </c>
      <c r="D63" s="68">
        <v>1</v>
      </c>
      <c r="E63" s="68" t="s">
        <v>415</v>
      </c>
    </row>
    <row r="64" spans="1:5">
      <c r="A64" s="68">
        <v>0.31633299999999998</v>
      </c>
      <c r="B64" s="68">
        <v>0.35369099999999998</v>
      </c>
      <c r="C64" s="68">
        <v>25.186599999999999</v>
      </c>
      <c r="D64" s="68">
        <v>1</v>
      </c>
      <c r="E64" s="68" t="s">
        <v>416</v>
      </c>
    </row>
    <row r="65" spans="1:5">
      <c r="A65" s="68">
        <v>0.31711899999999998</v>
      </c>
      <c r="B65" s="68">
        <v>0.35388799999999998</v>
      </c>
      <c r="C65" s="68">
        <v>25.592700000000001</v>
      </c>
      <c r="D65" s="68">
        <v>1</v>
      </c>
      <c r="E65" s="68" t="s">
        <v>417</v>
      </c>
    </row>
    <row r="66" spans="1:5">
      <c r="A66" s="68">
        <v>0.31771199999999999</v>
      </c>
      <c r="B66" s="68">
        <v>0.35418100000000002</v>
      </c>
      <c r="C66" s="68">
        <v>25.994499999999999</v>
      </c>
      <c r="D66" s="68">
        <v>1</v>
      </c>
      <c r="E66" s="68" t="s">
        <v>418</v>
      </c>
    </row>
    <row r="67" spans="1:5">
      <c r="A67" s="68">
        <v>0.318382</v>
      </c>
      <c r="B67" s="68">
        <v>0.35450999999999999</v>
      </c>
      <c r="C67" s="68">
        <v>26.404299999999999</v>
      </c>
      <c r="D67" s="68">
        <v>1</v>
      </c>
      <c r="E67" s="68" t="s">
        <v>419</v>
      </c>
    </row>
    <row r="68" spans="1:5">
      <c r="A68" s="68">
        <v>0.31893300000000002</v>
      </c>
      <c r="B68" s="68">
        <v>0.35469800000000001</v>
      </c>
      <c r="C68" s="68">
        <v>26.8123</v>
      </c>
      <c r="D68" s="68">
        <v>1</v>
      </c>
      <c r="E68" s="68" t="s">
        <v>420</v>
      </c>
    </row>
    <row r="69" spans="1:5">
      <c r="A69" s="68">
        <v>0.31952999999999998</v>
      </c>
      <c r="B69" s="68">
        <v>0.35442899999999999</v>
      </c>
      <c r="C69" s="68">
        <v>27.220199999999998</v>
      </c>
      <c r="D69" s="68">
        <v>1</v>
      </c>
      <c r="E69" s="68" t="s">
        <v>421</v>
      </c>
    </row>
    <row r="70" spans="1:5">
      <c r="A70" s="68">
        <v>0.32053300000000001</v>
      </c>
      <c r="B70" s="68">
        <v>0.35436099999999998</v>
      </c>
      <c r="C70" s="68">
        <v>27.624400000000001</v>
      </c>
      <c r="D70" s="68">
        <v>1</v>
      </c>
      <c r="E70" s="68" t="s">
        <v>422</v>
      </c>
    </row>
    <row r="71" spans="1:5">
      <c r="A71" s="68">
        <v>0.32170799999999999</v>
      </c>
      <c r="B71" s="68">
        <v>0.354466</v>
      </c>
      <c r="C71" s="68">
        <v>28.0275</v>
      </c>
      <c r="D71" s="68">
        <v>1</v>
      </c>
      <c r="E71" s="68" t="s">
        <v>423</v>
      </c>
    </row>
    <row r="72" spans="1:5">
      <c r="A72" s="68">
        <v>0.32278899999999999</v>
      </c>
      <c r="B72" s="68">
        <v>0.35455199999999998</v>
      </c>
      <c r="C72" s="68">
        <v>28.432200000000002</v>
      </c>
      <c r="D72" s="68">
        <v>1</v>
      </c>
      <c r="E72" s="68" t="s">
        <v>424</v>
      </c>
    </row>
    <row r="73" spans="1:5">
      <c r="A73" s="68">
        <v>0.323936</v>
      </c>
      <c r="B73" s="68">
        <v>0.35477500000000001</v>
      </c>
      <c r="C73" s="68">
        <v>28.84</v>
      </c>
      <c r="D73" s="68">
        <v>1</v>
      </c>
      <c r="E73" s="68" t="s">
        <v>425</v>
      </c>
    </row>
    <row r="74" spans="1:5">
      <c r="A74" s="68">
        <v>0.32508300000000001</v>
      </c>
      <c r="B74" s="68">
        <v>0.35603400000000002</v>
      </c>
      <c r="C74" s="68">
        <v>29.251200000000001</v>
      </c>
      <c r="D74" s="68">
        <v>1</v>
      </c>
      <c r="E74" s="68" t="s">
        <v>426</v>
      </c>
    </row>
    <row r="75" spans="1:5">
      <c r="A75" s="68">
        <v>0.32577800000000001</v>
      </c>
      <c r="B75" s="68">
        <v>0.35802400000000001</v>
      </c>
      <c r="C75" s="68">
        <v>29.654699999999998</v>
      </c>
      <c r="D75" s="68">
        <v>1</v>
      </c>
      <c r="E75" s="68" t="s">
        <v>427</v>
      </c>
    </row>
    <row r="76" spans="1:5">
      <c r="A76" s="68">
        <v>0.326212</v>
      </c>
      <c r="B76" s="68">
        <v>0.35972300000000001</v>
      </c>
      <c r="C76" s="68">
        <v>30.0627</v>
      </c>
      <c r="D76" s="68">
        <v>2</v>
      </c>
      <c r="E76" s="68" t="s">
        <v>428</v>
      </c>
    </row>
    <row r="77" spans="1:5">
      <c r="A77" s="68">
        <v>0.32656099999999999</v>
      </c>
      <c r="B77" s="68">
        <v>0.361875</v>
      </c>
      <c r="C77" s="68">
        <v>30.465499999999999</v>
      </c>
      <c r="D77" s="68">
        <v>2</v>
      </c>
      <c r="E77" s="68" t="s">
        <v>429</v>
      </c>
    </row>
    <row r="78" spans="1:5">
      <c r="A78" s="68">
        <v>0.32693499999999998</v>
      </c>
      <c r="B78" s="68">
        <v>0.363927</v>
      </c>
      <c r="C78" s="68">
        <v>30.874500000000001</v>
      </c>
      <c r="D78" s="68">
        <v>2</v>
      </c>
      <c r="E78" s="68" t="s">
        <v>430</v>
      </c>
    </row>
    <row r="79" spans="1:5">
      <c r="A79" s="68">
        <v>0.32729799999999998</v>
      </c>
      <c r="B79" s="68">
        <v>0.36521199999999998</v>
      </c>
      <c r="C79" s="68">
        <v>31.279599999999999</v>
      </c>
      <c r="D79" s="68">
        <v>2</v>
      </c>
      <c r="E79" s="68" t="s">
        <v>431</v>
      </c>
    </row>
    <row r="80" spans="1:5">
      <c r="A80" s="68">
        <v>0.327984</v>
      </c>
      <c r="B80" s="68">
        <v>0.36600100000000002</v>
      </c>
      <c r="C80" s="68">
        <v>31.687200000000001</v>
      </c>
      <c r="D80" s="68">
        <v>2</v>
      </c>
      <c r="E80" s="68" t="s">
        <v>432</v>
      </c>
    </row>
    <row r="81" spans="1:5">
      <c r="A81" s="68">
        <v>0.32894800000000002</v>
      </c>
      <c r="B81" s="68">
        <v>0.367178</v>
      </c>
      <c r="C81" s="68">
        <v>32.095300000000002</v>
      </c>
      <c r="D81" s="68">
        <v>2</v>
      </c>
      <c r="E81" s="68" t="s">
        <v>433</v>
      </c>
    </row>
    <row r="82" spans="1:5">
      <c r="A82" s="68">
        <v>0.32993899999999998</v>
      </c>
      <c r="B82" s="68">
        <v>0.36935800000000002</v>
      </c>
      <c r="C82" s="68">
        <v>32.5</v>
      </c>
      <c r="D82" s="68">
        <v>2</v>
      </c>
      <c r="E82" s="68" t="s">
        <v>434</v>
      </c>
    </row>
    <row r="83" spans="1:5">
      <c r="A83" s="68">
        <v>0.33116200000000001</v>
      </c>
      <c r="B83" s="68">
        <v>0.37140600000000001</v>
      </c>
      <c r="C83" s="68">
        <v>32.905900000000003</v>
      </c>
      <c r="D83" s="68">
        <v>2</v>
      </c>
      <c r="E83" s="68" t="s">
        <v>435</v>
      </c>
    </row>
    <row r="84" spans="1:5">
      <c r="A84" s="68">
        <v>0.332783</v>
      </c>
      <c r="B84" s="68">
        <v>0.373087</v>
      </c>
      <c r="C84" s="68">
        <v>33.311999999999998</v>
      </c>
      <c r="D84" s="68">
        <v>2</v>
      </c>
      <c r="E84" s="68" t="s">
        <v>436</v>
      </c>
    </row>
    <row r="85" spans="1:5">
      <c r="A85" s="68">
        <v>0.334843</v>
      </c>
      <c r="B85" s="68">
        <v>0.37429200000000001</v>
      </c>
      <c r="C85" s="68">
        <v>33.716799999999999</v>
      </c>
      <c r="D85" s="68">
        <v>2</v>
      </c>
      <c r="E85" s="68" t="s">
        <v>437</v>
      </c>
    </row>
    <row r="86" spans="1:5">
      <c r="A86" s="68">
        <v>0.33730700000000002</v>
      </c>
      <c r="B86" s="68">
        <v>0.37498199999999998</v>
      </c>
      <c r="C86" s="68">
        <v>34.122700000000002</v>
      </c>
      <c r="D86" s="68">
        <v>2</v>
      </c>
      <c r="E86" s="68" t="s">
        <v>438</v>
      </c>
    </row>
    <row r="87" spans="1:5">
      <c r="A87" s="68">
        <v>0.33992099999999997</v>
      </c>
      <c r="B87" s="68">
        <v>0.37645000000000001</v>
      </c>
      <c r="C87" s="68">
        <v>34.532600000000002</v>
      </c>
      <c r="D87" s="68">
        <v>2</v>
      </c>
      <c r="E87" s="68" t="s">
        <v>439</v>
      </c>
    </row>
    <row r="88" spans="1:5">
      <c r="A88" s="68">
        <v>0.34265400000000001</v>
      </c>
      <c r="B88" s="68">
        <v>0.37801099999999999</v>
      </c>
      <c r="C88" s="68">
        <v>34.935499999999998</v>
      </c>
      <c r="D88" s="68">
        <v>2</v>
      </c>
      <c r="E88" s="68" t="s">
        <v>440</v>
      </c>
    </row>
    <row r="89" spans="1:5">
      <c r="A89" s="68">
        <v>0.34520800000000001</v>
      </c>
      <c r="B89" s="68">
        <v>0.37981300000000001</v>
      </c>
      <c r="C89" s="68">
        <v>35.340400000000002</v>
      </c>
      <c r="D89" s="68">
        <v>2</v>
      </c>
      <c r="E89" s="68" t="s">
        <v>441</v>
      </c>
    </row>
    <row r="90" spans="1:5">
      <c r="A90" s="68">
        <v>0.34768700000000002</v>
      </c>
      <c r="B90" s="68">
        <v>0.38167200000000001</v>
      </c>
      <c r="C90" s="68">
        <v>35.747399999999999</v>
      </c>
      <c r="D90" s="68">
        <v>2</v>
      </c>
      <c r="E90" s="68" t="s">
        <v>442</v>
      </c>
    </row>
    <row r="91" spans="1:5">
      <c r="A91" s="68">
        <v>0.35008400000000001</v>
      </c>
      <c r="B91" s="68">
        <v>0.38339800000000002</v>
      </c>
      <c r="C91" s="68">
        <v>36.154200000000003</v>
      </c>
      <c r="D91" s="68">
        <v>2</v>
      </c>
      <c r="E91" s="68" t="s">
        <v>443</v>
      </c>
    </row>
    <row r="92" spans="1:5">
      <c r="A92" s="68">
        <v>0.35244599999999998</v>
      </c>
      <c r="B92" s="68">
        <v>0.385245</v>
      </c>
      <c r="C92" s="68">
        <v>36.558100000000003</v>
      </c>
      <c r="D92" s="68">
        <v>2</v>
      </c>
      <c r="E92" s="68" t="s">
        <v>444</v>
      </c>
    </row>
    <row r="93" spans="1:5">
      <c r="A93" s="68">
        <v>0.35492000000000001</v>
      </c>
      <c r="B93" s="68">
        <v>0.38712099999999999</v>
      </c>
      <c r="C93" s="68">
        <v>36.966099999999997</v>
      </c>
      <c r="D93" s="68">
        <v>2</v>
      </c>
      <c r="E93" s="68" t="s">
        <v>445</v>
      </c>
    </row>
    <row r="94" spans="1:5">
      <c r="A94" s="68">
        <v>0.357375</v>
      </c>
      <c r="B94" s="68">
        <v>0.389152</v>
      </c>
      <c r="C94" s="68">
        <v>37.376300000000001</v>
      </c>
      <c r="D94" s="68">
        <v>2</v>
      </c>
      <c r="E94" s="68" t="s">
        <v>446</v>
      </c>
    </row>
    <row r="95" spans="1:5">
      <c r="A95" s="68">
        <v>0.359902</v>
      </c>
      <c r="B95" s="68">
        <v>0.39032</v>
      </c>
      <c r="C95" s="68">
        <v>37.779899999999998</v>
      </c>
      <c r="D95" s="68">
        <v>2</v>
      </c>
      <c r="E95" s="68" t="s">
        <v>447</v>
      </c>
    </row>
    <row r="96" spans="1:5">
      <c r="A96" s="68">
        <v>0.36244799999999999</v>
      </c>
      <c r="B96" s="68">
        <v>0.39174799999999999</v>
      </c>
      <c r="C96" s="68">
        <v>38.184800000000003</v>
      </c>
      <c r="D96" s="68">
        <v>2</v>
      </c>
      <c r="E96" s="68" t="s">
        <v>448</v>
      </c>
    </row>
    <row r="97" spans="1:5">
      <c r="A97" s="68">
        <v>0.36531799999999998</v>
      </c>
      <c r="B97" s="68">
        <v>0.39235199999999998</v>
      </c>
      <c r="C97" s="68">
        <v>38.590800000000002</v>
      </c>
      <c r="D97" s="68">
        <v>2</v>
      </c>
      <c r="E97" s="68" t="s">
        <v>449</v>
      </c>
    </row>
    <row r="98" spans="1:5">
      <c r="A98" s="68">
        <v>0.36832599999999999</v>
      </c>
      <c r="B98" s="68">
        <v>0.39316499999999999</v>
      </c>
      <c r="C98" s="68">
        <v>38.998699999999999</v>
      </c>
      <c r="D98" s="68">
        <v>2</v>
      </c>
      <c r="E98" s="68" t="s">
        <v>450</v>
      </c>
    </row>
    <row r="99" spans="1:5">
      <c r="A99" s="68">
        <v>0.37139800000000001</v>
      </c>
      <c r="B99" s="68">
        <v>0.39297900000000002</v>
      </c>
      <c r="C99" s="68">
        <v>39.405500000000004</v>
      </c>
      <c r="D99" s="68">
        <v>2</v>
      </c>
      <c r="E99" s="68" t="s">
        <v>451</v>
      </c>
    </row>
    <row r="100" spans="1:5">
      <c r="A100" s="68">
        <v>0.374552</v>
      </c>
      <c r="B100" s="68">
        <v>0.39377899999999999</v>
      </c>
      <c r="C100" s="68">
        <v>39.811900000000001</v>
      </c>
      <c r="D100" s="68">
        <v>2</v>
      </c>
      <c r="E100" s="68" t="s">
        <v>452</v>
      </c>
    </row>
    <row r="101" spans="1:5">
      <c r="A101" s="68">
        <v>0.37765900000000002</v>
      </c>
      <c r="B101" s="68">
        <v>0.394735</v>
      </c>
      <c r="C101" s="68">
        <v>40.217399999999998</v>
      </c>
      <c r="D101" s="68">
        <v>2</v>
      </c>
      <c r="E101" s="68" t="s">
        <v>453</v>
      </c>
    </row>
    <row r="102" spans="1:5">
      <c r="A102" s="68">
        <v>0.38079800000000003</v>
      </c>
      <c r="B102" s="68">
        <v>0.39610400000000001</v>
      </c>
      <c r="C102" s="68">
        <v>40.624400000000001</v>
      </c>
      <c r="D102" s="68">
        <v>2</v>
      </c>
      <c r="E102" s="68" t="s">
        <v>454</v>
      </c>
    </row>
    <row r="103" spans="1:5">
      <c r="A103" s="68">
        <v>0.38378800000000002</v>
      </c>
      <c r="B103" s="68">
        <v>0.39752599999999999</v>
      </c>
      <c r="C103" s="68">
        <v>41.029200000000003</v>
      </c>
      <c r="D103" s="68">
        <v>2</v>
      </c>
      <c r="E103" s="68" t="s">
        <v>455</v>
      </c>
    </row>
    <row r="104" spans="1:5">
      <c r="A104" s="68">
        <v>0.38628499999999999</v>
      </c>
      <c r="B104" s="68">
        <v>0.39943400000000001</v>
      </c>
      <c r="C104" s="68">
        <v>41.437100000000001</v>
      </c>
      <c r="D104" s="68">
        <v>2</v>
      </c>
      <c r="E104" s="68" t="s">
        <v>456</v>
      </c>
    </row>
    <row r="105" spans="1:5">
      <c r="A105" s="68">
        <v>0.38817400000000002</v>
      </c>
      <c r="B105" s="68">
        <v>0.40034700000000001</v>
      </c>
      <c r="C105" s="68">
        <v>41.845999999999997</v>
      </c>
      <c r="D105" s="68">
        <v>2</v>
      </c>
      <c r="E105" s="68" t="s">
        <v>457</v>
      </c>
    </row>
    <row r="106" spans="1:5">
      <c r="A106" s="68">
        <v>0.38966800000000001</v>
      </c>
      <c r="B106" s="68">
        <v>0.40018700000000001</v>
      </c>
      <c r="C106" s="68">
        <v>42.247100000000003</v>
      </c>
      <c r="D106" s="68">
        <v>2</v>
      </c>
      <c r="E106" s="68" t="s">
        <v>458</v>
      </c>
    </row>
    <row r="107" spans="1:5">
      <c r="A107" s="68">
        <v>0.39093899999999998</v>
      </c>
      <c r="B107" s="68">
        <v>0.398866</v>
      </c>
      <c r="C107" s="68">
        <v>42.654899999999998</v>
      </c>
      <c r="D107" s="68">
        <v>2</v>
      </c>
      <c r="E107" s="68" t="s">
        <v>459</v>
      </c>
    </row>
    <row r="108" spans="1:5">
      <c r="A108" s="68">
        <v>0.39192100000000002</v>
      </c>
      <c r="B108" s="68">
        <v>0.39716400000000002</v>
      </c>
      <c r="C108" s="68">
        <v>43.063800000000001</v>
      </c>
      <c r="D108" s="68">
        <v>2</v>
      </c>
      <c r="E108" s="68" t="s">
        <v>460</v>
      </c>
    </row>
    <row r="109" spans="1:5">
      <c r="A109" s="68">
        <v>0.39253100000000002</v>
      </c>
      <c r="B109" s="68">
        <v>0.39449400000000001</v>
      </c>
      <c r="C109" s="68">
        <v>43.462800000000001</v>
      </c>
      <c r="D109" s="68">
        <v>2</v>
      </c>
      <c r="E109" s="68" t="s">
        <v>461</v>
      </c>
    </row>
    <row r="110" spans="1:5">
      <c r="A110" s="68">
        <v>0.392706</v>
      </c>
      <c r="B110" s="68">
        <v>0.390847</v>
      </c>
      <c r="C110" s="68">
        <v>43.871899999999997</v>
      </c>
      <c r="D110" s="68">
        <v>2</v>
      </c>
      <c r="E110" s="68" t="s">
        <v>462</v>
      </c>
    </row>
    <row r="111" spans="1:5">
      <c r="A111" s="68">
        <v>0.392517</v>
      </c>
      <c r="B111" s="68">
        <v>0.387096</v>
      </c>
      <c r="C111" s="68">
        <v>44.281500000000001</v>
      </c>
      <c r="D111" s="68">
        <v>2</v>
      </c>
      <c r="E111" s="68" t="s">
        <v>463</v>
      </c>
    </row>
    <row r="112" spans="1:5">
      <c r="A112" s="68">
        <v>0.392017</v>
      </c>
      <c r="B112" s="68">
        <v>0.38216899999999998</v>
      </c>
      <c r="C112" s="68">
        <v>44.687600000000003</v>
      </c>
      <c r="D112" s="68">
        <v>2</v>
      </c>
      <c r="E112" s="68" t="s">
        <v>464</v>
      </c>
    </row>
    <row r="113" spans="1:5">
      <c r="A113" s="68">
        <v>0.39120700000000003</v>
      </c>
      <c r="B113" s="68">
        <v>0.37670399999999998</v>
      </c>
      <c r="C113" s="68">
        <v>45.092300000000002</v>
      </c>
      <c r="D113" s="68">
        <v>2</v>
      </c>
      <c r="E113" s="68" t="s">
        <v>465</v>
      </c>
    </row>
    <row r="114" spans="1:5">
      <c r="A114" s="68">
        <v>0.390289</v>
      </c>
      <c r="B114" s="68">
        <v>0.370529</v>
      </c>
      <c r="C114" s="68">
        <v>45.499299999999998</v>
      </c>
      <c r="D114" s="68">
        <v>2</v>
      </c>
      <c r="E114" s="68" t="s">
        <v>466</v>
      </c>
    </row>
    <row r="115" spans="1:5">
      <c r="A115" s="68">
        <v>0.38928699999999999</v>
      </c>
      <c r="B115" s="68">
        <v>0.36452699999999999</v>
      </c>
      <c r="C115" s="68">
        <v>45.904499999999999</v>
      </c>
      <c r="D115" s="68">
        <v>2</v>
      </c>
      <c r="E115" s="68" t="s">
        <v>467</v>
      </c>
    </row>
    <row r="116" spans="1:5">
      <c r="A116" s="68">
        <v>0.38815300000000003</v>
      </c>
      <c r="B116" s="68">
        <v>0.35868299999999997</v>
      </c>
      <c r="C116" s="68">
        <v>46.310400000000001</v>
      </c>
      <c r="D116" s="68">
        <v>2</v>
      </c>
      <c r="E116" s="68" t="s">
        <v>468</v>
      </c>
    </row>
    <row r="117" spans="1:5">
      <c r="A117" s="68">
        <v>0.38695200000000002</v>
      </c>
      <c r="B117" s="68">
        <v>0.35287800000000002</v>
      </c>
      <c r="C117" s="68">
        <v>46.719099999999997</v>
      </c>
      <c r="D117" s="68">
        <v>2</v>
      </c>
      <c r="E117" s="68" t="s">
        <v>469</v>
      </c>
    </row>
    <row r="118" spans="1:5">
      <c r="A118" s="68">
        <v>0.38565300000000002</v>
      </c>
      <c r="B118" s="68">
        <v>0.34793600000000002</v>
      </c>
      <c r="C118" s="68">
        <v>47.120100000000001</v>
      </c>
      <c r="D118" s="68">
        <v>2</v>
      </c>
      <c r="E118" s="68" t="s">
        <v>470</v>
      </c>
    </row>
    <row r="119" spans="1:5">
      <c r="A119" s="68">
        <v>0.38434200000000002</v>
      </c>
      <c r="B119" s="68">
        <v>0.34349299999999999</v>
      </c>
      <c r="C119" s="68">
        <v>47.529899999999998</v>
      </c>
      <c r="D119" s="68">
        <v>2</v>
      </c>
      <c r="E119" s="68" t="s">
        <v>471</v>
      </c>
    </row>
    <row r="120" spans="1:5">
      <c r="A120" s="68">
        <v>0.382886</v>
      </c>
      <c r="B120" s="68">
        <v>0.33949299999999999</v>
      </c>
      <c r="C120" s="68">
        <v>47.936</v>
      </c>
      <c r="D120" s="68">
        <v>2</v>
      </c>
      <c r="E120" s="68" t="s">
        <v>472</v>
      </c>
    </row>
    <row r="121" spans="1:5">
      <c r="A121" s="68">
        <v>0.38131700000000002</v>
      </c>
      <c r="B121" s="68">
        <v>0.335928</v>
      </c>
      <c r="C121" s="68">
        <v>48.342799999999997</v>
      </c>
      <c r="D121" s="68">
        <v>2</v>
      </c>
      <c r="E121" s="68" t="s">
        <v>473</v>
      </c>
    </row>
    <row r="122" spans="1:5">
      <c r="A122" s="68">
        <v>0.37957999999999997</v>
      </c>
      <c r="B122" s="68">
        <v>0.33347399999999999</v>
      </c>
      <c r="C122" s="68">
        <v>48.746600000000001</v>
      </c>
      <c r="D122" s="68">
        <v>2</v>
      </c>
      <c r="E122" s="68" t="s">
        <v>474</v>
      </c>
    </row>
    <row r="123" spans="1:5">
      <c r="A123" s="68">
        <v>0.37765799999999999</v>
      </c>
      <c r="B123" s="68">
        <v>0.331455</v>
      </c>
      <c r="C123" s="68">
        <v>49.158499999999997</v>
      </c>
      <c r="D123" s="68">
        <v>2</v>
      </c>
      <c r="E123" s="68" t="s">
        <v>475</v>
      </c>
    </row>
    <row r="124" spans="1:5">
      <c r="A124" s="68">
        <v>0.375469</v>
      </c>
      <c r="B124" s="68">
        <v>0.33043</v>
      </c>
      <c r="C124" s="68">
        <v>49.561300000000003</v>
      </c>
      <c r="D124" s="68">
        <v>2</v>
      </c>
      <c r="E124" s="68" t="s">
        <v>476</v>
      </c>
    </row>
    <row r="125" spans="1:5">
      <c r="A125" s="68">
        <v>0.37355300000000002</v>
      </c>
      <c r="B125" s="68">
        <v>0.32978499999999999</v>
      </c>
      <c r="C125" s="68">
        <v>49.966299999999997</v>
      </c>
      <c r="D125" s="68">
        <v>2</v>
      </c>
      <c r="E125" s="68" t="s">
        <v>477</v>
      </c>
    </row>
    <row r="126" spans="1:5">
      <c r="A126" s="68">
        <v>0.37197599999999997</v>
      </c>
      <c r="B126" s="68">
        <v>0.32842700000000002</v>
      </c>
      <c r="C126" s="68">
        <v>50.3752</v>
      </c>
      <c r="D126" s="68">
        <v>2</v>
      </c>
      <c r="E126" s="68" t="s">
        <v>478</v>
      </c>
    </row>
    <row r="127" spans="1:5">
      <c r="A127" s="68">
        <v>0.37019400000000002</v>
      </c>
      <c r="B127" s="68">
        <v>0.32710099999999998</v>
      </c>
      <c r="C127" s="68">
        <v>50.780099999999997</v>
      </c>
      <c r="D127" s="68">
        <v>2</v>
      </c>
      <c r="E127" s="68" t="s">
        <v>479</v>
      </c>
    </row>
    <row r="128" spans="1:5">
      <c r="A128" s="68">
        <v>0.368392</v>
      </c>
      <c r="B128" s="68">
        <v>0.326409</v>
      </c>
      <c r="C128" s="68">
        <v>51.187199999999997</v>
      </c>
      <c r="D128" s="68">
        <v>2</v>
      </c>
      <c r="E128" s="68" t="s">
        <v>480</v>
      </c>
    </row>
    <row r="129" spans="1:5">
      <c r="A129" s="68">
        <v>0.36695499999999998</v>
      </c>
      <c r="B129" s="68">
        <v>0.32576899999999998</v>
      </c>
      <c r="C129" s="68">
        <v>51.594099999999997</v>
      </c>
      <c r="D129" s="68">
        <v>2</v>
      </c>
      <c r="E129" s="68" t="s">
        <v>481</v>
      </c>
    </row>
    <row r="130" spans="1:5">
      <c r="A130" s="68">
        <v>0.36592999999999998</v>
      </c>
      <c r="B130" s="68">
        <v>0.32558100000000001</v>
      </c>
      <c r="C130" s="68">
        <v>52.000799999999998</v>
      </c>
      <c r="D130" s="68">
        <v>2</v>
      </c>
      <c r="E130" s="68" t="s">
        <v>482</v>
      </c>
    </row>
    <row r="131" spans="1:5">
      <c r="A131" s="68">
        <v>0.36513400000000001</v>
      </c>
      <c r="B131" s="68">
        <v>0.32564399999999999</v>
      </c>
      <c r="C131" s="68">
        <v>52.405799999999999</v>
      </c>
      <c r="D131" s="68">
        <v>2</v>
      </c>
      <c r="E131" s="68" t="s">
        <v>483</v>
      </c>
    </row>
    <row r="132" spans="1:5">
      <c r="A132" s="68">
        <v>0.36452800000000002</v>
      </c>
      <c r="B132" s="68">
        <v>0.325797</v>
      </c>
      <c r="C132" s="68">
        <v>52.811700000000002</v>
      </c>
      <c r="D132" s="68">
        <v>2</v>
      </c>
      <c r="E132" s="68" t="s">
        <v>484</v>
      </c>
    </row>
    <row r="133" spans="1:5">
      <c r="A133" s="68">
        <v>0.36405599999999999</v>
      </c>
      <c r="B133" s="68">
        <v>0.32611699999999999</v>
      </c>
      <c r="C133" s="68">
        <v>53.217700000000001</v>
      </c>
      <c r="D133" s="68">
        <v>2</v>
      </c>
      <c r="E133" s="68" t="s">
        <v>485</v>
      </c>
    </row>
    <row r="134" spans="1:5">
      <c r="A134" s="68">
        <v>0.36371300000000001</v>
      </c>
      <c r="B134" s="68">
        <v>0.32681399999999999</v>
      </c>
      <c r="C134" s="68">
        <v>53.625500000000002</v>
      </c>
      <c r="D134" s="68">
        <v>2</v>
      </c>
      <c r="E134" s="68" t="s">
        <v>486</v>
      </c>
    </row>
    <row r="135" spans="1:5">
      <c r="A135" s="68">
        <v>0.36354900000000001</v>
      </c>
      <c r="B135" s="68">
        <v>0.32773999999999998</v>
      </c>
      <c r="C135" s="68">
        <v>54.0304</v>
      </c>
      <c r="D135" s="68">
        <v>2</v>
      </c>
      <c r="E135" s="68" t="s">
        <v>487</v>
      </c>
    </row>
    <row r="136" spans="1:5">
      <c r="A136" s="68">
        <v>0.36333399999999999</v>
      </c>
      <c r="B136" s="68">
        <v>0.32846900000000001</v>
      </c>
      <c r="C136" s="68">
        <v>54.436300000000003</v>
      </c>
      <c r="D136" s="68">
        <v>2</v>
      </c>
      <c r="E136" s="68" t="s">
        <v>488</v>
      </c>
    </row>
    <row r="137" spans="1:5">
      <c r="A137" s="68">
        <v>0.36306899999999998</v>
      </c>
      <c r="B137" s="68">
        <v>0.32976499999999997</v>
      </c>
      <c r="C137" s="68">
        <v>54.841299999999997</v>
      </c>
      <c r="D137" s="68">
        <v>2</v>
      </c>
      <c r="E137" s="68" t="s">
        <v>489</v>
      </c>
    </row>
    <row r="138" spans="1:5">
      <c r="A138" s="68">
        <v>0.36288999999999999</v>
      </c>
      <c r="B138" s="68">
        <v>0.33106799999999997</v>
      </c>
      <c r="C138" s="68">
        <v>55.247300000000003</v>
      </c>
      <c r="D138" s="68">
        <v>2</v>
      </c>
      <c r="E138" s="68" t="s">
        <v>490</v>
      </c>
    </row>
    <row r="139" spans="1:5">
      <c r="A139" s="68">
        <v>0.36301099999999997</v>
      </c>
      <c r="B139" s="68">
        <v>0.33332600000000001</v>
      </c>
      <c r="C139" s="68">
        <v>55.6571</v>
      </c>
      <c r="D139" s="68">
        <v>2</v>
      </c>
      <c r="E139" s="68" t="s">
        <v>491</v>
      </c>
    </row>
    <row r="140" spans="1:5">
      <c r="A140" s="68">
        <v>0.363174</v>
      </c>
      <c r="B140" s="68">
        <v>0.335785</v>
      </c>
      <c r="C140" s="68">
        <v>56.066000000000003</v>
      </c>
      <c r="D140" s="68">
        <v>2</v>
      </c>
      <c r="E140" s="68" t="s">
        <v>492</v>
      </c>
    </row>
    <row r="141" spans="1:5">
      <c r="A141" s="68">
        <v>0.36374899999999999</v>
      </c>
      <c r="B141" s="68">
        <v>0.33877600000000002</v>
      </c>
      <c r="C141" s="68">
        <v>56.469000000000001</v>
      </c>
      <c r="D141" s="68">
        <v>2</v>
      </c>
      <c r="E141" s="68" t="s">
        <v>493</v>
      </c>
    </row>
    <row r="142" spans="1:5">
      <c r="A142" s="68">
        <v>0.36437199999999997</v>
      </c>
      <c r="B142" s="68">
        <v>0.34166999999999997</v>
      </c>
      <c r="C142" s="68">
        <v>56.874899999999997</v>
      </c>
      <c r="D142" s="68">
        <v>2</v>
      </c>
      <c r="E142" s="68" t="s">
        <v>494</v>
      </c>
    </row>
    <row r="143" spans="1:5">
      <c r="A143" s="68">
        <v>0.36485299999999998</v>
      </c>
      <c r="B143" s="68">
        <v>0.34380500000000003</v>
      </c>
      <c r="C143" s="68">
        <v>57.277799999999999</v>
      </c>
      <c r="D143" s="68">
        <v>2</v>
      </c>
      <c r="E143" s="68" t="s">
        <v>495</v>
      </c>
    </row>
    <row r="144" spans="1:5">
      <c r="A144" s="68">
        <v>0.36513499999999999</v>
      </c>
      <c r="B144" s="68">
        <v>0.34613500000000003</v>
      </c>
      <c r="C144" s="68">
        <v>57.686700000000002</v>
      </c>
      <c r="D144" s="68">
        <v>2</v>
      </c>
      <c r="E144" s="68" t="s">
        <v>496</v>
      </c>
    </row>
    <row r="145" spans="1:5">
      <c r="A145" s="68">
        <v>0.36567899999999998</v>
      </c>
      <c r="B145" s="68">
        <v>0.34936099999999998</v>
      </c>
      <c r="C145" s="68">
        <v>58.090600000000002</v>
      </c>
      <c r="D145" s="68">
        <v>2</v>
      </c>
      <c r="E145" s="68" t="s">
        <v>497</v>
      </c>
    </row>
    <row r="146" spans="1:5">
      <c r="A146" s="68">
        <v>0.36640899999999998</v>
      </c>
      <c r="B146" s="68">
        <v>0.35193799999999997</v>
      </c>
      <c r="C146" s="68">
        <v>58.499299999999998</v>
      </c>
      <c r="D146" s="68">
        <v>2</v>
      </c>
      <c r="E146" s="68" t="s">
        <v>498</v>
      </c>
    </row>
    <row r="147" spans="1:5">
      <c r="A147" s="68">
        <v>0.36598700000000001</v>
      </c>
      <c r="B147" s="68">
        <v>0.35500199999999998</v>
      </c>
      <c r="C147" s="68">
        <v>58.9024</v>
      </c>
      <c r="D147" s="68">
        <v>2</v>
      </c>
      <c r="E147" s="68" t="s">
        <v>499</v>
      </c>
    </row>
    <row r="148" spans="1:5">
      <c r="A148" s="68">
        <v>0.36570000000000003</v>
      </c>
      <c r="B148" s="68">
        <v>0.35695399999999999</v>
      </c>
      <c r="C148" s="68">
        <v>59.312399999999997</v>
      </c>
      <c r="D148" s="68">
        <v>2</v>
      </c>
      <c r="E148" s="68" t="s">
        <v>500</v>
      </c>
    </row>
    <row r="149" spans="1:5">
      <c r="A149" s="68">
        <v>0.36727599999999999</v>
      </c>
      <c r="B149" s="68">
        <v>0.36179899999999998</v>
      </c>
      <c r="C149" s="68">
        <v>59.7194</v>
      </c>
      <c r="D149" s="68">
        <v>2</v>
      </c>
      <c r="E149" s="68" t="s">
        <v>501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351</v>
      </c>
      <c r="B1" s="66" t="s">
        <v>502</v>
      </c>
      <c r="C1" s="66" t="s">
        <v>504</v>
      </c>
      <c r="D1" s="66" t="s">
        <v>505</v>
      </c>
      <c r="E1" s="66" t="s">
        <v>506</v>
      </c>
      <c r="F1" s="66" t="s">
        <v>293</v>
      </c>
      <c r="G1" s="66" t="s">
        <v>294</v>
      </c>
      <c r="H1" s="66" t="s">
        <v>507</v>
      </c>
      <c r="I1" s="66" t="s">
        <v>508</v>
      </c>
      <c r="J1" s="66" t="s">
        <v>509</v>
      </c>
      <c r="K1" s="66" t="s">
        <v>510</v>
      </c>
      <c r="L1" s="66" t="s">
        <v>511</v>
      </c>
      <c r="M1" s="66" t="s">
        <v>512</v>
      </c>
      <c r="N1" s="66"/>
    </row>
    <row r="2" spans="1:14">
      <c r="A2" s="75">
        <v>43607.688993055555</v>
      </c>
      <c r="B2" s="66" t="s">
        <v>503</v>
      </c>
      <c r="C2" s="66"/>
      <c r="D2" s="66"/>
      <c r="E2" s="66">
        <v>4.9234099999999996</v>
      </c>
      <c r="F2" s="66">
        <v>1.7735300000000001</v>
      </c>
      <c r="G2" s="66">
        <v>0.63848499999999997</v>
      </c>
      <c r="H2" s="66">
        <v>0</v>
      </c>
      <c r="I2" s="66">
        <v>161897</v>
      </c>
      <c r="J2" s="66">
        <v>86</v>
      </c>
      <c r="K2" s="66">
        <v>86</v>
      </c>
      <c r="L2" s="66">
        <v>0</v>
      </c>
      <c r="M2" s="66" t="s">
        <v>513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2019-05-22T08:33:16Z</cp:lastPrinted>
  <dcterms:created xsi:type="dcterms:W3CDTF">2010-10-29T12:53:05Z</dcterms:created>
  <dcterms:modified xsi:type="dcterms:W3CDTF">2019-05-22T08:33:50Z</dcterms:modified>
</cp:coreProperties>
</file>