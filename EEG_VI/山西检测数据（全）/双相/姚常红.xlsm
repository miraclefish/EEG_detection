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Z17" i="23" s="1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G18" i="23" s="1"/>
  <c r="AH19" i="23"/>
  <c r="AH18" i="23"/>
  <c r="AF19" i="23"/>
  <c r="N7" i="23"/>
  <c r="X19" i="23" l="1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<sst xmlns="http://schemas.openxmlformats.org/spreadsheetml/2006/main" count="701" uniqueCount="521">
  <si>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</si>
  <si>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</si>
  <si>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</si>
  <si>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</si>
  <si>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</si>
  <si>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</si>
  <si>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</si>
  <si>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</si>
  <si>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</si>
  <si>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</si>
  <si>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</si>
  <si>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</si>
  <si>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</si>
  <si>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</si>
  <si>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</si>
  <si>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</si>
  <si>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</si>
  <si>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</si>
  <si>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</si>
  <si>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</si>
  <si>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</si>
  <si>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</si>
  <si>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</si>
  <si>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</si>
  <si>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</si>
  <si>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</si>
  <si>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</si>
  <si>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</si>
  <si>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</si>
  <si>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</si>
  <si>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</si>
  <si>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</si>
  <si>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</si>
  <si>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</si>
  <si>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</si>
  <si>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</si>
  <si>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</si>
  <si>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</si>
  <si>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</si>
  <si>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</si>
  <si>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</si>
  <si>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</si>
  <si>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</si>
  <si>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</si>
  <si>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</si>
  <si>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</si>
  <si>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</si>
  <si>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</si>
  <si>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</si>
  <si>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</si>
  <si>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</si>
  <si>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</si>
  <si>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</si>
  <si>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</si>
  <si>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</si>
  <si>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</si>
  <si>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</si>
  <si>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</si>
  <si>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</si>
  <si>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</si>
  <si>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</si>
  <si>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</si>
  <si>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</si>
  <si>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</si>
  <si>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</si>
  <si>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</si>
  <si>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</si>
  <si>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</si>
  <si>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</si>
  <si>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</si>
  <si>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</si>
  <si>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</si>
  <si>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</si>
  <si>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</si>
  <si>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</si>
  <si>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</si>
  <si>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</si>
  <si>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</si>
  <si>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</si>
  <si>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</si>
  <si>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</si>
  <si>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</si>
  <si>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</si>
  <si>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</si>
  <si>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</si>
  <si>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</si>
  <si>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</si>
  <si>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</si>
  <si>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</si>
  <si>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</si>
  <si>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</si>
  <si>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</si>
  <si>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</si>
  <si>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</si>
  <si>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</si>
  <si>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</si>
  <si>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</si>
  <si>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</si>
  <si>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</si>
  <si>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</si>
  <si>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</si>
  <si>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</si>
  <si>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</si>
  <si>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</si>
  <si>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</si>
  <si>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</si>
  <si>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</si>
  <si>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</si>
  <si>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</si>
  <si>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</si>
  <si>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</si>
  <si>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</si>
  <si>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</si>
  <si>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</si>
  <si>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</si>
  <si>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</si>
  <si>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</si>
  <si>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</si>
  <si>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</si>
  <si>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</si>
  <si>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</si>
  <si>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</si>
  <si>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</si>
  <si>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</si>
  <si>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</si>
  <si>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</si>
  <si>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</si>
  <si>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</si>
  <si>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</si>
  <si>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</si>
  <si>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</si>
  <si>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</si>
  <si>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</si>
  <si>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</si>
  <si>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</si>
  <si>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</si>
  <si>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</si>
  <si>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</si>
  <si>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</si>
  <si>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</si>
  <si>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</si>
  <si>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</si>
  <si>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</si>
  <si>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</si>
  <si>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</si>
  <si>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</si>
  <si>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</si>
  <si>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</si>
  <si>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</si>
  <si>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</si>
  <si>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</si>
  <si>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</si>
  <si>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</si>
  <si>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</si>
  <si>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</si>
  <si>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</si>
  <si>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</si>
  <si>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</si>
  <si>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</si>
  <si>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</si>
  <si>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</si>
  <si>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</si>
  <si>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</si>
  <si>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</si>
  <si>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</si>
  <si>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</si>
  <si>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</si>
  <si>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</si>
  <si>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</si>
  <si>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</si>
  <si>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</si>
  <si>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</si>
  <si>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</si>
  <si>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</si>
  <si>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</si>
  <si>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</si>
  <si>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</si>
  <si>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</si>
  <si>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</si>
  <si>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</si>
  <si>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</si>
  <si>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</si>
  <si>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</si>
  <si>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</si>
  <si>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</si>
  <si>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</si>
  <si>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</si>
  <si>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</si>
  <si>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</si>
  <si>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</si>
  <si>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</si>
  <si>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</si>
  <si>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</si>
  <si>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</si>
  <si>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</si>
  <si>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</si>
  <si>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</si>
  <si>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</si>
  <si>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</si>
  <si>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</si>
  <si>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</si>
  <si>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</si>
  <si>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</si>
  <si>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</si>
  <si>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</si>
  <si>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</si>
  <si>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</si>
  <si>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</si>
  <si>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</si>
  <si>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</si>
  <si>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</si>
  <si>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</si>
  <si>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</si>
  <si>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</si>
  <si>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</si>
  <si>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</si>
  <si>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</si>
  <si>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</si>
  <si>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</si>
  <si>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</si>
  <si>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</si>
  <si>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</si>
  <si>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</si>
  <si>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</si>
  <si>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</si>
  <si>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</si>
  <si>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</si>
  <si>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</si>
  <si>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</si>
  <si>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</si>
  <si>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</si>
  <si>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</si>
  <si>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</si>
  <si>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</si>
  <si>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</si>
  <si>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</si>
  <si>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</si>
  <si>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</si>
  <si>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</si>
  <si>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</si>
  <si>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</si>
  <si>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</si>
  <si>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</si>
  <si>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</si>
  <si>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</si>
  <si>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</si>
  <si>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</si>
  <si>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</si>
  <si>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</si>
  <si>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</si>
  <si>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</si>
  <si>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</si>
  <si>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</si>
  <si>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</si>
  <si>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</si>
  <si>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</si>
  <si>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</si>
  <si>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</si>
  <si>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</si>
  <si>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</si>
  <si>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</si>
  <si>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</si>
  <si>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</si>
  <si>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</si>
  <si>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</si>
  <si>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</si>
  <si>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</si>
  <si>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</si>
  <si>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</si>
  <si>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</si>
  <si>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</si>
  <si>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</si>
  <si>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</si>
  <si>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</si>
  <si>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</si>
  <si>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</si>
  <si>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</si>
  <si>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</si>
  <si>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</si>
  <si>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</si>
  <si>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</si>
  <si>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</si>
  <si>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</si>
  <si>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</si>
  <si>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</si>
  <si>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</si>
  <si>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</si>
  <si>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</si>
  <si>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</si>
  <si>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</si>
  <si>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</si>
  <si>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</si>
  <si>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</si>
  <si>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</si>
  <si>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</si>
  <si>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</si>
  <si>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</si>
  <si>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</si>
  <si>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</si>
  <si>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</si>
  <si>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</si>
  <si>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</si>
  <si>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</si>
  <si>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</si>
  <si>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</si>
  <si>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</si>
  <si>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</si>
  <si>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</si>
  <si>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</si>
  <si>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</si>
  <si>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</si>
  <si>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</si>
  <si>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</si>
  <si>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</si>
  <si>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</si>
  <si>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</si>
  <si>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</si>
  <si>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</si>
  <si>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</si>
  <si>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</si>
  <si>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</si>
  <si>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</si>
  <si>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</si>
  <si>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</si>
  <si>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</si>
  <si>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</si>
  <si>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</si>
  <si>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</si>
  <si>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</si>
  <si>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</si>
  <si>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</si>
  <si>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</si>
  <si>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</si>
  <si>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</si>
  <si>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</si>
  <si>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</si>
  <si>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</si>
  <si>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</si>
  <si>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</si>
  <si>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</si>
  <si>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</si>
  <si>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</si>
  <si>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</si>
  <si>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</si>
  <si>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</si>
  <si>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</si>
  <si>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S</t>
    <phoneticPr fontId="29" type="noConversion"/>
  </si>
  <si>
    <t>平衡(P16)</t>
    <phoneticPr fontId="29" type="noConversion"/>
  </si>
  <si>
    <t>A4 (fast)</t>
    <phoneticPr fontId="29" type="noConversion"/>
  </si>
  <si>
    <t>每秒输出帧率</t>
    <phoneticPr fontId="29" type="noConversion"/>
  </si>
  <si>
    <t>A1 (fast)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</si>
  <si>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</si>
  <si>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</si>
  <si>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</si>
  <si>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</si>
  <si>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</si>
  <si>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</si>
  <si>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</si>
  <si>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</si>
  <si>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[0.404814]</t>
  </si>
  <si>
    <t>1 [0.812775]</t>
  </si>
  <si>
    <t>1 [1.218634]</t>
  </si>
  <si>
    <t>1 [1.621543]</t>
  </si>
  <si>
    <t>1 [2.028511]</t>
  </si>
  <si>
    <t>1 [2.439407]</t>
  </si>
  <si>
    <t>1 [2.845383]</t>
  </si>
  <si>
    <t>1 [3.248178]</t>
  </si>
  <si>
    <t>1 [3.654150]</t>
  </si>
  <si>
    <t>1 [4.060135]</t>
  </si>
  <si>
    <t>1 [4.466953]</t>
  </si>
  <si>
    <t>1 [4.875457]</t>
  </si>
  <si>
    <t>1 [5.282830]</t>
  </si>
  <si>
    <t>1 [5.684703]</t>
  </si>
  <si>
    <t>1 [6.092224]</t>
  </si>
  <si>
    <t>1 [6.498513]</t>
  </si>
  <si>
    <t>1 [6.902589]</t>
  </si>
  <si>
    <t>1 [7.312335]</t>
  </si>
  <si>
    <t>1 [7.717260]</t>
  </si>
  <si>
    <t>1 [8.122165]</t>
  </si>
  <si>
    <t>1 [8.525675]</t>
  </si>
  <si>
    <t>1 [8.931940]</t>
  </si>
  <si>
    <t>1 [9.342017]</t>
  </si>
  <si>
    <t>1 [9.749832]</t>
  </si>
  <si>
    <t>1 [10.153719]</t>
  </si>
  <si>
    <t>1 [10.559824]</t>
  </si>
  <si>
    <t>1 [10.970541]</t>
  </si>
  <si>
    <t>1 [11.370450]</t>
  </si>
  <si>
    <t>1 [11.780394]</t>
  </si>
  <si>
    <t>1 [12.184357]</t>
  </si>
  <si>
    <t>1 [12.595362]</t>
  </si>
  <si>
    <t>1 [12.999162]</t>
  </si>
  <si>
    <t>1 [13.406155]</t>
  </si>
  <si>
    <t>1 [13.809967]</t>
  </si>
  <si>
    <t>1 [14.215963]</t>
  </si>
  <si>
    <t>1 [14.623880]</t>
  </si>
  <si>
    <t>1 [15.028802]</t>
  </si>
  <si>
    <t>1 [15.436660]</t>
  </si>
  <si>
    <t>1 [15.845637]</t>
  </si>
  <si>
    <t>1 [16.247465]</t>
  </si>
  <si>
    <t>1 [16.652406]</t>
  </si>
  <si>
    <t>1 [17.062344]</t>
  </si>
  <si>
    <t>1 [17.467351]</t>
  </si>
  <si>
    <t>1 [17.871233]</t>
  </si>
  <si>
    <t>1 [18.277103]</t>
  </si>
  <si>
    <t>1 [18.687977]</t>
  </si>
  <si>
    <t>1 [19.094932]</t>
  </si>
  <si>
    <t>1 [19.496768]</t>
  </si>
  <si>
    <t>1 [19.901949]</t>
  </si>
  <si>
    <t>1 [20.312659]</t>
  </si>
  <si>
    <t>1 [20.721523]</t>
  </si>
  <si>
    <t>1 [21.123443]</t>
  </si>
  <si>
    <t>1 [21.529374]</t>
  </si>
  <si>
    <t>1 [21.935525]</t>
  </si>
  <si>
    <t>1 [22.339152]</t>
  </si>
  <si>
    <t>1 [22.751152]</t>
  </si>
  <si>
    <t>1 [23.155040]</t>
  </si>
  <si>
    <t>1 [23.556901]</t>
  </si>
  <si>
    <t>1 [23.969888]</t>
  </si>
  <si>
    <t>1 [24.375944]</t>
  </si>
  <si>
    <t>1 [24.781654]</t>
  </si>
  <si>
    <t>1 [25.184602]</t>
  </si>
  <si>
    <t>1 [25.592602]</t>
  </si>
  <si>
    <t>1 [25.999561]</t>
  </si>
  <si>
    <t>1 [26.407338]</t>
  </si>
  <si>
    <t>1 [26.815296]</t>
  </si>
  <si>
    <t>1 [27.215190]</t>
  </si>
  <si>
    <t>1 [27.623072]</t>
  </si>
  <si>
    <t>1 [28.029184]</t>
  </si>
  <si>
    <t>1 [28.435978]</t>
  </si>
  <si>
    <t>1 [28.842205]</t>
  </si>
  <si>
    <t>1 [29.250708]</t>
  </si>
  <si>
    <t>1 [29.654621]</t>
  </si>
  <si>
    <t>2 [30.059879]</t>
  </si>
  <si>
    <t>2 [30.644980]</t>
  </si>
  <si>
    <t>2 [31.014010]</t>
  </si>
  <si>
    <t>2 [31.386993]</t>
  </si>
  <si>
    <t>2 [31.764942]</t>
  </si>
  <si>
    <t>2 [32.152915]</t>
  </si>
  <si>
    <t>2 [32.560805]</t>
  </si>
  <si>
    <t>2 [32.970716]</t>
  </si>
  <si>
    <t>2 [33.374582]</t>
  </si>
  <si>
    <t>2 [33.779594]</t>
  </si>
  <si>
    <t>2 [34.185631]</t>
  </si>
  <si>
    <t>2 [34.591683]</t>
  </si>
  <si>
    <t>2 [34.999275]</t>
  </si>
  <si>
    <t>2 [35.407251]</t>
  </si>
  <si>
    <t>2 [35.813112]</t>
  </si>
  <si>
    <t>2 [36.215054]</t>
  </si>
  <si>
    <t>2 [36.622581]</t>
  </si>
  <si>
    <t>2 [37.026867]</t>
  </si>
  <si>
    <t>2 [37.436791]</t>
  </si>
  <si>
    <t>2 [37.844715]</t>
  </si>
  <si>
    <t>2 [38.249607]</t>
  </si>
  <si>
    <t>2 [38.652515]</t>
  </si>
  <si>
    <t>2 [39.062440]</t>
  </si>
  <si>
    <t>2 [39.466359]</t>
  </si>
  <si>
    <t>2 [39.871415]</t>
  </si>
  <si>
    <t>2 [40.282189]</t>
  </si>
  <si>
    <t>2 [40.687120]</t>
  </si>
  <si>
    <t>2 [41.094993]</t>
  </si>
  <si>
    <t>2 [41.497029]</t>
  </si>
  <si>
    <t>2 [41.906826]</t>
  </si>
  <si>
    <t>2 [42.307732]</t>
  </si>
  <si>
    <t>2 [42.719650]</t>
  </si>
  <si>
    <t>2 [43.125884]</t>
  </si>
  <si>
    <t>2 [43.528470]</t>
  </si>
  <si>
    <t>2 [43.934700]</t>
  </si>
  <si>
    <t>2 [44.344316]</t>
  </si>
  <si>
    <t>2 [44.749259]</t>
  </si>
  <si>
    <t>2 [45.156145]</t>
  </si>
  <si>
    <t>2 [45.559392]</t>
  </si>
  <si>
    <t>2 [45.967989]</t>
  </si>
  <si>
    <t>2 [46.376088]</t>
  </si>
  <si>
    <t>2 [46.780779]</t>
  </si>
  <si>
    <t>2 [47.190710]</t>
  </si>
  <si>
    <t>2 [47.596048]</t>
  </si>
  <si>
    <t>2 [48.000577]</t>
  </si>
  <si>
    <t>2 [48.411794]</t>
  </si>
  <si>
    <t>2 [48.814504]</t>
  </si>
  <si>
    <t>2 [49.221656]</t>
  </si>
  <si>
    <t>2 [49.625711]</t>
  </si>
  <si>
    <t>2 [50.031403]</t>
  </si>
  <si>
    <t>2 [50.433034]</t>
  </si>
  <si>
    <t>2 [50.840952]</t>
  </si>
  <si>
    <t>2 [51.250918]</t>
  </si>
  <si>
    <t>2 [51.654798]</t>
  </si>
  <si>
    <t>2 [52.062921]</t>
  </si>
  <si>
    <t>2 [52.468635]</t>
  </si>
  <si>
    <t>2 [52.872484]</t>
  </si>
  <si>
    <t>2 [53.284434]</t>
  </si>
  <si>
    <t>2 [53.685489]</t>
  </si>
  <si>
    <t>2 [54.091678]</t>
  </si>
  <si>
    <t>2 [54.500183]</t>
  </si>
  <si>
    <t>2 [54.907212]</t>
  </si>
  <si>
    <t>2 [55.312062]</t>
  </si>
  <si>
    <t>2 [55.716876]</t>
  </si>
  <si>
    <t>2 [56.123051]</t>
  </si>
  <si>
    <t>2 [56.532760]</t>
  </si>
  <si>
    <t>2 [56.937677]</t>
  </si>
  <si>
    <t>2 [57.345756]</t>
  </si>
  <si>
    <t>2 [57.747507]</t>
  </si>
  <si>
    <t>2 [58.154453]</t>
  </si>
  <si>
    <t>2 [58.564313]</t>
  </si>
  <si>
    <t>2 [58.968273]</t>
  </si>
  <si>
    <t>2 [59.375567]</t>
  </si>
  <si>
    <t>2 [59.783066]</t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</si>
  <si>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</si>
  <si>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</si>
  <si>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</si>
  <si>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</si>
  <si>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</si>
  <si>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M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</si>
  <si>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</si>
  <si>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</si>
  <si>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</si>
  <si>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</si>
  <si>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</si>
  <si>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</si>
  <si>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</si>
  <si>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女</t>
    <phoneticPr fontId="1" type="noConversion"/>
  </si>
  <si>
    <t>姚常红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</si>
</sst>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color indexed="8"/>
      <name val="宋体"/>
      <family val="3"/>
      <charset val="134"/>
    </font>
    <font>
      <sz val="9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6" xfId="0" applyFont="1" applyBorder="1" applyAlignment="1">
      <alignment vertical="center"/>
    </xf>
    <xf numFmtId="0" fontId="35" fillId="0" borderId="32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36.146599999999999</c:v>
                </c:pt>
                <c:pt idx="1">
                  <c:v>26.152999999999999</c:v>
                </c:pt>
                <c:pt idx="2">
                  <c:v>19.405899999999999</c:v>
                </c:pt>
                <c:pt idx="3">
                  <c:v>27.755400000000002</c:v>
                </c:pt>
                <c:pt idx="4">
                  <c:v>67.9011</c:v>
                </c:pt>
                <c:pt idx="5">
                  <c:v>81.331599999999995</c:v>
                </c:pt>
                <c:pt idx="6">
                  <c:v>19.260899999999999</c:v>
                </c:pt>
                <c:pt idx="7">
                  <c:v>74.453199999999995</c:v>
                </c:pt>
                <c:pt idx="8">
                  <c:v>20.651599999999998</c:v>
                </c:pt>
                <c:pt idx="9">
                  <c:v>44.656700000000001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0.50297014042564736</c:v>
                </c:pt>
                <c:pt idx="1">
                  <c:v>0.22661572098960656</c:v>
                </c:pt>
                <c:pt idx="2">
                  <c:v>0.27041413858474617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1.929694117647059E-2</c:v>
                </c:pt>
                <c:pt idx="2">
                  <c:v>3.8593882352941179E-2</c:v>
                </c:pt>
                <c:pt idx="3">
                  <c:v>5.7890823529411765E-2</c:v>
                </c:pt>
                <c:pt idx="4">
                  <c:v>7.7187764705882358E-2</c:v>
                </c:pt>
                <c:pt idx="5">
                  <c:v>9.6484705882352945E-2</c:v>
                </c:pt>
                <c:pt idx="6">
                  <c:v>0.11578164705882353</c:v>
                </c:pt>
                <c:pt idx="7">
                  <c:v>0.13507858823529412</c:v>
                </c:pt>
                <c:pt idx="8">
                  <c:v>0.15437552941176472</c:v>
                </c:pt>
                <c:pt idx="9">
                  <c:v>0.17367247058823529</c:v>
                </c:pt>
                <c:pt idx="10">
                  <c:v>0.19296941176470589</c:v>
                </c:pt>
                <c:pt idx="11">
                  <c:v>0.21226635294117649</c:v>
                </c:pt>
                <c:pt idx="12">
                  <c:v>0.23156329411764706</c:v>
                </c:pt>
                <c:pt idx="13">
                  <c:v>0.25086023529411766</c:v>
                </c:pt>
                <c:pt idx="14">
                  <c:v>0.27015717647058823</c:v>
                </c:pt>
                <c:pt idx="15">
                  <c:v>0.28945411764705881</c:v>
                </c:pt>
                <c:pt idx="16">
                  <c:v>0.30875105882352943</c:v>
                </c:pt>
                <c:pt idx="17">
                  <c:v>0.32804800000000001</c:v>
                </c:pt>
                <c:pt idx="18">
                  <c:v>0.34734494117647058</c:v>
                </c:pt>
                <c:pt idx="19">
                  <c:v>0.36664188235294121</c:v>
                </c:pt>
                <c:pt idx="20">
                  <c:v>0.38593882352941178</c:v>
                </c:pt>
                <c:pt idx="21">
                  <c:v>0.40523576470588235</c:v>
                </c:pt>
                <c:pt idx="22">
                  <c:v>0.42453270588235298</c:v>
                </c:pt>
                <c:pt idx="23">
                  <c:v>0.44382964705882355</c:v>
                </c:pt>
                <c:pt idx="24">
                  <c:v>0.46312658823529412</c:v>
                </c:pt>
                <c:pt idx="25">
                  <c:v>0.4824235294117647</c:v>
                </c:pt>
                <c:pt idx="26">
                  <c:v>0.50172047058823532</c:v>
                </c:pt>
                <c:pt idx="27">
                  <c:v>0.52101741176470595</c:v>
                </c:pt>
                <c:pt idx="28">
                  <c:v>0.54031435294117647</c:v>
                </c:pt>
                <c:pt idx="29">
                  <c:v>0.5596112941176471</c:v>
                </c:pt>
                <c:pt idx="30">
                  <c:v>0.57890823529411761</c:v>
                </c:pt>
                <c:pt idx="31">
                  <c:v>0.59820517647058824</c:v>
                </c:pt>
                <c:pt idx="32">
                  <c:v>0.61750211764705887</c:v>
                </c:pt>
                <c:pt idx="33">
                  <c:v>0.6367990588235295</c:v>
                </c:pt>
                <c:pt idx="34">
                  <c:v>0.65609600000000001</c:v>
                </c:pt>
                <c:pt idx="35">
                  <c:v>0.67539294117647064</c:v>
                </c:pt>
                <c:pt idx="36">
                  <c:v>0.69468988235294116</c:v>
                </c:pt>
                <c:pt idx="37">
                  <c:v>0.7139868235294119</c:v>
                </c:pt>
                <c:pt idx="38">
                  <c:v>0.73328376470588241</c:v>
                </c:pt>
                <c:pt idx="39">
                  <c:v>0.75258070588235304</c:v>
                </c:pt>
                <c:pt idx="40">
                  <c:v>0.77187764705882356</c:v>
                </c:pt>
                <c:pt idx="41">
                  <c:v>0.79117458823529418</c:v>
                </c:pt>
                <c:pt idx="42">
                  <c:v>0.8104715294117647</c:v>
                </c:pt>
                <c:pt idx="43">
                  <c:v>0.82976847058823544</c:v>
                </c:pt>
                <c:pt idx="44">
                  <c:v>0.84906541176470596</c:v>
                </c:pt>
                <c:pt idx="45">
                  <c:v>0.86836235294117659</c:v>
                </c:pt>
                <c:pt idx="46">
                  <c:v>0.8876592941176471</c:v>
                </c:pt>
                <c:pt idx="47">
                  <c:v>0.90695623529411773</c:v>
                </c:pt>
                <c:pt idx="48">
                  <c:v>0.92625317647058825</c:v>
                </c:pt>
                <c:pt idx="49">
                  <c:v>0.94555011764705887</c:v>
                </c:pt>
                <c:pt idx="50">
                  <c:v>0.96484705882352939</c:v>
                </c:pt>
                <c:pt idx="51">
                  <c:v>0.98414400000000013</c:v>
                </c:pt>
                <c:pt idx="52">
                  <c:v>1.0034409411764706</c:v>
                </c:pt>
                <c:pt idx="53">
                  <c:v>1.0227378823529412</c:v>
                </c:pt>
                <c:pt idx="54">
                  <c:v>1.0420348235294119</c:v>
                </c:pt>
                <c:pt idx="55">
                  <c:v>1.0613317647058824</c:v>
                </c:pt>
                <c:pt idx="56">
                  <c:v>1.0806287058823529</c:v>
                </c:pt>
                <c:pt idx="57">
                  <c:v>1.0999256470588237</c:v>
                </c:pt>
                <c:pt idx="58">
                  <c:v>1.1192225882352942</c:v>
                </c:pt>
                <c:pt idx="59">
                  <c:v>1.1385195294117647</c:v>
                </c:pt>
                <c:pt idx="60">
                  <c:v>1.1578164705882352</c:v>
                </c:pt>
                <c:pt idx="61">
                  <c:v>1.177113411764706</c:v>
                </c:pt>
                <c:pt idx="62">
                  <c:v>1.1964103529411765</c:v>
                </c:pt>
                <c:pt idx="63">
                  <c:v>1.2157072941176472</c:v>
                </c:pt>
                <c:pt idx="64">
                  <c:v>1.2350042352941177</c:v>
                </c:pt>
                <c:pt idx="65">
                  <c:v>1.2543011764705883</c:v>
                </c:pt>
                <c:pt idx="66">
                  <c:v>1.273598117647059</c:v>
                </c:pt>
                <c:pt idx="67">
                  <c:v>1.2928950588235295</c:v>
                </c:pt>
                <c:pt idx="68">
                  <c:v>1.312192</c:v>
                </c:pt>
                <c:pt idx="69">
                  <c:v>1.3314889411764705</c:v>
                </c:pt>
                <c:pt idx="70">
                  <c:v>1.3507858823529413</c:v>
                </c:pt>
                <c:pt idx="71">
                  <c:v>1.3700828235294118</c:v>
                </c:pt>
                <c:pt idx="72">
                  <c:v>1.3893797647058823</c:v>
                </c:pt>
                <c:pt idx="73">
                  <c:v>1.4086767058823528</c:v>
                </c:pt>
                <c:pt idx="74">
                  <c:v>1.4279736470588238</c:v>
                </c:pt>
                <c:pt idx="75">
                  <c:v>1.4472705882352943</c:v>
                </c:pt>
                <c:pt idx="76">
                  <c:v>1.4665675294117648</c:v>
                </c:pt>
                <c:pt idx="77">
                  <c:v>1.4858644705882353</c:v>
                </c:pt>
                <c:pt idx="78">
                  <c:v>1.5051614117647061</c:v>
                </c:pt>
                <c:pt idx="79">
                  <c:v>1.5244583529411766</c:v>
                </c:pt>
                <c:pt idx="80">
                  <c:v>1.5437552941176471</c:v>
                </c:pt>
                <c:pt idx="81">
                  <c:v>1.5630522352941176</c:v>
                </c:pt>
                <c:pt idx="82">
                  <c:v>1.5823491764705884</c:v>
                </c:pt>
                <c:pt idx="83">
                  <c:v>1.6016461176470589</c:v>
                </c:pt>
                <c:pt idx="84">
                  <c:v>1.6209430588235294</c:v>
                </c:pt>
                <c:pt idx="85">
                  <c:v>1.6402399999999999</c:v>
                </c:pt>
                <c:pt idx="86">
                  <c:v>1.6595369411764709</c:v>
                </c:pt>
                <c:pt idx="87">
                  <c:v>1.6788338823529414</c:v>
                </c:pt>
                <c:pt idx="88">
                  <c:v>1.6981308235294119</c:v>
                </c:pt>
                <c:pt idx="89">
                  <c:v>1.7174277647058824</c:v>
                </c:pt>
                <c:pt idx="90">
                  <c:v>1.7367247058823532</c:v>
                </c:pt>
                <c:pt idx="91">
                  <c:v>1.7560216470588237</c:v>
                </c:pt>
                <c:pt idx="92">
                  <c:v>1.7753185882352942</c:v>
                </c:pt>
                <c:pt idx="93">
                  <c:v>1.7946155294117647</c:v>
                </c:pt>
                <c:pt idx="94">
                  <c:v>1.8139124705882355</c:v>
                </c:pt>
                <c:pt idx="95">
                  <c:v>1.833209411764706</c:v>
                </c:pt>
                <c:pt idx="96">
                  <c:v>1.8525063529411765</c:v>
                </c:pt>
                <c:pt idx="97">
                  <c:v>1.871803294117647</c:v>
                </c:pt>
                <c:pt idx="98">
                  <c:v>1.8911002352941177</c:v>
                </c:pt>
                <c:pt idx="99">
                  <c:v>1.9103971764705883</c:v>
                </c:pt>
                <c:pt idx="100">
                  <c:v>1.9296941176470588</c:v>
                </c:pt>
                <c:pt idx="101">
                  <c:v>1.9489910588235293</c:v>
                </c:pt>
                <c:pt idx="102">
                  <c:v>1.9682880000000003</c:v>
                </c:pt>
                <c:pt idx="103">
                  <c:v>1.9875849411764708</c:v>
                </c:pt>
                <c:pt idx="104">
                  <c:v>2.0068818823529413</c:v>
                </c:pt>
                <c:pt idx="105">
                  <c:v>2.0261788235294116</c:v>
                </c:pt>
                <c:pt idx="106">
                  <c:v>2.0454757647058823</c:v>
                </c:pt>
                <c:pt idx="107">
                  <c:v>2.0647727058823531</c:v>
                </c:pt>
                <c:pt idx="108">
                  <c:v>2.0840696470588238</c:v>
                </c:pt>
                <c:pt idx="109">
                  <c:v>2.1033665882352941</c:v>
                </c:pt>
                <c:pt idx="110">
                  <c:v>2.1226635294117648</c:v>
                </c:pt>
                <c:pt idx="111">
                  <c:v>2.1419604705882356</c:v>
                </c:pt>
                <c:pt idx="112">
                  <c:v>2.1612574117647059</c:v>
                </c:pt>
                <c:pt idx="113">
                  <c:v>2.1805543529411766</c:v>
                </c:pt>
                <c:pt idx="114">
                  <c:v>2.1998512941176473</c:v>
                </c:pt>
                <c:pt idx="115">
                  <c:v>2.2191482352941176</c:v>
                </c:pt>
                <c:pt idx="116">
                  <c:v>2.2384451764705884</c:v>
                </c:pt>
                <c:pt idx="117">
                  <c:v>2.2577421176470587</c:v>
                </c:pt>
                <c:pt idx="118">
                  <c:v>2.2770390588235294</c:v>
                </c:pt>
                <c:pt idx="119">
                  <c:v>2.2963360000000002</c:v>
                </c:pt>
                <c:pt idx="120">
                  <c:v>2.3156329411764704</c:v>
                </c:pt>
                <c:pt idx="121">
                  <c:v>2.3349298823529412</c:v>
                </c:pt>
                <c:pt idx="122">
                  <c:v>2.3542268235294119</c:v>
                </c:pt>
                <c:pt idx="123">
                  <c:v>2.3735237647058827</c:v>
                </c:pt>
                <c:pt idx="124">
                  <c:v>2.392820705882353</c:v>
                </c:pt>
                <c:pt idx="125">
                  <c:v>2.4121176470588237</c:v>
                </c:pt>
                <c:pt idx="126">
                  <c:v>2.4314145882352944</c:v>
                </c:pt>
                <c:pt idx="127">
                  <c:v>2.4507115294117647</c:v>
                </c:pt>
                <c:pt idx="128">
                  <c:v>2.4700084705882355</c:v>
                </c:pt>
                <c:pt idx="129">
                  <c:v>2.4893054117647058</c:v>
                </c:pt>
                <c:pt idx="130">
                  <c:v>2.5086023529411765</c:v>
                </c:pt>
                <c:pt idx="131">
                  <c:v>2.5278992941176468</c:v>
                </c:pt>
                <c:pt idx="132">
                  <c:v>2.547196235294118</c:v>
                </c:pt>
                <c:pt idx="133">
                  <c:v>2.5664931764705887</c:v>
                </c:pt>
                <c:pt idx="134">
                  <c:v>2.585790117647059</c:v>
                </c:pt>
                <c:pt idx="135">
                  <c:v>2.6050870588235298</c:v>
                </c:pt>
                <c:pt idx="136">
                  <c:v>2.6243840000000001</c:v>
                </c:pt>
                <c:pt idx="137">
                  <c:v>2.6436809411764708</c:v>
                </c:pt>
                <c:pt idx="138">
                  <c:v>2.6629778823529411</c:v>
                </c:pt>
                <c:pt idx="139">
                  <c:v>2.6822748235294118</c:v>
                </c:pt>
                <c:pt idx="140">
                  <c:v>2.7015717647058826</c:v>
                </c:pt>
                <c:pt idx="141">
                  <c:v>2.7208687058823533</c:v>
                </c:pt>
                <c:pt idx="142">
                  <c:v>2.7401656470588236</c:v>
                </c:pt>
                <c:pt idx="143">
                  <c:v>2.7594625882352943</c:v>
                </c:pt>
                <c:pt idx="144">
                  <c:v>2.7787595294117646</c:v>
                </c:pt>
                <c:pt idx="145">
                  <c:v>2.7980564705882354</c:v>
                </c:pt>
                <c:pt idx="146">
                  <c:v>2.8173534117647057</c:v>
                </c:pt>
                <c:pt idx="147">
                  <c:v>2.8366503529411764</c:v>
                </c:pt>
                <c:pt idx="148">
                  <c:v>2.8559472941176476</c:v>
                </c:pt>
                <c:pt idx="149">
                  <c:v>2.8752442352941179</c:v>
                </c:pt>
                <c:pt idx="150">
                  <c:v>2.8945411764705886</c:v>
                </c:pt>
                <c:pt idx="151">
                  <c:v>2.9138381176470589</c:v>
                </c:pt>
                <c:pt idx="152">
                  <c:v>2.9331350588235297</c:v>
                </c:pt>
                <c:pt idx="153">
                  <c:v>2.9524319999999999</c:v>
                </c:pt>
                <c:pt idx="154">
                  <c:v>2.9717289411764707</c:v>
                </c:pt>
                <c:pt idx="155">
                  <c:v>2.991025882352941</c:v>
                </c:pt>
                <c:pt idx="156">
                  <c:v>3.0103228235294122</c:v>
                </c:pt>
                <c:pt idx="157">
                  <c:v>3.0296197647058825</c:v>
                </c:pt>
                <c:pt idx="158">
                  <c:v>3.0489167058823532</c:v>
                </c:pt>
                <c:pt idx="159">
                  <c:v>3.0682136470588235</c:v>
                </c:pt>
                <c:pt idx="160">
                  <c:v>3.0875105882352942</c:v>
                </c:pt>
                <c:pt idx="161">
                  <c:v>3.1068075294117645</c:v>
                </c:pt>
                <c:pt idx="162">
                  <c:v>3.1261044705882353</c:v>
                </c:pt>
                <c:pt idx="163">
                  <c:v>3.1454014117647056</c:v>
                </c:pt>
                <c:pt idx="164">
                  <c:v>3.1646983529411767</c:v>
                </c:pt>
                <c:pt idx="165">
                  <c:v>3.1839952941176475</c:v>
                </c:pt>
                <c:pt idx="166">
                  <c:v>3.2032922352941178</c:v>
                </c:pt>
                <c:pt idx="167">
                  <c:v>3.2225891764705885</c:v>
                </c:pt>
                <c:pt idx="168">
                  <c:v>3.2418861176470588</c:v>
                </c:pt>
                <c:pt idx="169">
                  <c:v>3.2611830588235295</c:v>
                </c:pt>
                <c:pt idx="170">
                  <c:v>3.2804799999999998</c:v>
                </c:pt>
                <c:pt idx="171">
                  <c:v>3.2997769411764706</c:v>
                </c:pt>
                <c:pt idx="172">
                  <c:v>3.3190738823529418</c:v>
                </c:pt>
                <c:pt idx="173">
                  <c:v>3.3383708235294121</c:v>
                </c:pt>
                <c:pt idx="174">
                  <c:v>3.3576677647058828</c:v>
                </c:pt>
                <c:pt idx="175">
                  <c:v>3.3769647058823531</c:v>
                </c:pt>
                <c:pt idx="176">
                  <c:v>3.3962616470588238</c:v>
                </c:pt>
                <c:pt idx="177">
                  <c:v>3.4155585882352941</c:v>
                </c:pt>
                <c:pt idx="178">
                  <c:v>3.4348555294117649</c:v>
                </c:pt>
                <c:pt idx="179">
                  <c:v>3.4541524705882352</c:v>
                </c:pt>
                <c:pt idx="180">
                  <c:v>3.4734494117647063</c:v>
                </c:pt>
                <c:pt idx="181">
                  <c:v>3.4927463529411766</c:v>
                </c:pt>
                <c:pt idx="182">
                  <c:v>3.5120432941176474</c:v>
                </c:pt>
                <c:pt idx="183">
                  <c:v>3.5313402352941177</c:v>
                </c:pt>
                <c:pt idx="184">
                  <c:v>3.5506371764705884</c:v>
                </c:pt>
                <c:pt idx="185">
                  <c:v>3.5699341176470587</c:v>
                </c:pt>
                <c:pt idx="186">
                  <c:v>3.5892310588235294</c:v>
                </c:pt>
                <c:pt idx="187">
                  <c:v>3.6085279999999997</c:v>
                </c:pt>
                <c:pt idx="188">
                  <c:v>3.6278249411764709</c:v>
                </c:pt>
                <c:pt idx="189">
                  <c:v>3.6471218823529417</c:v>
                </c:pt>
                <c:pt idx="190">
                  <c:v>3.666418823529412</c:v>
                </c:pt>
                <c:pt idx="191">
                  <c:v>3.6857157647058827</c:v>
                </c:pt>
                <c:pt idx="192">
                  <c:v>3.705012705882353</c:v>
                </c:pt>
                <c:pt idx="193">
                  <c:v>3.7243096470588237</c:v>
                </c:pt>
                <c:pt idx="194">
                  <c:v>3.743606588235294</c:v>
                </c:pt>
                <c:pt idx="195">
                  <c:v>3.7629035294117648</c:v>
                </c:pt>
                <c:pt idx="196">
                  <c:v>3.7822004705882355</c:v>
                </c:pt>
                <c:pt idx="197">
                  <c:v>3.8014974117647062</c:v>
                </c:pt>
                <c:pt idx="198">
                  <c:v>3.8207943529411765</c:v>
                </c:pt>
                <c:pt idx="199">
                  <c:v>3.8400912941176473</c:v>
                </c:pt>
                <c:pt idx="200">
                  <c:v>3.8593882352941176</c:v>
                </c:pt>
                <c:pt idx="201">
                  <c:v>3.8786851764705883</c:v>
                </c:pt>
                <c:pt idx="202">
                  <c:v>3.8979821176470586</c:v>
                </c:pt>
                <c:pt idx="203">
                  <c:v>3.9172790588235293</c:v>
                </c:pt>
                <c:pt idx="204">
                  <c:v>3.9365760000000005</c:v>
                </c:pt>
                <c:pt idx="205">
                  <c:v>3.9558729411764708</c:v>
                </c:pt>
                <c:pt idx="206">
                  <c:v>3.9751698823529416</c:v>
                </c:pt>
                <c:pt idx="207">
                  <c:v>3.9944668235294118</c:v>
                </c:pt>
                <c:pt idx="208">
                  <c:v>4.0137637647058826</c:v>
                </c:pt>
                <c:pt idx="209">
                  <c:v>4.0330607058823533</c:v>
                </c:pt>
                <c:pt idx="210">
                  <c:v>4.0523576470588232</c:v>
                </c:pt>
                <c:pt idx="211">
                  <c:v>4.0716545882352939</c:v>
                </c:pt>
                <c:pt idx="212">
                  <c:v>4.0909515294117647</c:v>
                </c:pt>
                <c:pt idx="213">
                  <c:v>4.1102484705882354</c:v>
                </c:pt>
                <c:pt idx="214">
                  <c:v>4.1295454117647061</c:v>
                </c:pt>
                <c:pt idx="215">
                  <c:v>4.1488423529411769</c:v>
                </c:pt>
                <c:pt idx="216">
                  <c:v>4.1681392941176476</c:v>
                </c:pt>
                <c:pt idx="217">
                  <c:v>4.1874362352941175</c:v>
                </c:pt>
                <c:pt idx="218">
                  <c:v>4.2067331764705882</c:v>
                </c:pt>
                <c:pt idx="219">
                  <c:v>4.2260301176470589</c:v>
                </c:pt>
                <c:pt idx="220">
                  <c:v>4.2453270588235297</c:v>
                </c:pt>
                <c:pt idx="221">
                  <c:v>4.2646240000000004</c:v>
                </c:pt>
                <c:pt idx="222">
                  <c:v>4.2839209411764712</c:v>
                </c:pt>
                <c:pt idx="223">
                  <c:v>4.303217882352941</c:v>
                </c:pt>
                <c:pt idx="224">
                  <c:v>4.3225148235294117</c:v>
                </c:pt>
                <c:pt idx="225">
                  <c:v>4.3418117647058825</c:v>
                </c:pt>
                <c:pt idx="226">
                  <c:v>4.3611087058823532</c:v>
                </c:pt>
                <c:pt idx="227">
                  <c:v>4.3804056470588231</c:v>
                </c:pt>
                <c:pt idx="228">
                  <c:v>4.3997025882352947</c:v>
                </c:pt>
                <c:pt idx="229">
                  <c:v>4.4189995294117654</c:v>
                </c:pt>
                <c:pt idx="230">
                  <c:v>4.4382964705882353</c:v>
                </c:pt>
                <c:pt idx="231">
                  <c:v>4.457593411764706</c:v>
                </c:pt>
                <c:pt idx="232">
                  <c:v>4.4768903529411768</c:v>
                </c:pt>
                <c:pt idx="233">
                  <c:v>4.4961872941176475</c:v>
                </c:pt>
                <c:pt idx="234">
                  <c:v>4.5154842352941174</c:v>
                </c:pt>
                <c:pt idx="235">
                  <c:v>4.5347811764705881</c:v>
                </c:pt>
                <c:pt idx="236">
                  <c:v>4.5540781176470588</c:v>
                </c:pt>
                <c:pt idx="237">
                  <c:v>4.5733750588235296</c:v>
                </c:pt>
                <c:pt idx="238">
                  <c:v>4.5926720000000003</c:v>
                </c:pt>
                <c:pt idx="239">
                  <c:v>4.611968941176471</c:v>
                </c:pt>
                <c:pt idx="240">
                  <c:v>4.6312658823529409</c:v>
                </c:pt>
                <c:pt idx="241">
                  <c:v>4.6505628235294116</c:v>
                </c:pt>
                <c:pt idx="242">
                  <c:v>4.6698597647058824</c:v>
                </c:pt>
                <c:pt idx="243">
                  <c:v>4.6891567058823531</c:v>
                </c:pt>
                <c:pt idx="244">
                  <c:v>4.7084536470588239</c:v>
                </c:pt>
                <c:pt idx="245">
                  <c:v>4.7277505882352946</c:v>
                </c:pt>
                <c:pt idx="246">
                  <c:v>4.7470475294117653</c:v>
                </c:pt>
                <c:pt idx="247">
                  <c:v>4.7663444705882352</c:v>
                </c:pt>
                <c:pt idx="248">
                  <c:v>4.7856414117647059</c:v>
                </c:pt>
                <c:pt idx="249">
                  <c:v>4.8049383529411767</c:v>
                </c:pt>
                <c:pt idx="250">
                  <c:v>4.8242352941176474</c:v>
                </c:pt>
                <c:pt idx="251">
                  <c:v>4.8435322352941172</c:v>
                </c:pt>
                <c:pt idx="252">
                  <c:v>4.8628291764705889</c:v>
                </c:pt>
                <c:pt idx="253">
                  <c:v>4.8821261176470587</c:v>
                </c:pt>
                <c:pt idx="254">
                  <c:v>4.9014230588235295</c:v>
                </c:pt>
                <c:pt idx="255">
                  <c:v>4.9207200000000002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1553</c:v>
                </c:pt>
                <c:pt idx="7">
                  <c:v>0</c:v>
                </c:pt>
                <c:pt idx="8">
                  <c:v>3845</c:v>
                </c:pt>
                <c:pt idx="9">
                  <c:v>0</c:v>
                </c:pt>
                <c:pt idx="10">
                  <c:v>0</c:v>
                </c:pt>
                <c:pt idx="11">
                  <c:v>11574</c:v>
                </c:pt>
                <c:pt idx="12">
                  <c:v>0</c:v>
                </c:pt>
                <c:pt idx="13">
                  <c:v>15021</c:v>
                </c:pt>
                <c:pt idx="14">
                  <c:v>0</c:v>
                </c:pt>
                <c:pt idx="15">
                  <c:v>0</c:v>
                </c:pt>
                <c:pt idx="16">
                  <c:v>18831</c:v>
                </c:pt>
                <c:pt idx="17">
                  <c:v>0</c:v>
                </c:pt>
                <c:pt idx="18">
                  <c:v>0</c:v>
                </c:pt>
                <c:pt idx="19">
                  <c:v>30213</c:v>
                </c:pt>
                <c:pt idx="20">
                  <c:v>0</c:v>
                </c:pt>
                <c:pt idx="21">
                  <c:v>35885</c:v>
                </c:pt>
                <c:pt idx="22">
                  <c:v>0</c:v>
                </c:pt>
                <c:pt idx="23">
                  <c:v>0</c:v>
                </c:pt>
                <c:pt idx="24">
                  <c:v>44735</c:v>
                </c:pt>
                <c:pt idx="25">
                  <c:v>0</c:v>
                </c:pt>
                <c:pt idx="26">
                  <c:v>47440</c:v>
                </c:pt>
                <c:pt idx="27">
                  <c:v>0</c:v>
                </c:pt>
                <c:pt idx="28">
                  <c:v>0</c:v>
                </c:pt>
                <c:pt idx="29">
                  <c:v>52312</c:v>
                </c:pt>
                <c:pt idx="30">
                  <c:v>0</c:v>
                </c:pt>
                <c:pt idx="31">
                  <c:v>57789</c:v>
                </c:pt>
                <c:pt idx="32">
                  <c:v>0</c:v>
                </c:pt>
                <c:pt idx="33">
                  <c:v>0</c:v>
                </c:pt>
                <c:pt idx="34">
                  <c:v>69802</c:v>
                </c:pt>
                <c:pt idx="35">
                  <c:v>0</c:v>
                </c:pt>
                <c:pt idx="36">
                  <c:v>0</c:v>
                </c:pt>
                <c:pt idx="37">
                  <c:v>72840</c:v>
                </c:pt>
                <c:pt idx="38">
                  <c:v>0</c:v>
                </c:pt>
                <c:pt idx="39">
                  <c:v>80572</c:v>
                </c:pt>
                <c:pt idx="40">
                  <c:v>0</c:v>
                </c:pt>
                <c:pt idx="41">
                  <c:v>0</c:v>
                </c:pt>
                <c:pt idx="42">
                  <c:v>102779</c:v>
                </c:pt>
                <c:pt idx="43">
                  <c:v>0</c:v>
                </c:pt>
                <c:pt idx="44">
                  <c:v>140396</c:v>
                </c:pt>
                <c:pt idx="45">
                  <c:v>0</c:v>
                </c:pt>
                <c:pt idx="46">
                  <c:v>0</c:v>
                </c:pt>
                <c:pt idx="47">
                  <c:v>154869</c:v>
                </c:pt>
                <c:pt idx="48">
                  <c:v>0</c:v>
                </c:pt>
                <c:pt idx="49">
                  <c:v>183487</c:v>
                </c:pt>
                <c:pt idx="50">
                  <c:v>0</c:v>
                </c:pt>
                <c:pt idx="51">
                  <c:v>0</c:v>
                </c:pt>
                <c:pt idx="52">
                  <c:v>176179</c:v>
                </c:pt>
                <c:pt idx="53">
                  <c:v>0</c:v>
                </c:pt>
                <c:pt idx="54">
                  <c:v>0</c:v>
                </c:pt>
                <c:pt idx="55">
                  <c:v>183032</c:v>
                </c:pt>
                <c:pt idx="56">
                  <c:v>0</c:v>
                </c:pt>
                <c:pt idx="57">
                  <c:v>181851</c:v>
                </c:pt>
                <c:pt idx="58">
                  <c:v>0</c:v>
                </c:pt>
                <c:pt idx="59">
                  <c:v>0</c:v>
                </c:pt>
                <c:pt idx="60">
                  <c:v>193762</c:v>
                </c:pt>
                <c:pt idx="61">
                  <c:v>0</c:v>
                </c:pt>
                <c:pt idx="62">
                  <c:v>191836</c:v>
                </c:pt>
                <c:pt idx="63">
                  <c:v>0</c:v>
                </c:pt>
                <c:pt idx="64">
                  <c:v>0</c:v>
                </c:pt>
                <c:pt idx="65">
                  <c:v>207236</c:v>
                </c:pt>
                <c:pt idx="66">
                  <c:v>0</c:v>
                </c:pt>
                <c:pt idx="67">
                  <c:v>197570</c:v>
                </c:pt>
                <c:pt idx="68">
                  <c:v>0</c:v>
                </c:pt>
                <c:pt idx="69">
                  <c:v>0</c:v>
                </c:pt>
                <c:pt idx="70">
                  <c:v>227376</c:v>
                </c:pt>
                <c:pt idx="71">
                  <c:v>0</c:v>
                </c:pt>
                <c:pt idx="72">
                  <c:v>0</c:v>
                </c:pt>
                <c:pt idx="73">
                  <c:v>235163</c:v>
                </c:pt>
                <c:pt idx="74">
                  <c:v>0</c:v>
                </c:pt>
                <c:pt idx="75">
                  <c:v>221849</c:v>
                </c:pt>
                <c:pt idx="76">
                  <c:v>0</c:v>
                </c:pt>
                <c:pt idx="77">
                  <c:v>0</c:v>
                </c:pt>
                <c:pt idx="78">
                  <c:v>221373</c:v>
                </c:pt>
                <c:pt idx="79">
                  <c:v>0</c:v>
                </c:pt>
                <c:pt idx="80">
                  <c:v>199498</c:v>
                </c:pt>
                <c:pt idx="81">
                  <c:v>0</c:v>
                </c:pt>
                <c:pt idx="82">
                  <c:v>0</c:v>
                </c:pt>
                <c:pt idx="83">
                  <c:v>202709</c:v>
                </c:pt>
                <c:pt idx="84">
                  <c:v>0</c:v>
                </c:pt>
                <c:pt idx="85">
                  <c:v>0</c:v>
                </c:pt>
                <c:pt idx="86">
                  <c:v>190182</c:v>
                </c:pt>
                <c:pt idx="87">
                  <c:v>0</c:v>
                </c:pt>
                <c:pt idx="88">
                  <c:v>190959</c:v>
                </c:pt>
                <c:pt idx="89">
                  <c:v>0</c:v>
                </c:pt>
                <c:pt idx="90">
                  <c:v>0</c:v>
                </c:pt>
                <c:pt idx="91">
                  <c:v>174453</c:v>
                </c:pt>
                <c:pt idx="92">
                  <c:v>0</c:v>
                </c:pt>
                <c:pt idx="93">
                  <c:v>172900</c:v>
                </c:pt>
                <c:pt idx="94">
                  <c:v>0</c:v>
                </c:pt>
                <c:pt idx="95">
                  <c:v>0</c:v>
                </c:pt>
                <c:pt idx="96">
                  <c:v>151812</c:v>
                </c:pt>
                <c:pt idx="97">
                  <c:v>0</c:v>
                </c:pt>
                <c:pt idx="98">
                  <c:v>141957</c:v>
                </c:pt>
                <c:pt idx="99">
                  <c:v>0</c:v>
                </c:pt>
                <c:pt idx="100">
                  <c:v>0</c:v>
                </c:pt>
                <c:pt idx="101">
                  <c:v>129779</c:v>
                </c:pt>
                <c:pt idx="102">
                  <c:v>0</c:v>
                </c:pt>
                <c:pt idx="103">
                  <c:v>0</c:v>
                </c:pt>
                <c:pt idx="104">
                  <c:v>122329</c:v>
                </c:pt>
                <c:pt idx="105">
                  <c:v>0</c:v>
                </c:pt>
                <c:pt idx="106">
                  <c:v>115873</c:v>
                </c:pt>
                <c:pt idx="107">
                  <c:v>0</c:v>
                </c:pt>
                <c:pt idx="108">
                  <c:v>0</c:v>
                </c:pt>
                <c:pt idx="109">
                  <c:v>113453</c:v>
                </c:pt>
                <c:pt idx="110">
                  <c:v>0</c:v>
                </c:pt>
                <c:pt idx="111">
                  <c:v>96712</c:v>
                </c:pt>
                <c:pt idx="112">
                  <c:v>0</c:v>
                </c:pt>
                <c:pt idx="113">
                  <c:v>0</c:v>
                </c:pt>
                <c:pt idx="114">
                  <c:v>89786</c:v>
                </c:pt>
                <c:pt idx="115">
                  <c:v>0</c:v>
                </c:pt>
                <c:pt idx="116">
                  <c:v>77771</c:v>
                </c:pt>
                <c:pt idx="117">
                  <c:v>0</c:v>
                </c:pt>
                <c:pt idx="118">
                  <c:v>0</c:v>
                </c:pt>
                <c:pt idx="119">
                  <c:v>72101</c:v>
                </c:pt>
                <c:pt idx="120">
                  <c:v>0</c:v>
                </c:pt>
                <c:pt idx="121">
                  <c:v>0</c:v>
                </c:pt>
                <c:pt idx="122">
                  <c:v>74106</c:v>
                </c:pt>
                <c:pt idx="123">
                  <c:v>0</c:v>
                </c:pt>
                <c:pt idx="124">
                  <c:v>59884</c:v>
                </c:pt>
                <c:pt idx="125">
                  <c:v>0</c:v>
                </c:pt>
                <c:pt idx="126">
                  <c:v>0</c:v>
                </c:pt>
                <c:pt idx="127">
                  <c:v>58020</c:v>
                </c:pt>
                <c:pt idx="128">
                  <c:v>0</c:v>
                </c:pt>
                <c:pt idx="129">
                  <c:v>53579</c:v>
                </c:pt>
                <c:pt idx="130">
                  <c:v>0</c:v>
                </c:pt>
                <c:pt idx="131">
                  <c:v>0</c:v>
                </c:pt>
                <c:pt idx="132">
                  <c:v>43864</c:v>
                </c:pt>
                <c:pt idx="133">
                  <c:v>0</c:v>
                </c:pt>
                <c:pt idx="134">
                  <c:v>41574</c:v>
                </c:pt>
                <c:pt idx="135">
                  <c:v>0</c:v>
                </c:pt>
                <c:pt idx="136">
                  <c:v>0</c:v>
                </c:pt>
                <c:pt idx="137">
                  <c:v>34158</c:v>
                </c:pt>
                <c:pt idx="138">
                  <c:v>0</c:v>
                </c:pt>
                <c:pt idx="139">
                  <c:v>0</c:v>
                </c:pt>
                <c:pt idx="140">
                  <c:v>25891</c:v>
                </c:pt>
                <c:pt idx="141">
                  <c:v>0</c:v>
                </c:pt>
                <c:pt idx="142">
                  <c:v>24785</c:v>
                </c:pt>
                <c:pt idx="143">
                  <c:v>0</c:v>
                </c:pt>
                <c:pt idx="144">
                  <c:v>0</c:v>
                </c:pt>
                <c:pt idx="145">
                  <c:v>23052</c:v>
                </c:pt>
                <c:pt idx="146">
                  <c:v>0</c:v>
                </c:pt>
                <c:pt idx="147">
                  <c:v>17594</c:v>
                </c:pt>
                <c:pt idx="148">
                  <c:v>0</c:v>
                </c:pt>
                <c:pt idx="149">
                  <c:v>0</c:v>
                </c:pt>
                <c:pt idx="150">
                  <c:v>15023</c:v>
                </c:pt>
                <c:pt idx="151">
                  <c:v>0</c:v>
                </c:pt>
                <c:pt idx="152">
                  <c:v>13928</c:v>
                </c:pt>
                <c:pt idx="153">
                  <c:v>0</c:v>
                </c:pt>
                <c:pt idx="154">
                  <c:v>0</c:v>
                </c:pt>
                <c:pt idx="155">
                  <c:v>8034</c:v>
                </c:pt>
                <c:pt idx="156">
                  <c:v>0</c:v>
                </c:pt>
                <c:pt idx="157">
                  <c:v>0</c:v>
                </c:pt>
                <c:pt idx="158">
                  <c:v>5024</c:v>
                </c:pt>
                <c:pt idx="159">
                  <c:v>0</c:v>
                </c:pt>
                <c:pt idx="160">
                  <c:v>4336</c:v>
                </c:pt>
                <c:pt idx="161">
                  <c:v>0</c:v>
                </c:pt>
                <c:pt idx="162">
                  <c:v>0</c:v>
                </c:pt>
                <c:pt idx="163">
                  <c:v>2712</c:v>
                </c:pt>
                <c:pt idx="164">
                  <c:v>0</c:v>
                </c:pt>
                <c:pt idx="165">
                  <c:v>957</c:v>
                </c:pt>
                <c:pt idx="166">
                  <c:v>0</c:v>
                </c:pt>
                <c:pt idx="167">
                  <c:v>0</c:v>
                </c:pt>
                <c:pt idx="168">
                  <c:v>486</c:v>
                </c:pt>
                <c:pt idx="169">
                  <c:v>0</c:v>
                </c:pt>
                <c:pt idx="170">
                  <c:v>0</c:v>
                </c:pt>
                <c:pt idx="171">
                  <c:v>254</c:v>
                </c:pt>
                <c:pt idx="172">
                  <c:v>0</c:v>
                </c:pt>
                <c:pt idx="173">
                  <c:v>703</c:v>
                </c:pt>
                <c:pt idx="174">
                  <c:v>0</c:v>
                </c:pt>
                <c:pt idx="175">
                  <c:v>0</c:v>
                </c:pt>
                <c:pt idx="176">
                  <c:v>192</c:v>
                </c:pt>
                <c:pt idx="177">
                  <c:v>0</c:v>
                </c:pt>
                <c:pt idx="178">
                  <c:v>134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3.3662100000000001</c:v>
                </c:pt>
                <c:pt idx="1">
                  <c:v>3.3807799999999997</c:v>
                </c:pt>
                <c:pt idx="2">
                  <c:v>3.39575</c:v>
                </c:pt>
                <c:pt idx="3">
                  <c:v>3.4131299999999998</c:v>
                </c:pt>
                <c:pt idx="4">
                  <c:v>3.4339599999999999</c:v>
                </c:pt>
                <c:pt idx="5">
                  <c:v>3.4603999999999999</c:v>
                </c:pt>
                <c:pt idx="6">
                  <c:v>3.48875</c:v>
                </c:pt>
                <c:pt idx="7">
                  <c:v>3.5147899999999996</c:v>
                </c:pt>
                <c:pt idx="8">
                  <c:v>3.5395700000000003</c:v>
                </c:pt>
                <c:pt idx="9">
                  <c:v>3.5640200000000002</c:v>
                </c:pt>
                <c:pt idx="10">
                  <c:v>3.5846299999999998</c:v>
                </c:pt>
                <c:pt idx="11">
                  <c:v>3.5979000000000001</c:v>
                </c:pt>
                <c:pt idx="12">
                  <c:v>3.6047800000000003</c:v>
                </c:pt>
                <c:pt idx="13">
                  <c:v>3.609</c:v>
                </c:pt>
                <c:pt idx="14">
                  <c:v>3.6111900000000001</c:v>
                </c:pt>
                <c:pt idx="15">
                  <c:v>3.6087699999999998</c:v>
                </c:pt>
                <c:pt idx="16">
                  <c:v>3.6063800000000001</c:v>
                </c:pt>
                <c:pt idx="17">
                  <c:v>3.6002800000000001</c:v>
                </c:pt>
                <c:pt idx="18">
                  <c:v>3.5892900000000001</c:v>
                </c:pt>
                <c:pt idx="19">
                  <c:v>3.5731700000000002</c:v>
                </c:pt>
                <c:pt idx="20">
                  <c:v>3.5552800000000002</c:v>
                </c:pt>
                <c:pt idx="21">
                  <c:v>3.5331899999999998</c:v>
                </c:pt>
                <c:pt idx="22">
                  <c:v>3.5074300000000003</c:v>
                </c:pt>
                <c:pt idx="23">
                  <c:v>3.47939</c:v>
                </c:pt>
                <c:pt idx="24">
                  <c:v>3.4470299999999998</c:v>
                </c:pt>
                <c:pt idx="25">
                  <c:v>3.4129300000000002</c:v>
                </c:pt>
                <c:pt idx="26">
                  <c:v>3.3812799999999998</c:v>
                </c:pt>
                <c:pt idx="27">
                  <c:v>3.3535399999999997</c:v>
                </c:pt>
                <c:pt idx="28">
                  <c:v>3.3238400000000001</c:v>
                </c:pt>
                <c:pt idx="29">
                  <c:v>3.2911899999999998</c:v>
                </c:pt>
                <c:pt idx="30">
                  <c:v>3.25461</c:v>
                </c:pt>
                <c:pt idx="31">
                  <c:v>3.2127299999999996</c:v>
                </c:pt>
                <c:pt idx="32">
                  <c:v>3.1717299999999997</c:v>
                </c:pt>
                <c:pt idx="33">
                  <c:v>3.1331899999999999</c:v>
                </c:pt>
                <c:pt idx="34">
                  <c:v>3.0960900000000002</c:v>
                </c:pt>
                <c:pt idx="35">
                  <c:v>3.06359</c:v>
                </c:pt>
                <c:pt idx="36">
                  <c:v>3.0393599999999998</c:v>
                </c:pt>
                <c:pt idx="37">
                  <c:v>3.0217200000000002</c:v>
                </c:pt>
                <c:pt idx="38">
                  <c:v>3.0059900000000002</c:v>
                </c:pt>
                <c:pt idx="39">
                  <c:v>2.9924299999999997</c:v>
                </c:pt>
                <c:pt idx="40">
                  <c:v>2.9854099999999999</c:v>
                </c:pt>
                <c:pt idx="41">
                  <c:v>2.9775800000000001</c:v>
                </c:pt>
                <c:pt idx="42">
                  <c:v>2.97315</c:v>
                </c:pt>
                <c:pt idx="43">
                  <c:v>2.9705300000000001</c:v>
                </c:pt>
                <c:pt idx="44">
                  <c:v>2.9682999999999997</c:v>
                </c:pt>
                <c:pt idx="45">
                  <c:v>2.96306</c:v>
                </c:pt>
                <c:pt idx="46">
                  <c:v>2.9575299999999998</c:v>
                </c:pt>
                <c:pt idx="47">
                  <c:v>2.9523100000000002</c:v>
                </c:pt>
                <c:pt idx="48">
                  <c:v>2.944</c:v>
                </c:pt>
                <c:pt idx="49">
                  <c:v>2.9316900000000001</c:v>
                </c:pt>
                <c:pt idx="50">
                  <c:v>2.9256799999999998</c:v>
                </c:pt>
                <c:pt idx="51">
                  <c:v>2.9135</c:v>
                </c:pt>
                <c:pt idx="52">
                  <c:v>2.9013499999999999</c:v>
                </c:pt>
                <c:pt idx="53">
                  <c:v>2.8913600000000002</c:v>
                </c:pt>
                <c:pt idx="54">
                  <c:v>2.88117</c:v>
                </c:pt>
                <c:pt idx="55">
                  <c:v>2.8717300000000003</c:v>
                </c:pt>
                <c:pt idx="56">
                  <c:v>2.8618199999999998</c:v>
                </c:pt>
                <c:pt idx="57">
                  <c:v>2.8496999999999999</c:v>
                </c:pt>
                <c:pt idx="58">
                  <c:v>2.8367599999999999</c:v>
                </c:pt>
                <c:pt idx="59">
                  <c:v>2.8224</c:v>
                </c:pt>
                <c:pt idx="60">
                  <c:v>2.8069600000000001</c:v>
                </c:pt>
                <c:pt idx="61">
                  <c:v>2.7871899999999998</c:v>
                </c:pt>
                <c:pt idx="62">
                  <c:v>2.7645300000000002</c:v>
                </c:pt>
                <c:pt idx="63">
                  <c:v>2.7400099999999998</c:v>
                </c:pt>
                <c:pt idx="64">
                  <c:v>2.7151700000000001</c:v>
                </c:pt>
                <c:pt idx="65">
                  <c:v>2.6870100000000003</c:v>
                </c:pt>
                <c:pt idx="66">
                  <c:v>2.6569500000000001</c:v>
                </c:pt>
                <c:pt idx="67">
                  <c:v>2.6230700000000002</c:v>
                </c:pt>
                <c:pt idx="68">
                  <c:v>2.58962</c:v>
                </c:pt>
                <c:pt idx="69">
                  <c:v>2.5608900000000001</c:v>
                </c:pt>
                <c:pt idx="70">
                  <c:v>2.5365900000000003</c:v>
                </c:pt>
                <c:pt idx="71">
                  <c:v>2.5155400000000001</c:v>
                </c:pt>
                <c:pt idx="72">
                  <c:v>2.4958200000000001</c:v>
                </c:pt>
                <c:pt idx="73">
                  <c:v>2.48109</c:v>
                </c:pt>
                <c:pt idx="74">
                  <c:v>2.47288</c:v>
                </c:pt>
                <c:pt idx="75">
                  <c:v>2.4653900000000002</c:v>
                </c:pt>
                <c:pt idx="76">
                  <c:v>2.4581900000000001</c:v>
                </c:pt>
                <c:pt idx="77">
                  <c:v>2.4498899999999999</c:v>
                </c:pt>
                <c:pt idx="78">
                  <c:v>2.4397099999999998</c:v>
                </c:pt>
                <c:pt idx="79">
                  <c:v>2.4296699999999998</c:v>
                </c:pt>
                <c:pt idx="80">
                  <c:v>2.4220000000000002</c:v>
                </c:pt>
                <c:pt idx="81">
                  <c:v>2.4191699999999998</c:v>
                </c:pt>
                <c:pt idx="82">
                  <c:v>2.4215400000000002</c:v>
                </c:pt>
                <c:pt idx="83">
                  <c:v>2.4267099999999999</c:v>
                </c:pt>
                <c:pt idx="84">
                  <c:v>2.43458</c:v>
                </c:pt>
                <c:pt idx="85">
                  <c:v>2.4436100000000001</c:v>
                </c:pt>
                <c:pt idx="86">
                  <c:v>2.4534600000000002</c:v>
                </c:pt>
                <c:pt idx="87">
                  <c:v>2.4633699999999998</c:v>
                </c:pt>
                <c:pt idx="88">
                  <c:v>2.4730599999999998</c:v>
                </c:pt>
                <c:pt idx="89">
                  <c:v>2.4811199999999998</c:v>
                </c:pt>
                <c:pt idx="90">
                  <c:v>2.4900500000000001</c:v>
                </c:pt>
                <c:pt idx="91">
                  <c:v>2.5006499999999998</c:v>
                </c:pt>
                <c:pt idx="92">
                  <c:v>2.5162499999999999</c:v>
                </c:pt>
                <c:pt idx="93">
                  <c:v>2.5361899999999999</c:v>
                </c:pt>
                <c:pt idx="94">
                  <c:v>2.5596799999999997</c:v>
                </c:pt>
                <c:pt idx="95">
                  <c:v>2.5856400000000002</c:v>
                </c:pt>
                <c:pt idx="96">
                  <c:v>2.6140999999999996</c:v>
                </c:pt>
                <c:pt idx="97">
                  <c:v>2.6447099999999999</c:v>
                </c:pt>
                <c:pt idx="98">
                  <c:v>2.6778499999999998</c:v>
                </c:pt>
                <c:pt idx="99">
                  <c:v>2.7151799999999997</c:v>
                </c:pt>
                <c:pt idx="100">
                  <c:v>2.7549200000000003</c:v>
                </c:pt>
                <c:pt idx="101">
                  <c:v>2.7959800000000001</c:v>
                </c:pt>
                <c:pt idx="102">
                  <c:v>2.8368599999999997</c:v>
                </c:pt>
                <c:pt idx="103">
                  <c:v>2.8773500000000003</c:v>
                </c:pt>
                <c:pt idx="104">
                  <c:v>2.9165600000000005</c:v>
                </c:pt>
                <c:pt idx="105">
                  <c:v>2.95892</c:v>
                </c:pt>
                <c:pt idx="106">
                  <c:v>3.00197</c:v>
                </c:pt>
                <c:pt idx="107">
                  <c:v>3.0397600000000002</c:v>
                </c:pt>
                <c:pt idx="108">
                  <c:v>3.07334</c:v>
                </c:pt>
                <c:pt idx="109">
                  <c:v>3.1044</c:v>
                </c:pt>
                <c:pt idx="110">
                  <c:v>3.1330400000000003</c:v>
                </c:pt>
                <c:pt idx="111">
                  <c:v>3.1585800000000002</c:v>
                </c:pt>
                <c:pt idx="112">
                  <c:v>3.1806000000000001</c:v>
                </c:pt>
                <c:pt idx="113">
                  <c:v>3.1985400000000004</c:v>
                </c:pt>
                <c:pt idx="114">
                  <c:v>3.2135799999999999</c:v>
                </c:pt>
                <c:pt idx="115">
                  <c:v>3.2265300000000003</c:v>
                </c:pt>
                <c:pt idx="116">
                  <c:v>3.2359100000000001</c:v>
                </c:pt>
                <c:pt idx="117">
                  <c:v>3.2412900000000002</c:v>
                </c:pt>
                <c:pt idx="118">
                  <c:v>3.2434699999999999</c:v>
                </c:pt>
                <c:pt idx="119">
                  <c:v>3.2410800000000002</c:v>
                </c:pt>
                <c:pt idx="120">
                  <c:v>3.2359800000000001</c:v>
                </c:pt>
                <c:pt idx="121">
                  <c:v>3.2292800000000002</c:v>
                </c:pt>
                <c:pt idx="122">
                  <c:v>3.2189699999999997</c:v>
                </c:pt>
                <c:pt idx="123">
                  <c:v>3.20703</c:v>
                </c:pt>
                <c:pt idx="124">
                  <c:v>3.2037399999999998</c:v>
                </c:pt>
                <c:pt idx="125">
                  <c:v>3.1974200000000002</c:v>
                </c:pt>
                <c:pt idx="126">
                  <c:v>3.1886299999999999</c:v>
                </c:pt>
                <c:pt idx="127">
                  <c:v>3.1778599999999999</c:v>
                </c:pt>
                <c:pt idx="128">
                  <c:v>3.1655800000000003</c:v>
                </c:pt>
                <c:pt idx="129">
                  <c:v>3.15286</c:v>
                </c:pt>
                <c:pt idx="130">
                  <c:v>3.1344699999999999</c:v>
                </c:pt>
                <c:pt idx="131">
                  <c:v>3.1119699999999999</c:v>
                </c:pt>
                <c:pt idx="132">
                  <c:v>3.0908200000000003</c:v>
                </c:pt>
                <c:pt idx="133">
                  <c:v>3.0707</c:v>
                </c:pt>
                <c:pt idx="134">
                  <c:v>3.0496499999999997</c:v>
                </c:pt>
                <c:pt idx="135">
                  <c:v>3.0274000000000001</c:v>
                </c:pt>
                <c:pt idx="136">
                  <c:v>3.0043899999999999</c:v>
                </c:pt>
                <c:pt idx="137">
                  <c:v>2.98393</c:v>
                </c:pt>
                <c:pt idx="138">
                  <c:v>2.9678599999999999</c:v>
                </c:pt>
                <c:pt idx="139">
                  <c:v>2.9554900000000002</c:v>
                </c:pt>
                <c:pt idx="140">
                  <c:v>2.94373</c:v>
                </c:pt>
                <c:pt idx="141">
                  <c:v>2.9356800000000001</c:v>
                </c:pt>
                <c:pt idx="142">
                  <c:v>2.9280900000000001</c:v>
                </c:pt>
                <c:pt idx="143">
                  <c:v>2.9169299999999998</c:v>
                </c:pt>
                <c:pt idx="144">
                  <c:v>2.90944</c:v>
                </c:pt>
                <c:pt idx="145">
                  <c:v>2.9033199999999999</c:v>
                </c:pt>
                <c:pt idx="146">
                  <c:v>2.8873500000000001</c:v>
                </c:pt>
                <c:pt idx="147">
                  <c:v>2.8934100000000003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46.235599999999998</c:v>
                </c:pt>
                <c:pt idx="1">
                  <c:v>46.169900000000005</c:v>
                </c:pt>
                <c:pt idx="2">
                  <c:v>46.013799999999996</c:v>
                </c:pt>
                <c:pt idx="3">
                  <c:v>45.851300000000002</c:v>
                </c:pt>
                <c:pt idx="4">
                  <c:v>45.669399999999996</c:v>
                </c:pt>
                <c:pt idx="5">
                  <c:v>45.429499999999997</c:v>
                </c:pt>
                <c:pt idx="6">
                  <c:v>45.16</c:v>
                </c:pt>
                <c:pt idx="7">
                  <c:v>44.835799999999999</c:v>
                </c:pt>
                <c:pt idx="8">
                  <c:v>44.413499999999999</c:v>
                </c:pt>
                <c:pt idx="9">
                  <c:v>43.987400000000001</c:v>
                </c:pt>
                <c:pt idx="10">
                  <c:v>43.68</c:v>
                </c:pt>
                <c:pt idx="11">
                  <c:v>43.430400000000006</c:v>
                </c:pt>
                <c:pt idx="12">
                  <c:v>43.215800000000002</c:v>
                </c:pt>
                <c:pt idx="13">
                  <c:v>43.026899999999998</c:v>
                </c:pt>
                <c:pt idx="14">
                  <c:v>42.848199999999999</c:v>
                </c:pt>
                <c:pt idx="15">
                  <c:v>42.613199999999999</c:v>
                </c:pt>
                <c:pt idx="16">
                  <c:v>42.427599999999998</c:v>
                </c:pt>
                <c:pt idx="17">
                  <c:v>42.220800000000004</c:v>
                </c:pt>
                <c:pt idx="18">
                  <c:v>42.032000000000004</c:v>
                </c:pt>
                <c:pt idx="19">
                  <c:v>41.838900000000002</c:v>
                </c:pt>
                <c:pt idx="20">
                  <c:v>41.655999999999999</c:v>
                </c:pt>
                <c:pt idx="21">
                  <c:v>41.490300000000005</c:v>
                </c:pt>
                <c:pt idx="22">
                  <c:v>41.293100000000003</c:v>
                </c:pt>
                <c:pt idx="23">
                  <c:v>41.101399999999998</c:v>
                </c:pt>
                <c:pt idx="24">
                  <c:v>40.9863</c:v>
                </c:pt>
                <c:pt idx="25">
                  <c:v>40.927100000000003</c:v>
                </c:pt>
                <c:pt idx="26">
                  <c:v>40.926699999999997</c:v>
                </c:pt>
                <c:pt idx="27">
                  <c:v>41.033500000000004</c:v>
                </c:pt>
                <c:pt idx="28">
                  <c:v>41.170899999999996</c:v>
                </c:pt>
                <c:pt idx="29">
                  <c:v>41.417700000000004</c:v>
                </c:pt>
                <c:pt idx="30">
                  <c:v>41.750900000000001</c:v>
                </c:pt>
                <c:pt idx="31">
                  <c:v>42.217300000000002</c:v>
                </c:pt>
                <c:pt idx="32">
                  <c:v>42.805900000000001</c:v>
                </c:pt>
                <c:pt idx="33">
                  <c:v>43.5212</c:v>
                </c:pt>
                <c:pt idx="34">
                  <c:v>44.299500000000002</c:v>
                </c:pt>
                <c:pt idx="35">
                  <c:v>44.965699999999998</c:v>
                </c:pt>
                <c:pt idx="36">
                  <c:v>45.4876</c:v>
                </c:pt>
                <c:pt idx="37">
                  <c:v>45.812199999999997</c:v>
                </c:pt>
                <c:pt idx="38">
                  <c:v>46.071600000000004</c:v>
                </c:pt>
                <c:pt idx="39">
                  <c:v>46.308199999999999</c:v>
                </c:pt>
                <c:pt idx="40">
                  <c:v>46.463700000000003</c:v>
                </c:pt>
                <c:pt idx="41">
                  <c:v>46.647800000000004</c:v>
                </c:pt>
                <c:pt idx="42">
                  <c:v>46.8277</c:v>
                </c:pt>
                <c:pt idx="43">
                  <c:v>46.903599999999997</c:v>
                </c:pt>
                <c:pt idx="44">
                  <c:v>46.889199999999995</c:v>
                </c:pt>
                <c:pt idx="45">
                  <c:v>46.886400000000002</c:v>
                </c:pt>
                <c:pt idx="46">
                  <c:v>46.847299999999997</c:v>
                </c:pt>
                <c:pt idx="47">
                  <c:v>46.872700000000002</c:v>
                </c:pt>
                <c:pt idx="48">
                  <c:v>46.888500000000001</c:v>
                </c:pt>
                <c:pt idx="49">
                  <c:v>46.863900000000001</c:v>
                </c:pt>
                <c:pt idx="50">
                  <c:v>46.786299999999997</c:v>
                </c:pt>
                <c:pt idx="51">
                  <c:v>46.703899999999997</c:v>
                </c:pt>
                <c:pt idx="52">
                  <c:v>46.628599999999999</c:v>
                </c:pt>
                <c:pt idx="53">
                  <c:v>46.533900000000003</c:v>
                </c:pt>
                <c:pt idx="54">
                  <c:v>46.421300000000002</c:v>
                </c:pt>
                <c:pt idx="55">
                  <c:v>46.339100000000002</c:v>
                </c:pt>
                <c:pt idx="56">
                  <c:v>46.223999999999997</c:v>
                </c:pt>
                <c:pt idx="57">
                  <c:v>46.063200000000002</c:v>
                </c:pt>
                <c:pt idx="58">
                  <c:v>45.929199999999994</c:v>
                </c:pt>
                <c:pt idx="59">
                  <c:v>45.8536</c:v>
                </c:pt>
                <c:pt idx="60">
                  <c:v>45.854800000000004</c:v>
                </c:pt>
                <c:pt idx="61">
                  <c:v>45.964199999999998</c:v>
                </c:pt>
                <c:pt idx="62">
                  <c:v>46.19</c:v>
                </c:pt>
                <c:pt idx="63">
                  <c:v>46.5137</c:v>
                </c:pt>
                <c:pt idx="64">
                  <c:v>46.919899999999998</c:v>
                </c:pt>
                <c:pt idx="65">
                  <c:v>47.498000000000005</c:v>
                </c:pt>
                <c:pt idx="66">
                  <c:v>48.1614</c:v>
                </c:pt>
                <c:pt idx="67">
                  <c:v>48.953799999999994</c:v>
                </c:pt>
                <c:pt idx="68">
                  <c:v>49.831099999999999</c:v>
                </c:pt>
                <c:pt idx="69">
                  <c:v>50.722900000000003</c:v>
                </c:pt>
                <c:pt idx="70">
                  <c:v>51.558099999999996</c:v>
                </c:pt>
                <c:pt idx="71">
                  <c:v>52.373000000000005</c:v>
                </c:pt>
                <c:pt idx="72">
                  <c:v>53.091500000000003</c:v>
                </c:pt>
                <c:pt idx="73">
                  <c:v>53.7408</c:v>
                </c:pt>
                <c:pt idx="74">
                  <c:v>54.275500000000001</c:v>
                </c:pt>
                <c:pt idx="75">
                  <c:v>54.9724</c:v>
                </c:pt>
                <c:pt idx="76">
                  <c:v>55.543100000000003</c:v>
                </c:pt>
                <c:pt idx="77">
                  <c:v>56.165200000000006</c:v>
                </c:pt>
                <c:pt idx="78">
                  <c:v>56.85</c:v>
                </c:pt>
                <c:pt idx="79">
                  <c:v>57.548600000000008</c:v>
                </c:pt>
                <c:pt idx="80">
                  <c:v>58.171900000000001</c:v>
                </c:pt>
                <c:pt idx="81">
                  <c:v>58.713700000000003</c:v>
                </c:pt>
                <c:pt idx="82">
                  <c:v>59.152499999999996</c:v>
                </c:pt>
                <c:pt idx="83">
                  <c:v>59.398099999999999</c:v>
                </c:pt>
                <c:pt idx="84">
                  <c:v>59.5336</c:v>
                </c:pt>
                <c:pt idx="85">
                  <c:v>59.572199999999995</c:v>
                </c:pt>
                <c:pt idx="86">
                  <c:v>59.500399999999999</c:v>
                </c:pt>
                <c:pt idx="87">
                  <c:v>59.375199999999992</c:v>
                </c:pt>
                <c:pt idx="88">
                  <c:v>59.179000000000002</c:v>
                </c:pt>
                <c:pt idx="89">
                  <c:v>58.945800000000006</c:v>
                </c:pt>
                <c:pt idx="90">
                  <c:v>58.629600000000003</c:v>
                </c:pt>
                <c:pt idx="91">
                  <c:v>58.142700000000005</c:v>
                </c:pt>
                <c:pt idx="92">
                  <c:v>57.477599999999995</c:v>
                </c:pt>
                <c:pt idx="93">
                  <c:v>56.630499999999998</c:v>
                </c:pt>
                <c:pt idx="94">
                  <c:v>55.631799999999998</c:v>
                </c:pt>
                <c:pt idx="95">
                  <c:v>54.545000000000002</c:v>
                </c:pt>
                <c:pt idx="96">
                  <c:v>53.374999999999993</c:v>
                </c:pt>
                <c:pt idx="97">
                  <c:v>52.162500000000001</c:v>
                </c:pt>
                <c:pt idx="98">
                  <c:v>50.962700000000005</c:v>
                </c:pt>
                <c:pt idx="99">
                  <c:v>49.728099999999998</c:v>
                </c:pt>
                <c:pt idx="100">
                  <c:v>48.521999999999998</c:v>
                </c:pt>
                <c:pt idx="101">
                  <c:v>47.384999999999998</c:v>
                </c:pt>
                <c:pt idx="102">
                  <c:v>46.268799999999999</c:v>
                </c:pt>
                <c:pt idx="103">
                  <c:v>45.280300000000004</c:v>
                </c:pt>
                <c:pt idx="104">
                  <c:v>44.429699999999997</c:v>
                </c:pt>
                <c:pt idx="105">
                  <c:v>43.554200000000002</c:v>
                </c:pt>
                <c:pt idx="106">
                  <c:v>42.732799999999997</c:v>
                </c:pt>
                <c:pt idx="107">
                  <c:v>42.112899999999996</c:v>
                </c:pt>
                <c:pt idx="108">
                  <c:v>41.6295</c:v>
                </c:pt>
                <c:pt idx="109">
                  <c:v>41.242000000000004</c:v>
                </c:pt>
                <c:pt idx="110">
                  <c:v>40.931800000000003</c:v>
                </c:pt>
                <c:pt idx="111">
                  <c:v>40.748200000000004</c:v>
                </c:pt>
                <c:pt idx="112">
                  <c:v>40.676099999999998</c:v>
                </c:pt>
                <c:pt idx="113">
                  <c:v>40.675800000000002</c:v>
                </c:pt>
                <c:pt idx="114">
                  <c:v>40.730400000000003</c:v>
                </c:pt>
                <c:pt idx="115">
                  <c:v>40.804899999999996</c:v>
                </c:pt>
                <c:pt idx="116">
                  <c:v>40.921500000000002</c:v>
                </c:pt>
                <c:pt idx="117">
                  <c:v>41.0456</c:v>
                </c:pt>
                <c:pt idx="118">
                  <c:v>41.156300000000002</c:v>
                </c:pt>
                <c:pt idx="119">
                  <c:v>41.255299999999998</c:v>
                </c:pt>
                <c:pt idx="120">
                  <c:v>41.376400000000004</c:v>
                </c:pt>
                <c:pt idx="121">
                  <c:v>41.499900000000004</c:v>
                </c:pt>
                <c:pt idx="122">
                  <c:v>41.668699999999994</c:v>
                </c:pt>
                <c:pt idx="123">
                  <c:v>41.856700000000004</c:v>
                </c:pt>
                <c:pt idx="124">
                  <c:v>41.963000000000001</c:v>
                </c:pt>
                <c:pt idx="125">
                  <c:v>42.090299999999999</c:v>
                </c:pt>
                <c:pt idx="126">
                  <c:v>42.2408</c:v>
                </c:pt>
                <c:pt idx="127">
                  <c:v>42.495699999999999</c:v>
                </c:pt>
                <c:pt idx="128">
                  <c:v>42.770899999999997</c:v>
                </c:pt>
                <c:pt idx="129">
                  <c:v>43.041699999999999</c:v>
                </c:pt>
                <c:pt idx="130">
                  <c:v>43.467599999999997</c:v>
                </c:pt>
                <c:pt idx="131">
                  <c:v>44.0366</c:v>
                </c:pt>
                <c:pt idx="132">
                  <c:v>44.527999999999999</c:v>
                </c:pt>
                <c:pt idx="133">
                  <c:v>44.996199999999995</c:v>
                </c:pt>
                <c:pt idx="134">
                  <c:v>45.438600000000001</c:v>
                </c:pt>
                <c:pt idx="135">
                  <c:v>45.927599999999998</c:v>
                </c:pt>
                <c:pt idx="136">
                  <c:v>46.417000000000002</c:v>
                </c:pt>
                <c:pt idx="137">
                  <c:v>46.817799999999998</c:v>
                </c:pt>
                <c:pt idx="138">
                  <c:v>47.115000000000002</c:v>
                </c:pt>
                <c:pt idx="139">
                  <c:v>47.316800000000001</c:v>
                </c:pt>
                <c:pt idx="140">
                  <c:v>47.522799999999997</c:v>
                </c:pt>
                <c:pt idx="141">
                  <c:v>47.597299999999997</c:v>
                </c:pt>
                <c:pt idx="142">
                  <c:v>47.534399999999998</c:v>
                </c:pt>
                <c:pt idx="143">
                  <c:v>47.516999999999996</c:v>
                </c:pt>
                <c:pt idx="144">
                  <c:v>47.4923</c:v>
                </c:pt>
                <c:pt idx="145">
                  <c:v>47.408799999999999</c:v>
                </c:pt>
                <c:pt idx="146">
                  <c:v>47.782899999999998</c:v>
                </c:pt>
                <c:pt idx="147">
                  <c:v>47.750399999999999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3.3662100000000001</c:v>
                </c:pt>
                <c:pt idx="1">
                  <c:v>3.3807799999999997</c:v>
                </c:pt>
                <c:pt idx="2">
                  <c:v>3.39575</c:v>
                </c:pt>
                <c:pt idx="3">
                  <c:v>3.4131299999999998</c:v>
                </c:pt>
                <c:pt idx="4">
                  <c:v>3.4339599999999999</c:v>
                </c:pt>
                <c:pt idx="5">
                  <c:v>3.4603999999999999</c:v>
                </c:pt>
                <c:pt idx="6">
                  <c:v>3.48875</c:v>
                </c:pt>
                <c:pt idx="7">
                  <c:v>3.5147899999999996</c:v>
                </c:pt>
                <c:pt idx="8">
                  <c:v>3.5395700000000003</c:v>
                </c:pt>
                <c:pt idx="9">
                  <c:v>3.5640200000000002</c:v>
                </c:pt>
                <c:pt idx="10">
                  <c:v>3.5846299999999998</c:v>
                </c:pt>
                <c:pt idx="11">
                  <c:v>3.5979000000000001</c:v>
                </c:pt>
                <c:pt idx="12">
                  <c:v>3.6047800000000003</c:v>
                </c:pt>
                <c:pt idx="13">
                  <c:v>3.609</c:v>
                </c:pt>
                <c:pt idx="14">
                  <c:v>3.6111900000000001</c:v>
                </c:pt>
                <c:pt idx="15">
                  <c:v>3.6087699999999998</c:v>
                </c:pt>
                <c:pt idx="16">
                  <c:v>3.6063800000000001</c:v>
                </c:pt>
                <c:pt idx="17">
                  <c:v>3.6002800000000001</c:v>
                </c:pt>
                <c:pt idx="18">
                  <c:v>3.5892900000000001</c:v>
                </c:pt>
                <c:pt idx="19">
                  <c:v>3.5731700000000002</c:v>
                </c:pt>
                <c:pt idx="20">
                  <c:v>3.5552800000000002</c:v>
                </c:pt>
                <c:pt idx="21">
                  <c:v>3.5331899999999998</c:v>
                </c:pt>
                <c:pt idx="22">
                  <c:v>3.5074300000000003</c:v>
                </c:pt>
                <c:pt idx="23">
                  <c:v>3.47939</c:v>
                </c:pt>
                <c:pt idx="24">
                  <c:v>3.4470299999999998</c:v>
                </c:pt>
                <c:pt idx="25">
                  <c:v>3.4129300000000002</c:v>
                </c:pt>
                <c:pt idx="26">
                  <c:v>3.3812799999999998</c:v>
                </c:pt>
                <c:pt idx="27">
                  <c:v>3.3535399999999997</c:v>
                </c:pt>
                <c:pt idx="28">
                  <c:v>3.3238400000000001</c:v>
                </c:pt>
                <c:pt idx="29">
                  <c:v>3.2911899999999998</c:v>
                </c:pt>
                <c:pt idx="30">
                  <c:v>3.25461</c:v>
                </c:pt>
                <c:pt idx="31">
                  <c:v>3.2127299999999996</c:v>
                </c:pt>
                <c:pt idx="32">
                  <c:v>3.1717299999999997</c:v>
                </c:pt>
                <c:pt idx="33">
                  <c:v>3.1331899999999999</c:v>
                </c:pt>
                <c:pt idx="34">
                  <c:v>3.0960900000000002</c:v>
                </c:pt>
                <c:pt idx="35">
                  <c:v>3.06359</c:v>
                </c:pt>
                <c:pt idx="36">
                  <c:v>3.0393599999999998</c:v>
                </c:pt>
                <c:pt idx="37">
                  <c:v>3.0217200000000002</c:v>
                </c:pt>
                <c:pt idx="38">
                  <c:v>3.0059900000000002</c:v>
                </c:pt>
                <c:pt idx="39">
                  <c:v>2.9924299999999997</c:v>
                </c:pt>
                <c:pt idx="40">
                  <c:v>2.9854099999999999</c:v>
                </c:pt>
                <c:pt idx="41">
                  <c:v>2.9775800000000001</c:v>
                </c:pt>
                <c:pt idx="42">
                  <c:v>2.97315</c:v>
                </c:pt>
                <c:pt idx="43">
                  <c:v>2.9705300000000001</c:v>
                </c:pt>
                <c:pt idx="44">
                  <c:v>2.9682999999999997</c:v>
                </c:pt>
                <c:pt idx="45">
                  <c:v>2.96306</c:v>
                </c:pt>
                <c:pt idx="46">
                  <c:v>2.9575299999999998</c:v>
                </c:pt>
                <c:pt idx="47">
                  <c:v>2.9523100000000002</c:v>
                </c:pt>
                <c:pt idx="48">
                  <c:v>2.944</c:v>
                </c:pt>
                <c:pt idx="49">
                  <c:v>2.9316900000000001</c:v>
                </c:pt>
                <c:pt idx="50">
                  <c:v>2.9256799999999998</c:v>
                </c:pt>
                <c:pt idx="51">
                  <c:v>2.9135</c:v>
                </c:pt>
                <c:pt idx="52">
                  <c:v>2.9013499999999999</c:v>
                </c:pt>
                <c:pt idx="53">
                  <c:v>2.8913600000000002</c:v>
                </c:pt>
                <c:pt idx="54">
                  <c:v>2.88117</c:v>
                </c:pt>
                <c:pt idx="55">
                  <c:v>2.8717300000000003</c:v>
                </c:pt>
                <c:pt idx="56">
                  <c:v>2.8618199999999998</c:v>
                </c:pt>
                <c:pt idx="57">
                  <c:v>2.8496999999999999</c:v>
                </c:pt>
                <c:pt idx="58">
                  <c:v>2.8367599999999999</c:v>
                </c:pt>
                <c:pt idx="59">
                  <c:v>2.8224</c:v>
                </c:pt>
                <c:pt idx="60">
                  <c:v>2.8069600000000001</c:v>
                </c:pt>
                <c:pt idx="61">
                  <c:v>2.7871899999999998</c:v>
                </c:pt>
                <c:pt idx="62">
                  <c:v>2.7645300000000002</c:v>
                </c:pt>
                <c:pt idx="63">
                  <c:v>2.7400099999999998</c:v>
                </c:pt>
                <c:pt idx="64">
                  <c:v>2.7151700000000001</c:v>
                </c:pt>
                <c:pt idx="65">
                  <c:v>2.6870100000000003</c:v>
                </c:pt>
                <c:pt idx="66">
                  <c:v>2.6569500000000001</c:v>
                </c:pt>
                <c:pt idx="67">
                  <c:v>2.6230700000000002</c:v>
                </c:pt>
                <c:pt idx="68">
                  <c:v>2.58962</c:v>
                </c:pt>
                <c:pt idx="69">
                  <c:v>2.5608900000000001</c:v>
                </c:pt>
                <c:pt idx="70">
                  <c:v>2.5365900000000003</c:v>
                </c:pt>
                <c:pt idx="71">
                  <c:v>2.5155400000000001</c:v>
                </c:pt>
                <c:pt idx="72">
                  <c:v>2.4958200000000001</c:v>
                </c:pt>
                <c:pt idx="73">
                  <c:v>2.48109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46.235599999999998</c:v>
                </c:pt>
                <c:pt idx="1">
                  <c:v>46.169900000000005</c:v>
                </c:pt>
                <c:pt idx="2">
                  <c:v>46.013799999999996</c:v>
                </c:pt>
                <c:pt idx="3">
                  <c:v>45.851300000000002</c:v>
                </c:pt>
                <c:pt idx="4">
                  <c:v>45.669399999999996</c:v>
                </c:pt>
                <c:pt idx="5">
                  <c:v>45.429499999999997</c:v>
                </c:pt>
                <c:pt idx="6">
                  <c:v>45.16</c:v>
                </c:pt>
                <c:pt idx="7">
                  <c:v>44.835799999999999</c:v>
                </c:pt>
                <c:pt idx="8">
                  <c:v>44.413499999999999</c:v>
                </c:pt>
                <c:pt idx="9">
                  <c:v>43.987400000000001</c:v>
                </c:pt>
                <c:pt idx="10">
                  <c:v>43.68</c:v>
                </c:pt>
                <c:pt idx="11">
                  <c:v>43.430400000000006</c:v>
                </c:pt>
                <c:pt idx="12">
                  <c:v>43.215800000000002</c:v>
                </c:pt>
                <c:pt idx="13">
                  <c:v>43.026899999999998</c:v>
                </c:pt>
                <c:pt idx="14">
                  <c:v>42.848199999999999</c:v>
                </c:pt>
                <c:pt idx="15">
                  <c:v>42.613199999999999</c:v>
                </c:pt>
                <c:pt idx="16">
                  <c:v>42.427599999999998</c:v>
                </c:pt>
                <c:pt idx="17">
                  <c:v>42.220800000000004</c:v>
                </c:pt>
                <c:pt idx="18">
                  <c:v>42.032000000000004</c:v>
                </c:pt>
                <c:pt idx="19">
                  <c:v>41.838900000000002</c:v>
                </c:pt>
                <c:pt idx="20">
                  <c:v>41.655999999999999</c:v>
                </c:pt>
                <c:pt idx="21">
                  <c:v>41.490300000000005</c:v>
                </c:pt>
                <c:pt idx="22">
                  <c:v>41.293100000000003</c:v>
                </c:pt>
                <c:pt idx="23">
                  <c:v>41.101399999999998</c:v>
                </c:pt>
                <c:pt idx="24">
                  <c:v>40.9863</c:v>
                </c:pt>
                <c:pt idx="25">
                  <c:v>40.927100000000003</c:v>
                </c:pt>
                <c:pt idx="26">
                  <c:v>40.926699999999997</c:v>
                </c:pt>
                <c:pt idx="27">
                  <c:v>41.033500000000004</c:v>
                </c:pt>
                <c:pt idx="28">
                  <c:v>41.170899999999996</c:v>
                </c:pt>
                <c:pt idx="29">
                  <c:v>41.417700000000004</c:v>
                </c:pt>
                <c:pt idx="30">
                  <c:v>41.750900000000001</c:v>
                </c:pt>
                <c:pt idx="31">
                  <c:v>42.217300000000002</c:v>
                </c:pt>
                <c:pt idx="32">
                  <c:v>42.805900000000001</c:v>
                </c:pt>
                <c:pt idx="33">
                  <c:v>43.5212</c:v>
                </c:pt>
                <c:pt idx="34">
                  <c:v>44.299500000000002</c:v>
                </c:pt>
                <c:pt idx="35">
                  <c:v>44.965699999999998</c:v>
                </c:pt>
                <c:pt idx="36">
                  <c:v>45.4876</c:v>
                </c:pt>
                <c:pt idx="37">
                  <c:v>45.812199999999997</c:v>
                </c:pt>
                <c:pt idx="38">
                  <c:v>46.071600000000004</c:v>
                </c:pt>
                <c:pt idx="39">
                  <c:v>46.308199999999999</c:v>
                </c:pt>
                <c:pt idx="40">
                  <c:v>46.463700000000003</c:v>
                </c:pt>
                <c:pt idx="41">
                  <c:v>46.647800000000004</c:v>
                </c:pt>
                <c:pt idx="42">
                  <c:v>46.8277</c:v>
                </c:pt>
                <c:pt idx="43">
                  <c:v>46.903599999999997</c:v>
                </c:pt>
                <c:pt idx="44">
                  <c:v>46.889199999999995</c:v>
                </c:pt>
                <c:pt idx="45">
                  <c:v>46.886400000000002</c:v>
                </c:pt>
                <c:pt idx="46">
                  <c:v>46.847299999999997</c:v>
                </c:pt>
                <c:pt idx="47">
                  <c:v>46.872700000000002</c:v>
                </c:pt>
                <c:pt idx="48">
                  <c:v>46.888500000000001</c:v>
                </c:pt>
                <c:pt idx="49">
                  <c:v>46.863900000000001</c:v>
                </c:pt>
                <c:pt idx="50">
                  <c:v>46.786299999999997</c:v>
                </c:pt>
                <c:pt idx="51">
                  <c:v>46.703899999999997</c:v>
                </c:pt>
                <c:pt idx="52">
                  <c:v>46.628599999999999</c:v>
                </c:pt>
                <c:pt idx="53">
                  <c:v>46.533900000000003</c:v>
                </c:pt>
                <c:pt idx="54">
                  <c:v>46.421300000000002</c:v>
                </c:pt>
                <c:pt idx="55">
                  <c:v>46.339100000000002</c:v>
                </c:pt>
                <c:pt idx="56">
                  <c:v>46.223999999999997</c:v>
                </c:pt>
                <c:pt idx="57">
                  <c:v>46.063200000000002</c:v>
                </c:pt>
                <c:pt idx="58">
                  <c:v>45.929199999999994</c:v>
                </c:pt>
                <c:pt idx="59">
                  <c:v>45.8536</c:v>
                </c:pt>
                <c:pt idx="60">
                  <c:v>45.854800000000004</c:v>
                </c:pt>
                <c:pt idx="61">
                  <c:v>45.964199999999998</c:v>
                </c:pt>
                <c:pt idx="62">
                  <c:v>46.19</c:v>
                </c:pt>
                <c:pt idx="63">
                  <c:v>46.5137</c:v>
                </c:pt>
                <c:pt idx="64">
                  <c:v>46.919899999999998</c:v>
                </c:pt>
                <c:pt idx="65">
                  <c:v>47.498000000000005</c:v>
                </c:pt>
                <c:pt idx="66">
                  <c:v>48.1614</c:v>
                </c:pt>
                <c:pt idx="67">
                  <c:v>48.953799999999994</c:v>
                </c:pt>
                <c:pt idx="68">
                  <c:v>49.831099999999999</c:v>
                </c:pt>
                <c:pt idx="69">
                  <c:v>50.722900000000003</c:v>
                </c:pt>
                <c:pt idx="70">
                  <c:v>51.558099999999996</c:v>
                </c:pt>
                <c:pt idx="71">
                  <c:v>52.373000000000005</c:v>
                </c:pt>
                <c:pt idx="72">
                  <c:v>53.091500000000003</c:v>
                </c:pt>
                <c:pt idx="73">
                  <c:v>53.7408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2.48109</c:v>
                </c:pt>
                <c:pt idx="1">
                  <c:v>2.47288</c:v>
                </c:pt>
                <c:pt idx="2">
                  <c:v>2.4653900000000002</c:v>
                </c:pt>
                <c:pt idx="3">
                  <c:v>2.4581900000000001</c:v>
                </c:pt>
                <c:pt idx="4">
                  <c:v>2.4498899999999999</c:v>
                </c:pt>
                <c:pt idx="5">
                  <c:v>2.4397099999999998</c:v>
                </c:pt>
                <c:pt idx="6">
                  <c:v>2.4296699999999998</c:v>
                </c:pt>
                <c:pt idx="7">
                  <c:v>2.4220000000000002</c:v>
                </c:pt>
                <c:pt idx="8">
                  <c:v>2.4191699999999998</c:v>
                </c:pt>
                <c:pt idx="9">
                  <c:v>2.4215400000000002</c:v>
                </c:pt>
                <c:pt idx="10">
                  <c:v>2.4267099999999999</c:v>
                </c:pt>
                <c:pt idx="11">
                  <c:v>2.43458</c:v>
                </c:pt>
                <c:pt idx="12">
                  <c:v>2.4436100000000001</c:v>
                </c:pt>
                <c:pt idx="13">
                  <c:v>2.4534600000000002</c:v>
                </c:pt>
                <c:pt idx="14">
                  <c:v>2.4633699999999998</c:v>
                </c:pt>
                <c:pt idx="15">
                  <c:v>2.4730599999999998</c:v>
                </c:pt>
                <c:pt idx="16">
                  <c:v>2.4811199999999998</c:v>
                </c:pt>
                <c:pt idx="17">
                  <c:v>2.4900500000000001</c:v>
                </c:pt>
                <c:pt idx="18">
                  <c:v>2.5006499999999998</c:v>
                </c:pt>
                <c:pt idx="19">
                  <c:v>2.5162499999999999</c:v>
                </c:pt>
                <c:pt idx="20">
                  <c:v>2.5361899999999999</c:v>
                </c:pt>
                <c:pt idx="21">
                  <c:v>2.5596799999999997</c:v>
                </c:pt>
                <c:pt idx="22">
                  <c:v>2.5856400000000002</c:v>
                </c:pt>
                <c:pt idx="23">
                  <c:v>2.6140999999999996</c:v>
                </c:pt>
                <c:pt idx="24">
                  <c:v>2.6447099999999999</c:v>
                </c:pt>
                <c:pt idx="25">
                  <c:v>2.6778499999999998</c:v>
                </c:pt>
                <c:pt idx="26">
                  <c:v>2.7151799999999997</c:v>
                </c:pt>
                <c:pt idx="27">
                  <c:v>2.7549200000000003</c:v>
                </c:pt>
                <c:pt idx="28">
                  <c:v>2.7959800000000001</c:v>
                </c:pt>
                <c:pt idx="29">
                  <c:v>2.8368599999999997</c:v>
                </c:pt>
                <c:pt idx="30">
                  <c:v>2.8773500000000003</c:v>
                </c:pt>
                <c:pt idx="31">
                  <c:v>2.9165600000000005</c:v>
                </c:pt>
                <c:pt idx="32">
                  <c:v>2.95892</c:v>
                </c:pt>
                <c:pt idx="33">
                  <c:v>3.00197</c:v>
                </c:pt>
                <c:pt idx="34">
                  <c:v>3.0397600000000002</c:v>
                </c:pt>
                <c:pt idx="35">
                  <c:v>3.07334</c:v>
                </c:pt>
                <c:pt idx="36">
                  <c:v>3.1044</c:v>
                </c:pt>
                <c:pt idx="37">
                  <c:v>3.1330400000000003</c:v>
                </c:pt>
                <c:pt idx="38">
                  <c:v>3.1585800000000002</c:v>
                </c:pt>
                <c:pt idx="39">
                  <c:v>3.1806000000000001</c:v>
                </c:pt>
                <c:pt idx="40">
                  <c:v>3.1985400000000004</c:v>
                </c:pt>
                <c:pt idx="41">
                  <c:v>3.2135799999999999</c:v>
                </c:pt>
                <c:pt idx="42">
                  <c:v>3.2265300000000003</c:v>
                </c:pt>
                <c:pt idx="43">
                  <c:v>3.2359100000000001</c:v>
                </c:pt>
                <c:pt idx="44">
                  <c:v>3.2412900000000002</c:v>
                </c:pt>
                <c:pt idx="45">
                  <c:v>3.2434699999999999</c:v>
                </c:pt>
                <c:pt idx="46">
                  <c:v>3.2410800000000002</c:v>
                </c:pt>
                <c:pt idx="47">
                  <c:v>3.2359800000000001</c:v>
                </c:pt>
                <c:pt idx="48">
                  <c:v>3.2292800000000002</c:v>
                </c:pt>
                <c:pt idx="49">
                  <c:v>3.2189699999999997</c:v>
                </c:pt>
                <c:pt idx="50">
                  <c:v>3.20703</c:v>
                </c:pt>
                <c:pt idx="51">
                  <c:v>3.2037399999999998</c:v>
                </c:pt>
                <c:pt idx="52">
                  <c:v>3.1974200000000002</c:v>
                </c:pt>
                <c:pt idx="53">
                  <c:v>3.1886299999999999</c:v>
                </c:pt>
                <c:pt idx="54">
                  <c:v>3.1778599999999999</c:v>
                </c:pt>
                <c:pt idx="55">
                  <c:v>3.1655800000000003</c:v>
                </c:pt>
                <c:pt idx="56">
                  <c:v>3.15286</c:v>
                </c:pt>
                <c:pt idx="57">
                  <c:v>3.1344699999999999</c:v>
                </c:pt>
                <c:pt idx="58">
                  <c:v>3.1119699999999999</c:v>
                </c:pt>
                <c:pt idx="59">
                  <c:v>3.0908200000000003</c:v>
                </c:pt>
                <c:pt idx="60">
                  <c:v>3.0707</c:v>
                </c:pt>
                <c:pt idx="61">
                  <c:v>3.0496499999999997</c:v>
                </c:pt>
                <c:pt idx="62">
                  <c:v>3.0274000000000001</c:v>
                </c:pt>
                <c:pt idx="63">
                  <c:v>3.0043899999999999</c:v>
                </c:pt>
                <c:pt idx="64">
                  <c:v>2.98393</c:v>
                </c:pt>
                <c:pt idx="65">
                  <c:v>2.9678599999999999</c:v>
                </c:pt>
                <c:pt idx="66">
                  <c:v>2.9554900000000002</c:v>
                </c:pt>
                <c:pt idx="67">
                  <c:v>2.94373</c:v>
                </c:pt>
                <c:pt idx="68">
                  <c:v>2.9356800000000001</c:v>
                </c:pt>
                <c:pt idx="69">
                  <c:v>2.9280900000000001</c:v>
                </c:pt>
                <c:pt idx="70">
                  <c:v>2.9169299999999998</c:v>
                </c:pt>
                <c:pt idx="71">
                  <c:v>2.90944</c:v>
                </c:pt>
                <c:pt idx="72">
                  <c:v>2.9033199999999999</c:v>
                </c:pt>
                <c:pt idx="73">
                  <c:v>2.8873500000000001</c:v>
                </c:pt>
                <c:pt idx="74">
                  <c:v>2.8934100000000003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53.7408</c:v>
                </c:pt>
                <c:pt idx="1">
                  <c:v>54.275500000000001</c:v>
                </c:pt>
                <c:pt idx="2">
                  <c:v>54.9724</c:v>
                </c:pt>
                <c:pt idx="3">
                  <c:v>55.543100000000003</c:v>
                </c:pt>
                <c:pt idx="4">
                  <c:v>56.165200000000006</c:v>
                </c:pt>
                <c:pt idx="5">
                  <c:v>56.85</c:v>
                </c:pt>
                <c:pt idx="6">
                  <c:v>57.548600000000008</c:v>
                </c:pt>
                <c:pt idx="7">
                  <c:v>58.171900000000001</c:v>
                </c:pt>
                <c:pt idx="8">
                  <c:v>58.713700000000003</c:v>
                </c:pt>
                <c:pt idx="9">
                  <c:v>59.152499999999996</c:v>
                </c:pt>
                <c:pt idx="10">
                  <c:v>59.398099999999999</c:v>
                </c:pt>
                <c:pt idx="11">
                  <c:v>59.5336</c:v>
                </c:pt>
                <c:pt idx="12">
                  <c:v>59.572199999999995</c:v>
                </c:pt>
                <c:pt idx="13">
                  <c:v>59.500399999999999</c:v>
                </c:pt>
                <c:pt idx="14">
                  <c:v>59.375199999999992</c:v>
                </c:pt>
                <c:pt idx="15">
                  <c:v>59.179000000000002</c:v>
                </c:pt>
                <c:pt idx="16">
                  <c:v>58.945800000000006</c:v>
                </c:pt>
                <c:pt idx="17">
                  <c:v>58.629600000000003</c:v>
                </c:pt>
                <c:pt idx="18">
                  <c:v>58.142700000000005</c:v>
                </c:pt>
                <c:pt idx="19">
                  <c:v>57.477599999999995</c:v>
                </c:pt>
                <c:pt idx="20">
                  <c:v>56.630499999999998</c:v>
                </c:pt>
                <c:pt idx="21">
                  <c:v>55.631799999999998</c:v>
                </c:pt>
                <c:pt idx="22">
                  <c:v>54.545000000000002</c:v>
                </c:pt>
                <c:pt idx="23">
                  <c:v>53.374999999999993</c:v>
                </c:pt>
                <c:pt idx="24">
                  <c:v>52.162500000000001</c:v>
                </c:pt>
                <c:pt idx="25">
                  <c:v>50.962700000000005</c:v>
                </c:pt>
                <c:pt idx="26">
                  <c:v>49.728099999999998</c:v>
                </c:pt>
                <c:pt idx="27">
                  <c:v>48.521999999999998</c:v>
                </c:pt>
                <c:pt idx="28">
                  <c:v>47.384999999999998</c:v>
                </c:pt>
                <c:pt idx="29">
                  <c:v>46.268799999999999</c:v>
                </c:pt>
                <c:pt idx="30">
                  <c:v>45.280300000000004</c:v>
                </c:pt>
                <c:pt idx="31">
                  <c:v>44.429699999999997</c:v>
                </c:pt>
                <c:pt idx="32">
                  <c:v>43.554200000000002</c:v>
                </c:pt>
                <c:pt idx="33">
                  <c:v>42.732799999999997</c:v>
                </c:pt>
                <c:pt idx="34">
                  <c:v>42.112899999999996</c:v>
                </c:pt>
                <c:pt idx="35">
                  <c:v>41.6295</c:v>
                </c:pt>
                <c:pt idx="36">
                  <c:v>41.242000000000004</c:v>
                </c:pt>
                <c:pt idx="37">
                  <c:v>40.931800000000003</c:v>
                </c:pt>
                <c:pt idx="38">
                  <c:v>40.748200000000004</c:v>
                </c:pt>
                <c:pt idx="39">
                  <c:v>40.676099999999998</c:v>
                </c:pt>
                <c:pt idx="40">
                  <c:v>40.675800000000002</c:v>
                </c:pt>
                <c:pt idx="41">
                  <c:v>40.730400000000003</c:v>
                </c:pt>
                <c:pt idx="42">
                  <c:v>40.804899999999996</c:v>
                </c:pt>
                <c:pt idx="43">
                  <c:v>40.921500000000002</c:v>
                </c:pt>
                <c:pt idx="44">
                  <c:v>41.0456</c:v>
                </c:pt>
                <c:pt idx="45">
                  <c:v>41.156300000000002</c:v>
                </c:pt>
                <c:pt idx="46">
                  <c:v>41.255299999999998</c:v>
                </c:pt>
                <c:pt idx="47">
                  <c:v>41.376400000000004</c:v>
                </c:pt>
                <c:pt idx="48">
                  <c:v>41.499900000000004</c:v>
                </c:pt>
                <c:pt idx="49">
                  <c:v>41.668699999999994</c:v>
                </c:pt>
                <c:pt idx="50">
                  <c:v>41.856700000000004</c:v>
                </c:pt>
                <c:pt idx="51">
                  <c:v>41.963000000000001</c:v>
                </c:pt>
                <c:pt idx="52">
                  <c:v>42.090299999999999</c:v>
                </c:pt>
                <c:pt idx="53">
                  <c:v>42.2408</c:v>
                </c:pt>
                <c:pt idx="54">
                  <c:v>42.495699999999999</c:v>
                </c:pt>
                <c:pt idx="55">
                  <c:v>42.770899999999997</c:v>
                </c:pt>
                <c:pt idx="56">
                  <c:v>43.041699999999999</c:v>
                </c:pt>
                <c:pt idx="57">
                  <c:v>43.467599999999997</c:v>
                </c:pt>
                <c:pt idx="58">
                  <c:v>44.0366</c:v>
                </c:pt>
                <c:pt idx="59">
                  <c:v>44.527999999999999</c:v>
                </c:pt>
                <c:pt idx="60">
                  <c:v>44.996199999999995</c:v>
                </c:pt>
                <c:pt idx="61">
                  <c:v>45.438600000000001</c:v>
                </c:pt>
                <c:pt idx="62">
                  <c:v>45.927599999999998</c:v>
                </c:pt>
                <c:pt idx="63">
                  <c:v>46.417000000000002</c:v>
                </c:pt>
                <c:pt idx="64">
                  <c:v>46.817799999999998</c:v>
                </c:pt>
                <c:pt idx="65">
                  <c:v>47.115000000000002</c:v>
                </c:pt>
                <c:pt idx="66">
                  <c:v>47.316800000000001</c:v>
                </c:pt>
                <c:pt idx="67">
                  <c:v>47.522799999999997</c:v>
                </c:pt>
                <c:pt idx="68">
                  <c:v>47.597299999999997</c:v>
                </c:pt>
                <c:pt idx="69">
                  <c:v>47.534399999999998</c:v>
                </c:pt>
                <c:pt idx="70">
                  <c:v>47.516999999999996</c:v>
                </c:pt>
                <c:pt idx="71">
                  <c:v>47.4923</c:v>
                </c:pt>
                <c:pt idx="72">
                  <c:v>47.408799999999999</c:v>
                </c:pt>
                <c:pt idx="73">
                  <c:v>47.782899999999998</c:v>
                </c:pt>
                <c:pt idx="74">
                  <c:v>47.750399999999999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3.3662100000000001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46.235599999999998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3.1237670270270264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45.34175945945946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2.8664771621621616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48.431851351351362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2.8664771621621616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48.431851351351362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0.15629403032666675</c:v>
                </c:pt>
                <c:pt idx="1">
                  <c:v>0.33301930900634924</c:v>
                </c:pt>
                <c:pt idx="2">
                  <c:v>0.51068666066698409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0.40481400000000001</c:v>
                </c:pt>
                <c:pt idx="2">
                  <c:v>0.81277500000000003</c:v>
                </c:pt>
                <c:pt idx="3">
                  <c:v>1.2186300000000001</c:v>
                </c:pt>
                <c:pt idx="4">
                  <c:v>1.62154</c:v>
                </c:pt>
                <c:pt idx="5">
                  <c:v>2.0285099999999998</c:v>
                </c:pt>
                <c:pt idx="6">
                  <c:v>2.4394100000000001</c:v>
                </c:pt>
                <c:pt idx="7">
                  <c:v>2.84538</c:v>
                </c:pt>
                <c:pt idx="8">
                  <c:v>3.2481800000000001</c:v>
                </c:pt>
                <c:pt idx="9">
                  <c:v>3.65415</c:v>
                </c:pt>
                <c:pt idx="10">
                  <c:v>4.06013</c:v>
                </c:pt>
                <c:pt idx="11">
                  <c:v>4.4669499999999998</c:v>
                </c:pt>
                <c:pt idx="12">
                  <c:v>4.8754600000000003</c:v>
                </c:pt>
                <c:pt idx="13">
                  <c:v>5.2828299999999997</c:v>
                </c:pt>
                <c:pt idx="14">
                  <c:v>5.6847000000000003</c:v>
                </c:pt>
                <c:pt idx="15">
                  <c:v>6.0922200000000002</c:v>
                </c:pt>
                <c:pt idx="16">
                  <c:v>6.4985099999999996</c:v>
                </c:pt>
                <c:pt idx="17">
                  <c:v>6.90259</c:v>
                </c:pt>
                <c:pt idx="18">
                  <c:v>7.3123399999999998</c:v>
                </c:pt>
                <c:pt idx="19">
                  <c:v>7.7172599999999996</c:v>
                </c:pt>
                <c:pt idx="20">
                  <c:v>8.1221599999999992</c:v>
                </c:pt>
                <c:pt idx="21">
                  <c:v>8.5256699999999999</c:v>
                </c:pt>
                <c:pt idx="22">
                  <c:v>8.9319400000000009</c:v>
                </c:pt>
                <c:pt idx="23">
                  <c:v>9.3420199999999998</c:v>
                </c:pt>
                <c:pt idx="24">
                  <c:v>9.7498299999999993</c:v>
                </c:pt>
                <c:pt idx="25">
                  <c:v>10.153700000000001</c:v>
                </c:pt>
                <c:pt idx="26">
                  <c:v>10.559799999999999</c:v>
                </c:pt>
                <c:pt idx="27">
                  <c:v>10.970499999999999</c:v>
                </c:pt>
                <c:pt idx="28">
                  <c:v>11.3705</c:v>
                </c:pt>
                <c:pt idx="29">
                  <c:v>11.7804</c:v>
                </c:pt>
                <c:pt idx="30">
                  <c:v>12.1844</c:v>
                </c:pt>
                <c:pt idx="31">
                  <c:v>12.5954</c:v>
                </c:pt>
                <c:pt idx="32">
                  <c:v>12.9992</c:v>
                </c:pt>
                <c:pt idx="33">
                  <c:v>13.4062</c:v>
                </c:pt>
                <c:pt idx="34">
                  <c:v>13.81</c:v>
                </c:pt>
                <c:pt idx="35">
                  <c:v>14.215999999999999</c:v>
                </c:pt>
                <c:pt idx="36">
                  <c:v>14.623900000000001</c:v>
                </c:pt>
                <c:pt idx="37">
                  <c:v>15.0288</c:v>
                </c:pt>
                <c:pt idx="38">
                  <c:v>15.4367</c:v>
                </c:pt>
                <c:pt idx="39">
                  <c:v>15.845599999999999</c:v>
                </c:pt>
                <c:pt idx="40">
                  <c:v>16.247499999999999</c:v>
                </c:pt>
                <c:pt idx="41">
                  <c:v>16.6524</c:v>
                </c:pt>
                <c:pt idx="42">
                  <c:v>17.0623</c:v>
                </c:pt>
                <c:pt idx="43">
                  <c:v>17.467400000000001</c:v>
                </c:pt>
                <c:pt idx="44">
                  <c:v>17.871200000000002</c:v>
                </c:pt>
                <c:pt idx="45">
                  <c:v>18.277100000000001</c:v>
                </c:pt>
                <c:pt idx="46">
                  <c:v>18.687999999999999</c:v>
                </c:pt>
                <c:pt idx="47">
                  <c:v>19.094899999999999</c:v>
                </c:pt>
                <c:pt idx="48">
                  <c:v>19.4968</c:v>
                </c:pt>
                <c:pt idx="49">
                  <c:v>19.901900000000001</c:v>
                </c:pt>
                <c:pt idx="50">
                  <c:v>20.3127</c:v>
                </c:pt>
                <c:pt idx="51">
                  <c:v>20.721499999999999</c:v>
                </c:pt>
                <c:pt idx="52">
                  <c:v>21.1234</c:v>
                </c:pt>
                <c:pt idx="53">
                  <c:v>21.529399999999999</c:v>
                </c:pt>
                <c:pt idx="54">
                  <c:v>21.935500000000001</c:v>
                </c:pt>
                <c:pt idx="55">
                  <c:v>22.339200000000002</c:v>
                </c:pt>
                <c:pt idx="56">
                  <c:v>22.751200000000001</c:v>
                </c:pt>
                <c:pt idx="57">
                  <c:v>23.155000000000001</c:v>
                </c:pt>
                <c:pt idx="58">
                  <c:v>23.556899999999999</c:v>
                </c:pt>
                <c:pt idx="59">
                  <c:v>23.969899999999999</c:v>
                </c:pt>
                <c:pt idx="60">
                  <c:v>24.375900000000001</c:v>
                </c:pt>
                <c:pt idx="61">
                  <c:v>24.781700000000001</c:v>
                </c:pt>
                <c:pt idx="62">
                  <c:v>25.1846</c:v>
                </c:pt>
                <c:pt idx="63">
                  <c:v>25.592600000000001</c:v>
                </c:pt>
                <c:pt idx="64">
                  <c:v>25.999600000000001</c:v>
                </c:pt>
                <c:pt idx="65">
                  <c:v>26.407299999999999</c:v>
                </c:pt>
                <c:pt idx="66">
                  <c:v>26.815300000000001</c:v>
                </c:pt>
                <c:pt idx="67">
                  <c:v>27.215199999999999</c:v>
                </c:pt>
                <c:pt idx="68">
                  <c:v>27.623100000000001</c:v>
                </c:pt>
                <c:pt idx="69">
                  <c:v>28.029199999999999</c:v>
                </c:pt>
                <c:pt idx="70">
                  <c:v>28.436</c:v>
                </c:pt>
                <c:pt idx="71">
                  <c:v>28.842199999999998</c:v>
                </c:pt>
                <c:pt idx="72">
                  <c:v>29.250699999999998</c:v>
                </c:pt>
                <c:pt idx="73">
                  <c:v>29.654599999999999</c:v>
                </c:pt>
                <c:pt idx="74">
                  <c:v>30.059899999999999</c:v>
                </c:pt>
                <c:pt idx="75">
                  <c:v>30.645</c:v>
                </c:pt>
                <c:pt idx="76">
                  <c:v>31.013999999999999</c:v>
                </c:pt>
                <c:pt idx="77">
                  <c:v>31.387</c:v>
                </c:pt>
                <c:pt idx="78">
                  <c:v>31.764900000000001</c:v>
                </c:pt>
                <c:pt idx="79">
                  <c:v>32.152900000000002</c:v>
                </c:pt>
                <c:pt idx="80">
                  <c:v>32.5608</c:v>
                </c:pt>
                <c:pt idx="81">
                  <c:v>32.970700000000001</c:v>
                </c:pt>
                <c:pt idx="82">
                  <c:v>33.374600000000001</c:v>
                </c:pt>
                <c:pt idx="83">
                  <c:v>33.779600000000002</c:v>
                </c:pt>
                <c:pt idx="84">
                  <c:v>34.185600000000001</c:v>
                </c:pt>
                <c:pt idx="85">
                  <c:v>34.591700000000003</c:v>
                </c:pt>
                <c:pt idx="86">
                  <c:v>34.999299999999998</c:v>
                </c:pt>
                <c:pt idx="87">
                  <c:v>35.407299999999999</c:v>
                </c:pt>
                <c:pt idx="88">
                  <c:v>35.813099999999999</c:v>
                </c:pt>
                <c:pt idx="89">
                  <c:v>36.2151</c:v>
                </c:pt>
                <c:pt idx="90">
                  <c:v>36.622599999999998</c:v>
                </c:pt>
                <c:pt idx="91">
                  <c:v>37.026899999999998</c:v>
                </c:pt>
                <c:pt idx="92">
                  <c:v>37.436799999999998</c:v>
                </c:pt>
                <c:pt idx="93">
                  <c:v>37.844700000000003</c:v>
                </c:pt>
                <c:pt idx="94">
                  <c:v>38.249600000000001</c:v>
                </c:pt>
                <c:pt idx="95">
                  <c:v>38.652500000000003</c:v>
                </c:pt>
                <c:pt idx="96">
                  <c:v>39.062399999999997</c:v>
                </c:pt>
                <c:pt idx="97">
                  <c:v>39.4664</c:v>
                </c:pt>
                <c:pt idx="98">
                  <c:v>39.871400000000001</c:v>
                </c:pt>
                <c:pt idx="99">
                  <c:v>40.282200000000003</c:v>
                </c:pt>
                <c:pt idx="100">
                  <c:v>40.687100000000001</c:v>
                </c:pt>
                <c:pt idx="101">
                  <c:v>41.094999999999999</c:v>
                </c:pt>
                <c:pt idx="102">
                  <c:v>41.497</c:v>
                </c:pt>
                <c:pt idx="103">
                  <c:v>41.906799999999997</c:v>
                </c:pt>
                <c:pt idx="104">
                  <c:v>42.307699999999997</c:v>
                </c:pt>
                <c:pt idx="105">
                  <c:v>42.719700000000003</c:v>
                </c:pt>
                <c:pt idx="106">
                  <c:v>43.125900000000001</c:v>
                </c:pt>
                <c:pt idx="107">
                  <c:v>43.528500000000001</c:v>
                </c:pt>
                <c:pt idx="108">
                  <c:v>43.934699999999999</c:v>
                </c:pt>
                <c:pt idx="109">
                  <c:v>44.344299999999997</c:v>
                </c:pt>
                <c:pt idx="110">
                  <c:v>44.749299999999998</c:v>
                </c:pt>
                <c:pt idx="111">
                  <c:v>45.156100000000002</c:v>
                </c:pt>
                <c:pt idx="112">
                  <c:v>45.559399999999997</c:v>
                </c:pt>
                <c:pt idx="113">
                  <c:v>45.968000000000004</c:v>
                </c:pt>
                <c:pt idx="114">
                  <c:v>46.376100000000001</c:v>
                </c:pt>
                <c:pt idx="115">
                  <c:v>46.780799999999999</c:v>
                </c:pt>
                <c:pt idx="116">
                  <c:v>47.1907</c:v>
                </c:pt>
                <c:pt idx="117">
                  <c:v>47.595999999999997</c:v>
                </c:pt>
                <c:pt idx="118">
                  <c:v>48.000599999999999</c:v>
                </c:pt>
                <c:pt idx="119">
                  <c:v>48.411799999999999</c:v>
                </c:pt>
                <c:pt idx="120">
                  <c:v>48.814500000000002</c:v>
                </c:pt>
                <c:pt idx="121">
                  <c:v>49.221699999999998</c:v>
                </c:pt>
                <c:pt idx="122">
                  <c:v>49.625700000000002</c:v>
                </c:pt>
                <c:pt idx="123">
                  <c:v>50.031399999999998</c:v>
                </c:pt>
                <c:pt idx="124">
                  <c:v>50.433</c:v>
                </c:pt>
                <c:pt idx="125">
                  <c:v>50.841000000000001</c:v>
                </c:pt>
                <c:pt idx="126">
                  <c:v>51.250900000000001</c:v>
                </c:pt>
                <c:pt idx="127">
                  <c:v>51.654800000000002</c:v>
                </c:pt>
                <c:pt idx="128">
                  <c:v>52.062899999999999</c:v>
                </c:pt>
                <c:pt idx="129">
                  <c:v>52.468600000000002</c:v>
                </c:pt>
                <c:pt idx="130">
                  <c:v>52.872500000000002</c:v>
                </c:pt>
                <c:pt idx="131">
                  <c:v>53.284399999999998</c:v>
                </c:pt>
                <c:pt idx="132">
                  <c:v>53.685499999999998</c:v>
                </c:pt>
                <c:pt idx="133">
                  <c:v>54.091700000000003</c:v>
                </c:pt>
                <c:pt idx="134">
                  <c:v>54.5002</c:v>
                </c:pt>
                <c:pt idx="135">
                  <c:v>54.907200000000003</c:v>
                </c:pt>
                <c:pt idx="136">
                  <c:v>55.312100000000001</c:v>
                </c:pt>
                <c:pt idx="137">
                  <c:v>55.716900000000003</c:v>
                </c:pt>
                <c:pt idx="138">
                  <c:v>56.123100000000001</c:v>
                </c:pt>
                <c:pt idx="139">
                  <c:v>56.532800000000002</c:v>
                </c:pt>
                <c:pt idx="140">
                  <c:v>56.9377</c:v>
                </c:pt>
                <c:pt idx="141">
                  <c:v>57.345799999999997</c:v>
                </c:pt>
                <c:pt idx="142">
                  <c:v>57.747500000000002</c:v>
                </c:pt>
                <c:pt idx="143">
                  <c:v>58.154499999999999</c:v>
                </c:pt>
                <c:pt idx="144">
                  <c:v>58.564300000000003</c:v>
                </c:pt>
                <c:pt idx="145">
                  <c:v>58.968299999999999</c:v>
                </c:pt>
                <c:pt idx="146">
                  <c:v>59.375599999999999</c:v>
                </c:pt>
                <c:pt idx="147">
                  <c:v>59.783099999999997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3.3662100000000001</c:v>
                </c:pt>
                <c:pt idx="1">
                  <c:v>3.3807799999999997</c:v>
                </c:pt>
                <c:pt idx="2">
                  <c:v>3.39575</c:v>
                </c:pt>
                <c:pt idx="3">
                  <c:v>3.4131299999999998</c:v>
                </c:pt>
                <c:pt idx="4">
                  <c:v>3.4339599999999999</c:v>
                </c:pt>
                <c:pt idx="5">
                  <c:v>3.4603999999999999</c:v>
                </c:pt>
                <c:pt idx="6">
                  <c:v>3.48875</c:v>
                </c:pt>
                <c:pt idx="7">
                  <c:v>3.5147899999999996</c:v>
                </c:pt>
                <c:pt idx="8">
                  <c:v>3.5395700000000003</c:v>
                </c:pt>
                <c:pt idx="9">
                  <c:v>3.5640200000000002</c:v>
                </c:pt>
                <c:pt idx="10">
                  <c:v>3.5846299999999998</c:v>
                </c:pt>
                <c:pt idx="11">
                  <c:v>3.5979000000000001</c:v>
                </c:pt>
                <c:pt idx="12">
                  <c:v>3.6047800000000003</c:v>
                </c:pt>
                <c:pt idx="13">
                  <c:v>3.609</c:v>
                </c:pt>
                <c:pt idx="14">
                  <c:v>3.6111900000000001</c:v>
                </c:pt>
                <c:pt idx="15">
                  <c:v>3.6087699999999998</c:v>
                </c:pt>
                <c:pt idx="16">
                  <c:v>3.6063800000000001</c:v>
                </c:pt>
                <c:pt idx="17">
                  <c:v>3.6002800000000001</c:v>
                </c:pt>
                <c:pt idx="18">
                  <c:v>3.5892900000000001</c:v>
                </c:pt>
                <c:pt idx="19">
                  <c:v>3.5731700000000002</c:v>
                </c:pt>
                <c:pt idx="20">
                  <c:v>3.5552800000000002</c:v>
                </c:pt>
                <c:pt idx="21">
                  <c:v>3.5331899999999998</c:v>
                </c:pt>
                <c:pt idx="22">
                  <c:v>3.5074300000000003</c:v>
                </c:pt>
                <c:pt idx="23">
                  <c:v>3.47939</c:v>
                </c:pt>
                <c:pt idx="24">
                  <c:v>3.4470299999999998</c:v>
                </c:pt>
                <c:pt idx="25">
                  <c:v>3.4129300000000002</c:v>
                </c:pt>
                <c:pt idx="26">
                  <c:v>3.3812799999999998</c:v>
                </c:pt>
                <c:pt idx="27">
                  <c:v>3.3535399999999997</c:v>
                </c:pt>
                <c:pt idx="28">
                  <c:v>3.3238400000000001</c:v>
                </c:pt>
                <c:pt idx="29">
                  <c:v>3.2911899999999998</c:v>
                </c:pt>
                <c:pt idx="30">
                  <c:v>3.25461</c:v>
                </c:pt>
                <c:pt idx="31">
                  <c:v>3.2127299999999996</c:v>
                </c:pt>
                <c:pt idx="32">
                  <c:v>3.1717299999999997</c:v>
                </c:pt>
                <c:pt idx="33">
                  <c:v>3.1331899999999999</c:v>
                </c:pt>
                <c:pt idx="34">
                  <c:v>3.0960900000000002</c:v>
                </c:pt>
                <c:pt idx="35">
                  <c:v>3.06359</c:v>
                </c:pt>
                <c:pt idx="36">
                  <c:v>3.0393599999999998</c:v>
                </c:pt>
                <c:pt idx="37">
                  <c:v>3.0217200000000002</c:v>
                </c:pt>
                <c:pt idx="38">
                  <c:v>3.0059900000000002</c:v>
                </c:pt>
                <c:pt idx="39">
                  <c:v>2.9924299999999997</c:v>
                </c:pt>
                <c:pt idx="40">
                  <c:v>2.9854099999999999</c:v>
                </c:pt>
                <c:pt idx="41">
                  <c:v>2.9775800000000001</c:v>
                </c:pt>
                <c:pt idx="42">
                  <c:v>2.97315</c:v>
                </c:pt>
                <c:pt idx="43">
                  <c:v>2.9705300000000001</c:v>
                </c:pt>
                <c:pt idx="44">
                  <c:v>2.9682999999999997</c:v>
                </c:pt>
                <c:pt idx="45">
                  <c:v>2.96306</c:v>
                </c:pt>
                <c:pt idx="46">
                  <c:v>2.9575299999999998</c:v>
                </c:pt>
                <c:pt idx="47">
                  <c:v>2.9523100000000002</c:v>
                </c:pt>
                <c:pt idx="48">
                  <c:v>2.944</c:v>
                </c:pt>
                <c:pt idx="49">
                  <c:v>2.9316900000000001</c:v>
                </c:pt>
                <c:pt idx="50">
                  <c:v>2.9256799999999998</c:v>
                </c:pt>
                <c:pt idx="51">
                  <c:v>2.9135</c:v>
                </c:pt>
                <c:pt idx="52">
                  <c:v>2.9013499999999999</c:v>
                </c:pt>
                <c:pt idx="53">
                  <c:v>2.8913600000000002</c:v>
                </c:pt>
                <c:pt idx="54">
                  <c:v>2.88117</c:v>
                </c:pt>
                <c:pt idx="55">
                  <c:v>2.8717300000000003</c:v>
                </c:pt>
                <c:pt idx="56">
                  <c:v>2.8618199999999998</c:v>
                </c:pt>
                <c:pt idx="57">
                  <c:v>2.8496999999999999</c:v>
                </c:pt>
                <c:pt idx="58">
                  <c:v>2.8367599999999999</c:v>
                </c:pt>
                <c:pt idx="59">
                  <c:v>2.8224</c:v>
                </c:pt>
                <c:pt idx="60">
                  <c:v>2.8069600000000001</c:v>
                </c:pt>
                <c:pt idx="61">
                  <c:v>2.7871899999999998</c:v>
                </c:pt>
                <c:pt idx="62">
                  <c:v>2.7645300000000002</c:v>
                </c:pt>
                <c:pt idx="63">
                  <c:v>2.7400099999999998</c:v>
                </c:pt>
                <c:pt idx="64">
                  <c:v>2.7151700000000001</c:v>
                </c:pt>
                <c:pt idx="65">
                  <c:v>2.6870100000000003</c:v>
                </c:pt>
                <c:pt idx="66">
                  <c:v>2.6569500000000001</c:v>
                </c:pt>
                <c:pt idx="67">
                  <c:v>2.6230700000000002</c:v>
                </c:pt>
                <c:pt idx="68">
                  <c:v>2.58962</c:v>
                </c:pt>
                <c:pt idx="69">
                  <c:v>2.5608900000000001</c:v>
                </c:pt>
                <c:pt idx="70">
                  <c:v>2.5365900000000003</c:v>
                </c:pt>
                <c:pt idx="71">
                  <c:v>2.5155400000000001</c:v>
                </c:pt>
                <c:pt idx="72">
                  <c:v>2.4958200000000001</c:v>
                </c:pt>
                <c:pt idx="73">
                  <c:v>2.48109</c:v>
                </c:pt>
                <c:pt idx="74">
                  <c:v>2.47288</c:v>
                </c:pt>
                <c:pt idx="75">
                  <c:v>2.4653900000000002</c:v>
                </c:pt>
                <c:pt idx="76">
                  <c:v>2.4581900000000001</c:v>
                </c:pt>
                <c:pt idx="77">
                  <c:v>2.4498899999999999</c:v>
                </c:pt>
                <c:pt idx="78">
                  <c:v>2.4397099999999998</c:v>
                </c:pt>
                <c:pt idx="79">
                  <c:v>2.4296699999999998</c:v>
                </c:pt>
                <c:pt idx="80">
                  <c:v>2.4220000000000002</c:v>
                </c:pt>
                <c:pt idx="81">
                  <c:v>2.4191699999999998</c:v>
                </c:pt>
                <c:pt idx="82">
                  <c:v>2.4215400000000002</c:v>
                </c:pt>
                <c:pt idx="83">
                  <c:v>2.4267099999999999</c:v>
                </c:pt>
                <c:pt idx="84">
                  <c:v>2.43458</c:v>
                </c:pt>
                <c:pt idx="85">
                  <c:v>2.4436100000000001</c:v>
                </c:pt>
                <c:pt idx="86">
                  <c:v>2.4534600000000002</c:v>
                </c:pt>
                <c:pt idx="87">
                  <c:v>2.4633699999999998</c:v>
                </c:pt>
                <c:pt idx="88">
                  <c:v>2.4730599999999998</c:v>
                </c:pt>
                <c:pt idx="89">
                  <c:v>2.4811199999999998</c:v>
                </c:pt>
                <c:pt idx="90">
                  <c:v>2.4900500000000001</c:v>
                </c:pt>
                <c:pt idx="91">
                  <c:v>2.5006499999999998</c:v>
                </c:pt>
                <c:pt idx="92">
                  <c:v>2.5162499999999999</c:v>
                </c:pt>
                <c:pt idx="93">
                  <c:v>2.5361899999999999</c:v>
                </c:pt>
                <c:pt idx="94">
                  <c:v>2.5596799999999997</c:v>
                </c:pt>
                <c:pt idx="95">
                  <c:v>2.5856400000000002</c:v>
                </c:pt>
                <c:pt idx="96">
                  <c:v>2.6140999999999996</c:v>
                </c:pt>
                <c:pt idx="97">
                  <c:v>2.6447099999999999</c:v>
                </c:pt>
                <c:pt idx="98">
                  <c:v>2.6778499999999998</c:v>
                </c:pt>
                <c:pt idx="99">
                  <c:v>2.7151799999999997</c:v>
                </c:pt>
                <c:pt idx="100">
                  <c:v>2.7549200000000003</c:v>
                </c:pt>
                <c:pt idx="101">
                  <c:v>2.7959800000000001</c:v>
                </c:pt>
                <c:pt idx="102">
                  <c:v>2.8368599999999997</c:v>
                </c:pt>
                <c:pt idx="103">
                  <c:v>2.8773500000000003</c:v>
                </c:pt>
                <c:pt idx="104">
                  <c:v>2.9165600000000005</c:v>
                </c:pt>
                <c:pt idx="105">
                  <c:v>2.95892</c:v>
                </c:pt>
                <c:pt idx="106">
                  <c:v>3.00197</c:v>
                </c:pt>
                <c:pt idx="107">
                  <c:v>3.0397600000000002</c:v>
                </c:pt>
                <c:pt idx="108">
                  <c:v>3.07334</c:v>
                </c:pt>
                <c:pt idx="109">
                  <c:v>3.1044</c:v>
                </c:pt>
                <c:pt idx="110">
                  <c:v>3.1330400000000003</c:v>
                </c:pt>
                <c:pt idx="111">
                  <c:v>3.1585800000000002</c:v>
                </c:pt>
                <c:pt idx="112">
                  <c:v>3.1806000000000001</c:v>
                </c:pt>
                <c:pt idx="113">
                  <c:v>3.1985400000000004</c:v>
                </c:pt>
                <c:pt idx="114">
                  <c:v>3.2135799999999999</c:v>
                </c:pt>
                <c:pt idx="115">
                  <c:v>3.2265300000000003</c:v>
                </c:pt>
                <c:pt idx="116">
                  <c:v>3.2359100000000001</c:v>
                </c:pt>
                <c:pt idx="117">
                  <c:v>3.2412900000000002</c:v>
                </c:pt>
                <c:pt idx="118">
                  <c:v>3.2434699999999999</c:v>
                </c:pt>
                <c:pt idx="119">
                  <c:v>3.2410800000000002</c:v>
                </c:pt>
                <c:pt idx="120">
                  <c:v>3.2359800000000001</c:v>
                </c:pt>
                <c:pt idx="121">
                  <c:v>3.2292800000000002</c:v>
                </c:pt>
                <c:pt idx="122">
                  <c:v>3.2189699999999997</c:v>
                </c:pt>
                <c:pt idx="123">
                  <c:v>3.20703</c:v>
                </c:pt>
                <c:pt idx="124">
                  <c:v>3.2037399999999998</c:v>
                </c:pt>
                <c:pt idx="125">
                  <c:v>3.1974200000000002</c:v>
                </c:pt>
                <c:pt idx="126">
                  <c:v>3.1886299999999999</c:v>
                </c:pt>
                <c:pt idx="127">
                  <c:v>3.1778599999999999</c:v>
                </c:pt>
                <c:pt idx="128">
                  <c:v>3.1655800000000003</c:v>
                </c:pt>
                <c:pt idx="129">
                  <c:v>3.15286</c:v>
                </c:pt>
                <c:pt idx="130">
                  <c:v>3.1344699999999999</c:v>
                </c:pt>
                <c:pt idx="131">
                  <c:v>3.1119699999999999</c:v>
                </c:pt>
                <c:pt idx="132">
                  <c:v>3.0908200000000003</c:v>
                </c:pt>
                <c:pt idx="133">
                  <c:v>3.0707</c:v>
                </c:pt>
                <c:pt idx="134">
                  <c:v>3.0496499999999997</c:v>
                </c:pt>
                <c:pt idx="135">
                  <c:v>3.0274000000000001</c:v>
                </c:pt>
                <c:pt idx="136">
                  <c:v>3.0043899999999999</c:v>
                </c:pt>
                <c:pt idx="137">
                  <c:v>2.98393</c:v>
                </c:pt>
                <c:pt idx="138">
                  <c:v>2.9678599999999999</c:v>
                </c:pt>
                <c:pt idx="139">
                  <c:v>2.9554900000000002</c:v>
                </c:pt>
                <c:pt idx="140">
                  <c:v>2.94373</c:v>
                </c:pt>
                <c:pt idx="141">
                  <c:v>2.9356800000000001</c:v>
                </c:pt>
                <c:pt idx="142">
                  <c:v>2.9280900000000001</c:v>
                </c:pt>
                <c:pt idx="143">
                  <c:v>2.9169299999999998</c:v>
                </c:pt>
                <c:pt idx="144">
                  <c:v>2.90944</c:v>
                </c:pt>
                <c:pt idx="145">
                  <c:v>2.9033199999999999</c:v>
                </c:pt>
                <c:pt idx="146">
                  <c:v>2.8873500000000001</c:v>
                </c:pt>
                <c:pt idx="147">
                  <c:v>2.8934100000000003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0.40481400000000001</c:v>
                </c:pt>
                <c:pt idx="2">
                  <c:v>0.81277500000000003</c:v>
                </c:pt>
                <c:pt idx="3">
                  <c:v>1.2186300000000001</c:v>
                </c:pt>
                <c:pt idx="4">
                  <c:v>1.62154</c:v>
                </c:pt>
                <c:pt idx="5">
                  <c:v>2.0285099999999998</c:v>
                </c:pt>
                <c:pt idx="6">
                  <c:v>2.4394100000000001</c:v>
                </c:pt>
                <c:pt idx="7">
                  <c:v>2.84538</c:v>
                </c:pt>
                <c:pt idx="8">
                  <c:v>3.2481800000000001</c:v>
                </c:pt>
                <c:pt idx="9">
                  <c:v>3.65415</c:v>
                </c:pt>
                <c:pt idx="10">
                  <c:v>4.06013</c:v>
                </c:pt>
                <c:pt idx="11">
                  <c:v>4.4669499999999998</c:v>
                </c:pt>
                <c:pt idx="12">
                  <c:v>4.8754600000000003</c:v>
                </c:pt>
                <c:pt idx="13">
                  <c:v>5.2828299999999997</c:v>
                </c:pt>
                <c:pt idx="14">
                  <c:v>5.6847000000000003</c:v>
                </c:pt>
                <c:pt idx="15">
                  <c:v>6.0922200000000002</c:v>
                </c:pt>
                <c:pt idx="16">
                  <c:v>6.4985099999999996</c:v>
                </c:pt>
                <c:pt idx="17">
                  <c:v>6.90259</c:v>
                </c:pt>
                <c:pt idx="18">
                  <c:v>7.3123399999999998</c:v>
                </c:pt>
                <c:pt idx="19">
                  <c:v>7.7172599999999996</c:v>
                </c:pt>
                <c:pt idx="20">
                  <c:v>8.1221599999999992</c:v>
                </c:pt>
                <c:pt idx="21">
                  <c:v>8.5256699999999999</c:v>
                </c:pt>
                <c:pt idx="22">
                  <c:v>8.9319400000000009</c:v>
                </c:pt>
                <c:pt idx="23">
                  <c:v>9.3420199999999998</c:v>
                </c:pt>
                <c:pt idx="24">
                  <c:v>9.7498299999999993</c:v>
                </c:pt>
                <c:pt idx="25">
                  <c:v>10.153700000000001</c:v>
                </c:pt>
                <c:pt idx="26">
                  <c:v>10.559799999999999</c:v>
                </c:pt>
                <c:pt idx="27">
                  <c:v>10.970499999999999</c:v>
                </c:pt>
                <c:pt idx="28">
                  <c:v>11.3705</c:v>
                </c:pt>
                <c:pt idx="29">
                  <c:v>11.7804</c:v>
                </c:pt>
                <c:pt idx="30">
                  <c:v>12.1844</c:v>
                </c:pt>
                <c:pt idx="31">
                  <c:v>12.5954</c:v>
                </c:pt>
                <c:pt idx="32">
                  <c:v>12.9992</c:v>
                </c:pt>
                <c:pt idx="33">
                  <c:v>13.4062</c:v>
                </c:pt>
                <c:pt idx="34">
                  <c:v>13.81</c:v>
                </c:pt>
                <c:pt idx="35">
                  <c:v>14.215999999999999</c:v>
                </c:pt>
                <c:pt idx="36">
                  <c:v>14.623900000000001</c:v>
                </c:pt>
                <c:pt idx="37">
                  <c:v>15.0288</c:v>
                </c:pt>
                <c:pt idx="38">
                  <c:v>15.4367</c:v>
                </c:pt>
                <c:pt idx="39">
                  <c:v>15.845599999999999</c:v>
                </c:pt>
                <c:pt idx="40">
                  <c:v>16.247499999999999</c:v>
                </c:pt>
                <c:pt idx="41">
                  <c:v>16.6524</c:v>
                </c:pt>
                <c:pt idx="42">
                  <c:v>17.0623</c:v>
                </c:pt>
                <c:pt idx="43">
                  <c:v>17.467400000000001</c:v>
                </c:pt>
                <c:pt idx="44">
                  <c:v>17.871200000000002</c:v>
                </c:pt>
                <c:pt idx="45">
                  <c:v>18.277100000000001</c:v>
                </c:pt>
                <c:pt idx="46">
                  <c:v>18.687999999999999</c:v>
                </c:pt>
                <c:pt idx="47">
                  <c:v>19.094899999999999</c:v>
                </c:pt>
                <c:pt idx="48">
                  <c:v>19.4968</c:v>
                </c:pt>
                <c:pt idx="49">
                  <c:v>19.901900000000001</c:v>
                </c:pt>
                <c:pt idx="50">
                  <c:v>20.3127</c:v>
                </c:pt>
                <c:pt idx="51">
                  <c:v>20.721499999999999</c:v>
                </c:pt>
                <c:pt idx="52">
                  <c:v>21.1234</c:v>
                </c:pt>
                <c:pt idx="53">
                  <c:v>21.529399999999999</c:v>
                </c:pt>
                <c:pt idx="54">
                  <c:v>21.935500000000001</c:v>
                </c:pt>
                <c:pt idx="55">
                  <c:v>22.339200000000002</c:v>
                </c:pt>
                <c:pt idx="56">
                  <c:v>22.751200000000001</c:v>
                </c:pt>
                <c:pt idx="57">
                  <c:v>23.155000000000001</c:v>
                </c:pt>
                <c:pt idx="58">
                  <c:v>23.556899999999999</c:v>
                </c:pt>
                <c:pt idx="59">
                  <c:v>23.969899999999999</c:v>
                </c:pt>
                <c:pt idx="60">
                  <c:v>24.375900000000001</c:v>
                </c:pt>
                <c:pt idx="61">
                  <c:v>24.781700000000001</c:v>
                </c:pt>
                <c:pt idx="62">
                  <c:v>25.1846</c:v>
                </c:pt>
                <c:pt idx="63">
                  <c:v>25.592600000000001</c:v>
                </c:pt>
                <c:pt idx="64">
                  <c:v>25.999600000000001</c:v>
                </c:pt>
                <c:pt idx="65">
                  <c:v>26.407299999999999</c:v>
                </c:pt>
                <c:pt idx="66">
                  <c:v>26.815300000000001</c:v>
                </c:pt>
                <c:pt idx="67">
                  <c:v>27.215199999999999</c:v>
                </c:pt>
                <c:pt idx="68">
                  <c:v>27.623100000000001</c:v>
                </c:pt>
                <c:pt idx="69">
                  <c:v>28.029199999999999</c:v>
                </c:pt>
                <c:pt idx="70">
                  <c:v>28.436</c:v>
                </c:pt>
                <c:pt idx="71">
                  <c:v>28.842199999999998</c:v>
                </c:pt>
                <c:pt idx="72">
                  <c:v>29.250699999999998</c:v>
                </c:pt>
                <c:pt idx="73">
                  <c:v>29.654599999999999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3.3662100000000001</c:v>
                </c:pt>
                <c:pt idx="1">
                  <c:v>3.3807799999999997</c:v>
                </c:pt>
                <c:pt idx="2">
                  <c:v>3.39575</c:v>
                </c:pt>
                <c:pt idx="3">
                  <c:v>3.4131299999999998</c:v>
                </c:pt>
                <c:pt idx="4">
                  <c:v>3.4339599999999999</c:v>
                </c:pt>
                <c:pt idx="5">
                  <c:v>3.4603999999999999</c:v>
                </c:pt>
                <c:pt idx="6">
                  <c:v>3.48875</c:v>
                </c:pt>
                <c:pt idx="7">
                  <c:v>3.5147899999999996</c:v>
                </c:pt>
                <c:pt idx="8">
                  <c:v>3.5395700000000003</c:v>
                </c:pt>
                <c:pt idx="9">
                  <c:v>3.5640200000000002</c:v>
                </c:pt>
                <c:pt idx="10">
                  <c:v>3.5846299999999998</c:v>
                </c:pt>
                <c:pt idx="11">
                  <c:v>3.5979000000000001</c:v>
                </c:pt>
                <c:pt idx="12">
                  <c:v>3.6047800000000003</c:v>
                </c:pt>
                <c:pt idx="13">
                  <c:v>3.609</c:v>
                </c:pt>
                <c:pt idx="14">
                  <c:v>3.6111900000000001</c:v>
                </c:pt>
                <c:pt idx="15">
                  <c:v>3.6087699999999998</c:v>
                </c:pt>
                <c:pt idx="16">
                  <c:v>3.6063800000000001</c:v>
                </c:pt>
                <c:pt idx="17">
                  <c:v>3.6002800000000001</c:v>
                </c:pt>
                <c:pt idx="18">
                  <c:v>3.5892900000000001</c:v>
                </c:pt>
                <c:pt idx="19">
                  <c:v>3.5731700000000002</c:v>
                </c:pt>
                <c:pt idx="20">
                  <c:v>3.5552800000000002</c:v>
                </c:pt>
                <c:pt idx="21">
                  <c:v>3.5331899999999998</c:v>
                </c:pt>
                <c:pt idx="22">
                  <c:v>3.5074300000000003</c:v>
                </c:pt>
                <c:pt idx="23">
                  <c:v>3.47939</c:v>
                </c:pt>
                <c:pt idx="24">
                  <c:v>3.4470299999999998</c:v>
                </c:pt>
                <c:pt idx="25">
                  <c:v>3.4129300000000002</c:v>
                </c:pt>
                <c:pt idx="26">
                  <c:v>3.3812799999999998</c:v>
                </c:pt>
                <c:pt idx="27">
                  <c:v>3.3535399999999997</c:v>
                </c:pt>
                <c:pt idx="28">
                  <c:v>3.3238400000000001</c:v>
                </c:pt>
                <c:pt idx="29">
                  <c:v>3.2911899999999998</c:v>
                </c:pt>
                <c:pt idx="30">
                  <c:v>3.25461</c:v>
                </c:pt>
                <c:pt idx="31">
                  <c:v>3.2127299999999996</c:v>
                </c:pt>
                <c:pt idx="32">
                  <c:v>3.1717299999999997</c:v>
                </c:pt>
                <c:pt idx="33">
                  <c:v>3.1331899999999999</c:v>
                </c:pt>
                <c:pt idx="34">
                  <c:v>3.0960900000000002</c:v>
                </c:pt>
                <c:pt idx="35">
                  <c:v>3.06359</c:v>
                </c:pt>
                <c:pt idx="36">
                  <c:v>3.0393599999999998</c:v>
                </c:pt>
                <c:pt idx="37">
                  <c:v>3.0217200000000002</c:v>
                </c:pt>
                <c:pt idx="38">
                  <c:v>3.0059900000000002</c:v>
                </c:pt>
                <c:pt idx="39">
                  <c:v>2.9924299999999997</c:v>
                </c:pt>
                <c:pt idx="40">
                  <c:v>2.9854099999999999</c:v>
                </c:pt>
                <c:pt idx="41">
                  <c:v>2.9775800000000001</c:v>
                </c:pt>
                <c:pt idx="42">
                  <c:v>2.97315</c:v>
                </c:pt>
                <c:pt idx="43">
                  <c:v>2.9705300000000001</c:v>
                </c:pt>
                <c:pt idx="44">
                  <c:v>2.9682999999999997</c:v>
                </c:pt>
                <c:pt idx="45">
                  <c:v>2.96306</c:v>
                </c:pt>
                <c:pt idx="46">
                  <c:v>2.9575299999999998</c:v>
                </c:pt>
                <c:pt idx="47">
                  <c:v>2.9523100000000002</c:v>
                </c:pt>
                <c:pt idx="48">
                  <c:v>2.944</c:v>
                </c:pt>
                <c:pt idx="49">
                  <c:v>2.9316900000000001</c:v>
                </c:pt>
                <c:pt idx="50">
                  <c:v>2.9256799999999998</c:v>
                </c:pt>
                <c:pt idx="51">
                  <c:v>2.9135</c:v>
                </c:pt>
                <c:pt idx="52">
                  <c:v>2.9013499999999999</c:v>
                </c:pt>
                <c:pt idx="53">
                  <c:v>2.8913600000000002</c:v>
                </c:pt>
                <c:pt idx="54">
                  <c:v>2.88117</c:v>
                </c:pt>
                <c:pt idx="55">
                  <c:v>2.8717300000000003</c:v>
                </c:pt>
                <c:pt idx="56">
                  <c:v>2.8618199999999998</c:v>
                </c:pt>
                <c:pt idx="57">
                  <c:v>2.8496999999999999</c:v>
                </c:pt>
                <c:pt idx="58">
                  <c:v>2.8367599999999999</c:v>
                </c:pt>
                <c:pt idx="59">
                  <c:v>2.8224</c:v>
                </c:pt>
                <c:pt idx="60">
                  <c:v>2.8069600000000001</c:v>
                </c:pt>
                <c:pt idx="61">
                  <c:v>2.7871899999999998</c:v>
                </c:pt>
                <c:pt idx="62">
                  <c:v>2.7645300000000002</c:v>
                </c:pt>
                <c:pt idx="63">
                  <c:v>2.7400099999999998</c:v>
                </c:pt>
                <c:pt idx="64">
                  <c:v>2.7151700000000001</c:v>
                </c:pt>
                <c:pt idx="65">
                  <c:v>2.6870100000000003</c:v>
                </c:pt>
                <c:pt idx="66">
                  <c:v>2.6569500000000001</c:v>
                </c:pt>
                <c:pt idx="67">
                  <c:v>2.6230700000000002</c:v>
                </c:pt>
                <c:pt idx="68">
                  <c:v>2.58962</c:v>
                </c:pt>
                <c:pt idx="69">
                  <c:v>2.5608900000000001</c:v>
                </c:pt>
                <c:pt idx="70">
                  <c:v>2.5365900000000003</c:v>
                </c:pt>
                <c:pt idx="71">
                  <c:v>2.5155400000000001</c:v>
                </c:pt>
                <c:pt idx="72">
                  <c:v>2.4958200000000001</c:v>
                </c:pt>
                <c:pt idx="73">
                  <c:v>2.48109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29.654599999999999</c:v>
                </c:pt>
                <c:pt idx="1">
                  <c:v>30.059899999999999</c:v>
                </c:pt>
                <c:pt idx="2">
                  <c:v>30.645</c:v>
                </c:pt>
                <c:pt idx="3">
                  <c:v>31.013999999999999</c:v>
                </c:pt>
                <c:pt idx="4">
                  <c:v>31.387</c:v>
                </c:pt>
                <c:pt idx="5">
                  <c:v>31.764900000000001</c:v>
                </c:pt>
                <c:pt idx="6">
                  <c:v>32.152900000000002</c:v>
                </c:pt>
                <c:pt idx="7">
                  <c:v>32.5608</c:v>
                </c:pt>
                <c:pt idx="8">
                  <c:v>32.970700000000001</c:v>
                </c:pt>
                <c:pt idx="9">
                  <c:v>33.374600000000001</c:v>
                </c:pt>
                <c:pt idx="10">
                  <c:v>33.779600000000002</c:v>
                </c:pt>
                <c:pt idx="11">
                  <c:v>34.185600000000001</c:v>
                </c:pt>
                <c:pt idx="12">
                  <c:v>34.591700000000003</c:v>
                </c:pt>
                <c:pt idx="13">
                  <c:v>34.999299999999998</c:v>
                </c:pt>
                <c:pt idx="14">
                  <c:v>35.407299999999999</c:v>
                </c:pt>
                <c:pt idx="15">
                  <c:v>35.813099999999999</c:v>
                </c:pt>
                <c:pt idx="16">
                  <c:v>36.2151</c:v>
                </c:pt>
                <c:pt idx="17">
                  <c:v>36.622599999999998</c:v>
                </c:pt>
                <c:pt idx="18">
                  <c:v>37.026899999999998</c:v>
                </c:pt>
                <c:pt idx="19">
                  <c:v>37.436799999999998</c:v>
                </c:pt>
                <c:pt idx="20">
                  <c:v>37.844700000000003</c:v>
                </c:pt>
                <c:pt idx="21">
                  <c:v>38.249600000000001</c:v>
                </c:pt>
                <c:pt idx="22">
                  <c:v>38.652500000000003</c:v>
                </c:pt>
                <c:pt idx="23">
                  <c:v>39.062399999999997</c:v>
                </c:pt>
                <c:pt idx="24">
                  <c:v>39.4664</c:v>
                </c:pt>
                <c:pt idx="25">
                  <c:v>39.871400000000001</c:v>
                </c:pt>
                <c:pt idx="26">
                  <c:v>40.282200000000003</c:v>
                </c:pt>
                <c:pt idx="27">
                  <c:v>40.687100000000001</c:v>
                </c:pt>
                <c:pt idx="28">
                  <c:v>41.094999999999999</c:v>
                </c:pt>
                <c:pt idx="29">
                  <c:v>41.497</c:v>
                </c:pt>
                <c:pt idx="30">
                  <c:v>41.906799999999997</c:v>
                </c:pt>
                <c:pt idx="31">
                  <c:v>42.307699999999997</c:v>
                </c:pt>
                <c:pt idx="32">
                  <c:v>42.719700000000003</c:v>
                </c:pt>
                <c:pt idx="33">
                  <c:v>43.125900000000001</c:v>
                </c:pt>
                <c:pt idx="34">
                  <c:v>43.528500000000001</c:v>
                </c:pt>
                <c:pt idx="35">
                  <c:v>43.934699999999999</c:v>
                </c:pt>
                <c:pt idx="36">
                  <c:v>44.344299999999997</c:v>
                </c:pt>
                <c:pt idx="37">
                  <c:v>44.749299999999998</c:v>
                </c:pt>
                <c:pt idx="38">
                  <c:v>45.156100000000002</c:v>
                </c:pt>
                <c:pt idx="39">
                  <c:v>45.559399999999997</c:v>
                </c:pt>
                <c:pt idx="40">
                  <c:v>45.968000000000004</c:v>
                </c:pt>
                <c:pt idx="41">
                  <c:v>46.376100000000001</c:v>
                </c:pt>
                <c:pt idx="42">
                  <c:v>46.780799999999999</c:v>
                </c:pt>
                <c:pt idx="43">
                  <c:v>47.1907</c:v>
                </c:pt>
                <c:pt idx="44">
                  <c:v>47.595999999999997</c:v>
                </c:pt>
                <c:pt idx="45">
                  <c:v>48.000599999999999</c:v>
                </c:pt>
                <c:pt idx="46">
                  <c:v>48.411799999999999</c:v>
                </c:pt>
                <c:pt idx="47">
                  <c:v>48.814500000000002</c:v>
                </c:pt>
                <c:pt idx="48">
                  <c:v>49.221699999999998</c:v>
                </c:pt>
                <c:pt idx="49">
                  <c:v>49.625700000000002</c:v>
                </c:pt>
                <c:pt idx="50">
                  <c:v>50.031399999999998</c:v>
                </c:pt>
                <c:pt idx="51">
                  <c:v>50.433</c:v>
                </c:pt>
                <c:pt idx="52">
                  <c:v>50.841000000000001</c:v>
                </c:pt>
                <c:pt idx="53">
                  <c:v>51.250900000000001</c:v>
                </c:pt>
                <c:pt idx="54">
                  <c:v>51.654800000000002</c:v>
                </c:pt>
                <c:pt idx="55">
                  <c:v>52.062899999999999</c:v>
                </c:pt>
                <c:pt idx="56">
                  <c:v>52.468600000000002</c:v>
                </c:pt>
                <c:pt idx="57">
                  <c:v>52.872500000000002</c:v>
                </c:pt>
                <c:pt idx="58">
                  <c:v>53.284399999999998</c:v>
                </c:pt>
                <c:pt idx="59">
                  <c:v>53.685499999999998</c:v>
                </c:pt>
                <c:pt idx="60">
                  <c:v>54.091700000000003</c:v>
                </c:pt>
                <c:pt idx="61">
                  <c:v>54.5002</c:v>
                </c:pt>
                <c:pt idx="62">
                  <c:v>54.907200000000003</c:v>
                </c:pt>
                <c:pt idx="63">
                  <c:v>55.312100000000001</c:v>
                </c:pt>
                <c:pt idx="64">
                  <c:v>55.716900000000003</c:v>
                </c:pt>
                <c:pt idx="65">
                  <c:v>56.123100000000001</c:v>
                </c:pt>
                <c:pt idx="66">
                  <c:v>56.532800000000002</c:v>
                </c:pt>
                <c:pt idx="67">
                  <c:v>56.9377</c:v>
                </c:pt>
                <c:pt idx="68">
                  <c:v>57.345799999999997</c:v>
                </c:pt>
                <c:pt idx="69">
                  <c:v>57.747500000000002</c:v>
                </c:pt>
                <c:pt idx="70">
                  <c:v>58.154499999999999</c:v>
                </c:pt>
                <c:pt idx="71">
                  <c:v>58.564300000000003</c:v>
                </c:pt>
                <c:pt idx="72">
                  <c:v>58.968299999999999</c:v>
                </c:pt>
                <c:pt idx="73">
                  <c:v>59.375599999999999</c:v>
                </c:pt>
                <c:pt idx="74">
                  <c:v>59.783099999999997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2.48109</c:v>
                </c:pt>
                <c:pt idx="1">
                  <c:v>2.47288</c:v>
                </c:pt>
                <c:pt idx="2">
                  <c:v>2.4653900000000002</c:v>
                </c:pt>
                <c:pt idx="3">
                  <c:v>2.4581900000000001</c:v>
                </c:pt>
                <c:pt idx="4">
                  <c:v>2.4498899999999999</c:v>
                </c:pt>
                <c:pt idx="5">
                  <c:v>2.4397099999999998</c:v>
                </c:pt>
                <c:pt idx="6">
                  <c:v>2.4296699999999998</c:v>
                </c:pt>
                <c:pt idx="7">
                  <c:v>2.4220000000000002</c:v>
                </c:pt>
                <c:pt idx="8">
                  <c:v>2.4191699999999998</c:v>
                </c:pt>
                <c:pt idx="9">
                  <c:v>2.4215400000000002</c:v>
                </c:pt>
                <c:pt idx="10">
                  <c:v>2.4267099999999999</c:v>
                </c:pt>
                <c:pt idx="11">
                  <c:v>2.43458</c:v>
                </c:pt>
                <c:pt idx="12">
                  <c:v>2.4436100000000001</c:v>
                </c:pt>
                <c:pt idx="13">
                  <c:v>2.4534600000000002</c:v>
                </c:pt>
                <c:pt idx="14">
                  <c:v>2.4633699999999998</c:v>
                </c:pt>
                <c:pt idx="15">
                  <c:v>2.4730599999999998</c:v>
                </c:pt>
                <c:pt idx="16">
                  <c:v>2.4811199999999998</c:v>
                </c:pt>
                <c:pt idx="17">
                  <c:v>2.4900500000000001</c:v>
                </c:pt>
                <c:pt idx="18">
                  <c:v>2.5006499999999998</c:v>
                </c:pt>
                <c:pt idx="19">
                  <c:v>2.5162499999999999</c:v>
                </c:pt>
                <c:pt idx="20">
                  <c:v>2.5361899999999999</c:v>
                </c:pt>
                <c:pt idx="21">
                  <c:v>2.5596799999999997</c:v>
                </c:pt>
                <c:pt idx="22">
                  <c:v>2.5856400000000002</c:v>
                </c:pt>
                <c:pt idx="23">
                  <c:v>2.6140999999999996</c:v>
                </c:pt>
                <c:pt idx="24">
                  <c:v>2.6447099999999999</c:v>
                </c:pt>
                <c:pt idx="25">
                  <c:v>2.6778499999999998</c:v>
                </c:pt>
                <c:pt idx="26">
                  <c:v>2.7151799999999997</c:v>
                </c:pt>
                <c:pt idx="27">
                  <c:v>2.7549200000000003</c:v>
                </c:pt>
                <c:pt idx="28">
                  <c:v>2.7959800000000001</c:v>
                </c:pt>
                <c:pt idx="29">
                  <c:v>2.8368599999999997</c:v>
                </c:pt>
                <c:pt idx="30">
                  <c:v>2.8773500000000003</c:v>
                </c:pt>
                <c:pt idx="31">
                  <c:v>2.9165600000000005</c:v>
                </c:pt>
                <c:pt idx="32">
                  <c:v>2.95892</c:v>
                </c:pt>
                <c:pt idx="33">
                  <c:v>3.00197</c:v>
                </c:pt>
                <c:pt idx="34">
                  <c:v>3.0397600000000002</c:v>
                </c:pt>
                <c:pt idx="35">
                  <c:v>3.07334</c:v>
                </c:pt>
                <c:pt idx="36">
                  <c:v>3.1044</c:v>
                </c:pt>
                <c:pt idx="37">
                  <c:v>3.1330400000000003</c:v>
                </c:pt>
                <c:pt idx="38">
                  <c:v>3.1585800000000002</c:v>
                </c:pt>
                <c:pt idx="39">
                  <c:v>3.1806000000000001</c:v>
                </c:pt>
                <c:pt idx="40">
                  <c:v>3.1985400000000004</c:v>
                </c:pt>
                <c:pt idx="41">
                  <c:v>3.2135799999999999</c:v>
                </c:pt>
                <c:pt idx="42">
                  <c:v>3.2265300000000003</c:v>
                </c:pt>
                <c:pt idx="43">
                  <c:v>3.2359100000000001</c:v>
                </c:pt>
                <c:pt idx="44">
                  <c:v>3.2412900000000002</c:v>
                </c:pt>
                <c:pt idx="45">
                  <c:v>3.2434699999999999</c:v>
                </c:pt>
                <c:pt idx="46">
                  <c:v>3.2410800000000002</c:v>
                </c:pt>
                <c:pt idx="47">
                  <c:v>3.2359800000000001</c:v>
                </c:pt>
                <c:pt idx="48">
                  <c:v>3.2292800000000002</c:v>
                </c:pt>
                <c:pt idx="49">
                  <c:v>3.2189699999999997</c:v>
                </c:pt>
                <c:pt idx="50">
                  <c:v>3.20703</c:v>
                </c:pt>
                <c:pt idx="51">
                  <c:v>3.2037399999999998</c:v>
                </c:pt>
                <c:pt idx="52">
                  <c:v>3.1974200000000002</c:v>
                </c:pt>
                <c:pt idx="53">
                  <c:v>3.1886299999999999</c:v>
                </c:pt>
                <c:pt idx="54">
                  <c:v>3.1778599999999999</c:v>
                </c:pt>
                <c:pt idx="55">
                  <c:v>3.1655800000000003</c:v>
                </c:pt>
                <c:pt idx="56">
                  <c:v>3.15286</c:v>
                </c:pt>
                <c:pt idx="57">
                  <c:v>3.1344699999999999</c:v>
                </c:pt>
                <c:pt idx="58">
                  <c:v>3.1119699999999999</c:v>
                </c:pt>
                <c:pt idx="59">
                  <c:v>3.0908200000000003</c:v>
                </c:pt>
                <c:pt idx="60">
                  <c:v>3.0707</c:v>
                </c:pt>
                <c:pt idx="61">
                  <c:v>3.0496499999999997</c:v>
                </c:pt>
                <c:pt idx="62">
                  <c:v>3.0274000000000001</c:v>
                </c:pt>
                <c:pt idx="63">
                  <c:v>3.0043899999999999</c:v>
                </c:pt>
                <c:pt idx="64">
                  <c:v>2.98393</c:v>
                </c:pt>
                <c:pt idx="65">
                  <c:v>2.9678599999999999</c:v>
                </c:pt>
                <c:pt idx="66">
                  <c:v>2.9554900000000002</c:v>
                </c:pt>
                <c:pt idx="67">
                  <c:v>2.94373</c:v>
                </c:pt>
                <c:pt idx="68">
                  <c:v>2.9356800000000001</c:v>
                </c:pt>
                <c:pt idx="69">
                  <c:v>2.9280900000000001</c:v>
                </c:pt>
                <c:pt idx="70">
                  <c:v>2.9169299999999998</c:v>
                </c:pt>
                <c:pt idx="71">
                  <c:v>2.90944</c:v>
                </c:pt>
                <c:pt idx="72">
                  <c:v>2.9033199999999999</c:v>
                </c:pt>
                <c:pt idx="73">
                  <c:v>2.8873500000000001</c:v>
                </c:pt>
                <c:pt idx="74">
                  <c:v>2.8934100000000003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3.3662100000000001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3.3662100000000001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3.3662100000000001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3.3662100000000001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3.3662100000000001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3.3662100000000001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3.3662100000000001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3.3662100000000001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3.3662100000000001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3.3662100000000001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3.3662100000000001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3.3662100000000001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3.3662100000000001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3.3662100000000001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3.3662100000000001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3.3662100000000001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3.3662100000000001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3.3662100000000001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3.3662100000000001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3.3662100000000001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3.3662100000000001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3.3662100000000001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14.945774999999999</c:v>
                </c:pt>
                <c:pt idx="1">
                  <c:v>44.837325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3.1237670270270264</c:v>
                </c:pt>
                <c:pt idx="1">
                  <c:v>2.8664771621621616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0.40481400000000001</c:v>
                </c:pt>
                <c:pt idx="2">
                  <c:v>0.81277500000000003</c:v>
                </c:pt>
                <c:pt idx="3">
                  <c:v>1.2186300000000001</c:v>
                </c:pt>
                <c:pt idx="4">
                  <c:v>1.62154</c:v>
                </c:pt>
                <c:pt idx="5">
                  <c:v>2.0285099999999998</c:v>
                </c:pt>
                <c:pt idx="6">
                  <c:v>2.4394100000000001</c:v>
                </c:pt>
                <c:pt idx="7">
                  <c:v>2.84538</c:v>
                </c:pt>
                <c:pt idx="8">
                  <c:v>3.2481800000000001</c:v>
                </c:pt>
                <c:pt idx="9">
                  <c:v>3.65415</c:v>
                </c:pt>
                <c:pt idx="10">
                  <c:v>4.06013</c:v>
                </c:pt>
                <c:pt idx="11">
                  <c:v>4.4669499999999998</c:v>
                </c:pt>
                <c:pt idx="12">
                  <c:v>4.8754600000000003</c:v>
                </c:pt>
                <c:pt idx="13">
                  <c:v>5.2828299999999997</c:v>
                </c:pt>
                <c:pt idx="14">
                  <c:v>5.6847000000000003</c:v>
                </c:pt>
                <c:pt idx="15">
                  <c:v>6.0922200000000002</c:v>
                </c:pt>
                <c:pt idx="16">
                  <c:v>6.4985099999999996</c:v>
                </c:pt>
                <c:pt idx="17">
                  <c:v>6.90259</c:v>
                </c:pt>
                <c:pt idx="18">
                  <c:v>7.3123399999999998</c:v>
                </c:pt>
                <c:pt idx="19">
                  <c:v>7.7172599999999996</c:v>
                </c:pt>
                <c:pt idx="20">
                  <c:v>8.1221599999999992</c:v>
                </c:pt>
                <c:pt idx="21">
                  <c:v>8.5256699999999999</c:v>
                </c:pt>
                <c:pt idx="22">
                  <c:v>8.9319400000000009</c:v>
                </c:pt>
                <c:pt idx="23">
                  <c:v>9.3420199999999998</c:v>
                </c:pt>
                <c:pt idx="24">
                  <c:v>9.7498299999999993</c:v>
                </c:pt>
                <c:pt idx="25">
                  <c:v>10.153700000000001</c:v>
                </c:pt>
                <c:pt idx="26">
                  <c:v>10.559799999999999</c:v>
                </c:pt>
                <c:pt idx="27">
                  <c:v>10.970499999999999</c:v>
                </c:pt>
                <c:pt idx="28">
                  <c:v>11.3705</c:v>
                </c:pt>
                <c:pt idx="29">
                  <c:v>11.7804</c:v>
                </c:pt>
                <c:pt idx="30">
                  <c:v>12.1844</c:v>
                </c:pt>
                <c:pt idx="31">
                  <c:v>12.5954</c:v>
                </c:pt>
                <c:pt idx="32">
                  <c:v>12.9992</c:v>
                </c:pt>
                <c:pt idx="33">
                  <c:v>13.4062</c:v>
                </c:pt>
                <c:pt idx="34">
                  <c:v>13.81</c:v>
                </c:pt>
                <c:pt idx="35">
                  <c:v>14.215999999999999</c:v>
                </c:pt>
                <c:pt idx="36">
                  <c:v>14.623900000000001</c:v>
                </c:pt>
                <c:pt idx="37">
                  <c:v>15.0288</c:v>
                </c:pt>
                <c:pt idx="38">
                  <c:v>15.4367</c:v>
                </c:pt>
                <c:pt idx="39">
                  <c:v>15.845599999999999</c:v>
                </c:pt>
                <c:pt idx="40">
                  <c:v>16.247499999999999</c:v>
                </c:pt>
                <c:pt idx="41">
                  <c:v>16.6524</c:v>
                </c:pt>
                <c:pt idx="42">
                  <c:v>17.0623</c:v>
                </c:pt>
                <c:pt idx="43">
                  <c:v>17.467400000000001</c:v>
                </c:pt>
                <c:pt idx="44">
                  <c:v>17.871200000000002</c:v>
                </c:pt>
                <c:pt idx="45">
                  <c:v>18.277100000000001</c:v>
                </c:pt>
                <c:pt idx="46">
                  <c:v>18.687999999999999</c:v>
                </c:pt>
                <c:pt idx="47">
                  <c:v>19.094899999999999</c:v>
                </c:pt>
                <c:pt idx="48">
                  <c:v>19.4968</c:v>
                </c:pt>
                <c:pt idx="49">
                  <c:v>19.901900000000001</c:v>
                </c:pt>
                <c:pt idx="50">
                  <c:v>20.3127</c:v>
                </c:pt>
                <c:pt idx="51">
                  <c:v>20.721499999999999</c:v>
                </c:pt>
                <c:pt idx="52">
                  <c:v>21.1234</c:v>
                </c:pt>
                <c:pt idx="53">
                  <c:v>21.529399999999999</c:v>
                </c:pt>
                <c:pt idx="54">
                  <c:v>21.935500000000001</c:v>
                </c:pt>
                <c:pt idx="55">
                  <c:v>22.339200000000002</c:v>
                </c:pt>
                <c:pt idx="56">
                  <c:v>22.751200000000001</c:v>
                </c:pt>
                <c:pt idx="57">
                  <c:v>23.155000000000001</c:v>
                </c:pt>
                <c:pt idx="58">
                  <c:v>23.556899999999999</c:v>
                </c:pt>
                <c:pt idx="59">
                  <c:v>23.969899999999999</c:v>
                </c:pt>
                <c:pt idx="60">
                  <c:v>24.375900000000001</c:v>
                </c:pt>
                <c:pt idx="61">
                  <c:v>24.781700000000001</c:v>
                </c:pt>
                <c:pt idx="62">
                  <c:v>25.1846</c:v>
                </c:pt>
                <c:pt idx="63">
                  <c:v>25.592600000000001</c:v>
                </c:pt>
                <c:pt idx="64">
                  <c:v>25.999600000000001</c:v>
                </c:pt>
                <c:pt idx="65">
                  <c:v>26.407299999999999</c:v>
                </c:pt>
                <c:pt idx="66">
                  <c:v>26.815300000000001</c:v>
                </c:pt>
                <c:pt idx="67">
                  <c:v>27.215199999999999</c:v>
                </c:pt>
                <c:pt idx="68">
                  <c:v>27.623100000000001</c:v>
                </c:pt>
                <c:pt idx="69">
                  <c:v>28.029199999999999</c:v>
                </c:pt>
                <c:pt idx="70">
                  <c:v>28.436</c:v>
                </c:pt>
                <c:pt idx="71">
                  <c:v>28.842199999999998</c:v>
                </c:pt>
                <c:pt idx="72">
                  <c:v>29.250699999999998</c:v>
                </c:pt>
                <c:pt idx="73">
                  <c:v>29.654599999999999</c:v>
                </c:pt>
                <c:pt idx="74">
                  <c:v>30.059899999999999</c:v>
                </c:pt>
                <c:pt idx="75">
                  <c:v>30.645</c:v>
                </c:pt>
                <c:pt idx="76">
                  <c:v>31.013999999999999</c:v>
                </c:pt>
                <c:pt idx="77">
                  <c:v>31.387</c:v>
                </c:pt>
                <c:pt idx="78">
                  <c:v>31.764900000000001</c:v>
                </c:pt>
                <c:pt idx="79">
                  <c:v>32.152900000000002</c:v>
                </c:pt>
                <c:pt idx="80">
                  <c:v>32.5608</c:v>
                </c:pt>
                <c:pt idx="81">
                  <c:v>32.970700000000001</c:v>
                </c:pt>
                <c:pt idx="82">
                  <c:v>33.374600000000001</c:v>
                </c:pt>
                <c:pt idx="83">
                  <c:v>33.779600000000002</c:v>
                </c:pt>
                <c:pt idx="84">
                  <c:v>34.185600000000001</c:v>
                </c:pt>
                <c:pt idx="85">
                  <c:v>34.591700000000003</c:v>
                </c:pt>
                <c:pt idx="86">
                  <c:v>34.999299999999998</c:v>
                </c:pt>
                <c:pt idx="87">
                  <c:v>35.407299999999999</c:v>
                </c:pt>
                <c:pt idx="88">
                  <c:v>35.813099999999999</c:v>
                </c:pt>
                <c:pt idx="89">
                  <c:v>36.2151</c:v>
                </c:pt>
                <c:pt idx="90">
                  <c:v>36.622599999999998</c:v>
                </c:pt>
                <c:pt idx="91">
                  <c:v>37.026899999999998</c:v>
                </c:pt>
                <c:pt idx="92">
                  <c:v>37.436799999999998</c:v>
                </c:pt>
                <c:pt idx="93">
                  <c:v>37.844700000000003</c:v>
                </c:pt>
                <c:pt idx="94">
                  <c:v>38.249600000000001</c:v>
                </c:pt>
                <c:pt idx="95">
                  <c:v>38.652500000000003</c:v>
                </c:pt>
                <c:pt idx="96">
                  <c:v>39.062399999999997</c:v>
                </c:pt>
                <c:pt idx="97">
                  <c:v>39.4664</c:v>
                </c:pt>
                <c:pt idx="98">
                  <c:v>39.871400000000001</c:v>
                </c:pt>
                <c:pt idx="99">
                  <c:v>40.282200000000003</c:v>
                </c:pt>
                <c:pt idx="100">
                  <c:v>40.687100000000001</c:v>
                </c:pt>
                <c:pt idx="101">
                  <c:v>41.094999999999999</c:v>
                </c:pt>
                <c:pt idx="102">
                  <c:v>41.497</c:v>
                </c:pt>
                <c:pt idx="103">
                  <c:v>41.906799999999997</c:v>
                </c:pt>
                <c:pt idx="104">
                  <c:v>42.307699999999997</c:v>
                </c:pt>
                <c:pt idx="105">
                  <c:v>42.719700000000003</c:v>
                </c:pt>
                <c:pt idx="106">
                  <c:v>43.125900000000001</c:v>
                </c:pt>
                <c:pt idx="107">
                  <c:v>43.528500000000001</c:v>
                </c:pt>
                <c:pt idx="108">
                  <c:v>43.934699999999999</c:v>
                </c:pt>
                <c:pt idx="109">
                  <c:v>44.344299999999997</c:v>
                </c:pt>
                <c:pt idx="110">
                  <c:v>44.749299999999998</c:v>
                </c:pt>
                <c:pt idx="111">
                  <c:v>45.156100000000002</c:v>
                </c:pt>
                <c:pt idx="112">
                  <c:v>45.559399999999997</c:v>
                </c:pt>
                <c:pt idx="113">
                  <c:v>45.968000000000004</c:v>
                </c:pt>
                <c:pt idx="114">
                  <c:v>46.376100000000001</c:v>
                </c:pt>
                <c:pt idx="115">
                  <c:v>46.780799999999999</c:v>
                </c:pt>
                <c:pt idx="116">
                  <c:v>47.1907</c:v>
                </c:pt>
                <c:pt idx="117">
                  <c:v>47.595999999999997</c:v>
                </c:pt>
                <c:pt idx="118">
                  <c:v>48.000599999999999</c:v>
                </c:pt>
                <c:pt idx="119">
                  <c:v>48.411799999999999</c:v>
                </c:pt>
                <c:pt idx="120">
                  <c:v>48.814500000000002</c:v>
                </c:pt>
                <c:pt idx="121">
                  <c:v>49.221699999999998</c:v>
                </c:pt>
                <c:pt idx="122">
                  <c:v>49.625700000000002</c:v>
                </c:pt>
                <c:pt idx="123">
                  <c:v>50.031399999999998</c:v>
                </c:pt>
                <c:pt idx="124">
                  <c:v>50.433</c:v>
                </c:pt>
                <c:pt idx="125">
                  <c:v>50.841000000000001</c:v>
                </c:pt>
                <c:pt idx="126">
                  <c:v>51.250900000000001</c:v>
                </c:pt>
                <c:pt idx="127">
                  <c:v>51.654800000000002</c:v>
                </c:pt>
                <c:pt idx="128">
                  <c:v>52.062899999999999</c:v>
                </c:pt>
                <c:pt idx="129">
                  <c:v>52.468600000000002</c:v>
                </c:pt>
                <c:pt idx="130">
                  <c:v>52.872500000000002</c:v>
                </c:pt>
                <c:pt idx="131">
                  <c:v>53.284399999999998</c:v>
                </c:pt>
                <c:pt idx="132">
                  <c:v>53.685499999999998</c:v>
                </c:pt>
                <c:pt idx="133">
                  <c:v>54.091700000000003</c:v>
                </c:pt>
                <c:pt idx="134">
                  <c:v>54.5002</c:v>
                </c:pt>
                <c:pt idx="135">
                  <c:v>54.907200000000003</c:v>
                </c:pt>
                <c:pt idx="136">
                  <c:v>55.312100000000001</c:v>
                </c:pt>
                <c:pt idx="137">
                  <c:v>55.716900000000003</c:v>
                </c:pt>
                <c:pt idx="138">
                  <c:v>56.123100000000001</c:v>
                </c:pt>
                <c:pt idx="139">
                  <c:v>56.532800000000002</c:v>
                </c:pt>
                <c:pt idx="140">
                  <c:v>56.9377</c:v>
                </c:pt>
                <c:pt idx="141">
                  <c:v>57.345799999999997</c:v>
                </c:pt>
                <c:pt idx="142">
                  <c:v>57.747500000000002</c:v>
                </c:pt>
                <c:pt idx="143">
                  <c:v>58.154499999999999</c:v>
                </c:pt>
                <c:pt idx="144">
                  <c:v>58.564300000000003</c:v>
                </c:pt>
                <c:pt idx="145">
                  <c:v>58.968299999999999</c:v>
                </c:pt>
                <c:pt idx="146">
                  <c:v>59.375599999999999</c:v>
                </c:pt>
                <c:pt idx="147">
                  <c:v>59.783099999999997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46.235599999999998</c:v>
                </c:pt>
                <c:pt idx="1">
                  <c:v>46.169900000000005</c:v>
                </c:pt>
                <c:pt idx="2">
                  <c:v>46.013799999999996</c:v>
                </c:pt>
                <c:pt idx="3">
                  <c:v>45.851300000000002</c:v>
                </c:pt>
                <c:pt idx="4">
                  <c:v>45.669399999999996</c:v>
                </c:pt>
                <c:pt idx="5">
                  <c:v>45.429499999999997</c:v>
                </c:pt>
                <c:pt idx="6">
                  <c:v>45.16</c:v>
                </c:pt>
                <c:pt idx="7">
                  <c:v>44.835799999999999</c:v>
                </c:pt>
                <c:pt idx="8">
                  <c:v>44.413499999999999</c:v>
                </c:pt>
                <c:pt idx="9">
                  <c:v>43.987400000000001</c:v>
                </c:pt>
                <c:pt idx="10">
                  <c:v>43.68</c:v>
                </c:pt>
                <c:pt idx="11">
                  <c:v>43.430400000000006</c:v>
                </c:pt>
                <c:pt idx="12">
                  <c:v>43.215800000000002</c:v>
                </c:pt>
                <c:pt idx="13">
                  <c:v>43.026899999999998</c:v>
                </c:pt>
                <c:pt idx="14">
                  <c:v>42.848199999999999</c:v>
                </c:pt>
                <c:pt idx="15">
                  <c:v>42.613199999999999</c:v>
                </c:pt>
                <c:pt idx="16">
                  <c:v>42.427599999999998</c:v>
                </c:pt>
                <c:pt idx="17">
                  <c:v>42.220800000000004</c:v>
                </c:pt>
                <c:pt idx="18">
                  <c:v>42.032000000000004</c:v>
                </c:pt>
                <c:pt idx="19">
                  <c:v>41.838900000000002</c:v>
                </c:pt>
                <c:pt idx="20">
                  <c:v>41.655999999999999</c:v>
                </c:pt>
                <c:pt idx="21">
                  <c:v>41.490300000000005</c:v>
                </c:pt>
                <c:pt idx="22">
                  <c:v>41.293100000000003</c:v>
                </c:pt>
                <c:pt idx="23">
                  <c:v>41.101399999999998</c:v>
                </c:pt>
                <c:pt idx="24">
                  <c:v>40.9863</c:v>
                </c:pt>
                <c:pt idx="25">
                  <c:v>40.927100000000003</c:v>
                </c:pt>
                <c:pt idx="26">
                  <c:v>40.926699999999997</c:v>
                </c:pt>
                <c:pt idx="27">
                  <c:v>41.033500000000004</c:v>
                </c:pt>
                <c:pt idx="28">
                  <c:v>41.170899999999996</c:v>
                </c:pt>
                <c:pt idx="29">
                  <c:v>41.417700000000004</c:v>
                </c:pt>
                <c:pt idx="30">
                  <c:v>41.750900000000001</c:v>
                </c:pt>
                <c:pt idx="31">
                  <c:v>42.217300000000002</c:v>
                </c:pt>
                <c:pt idx="32">
                  <c:v>42.805900000000001</c:v>
                </c:pt>
                <c:pt idx="33">
                  <c:v>43.5212</c:v>
                </c:pt>
                <c:pt idx="34">
                  <c:v>44.299500000000002</c:v>
                </c:pt>
                <c:pt idx="35">
                  <c:v>44.965699999999998</c:v>
                </c:pt>
                <c:pt idx="36">
                  <c:v>45.4876</c:v>
                </c:pt>
                <c:pt idx="37">
                  <c:v>45.812199999999997</c:v>
                </c:pt>
                <c:pt idx="38">
                  <c:v>46.071600000000004</c:v>
                </c:pt>
                <c:pt idx="39">
                  <c:v>46.308199999999999</c:v>
                </c:pt>
                <c:pt idx="40">
                  <c:v>46.463700000000003</c:v>
                </c:pt>
                <c:pt idx="41">
                  <c:v>46.647800000000004</c:v>
                </c:pt>
                <c:pt idx="42">
                  <c:v>46.8277</c:v>
                </c:pt>
                <c:pt idx="43">
                  <c:v>46.903599999999997</c:v>
                </c:pt>
                <c:pt idx="44">
                  <c:v>46.889199999999995</c:v>
                </c:pt>
                <c:pt idx="45">
                  <c:v>46.886400000000002</c:v>
                </c:pt>
                <c:pt idx="46">
                  <c:v>46.847299999999997</c:v>
                </c:pt>
                <c:pt idx="47">
                  <c:v>46.872700000000002</c:v>
                </c:pt>
                <c:pt idx="48">
                  <c:v>46.888500000000001</c:v>
                </c:pt>
                <c:pt idx="49">
                  <c:v>46.863900000000001</c:v>
                </c:pt>
                <c:pt idx="50">
                  <c:v>46.786299999999997</c:v>
                </c:pt>
                <c:pt idx="51">
                  <c:v>46.703899999999997</c:v>
                </c:pt>
                <c:pt idx="52">
                  <c:v>46.628599999999999</c:v>
                </c:pt>
                <c:pt idx="53">
                  <c:v>46.533900000000003</c:v>
                </c:pt>
                <c:pt idx="54">
                  <c:v>46.421300000000002</c:v>
                </c:pt>
                <c:pt idx="55">
                  <c:v>46.339100000000002</c:v>
                </c:pt>
                <c:pt idx="56">
                  <c:v>46.223999999999997</c:v>
                </c:pt>
                <c:pt idx="57">
                  <c:v>46.063200000000002</c:v>
                </c:pt>
                <c:pt idx="58">
                  <c:v>45.929199999999994</c:v>
                </c:pt>
                <c:pt idx="59">
                  <c:v>45.8536</c:v>
                </c:pt>
                <c:pt idx="60">
                  <c:v>45.854800000000004</c:v>
                </c:pt>
                <c:pt idx="61">
                  <c:v>45.964199999999998</c:v>
                </c:pt>
                <c:pt idx="62">
                  <c:v>46.19</c:v>
                </c:pt>
                <c:pt idx="63">
                  <c:v>46.5137</c:v>
                </c:pt>
                <c:pt idx="64">
                  <c:v>46.919899999999998</c:v>
                </c:pt>
                <c:pt idx="65">
                  <c:v>47.498000000000005</c:v>
                </c:pt>
                <c:pt idx="66">
                  <c:v>48.1614</c:v>
                </c:pt>
                <c:pt idx="67">
                  <c:v>48.953799999999994</c:v>
                </c:pt>
                <c:pt idx="68">
                  <c:v>49.831099999999999</c:v>
                </c:pt>
                <c:pt idx="69">
                  <c:v>50.722900000000003</c:v>
                </c:pt>
                <c:pt idx="70">
                  <c:v>51.558099999999996</c:v>
                </c:pt>
                <c:pt idx="71">
                  <c:v>52.373000000000005</c:v>
                </c:pt>
                <c:pt idx="72">
                  <c:v>53.091500000000003</c:v>
                </c:pt>
                <c:pt idx="73">
                  <c:v>53.7408</c:v>
                </c:pt>
                <c:pt idx="74">
                  <c:v>54.275500000000001</c:v>
                </c:pt>
                <c:pt idx="75">
                  <c:v>54.9724</c:v>
                </c:pt>
                <c:pt idx="76">
                  <c:v>55.543100000000003</c:v>
                </c:pt>
                <c:pt idx="77">
                  <c:v>56.165200000000006</c:v>
                </c:pt>
                <c:pt idx="78">
                  <c:v>56.85</c:v>
                </c:pt>
                <c:pt idx="79">
                  <c:v>57.548600000000008</c:v>
                </c:pt>
                <c:pt idx="80">
                  <c:v>58.171900000000001</c:v>
                </c:pt>
                <c:pt idx="81">
                  <c:v>58.713700000000003</c:v>
                </c:pt>
                <c:pt idx="82">
                  <c:v>59.152499999999996</c:v>
                </c:pt>
                <c:pt idx="83">
                  <c:v>59.398099999999999</c:v>
                </c:pt>
                <c:pt idx="84">
                  <c:v>59.5336</c:v>
                </c:pt>
                <c:pt idx="85">
                  <c:v>59.572199999999995</c:v>
                </c:pt>
                <c:pt idx="86">
                  <c:v>59.500399999999999</c:v>
                </c:pt>
                <c:pt idx="87">
                  <c:v>59.375199999999992</c:v>
                </c:pt>
                <c:pt idx="88">
                  <c:v>59.179000000000002</c:v>
                </c:pt>
                <c:pt idx="89">
                  <c:v>58.945800000000006</c:v>
                </c:pt>
                <c:pt idx="90">
                  <c:v>58.629600000000003</c:v>
                </c:pt>
                <c:pt idx="91">
                  <c:v>58.142700000000005</c:v>
                </c:pt>
                <c:pt idx="92">
                  <c:v>57.477599999999995</c:v>
                </c:pt>
                <c:pt idx="93">
                  <c:v>56.630499999999998</c:v>
                </c:pt>
                <c:pt idx="94">
                  <c:v>55.631799999999998</c:v>
                </c:pt>
                <c:pt idx="95">
                  <c:v>54.545000000000002</c:v>
                </c:pt>
                <c:pt idx="96">
                  <c:v>53.374999999999993</c:v>
                </c:pt>
                <c:pt idx="97">
                  <c:v>52.162500000000001</c:v>
                </c:pt>
                <c:pt idx="98">
                  <c:v>50.962700000000005</c:v>
                </c:pt>
                <c:pt idx="99">
                  <c:v>49.728099999999998</c:v>
                </c:pt>
                <c:pt idx="100">
                  <c:v>48.521999999999998</c:v>
                </c:pt>
                <c:pt idx="101">
                  <c:v>47.384999999999998</c:v>
                </c:pt>
                <c:pt idx="102">
                  <c:v>46.268799999999999</c:v>
                </c:pt>
                <c:pt idx="103">
                  <c:v>45.280300000000004</c:v>
                </c:pt>
                <c:pt idx="104">
                  <c:v>44.429699999999997</c:v>
                </c:pt>
                <c:pt idx="105">
                  <c:v>43.554200000000002</c:v>
                </c:pt>
                <c:pt idx="106">
                  <c:v>42.732799999999997</c:v>
                </c:pt>
                <c:pt idx="107">
                  <c:v>42.112899999999996</c:v>
                </c:pt>
                <c:pt idx="108">
                  <c:v>41.6295</c:v>
                </c:pt>
                <c:pt idx="109">
                  <c:v>41.242000000000004</c:v>
                </c:pt>
                <c:pt idx="110">
                  <c:v>40.931800000000003</c:v>
                </c:pt>
                <c:pt idx="111">
                  <c:v>40.748200000000004</c:v>
                </c:pt>
                <c:pt idx="112">
                  <c:v>40.676099999999998</c:v>
                </c:pt>
                <c:pt idx="113">
                  <c:v>40.675800000000002</c:v>
                </c:pt>
                <c:pt idx="114">
                  <c:v>40.730400000000003</c:v>
                </c:pt>
                <c:pt idx="115">
                  <c:v>40.804899999999996</c:v>
                </c:pt>
                <c:pt idx="116">
                  <c:v>40.921500000000002</c:v>
                </c:pt>
                <c:pt idx="117">
                  <c:v>41.0456</c:v>
                </c:pt>
                <c:pt idx="118">
                  <c:v>41.156300000000002</c:v>
                </c:pt>
                <c:pt idx="119">
                  <c:v>41.255299999999998</c:v>
                </c:pt>
                <c:pt idx="120">
                  <c:v>41.376400000000004</c:v>
                </c:pt>
                <c:pt idx="121">
                  <c:v>41.499900000000004</c:v>
                </c:pt>
                <c:pt idx="122">
                  <c:v>41.668699999999994</c:v>
                </c:pt>
                <c:pt idx="123">
                  <c:v>41.856700000000004</c:v>
                </c:pt>
                <c:pt idx="124">
                  <c:v>41.963000000000001</c:v>
                </c:pt>
                <c:pt idx="125">
                  <c:v>42.090299999999999</c:v>
                </c:pt>
                <c:pt idx="126">
                  <c:v>42.2408</c:v>
                </c:pt>
                <c:pt idx="127">
                  <c:v>42.495699999999999</c:v>
                </c:pt>
                <c:pt idx="128">
                  <c:v>42.770899999999997</c:v>
                </c:pt>
                <c:pt idx="129">
                  <c:v>43.041699999999999</c:v>
                </c:pt>
                <c:pt idx="130">
                  <c:v>43.467599999999997</c:v>
                </c:pt>
                <c:pt idx="131">
                  <c:v>44.0366</c:v>
                </c:pt>
                <c:pt idx="132">
                  <c:v>44.527999999999999</c:v>
                </c:pt>
                <c:pt idx="133">
                  <c:v>44.996199999999995</c:v>
                </c:pt>
                <c:pt idx="134">
                  <c:v>45.438600000000001</c:v>
                </c:pt>
                <c:pt idx="135">
                  <c:v>45.927599999999998</c:v>
                </c:pt>
                <c:pt idx="136">
                  <c:v>46.417000000000002</c:v>
                </c:pt>
                <c:pt idx="137">
                  <c:v>46.817799999999998</c:v>
                </c:pt>
                <c:pt idx="138">
                  <c:v>47.115000000000002</c:v>
                </c:pt>
                <c:pt idx="139">
                  <c:v>47.316800000000001</c:v>
                </c:pt>
                <c:pt idx="140">
                  <c:v>47.522799999999997</c:v>
                </c:pt>
                <c:pt idx="141">
                  <c:v>47.597299999999997</c:v>
                </c:pt>
                <c:pt idx="142">
                  <c:v>47.534399999999998</c:v>
                </c:pt>
                <c:pt idx="143">
                  <c:v>47.516999999999996</c:v>
                </c:pt>
                <c:pt idx="144">
                  <c:v>47.4923</c:v>
                </c:pt>
                <c:pt idx="145">
                  <c:v>47.408799999999999</c:v>
                </c:pt>
                <c:pt idx="146">
                  <c:v>47.782899999999998</c:v>
                </c:pt>
                <c:pt idx="147">
                  <c:v>47.750399999999999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0.40481400000000001</c:v>
                </c:pt>
                <c:pt idx="2">
                  <c:v>0.81277500000000003</c:v>
                </c:pt>
                <c:pt idx="3">
                  <c:v>1.2186300000000001</c:v>
                </c:pt>
                <c:pt idx="4">
                  <c:v>1.62154</c:v>
                </c:pt>
                <c:pt idx="5">
                  <c:v>2.0285099999999998</c:v>
                </c:pt>
                <c:pt idx="6">
                  <c:v>2.4394100000000001</c:v>
                </c:pt>
                <c:pt idx="7">
                  <c:v>2.84538</c:v>
                </c:pt>
                <c:pt idx="8">
                  <c:v>3.2481800000000001</c:v>
                </c:pt>
                <c:pt idx="9">
                  <c:v>3.65415</c:v>
                </c:pt>
                <c:pt idx="10">
                  <c:v>4.06013</c:v>
                </c:pt>
                <c:pt idx="11">
                  <c:v>4.4669499999999998</c:v>
                </c:pt>
                <c:pt idx="12">
                  <c:v>4.8754600000000003</c:v>
                </c:pt>
                <c:pt idx="13">
                  <c:v>5.2828299999999997</c:v>
                </c:pt>
                <c:pt idx="14">
                  <c:v>5.6847000000000003</c:v>
                </c:pt>
                <c:pt idx="15">
                  <c:v>6.0922200000000002</c:v>
                </c:pt>
                <c:pt idx="16">
                  <c:v>6.4985099999999996</c:v>
                </c:pt>
                <c:pt idx="17">
                  <c:v>6.90259</c:v>
                </c:pt>
                <c:pt idx="18">
                  <c:v>7.3123399999999998</c:v>
                </c:pt>
                <c:pt idx="19">
                  <c:v>7.7172599999999996</c:v>
                </c:pt>
                <c:pt idx="20">
                  <c:v>8.1221599999999992</c:v>
                </c:pt>
                <c:pt idx="21">
                  <c:v>8.5256699999999999</c:v>
                </c:pt>
                <c:pt idx="22">
                  <c:v>8.9319400000000009</c:v>
                </c:pt>
                <c:pt idx="23">
                  <c:v>9.3420199999999998</c:v>
                </c:pt>
                <c:pt idx="24">
                  <c:v>9.7498299999999993</c:v>
                </c:pt>
                <c:pt idx="25">
                  <c:v>10.153700000000001</c:v>
                </c:pt>
                <c:pt idx="26">
                  <c:v>10.559799999999999</c:v>
                </c:pt>
                <c:pt idx="27">
                  <c:v>10.970499999999999</c:v>
                </c:pt>
                <c:pt idx="28">
                  <c:v>11.3705</c:v>
                </c:pt>
                <c:pt idx="29">
                  <c:v>11.7804</c:v>
                </c:pt>
                <c:pt idx="30">
                  <c:v>12.1844</c:v>
                </c:pt>
                <c:pt idx="31">
                  <c:v>12.5954</c:v>
                </c:pt>
                <c:pt idx="32">
                  <c:v>12.9992</c:v>
                </c:pt>
                <c:pt idx="33">
                  <c:v>13.4062</c:v>
                </c:pt>
                <c:pt idx="34">
                  <c:v>13.81</c:v>
                </c:pt>
                <c:pt idx="35">
                  <c:v>14.215999999999999</c:v>
                </c:pt>
                <c:pt idx="36">
                  <c:v>14.623900000000001</c:v>
                </c:pt>
                <c:pt idx="37">
                  <c:v>15.0288</c:v>
                </c:pt>
                <c:pt idx="38">
                  <c:v>15.4367</c:v>
                </c:pt>
                <c:pt idx="39">
                  <c:v>15.845599999999999</c:v>
                </c:pt>
                <c:pt idx="40">
                  <c:v>16.247499999999999</c:v>
                </c:pt>
                <c:pt idx="41">
                  <c:v>16.6524</c:v>
                </c:pt>
                <c:pt idx="42">
                  <c:v>17.0623</c:v>
                </c:pt>
                <c:pt idx="43">
                  <c:v>17.467400000000001</c:v>
                </c:pt>
                <c:pt idx="44">
                  <c:v>17.871200000000002</c:v>
                </c:pt>
                <c:pt idx="45">
                  <c:v>18.277100000000001</c:v>
                </c:pt>
                <c:pt idx="46">
                  <c:v>18.687999999999999</c:v>
                </c:pt>
                <c:pt idx="47">
                  <c:v>19.094899999999999</c:v>
                </c:pt>
                <c:pt idx="48">
                  <c:v>19.4968</c:v>
                </c:pt>
                <c:pt idx="49">
                  <c:v>19.901900000000001</c:v>
                </c:pt>
                <c:pt idx="50">
                  <c:v>20.3127</c:v>
                </c:pt>
                <c:pt idx="51">
                  <c:v>20.721499999999999</c:v>
                </c:pt>
                <c:pt idx="52">
                  <c:v>21.1234</c:v>
                </c:pt>
                <c:pt idx="53">
                  <c:v>21.529399999999999</c:v>
                </c:pt>
                <c:pt idx="54">
                  <c:v>21.935500000000001</c:v>
                </c:pt>
                <c:pt idx="55">
                  <c:v>22.339200000000002</c:v>
                </c:pt>
                <c:pt idx="56">
                  <c:v>22.751200000000001</c:v>
                </c:pt>
                <c:pt idx="57">
                  <c:v>23.155000000000001</c:v>
                </c:pt>
                <c:pt idx="58">
                  <c:v>23.556899999999999</c:v>
                </c:pt>
                <c:pt idx="59">
                  <c:v>23.969899999999999</c:v>
                </c:pt>
                <c:pt idx="60">
                  <c:v>24.375900000000001</c:v>
                </c:pt>
                <c:pt idx="61">
                  <c:v>24.781700000000001</c:v>
                </c:pt>
                <c:pt idx="62">
                  <c:v>25.1846</c:v>
                </c:pt>
                <c:pt idx="63">
                  <c:v>25.592600000000001</c:v>
                </c:pt>
                <c:pt idx="64">
                  <c:v>25.999600000000001</c:v>
                </c:pt>
                <c:pt idx="65">
                  <c:v>26.407299999999999</c:v>
                </c:pt>
                <c:pt idx="66">
                  <c:v>26.815300000000001</c:v>
                </c:pt>
                <c:pt idx="67">
                  <c:v>27.215199999999999</c:v>
                </c:pt>
                <c:pt idx="68">
                  <c:v>27.623100000000001</c:v>
                </c:pt>
                <c:pt idx="69">
                  <c:v>28.029199999999999</c:v>
                </c:pt>
                <c:pt idx="70">
                  <c:v>28.436</c:v>
                </c:pt>
                <c:pt idx="71">
                  <c:v>28.842199999999998</c:v>
                </c:pt>
                <c:pt idx="72">
                  <c:v>29.250699999999998</c:v>
                </c:pt>
                <c:pt idx="73">
                  <c:v>29.654599999999999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46.235599999999998</c:v>
                </c:pt>
                <c:pt idx="1">
                  <c:v>46.169900000000005</c:v>
                </c:pt>
                <c:pt idx="2">
                  <c:v>46.013799999999996</c:v>
                </c:pt>
                <c:pt idx="3">
                  <c:v>45.851300000000002</c:v>
                </c:pt>
                <c:pt idx="4">
                  <c:v>45.669399999999996</c:v>
                </c:pt>
                <c:pt idx="5">
                  <c:v>45.429499999999997</c:v>
                </c:pt>
                <c:pt idx="6">
                  <c:v>45.16</c:v>
                </c:pt>
                <c:pt idx="7">
                  <c:v>44.835799999999999</c:v>
                </c:pt>
                <c:pt idx="8">
                  <c:v>44.413499999999999</c:v>
                </c:pt>
                <c:pt idx="9">
                  <c:v>43.987400000000001</c:v>
                </c:pt>
                <c:pt idx="10">
                  <c:v>43.68</c:v>
                </c:pt>
                <c:pt idx="11">
                  <c:v>43.430400000000006</c:v>
                </c:pt>
                <c:pt idx="12">
                  <c:v>43.215800000000002</c:v>
                </c:pt>
                <c:pt idx="13">
                  <c:v>43.026899999999998</c:v>
                </c:pt>
                <c:pt idx="14">
                  <c:v>42.848199999999999</c:v>
                </c:pt>
                <c:pt idx="15">
                  <c:v>42.613199999999999</c:v>
                </c:pt>
                <c:pt idx="16">
                  <c:v>42.427599999999998</c:v>
                </c:pt>
                <c:pt idx="17">
                  <c:v>42.220800000000004</c:v>
                </c:pt>
                <c:pt idx="18">
                  <c:v>42.032000000000004</c:v>
                </c:pt>
                <c:pt idx="19">
                  <c:v>41.838900000000002</c:v>
                </c:pt>
                <c:pt idx="20">
                  <c:v>41.655999999999999</c:v>
                </c:pt>
                <c:pt idx="21">
                  <c:v>41.490300000000005</c:v>
                </c:pt>
                <c:pt idx="22">
                  <c:v>41.293100000000003</c:v>
                </c:pt>
                <c:pt idx="23">
                  <c:v>41.101399999999998</c:v>
                </c:pt>
                <c:pt idx="24">
                  <c:v>40.9863</c:v>
                </c:pt>
                <c:pt idx="25">
                  <c:v>40.927100000000003</c:v>
                </c:pt>
                <c:pt idx="26">
                  <c:v>40.926699999999997</c:v>
                </c:pt>
                <c:pt idx="27">
                  <c:v>41.033500000000004</c:v>
                </c:pt>
                <c:pt idx="28">
                  <c:v>41.170899999999996</c:v>
                </c:pt>
                <c:pt idx="29">
                  <c:v>41.417700000000004</c:v>
                </c:pt>
                <c:pt idx="30">
                  <c:v>41.750900000000001</c:v>
                </c:pt>
                <c:pt idx="31">
                  <c:v>42.217300000000002</c:v>
                </c:pt>
                <c:pt idx="32">
                  <c:v>42.805900000000001</c:v>
                </c:pt>
                <c:pt idx="33">
                  <c:v>43.5212</c:v>
                </c:pt>
                <c:pt idx="34">
                  <c:v>44.299500000000002</c:v>
                </c:pt>
                <c:pt idx="35">
                  <c:v>44.965699999999998</c:v>
                </c:pt>
                <c:pt idx="36">
                  <c:v>45.4876</c:v>
                </c:pt>
                <c:pt idx="37">
                  <c:v>45.812199999999997</c:v>
                </c:pt>
                <c:pt idx="38">
                  <c:v>46.071600000000004</c:v>
                </c:pt>
                <c:pt idx="39">
                  <c:v>46.308199999999999</c:v>
                </c:pt>
                <c:pt idx="40">
                  <c:v>46.463700000000003</c:v>
                </c:pt>
                <c:pt idx="41">
                  <c:v>46.647800000000004</c:v>
                </c:pt>
                <c:pt idx="42">
                  <c:v>46.8277</c:v>
                </c:pt>
                <c:pt idx="43">
                  <c:v>46.903599999999997</c:v>
                </c:pt>
                <c:pt idx="44">
                  <c:v>46.889199999999995</c:v>
                </c:pt>
                <c:pt idx="45">
                  <c:v>46.886400000000002</c:v>
                </c:pt>
                <c:pt idx="46">
                  <c:v>46.847299999999997</c:v>
                </c:pt>
                <c:pt idx="47">
                  <c:v>46.872700000000002</c:v>
                </c:pt>
                <c:pt idx="48">
                  <c:v>46.888500000000001</c:v>
                </c:pt>
                <c:pt idx="49">
                  <c:v>46.863900000000001</c:v>
                </c:pt>
                <c:pt idx="50">
                  <c:v>46.786299999999997</c:v>
                </c:pt>
                <c:pt idx="51">
                  <c:v>46.703899999999997</c:v>
                </c:pt>
                <c:pt idx="52">
                  <c:v>46.628599999999999</c:v>
                </c:pt>
                <c:pt idx="53">
                  <c:v>46.533900000000003</c:v>
                </c:pt>
                <c:pt idx="54">
                  <c:v>46.421300000000002</c:v>
                </c:pt>
                <c:pt idx="55">
                  <c:v>46.339100000000002</c:v>
                </c:pt>
                <c:pt idx="56">
                  <c:v>46.223999999999997</c:v>
                </c:pt>
                <c:pt idx="57">
                  <c:v>46.063200000000002</c:v>
                </c:pt>
                <c:pt idx="58">
                  <c:v>45.929199999999994</c:v>
                </c:pt>
                <c:pt idx="59">
                  <c:v>45.8536</c:v>
                </c:pt>
                <c:pt idx="60">
                  <c:v>45.854800000000004</c:v>
                </c:pt>
                <c:pt idx="61">
                  <c:v>45.964199999999998</c:v>
                </c:pt>
                <c:pt idx="62">
                  <c:v>46.19</c:v>
                </c:pt>
                <c:pt idx="63">
                  <c:v>46.5137</c:v>
                </c:pt>
                <c:pt idx="64">
                  <c:v>46.919899999999998</c:v>
                </c:pt>
                <c:pt idx="65">
                  <c:v>47.498000000000005</c:v>
                </c:pt>
                <c:pt idx="66">
                  <c:v>48.1614</c:v>
                </c:pt>
                <c:pt idx="67">
                  <c:v>48.953799999999994</c:v>
                </c:pt>
                <c:pt idx="68">
                  <c:v>49.831099999999999</c:v>
                </c:pt>
                <c:pt idx="69">
                  <c:v>50.722900000000003</c:v>
                </c:pt>
                <c:pt idx="70">
                  <c:v>51.558099999999996</c:v>
                </c:pt>
                <c:pt idx="71">
                  <c:v>52.373000000000005</c:v>
                </c:pt>
                <c:pt idx="72">
                  <c:v>53.091500000000003</c:v>
                </c:pt>
                <c:pt idx="73">
                  <c:v>53.7408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29.654599999999999</c:v>
                </c:pt>
                <c:pt idx="1">
                  <c:v>30.059899999999999</c:v>
                </c:pt>
                <c:pt idx="2">
                  <c:v>30.645</c:v>
                </c:pt>
                <c:pt idx="3">
                  <c:v>31.013999999999999</c:v>
                </c:pt>
                <c:pt idx="4">
                  <c:v>31.387</c:v>
                </c:pt>
                <c:pt idx="5">
                  <c:v>31.764900000000001</c:v>
                </c:pt>
                <c:pt idx="6">
                  <c:v>32.152900000000002</c:v>
                </c:pt>
                <c:pt idx="7">
                  <c:v>32.5608</c:v>
                </c:pt>
                <c:pt idx="8">
                  <c:v>32.970700000000001</c:v>
                </c:pt>
                <c:pt idx="9">
                  <c:v>33.374600000000001</c:v>
                </c:pt>
                <c:pt idx="10">
                  <c:v>33.779600000000002</c:v>
                </c:pt>
                <c:pt idx="11">
                  <c:v>34.185600000000001</c:v>
                </c:pt>
                <c:pt idx="12">
                  <c:v>34.591700000000003</c:v>
                </c:pt>
                <c:pt idx="13">
                  <c:v>34.999299999999998</c:v>
                </c:pt>
                <c:pt idx="14">
                  <c:v>35.407299999999999</c:v>
                </c:pt>
                <c:pt idx="15">
                  <c:v>35.813099999999999</c:v>
                </c:pt>
                <c:pt idx="16">
                  <c:v>36.2151</c:v>
                </c:pt>
                <c:pt idx="17">
                  <c:v>36.622599999999998</c:v>
                </c:pt>
                <c:pt idx="18">
                  <c:v>37.026899999999998</c:v>
                </c:pt>
                <c:pt idx="19">
                  <c:v>37.436799999999998</c:v>
                </c:pt>
                <c:pt idx="20">
                  <c:v>37.844700000000003</c:v>
                </c:pt>
                <c:pt idx="21">
                  <c:v>38.249600000000001</c:v>
                </c:pt>
                <c:pt idx="22">
                  <c:v>38.652500000000003</c:v>
                </c:pt>
                <c:pt idx="23">
                  <c:v>39.062399999999997</c:v>
                </c:pt>
                <c:pt idx="24">
                  <c:v>39.4664</c:v>
                </c:pt>
                <c:pt idx="25">
                  <c:v>39.871400000000001</c:v>
                </c:pt>
                <c:pt idx="26">
                  <c:v>40.282200000000003</c:v>
                </c:pt>
                <c:pt idx="27">
                  <c:v>40.687100000000001</c:v>
                </c:pt>
                <c:pt idx="28">
                  <c:v>41.094999999999999</c:v>
                </c:pt>
                <c:pt idx="29">
                  <c:v>41.497</c:v>
                </c:pt>
                <c:pt idx="30">
                  <c:v>41.906799999999997</c:v>
                </c:pt>
                <c:pt idx="31">
                  <c:v>42.307699999999997</c:v>
                </c:pt>
                <c:pt idx="32">
                  <c:v>42.719700000000003</c:v>
                </c:pt>
                <c:pt idx="33">
                  <c:v>43.125900000000001</c:v>
                </c:pt>
                <c:pt idx="34">
                  <c:v>43.528500000000001</c:v>
                </c:pt>
                <c:pt idx="35">
                  <c:v>43.934699999999999</c:v>
                </c:pt>
                <c:pt idx="36">
                  <c:v>44.344299999999997</c:v>
                </c:pt>
                <c:pt idx="37">
                  <c:v>44.749299999999998</c:v>
                </c:pt>
                <c:pt idx="38">
                  <c:v>45.156100000000002</c:v>
                </c:pt>
                <c:pt idx="39">
                  <c:v>45.559399999999997</c:v>
                </c:pt>
                <c:pt idx="40">
                  <c:v>45.968000000000004</c:v>
                </c:pt>
                <c:pt idx="41">
                  <c:v>46.376100000000001</c:v>
                </c:pt>
                <c:pt idx="42">
                  <c:v>46.780799999999999</c:v>
                </c:pt>
                <c:pt idx="43">
                  <c:v>47.1907</c:v>
                </c:pt>
                <c:pt idx="44">
                  <c:v>47.595999999999997</c:v>
                </c:pt>
                <c:pt idx="45">
                  <c:v>48.000599999999999</c:v>
                </c:pt>
                <c:pt idx="46">
                  <c:v>48.411799999999999</c:v>
                </c:pt>
                <c:pt idx="47">
                  <c:v>48.814500000000002</c:v>
                </c:pt>
                <c:pt idx="48">
                  <c:v>49.221699999999998</c:v>
                </c:pt>
                <c:pt idx="49">
                  <c:v>49.625700000000002</c:v>
                </c:pt>
                <c:pt idx="50">
                  <c:v>50.031399999999998</c:v>
                </c:pt>
                <c:pt idx="51">
                  <c:v>50.433</c:v>
                </c:pt>
                <c:pt idx="52">
                  <c:v>50.841000000000001</c:v>
                </c:pt>
                <c:pt idx="53">
                  <c:v>51.250900000000001</c:v>
                </c:pt>
                <c:pt idx="54">
                  <c:v>51.654800000000002</c:v>
                </c:pt>
                <c:pt idx="55">
                  <c:v>52.062899999999999</c:v>
                </c:pt>
                <c:pt idx="56">
                  <c:v>52.468600000000002</c:v>
                </c:pt>
                <c:pt idx="57">
                  <c:v>52.872500000000002</c:v>
                </c:pt>
                <c:pt idx="58">
                  <c:v>53.284399999999998</c:v>
                </c:pt>
                <c:pt idx="59">
                  <c:v>53.685499999999998</c:v>
                </c:pt>
                <c:pt idx="60">
                  <c:v>54.091700000000003</c:v>
                </c:pt>
                <c:pt idx="61">
                  <c:v>54.5002</c:v>
                </c:pt>
                <c:pt idx="62">
                  <c:v>54.907200000000003</c:v>
                </c:pt>
                <c:pt idx="63">
                  <c:v>55.312100000000001</c:v>
                </c:pt>
                <c:pt idx="64">
                  <c:v>55.716900000000003</c:v>
                </c:pt>
                <c:pt idx="65">
                  <c:v>56.123100000000001</c:v>
                </c:pt>
                <c:pt idx="66">
                  <c:v>56.532800000000002</c:v>
                </c:pt>
                <c:pt idx="67">
                  <c:v>56.9377</c:v>
                </c:pt>
                <c:pt idx="68">
                  <c:v>57.345799999999997</c:v>
                </c:pt>
                <c:pt idx="69">
                  <c:v>57.747500000000002</c:v>
                </c:pt>
                <c:pt idx="70">
                  <c:v>58.154499999999999</c:v>
                </c:pt>
                <c:pt idx="71">
                  <c:v>58.564300000000003</c:v>
                </c:pt>
                <c:pt idx="72">
                  <c:v>58.968299999999999</c:v>
                </c:pt>
                <c:pt idx="73">
                  <c:v>59.375599999999999</c:v>
                </c:pt>
                <c:pt idx="74">
                  <c:v>59.783099999999997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53.7408</c:v>
                </c:pt>
                <c:pt idx="1">
                  <c:v>54.275500000000001</c:v>
                </c:pt>
                <c:pt idx="2">
                  <c:v>54.9724</c:v>
                </c:pt>
                <c:pt idx="3">
                  <c:v>55.543100000000003</c:v>
                </c:pt>
                <c:pt idx="4">
                  <c:v>56.165200000000006</c:v>
                </c:pt>
                <c:pt idx="5">
                  <c:v>56.85</c:v>
                </c:pt>
                <c:pt idx="6">
                  <c:v>57.548600000000008</c:v>
                </c:pt>
                <c:pt idx="7">
                  <c:v>58.171900000000001</c:v>
                </c:pt>
                <c:pt idx="8">
                  <c:v>58.713700000000003</c:v>
                </c:pt>
                <c:pt idx="9">
                  <c:v>59.152499999999996</c:v>
                </c:pt>
                <c:pt idx="10">
                  <c:v>59.398099999999999</c:v>
                </c:pt>
                <c:pt idx="11">
                  <c:v>59.5336</c:v>
                </c:pt>
                <c:pt idx="12">
                  <c:v>59.572199999999995</c:v>
                </c:pt>
                <c:pt idx="13">
                  <c:v>59.500399999999999</c:v>
                </c:pt>
                <c:pt idx="14">
                  <c:v>59.375199999999992</c:v>
                </c:pt>
                <c:pt idx="15">
                  <c:v>59.179000000000002</c:v>
                </c:pt>
                <c:pt idx="16">
                  <c:v>58.945800000000006</c:v>
                </c:pt>
                <c:pt idx="17">
                  <c:v>58.629600000000003</c:v>
                </c:pt>
                <c:pt idx="18">
                  <c:v>58.142700000000005</c:v>
                </c:pt>
                <c:pt idx="19">
                  <c:v>57.477599999999995</c:v>
                </c:pt>
                <c:pt idx="20">
                  <c:v>56.630499999999998</c:v>
                </c:pt>
                <c:pt idx="21">
                  <c:v>55.631799999999998</c:v>
                </c:pt>
                <c:pt idx="22">
                  <c:v>54.545000000000002</c:v>
                </c:pt>
                <c:pt idx="23">
                  <c:v>53.374999999999993</c:v>
                </c:pt>
                <c:pt idx="24">
                  <c:v>52.162500000000001</c:v>
                </c:pt>
                <c:pt idx="25">
                  <c:v>50.962700000000005</c:v>
                </c:pt>
                <c:pt idx="26">
                  <c:v>49.728099999999998</c:v>
                </c:pt>
                <c:pt idx="27">
                  <c:v>48.521999999999998</c:v>
                </c:pt>
                <c:pt idx="28">
                  <c:v>47.384999999999998</c:v>
                </c:pt>
                <c:pt idx="29">
                  <c:v>46.268799999999999</c:v>
                </c:pt>
                <c:pt idx="30">
                  <c:v>45.280300000000004</c:v>
                </c:pt>
                <c:pt idx="31">
                  <c:v>44.429699999999997</c:v>
                </c:pt>
                <c:pt idx="32">
                  <c:v>43.554200000000002</c:v>
                </c:pt>
                <c:pt idx="33">
                  <c:v>42.732799999999997</c:v>
                </c:pt>
                <c:pt idx="34">
                  <c:v>42.112899999999996</c:v>
                </c:pt>
                <c:pt idx="35">
                  <c:v>41.6295</c:v>
                </c:pt>
                <c:pt idx="36">
                  <c:v>41.242000000000004</c:v>
                </c:pt>
                <c:pt idx="37">
                  <c:v>40.931800000000003</c:v>
                </c:pt>
                <c:pt idx="38">
                  <c:v>40.748200000000004</c:v>
                </c:pt>
                <c:pt idx="39">
                  <c:v>40.676099999999998</c:v>
                </c:pt>
                <c:pt idx="40">
                  <c:v>40.675800000000002</c:v>
                </c:pt>
                <c:pt idx="41">
                  <c:v>40.730400000000003</c:v>
                </c:pt>
                <c:pt idx="42">
                  <c:v>40.804899999999996</c:v>
                </c:pt>
                <c:pt idx="43">
                  <c:v>40.921500000000002</c:v>
                </c:pt>
                <c:pt idx="44">
                  <c:v>41.0456</c:v>
                </c:pt>
                <c:pt idx="45">
                  <c:v>41.156300000000002</c:v>
                </c:pt>
                <c:pt idx="46">
                  <c:v>41.255299999999998</c:v>
                </c:pt>
                <c:pt idx="47">
                  <c:v>41.376400000000004</c:v>
                </c:pt>
                <c:pt idx="48">
                  <c:v>41.499900000000004</c:v>
                </c:pt>
                <c:pt idx="49">
                  <c:v>41.668699999999994</c:v>
                </c:pt>
                <c:pt idx="50">
                  <c:v>41.856700000000004</c:v>
                </c:pt>
                <c:pt idx="51">
                  <c:v>41.963000000000001</c:v>
                </c:pt>
                <c:pt idx="52">
                  <c:v>42.090299999999999</c:v>
                </c:pt>
                <c:pt idx="53">
                  <c:v>42.2408</c:v>
                </c:pt>
                <c:pt idx="54">
                  <c:v>42.495699999999999</c:v>
                </c:pt>
                <c:pt idx="55">
                  <c:v>42.770899999999997</c:v>
                </c:pt>
                <c:pt idx="56">
                  <c:v>43.041699999999999</c:v>
                </c:pt>
                <c:pt idx="57">
                  <c:v>43.467599999999997</c:v>
                </c:pt>
                <c:pt idx="58">
                  <c:v>44.0366</c:v>
                </c:pt>
                <c:pt idx="59">
                  <c:v>44.527999999999999</c:v>
                </c:pt>
                <c:pt idx="60">
                  <c:v>44.996199999999995</c:v>
                </c:pt>
                <c:pt idx="61">
                  <c:v>45.438600000000001</c:v>
                </c:pt>
                <c:pt idx="62">
                  <c:v>45.927599999999998</c:v>
                </c:pt>
                <c:pt idx="63">
                  <c:v>46.417000000000002</c:v>
                </c:pt>
                <c:pt idx="64">
                  <c:v>46.817799999999998</c:v>
                </c:pt>
                <c:pt idx="65">
                  <c:v>47.115000000000002</c:v>
                </c:pt>
                <c:pt idx="66">
                  <c:v>47.316800000000001</c:v>
                </c:pt>
                <c:pt idx="67">
                  <c:v>47.522799999999997</c:v>
                </c:pt>
                <c:pt idx="68">
                  <c:v>47.597299999999997</c:v>
                </c:pt>
                <c:pt idx="69">
                  <c:v>47.534399999999998</c:v>
                </c:pt>
                <c:pt idx="70">
                  <c:v>47.516999999999996</c:v>
                </c:pt>
                <c:pt idx="71">
                  <c:v>47.4923</c:v>
                </c:pt>
                <c:pt idx="72">
                  <c:v>47.408799999999999</c:v>
                </c:pt>
                <c:pt idx="73">
                  <c:v>47.782899999999998</c:v>
                </c:pt>
                <c:pt idx="74">
                  <c:v>47.750399999999999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46.235599999999998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46.235599999999998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46.235599999999998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46.235599999999998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46.235599999999998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46.235599999999998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46.235599999999998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46.235599999999998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46.235599999999998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46.235599999999998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46.235599999999998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46.235599999999998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46.235599999999998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46.235599999999998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46.235599999999998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46.235599999999998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46.235599999999998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46.235599999999998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46.235599999999998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46.235599999999998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46.235599999999998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46.235599999999998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14.945774999999999</c:v>
                </c:pt>
                <c:pt idx="1">
                  <c:v>44.837325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45.34175945945946</c:v>
                </c:pt>
                <c:pt idx="1">
                  <c:v>48.431851351351362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37.783900000000003</c:v>
                </c:pt>
                <c:pt idx="1">
                  <c:v>29.9892</c:v>
                </c:pt>
                <c:pt idx="2">
                  <c:v>23.492599999999999</c:v>
                </c:pt>
                <c:pt idx="3">
                  <c:v>29.9086</c:v>
                </c:pt>
                <c:pt idx="4">
                  <c:v>67.052499999999995</c:v>
                </c:pt>
                <c:pt idx="5">
                  <c:v>80.110699999999994</c:v>
                </c:pt>
                <c:pt idx="6">
                  <c:v>21.0304</c:v>
                </c:pt>
                <c:pt idx="7">
                  <c:v>73.605699999999999</c:v>
                </c:pt>
                <c:pt idx="8">
                  <c:v>22.253900000000002</c:v>
                </c:pt>
                <c:pt idx="9">
                  <c:v>47.459699999999998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31.506799999999998</c:v>
                </c:pt>
                <c:pt idx="1">
                  <c:v>25.7118</c:v>
                </c:pt>
                <c:pt idx="2">
                  <c:v>17.870200000000001</c:v>
                </c:pt>
                <c:pt idx="3">
                  <c:v>25.257400000000001</c:v>
                </c:pt>
                <c:pt idx="4">
                  <c:v>69.067300000000003</c:v>
                </c:pt>
                <c:pt idx="5">
                  <c:v>82.814599999999999</c:v>
                </c:pt>
                <c:pt idx="6">
                  <c:v>16.8536</c:v>
                </c:pt>
                <c:pt idx="7">
                  <c:v>75.400499999999994</c:v>
                </c:pt>
                <c:pt idx="8">
                  <c:v>19.590499999999999</c:v>
                </c:pt>
                <c:pt idx="9">
                  <c:v>37.305300000000003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0.48128764922348855</c:v>
                </c:pt>
                <c:pt idx="1">
                  <c:v>0.24119049969665651</c:v>
                </c:pt>
                <c:pt idx="2">
                  <c:v>0.27752185107985494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1.929694117647059E-2</c:v>
                </c:pt>
                <c:pt idx="2">
                  <c:v>3.8593882352941179E-2</c:v>
                </c:pt>
                <c:pt idx="3">
                  <c:v>5.7890823529411765E-2</c:v>
                </c:pt>
                <c:pt idx="4">
                  <c:v>7.7187764705882358E-2</c:v>
                </c:pt>
                <c:pt idx="5">
                  <c:v>9.6484705882352945E-2</c:v>
                </c:pt>
                <c:pt idx="6">
                  <c:v>0.11578164705882353</c:v>
                </c:pt>
                <c:pt idx="7">
                  <c:v>0.13507858823529412</c:v>
                </c:pt>
                <c:pt idx="8">
                  <c:v>0.15437552941176472</c:v>
                </c:pt>
                <c:pt idx="9">
                  <c:v>0.17367247058823529</c:v>
                </c:pt>
                <c:pt idx="10">
                  <c:v>0.19296941176470589</c:v>
                </c:pt>
                <c:pt idx="11">
                  <c:v>0.21226635294117649</c:v>
                </c:pt>
                <c:pt idx="12">
                  <c:v>0.23156329411764706</c:v>
                </c:pt>
                <c:pt idx="13">
                  <c:v>0.25086023529411766</c:v>
                </c:pt>
                <c:pt idx="14">
                  <c:v>0.27015717647058823</c:v>
                </c:pt>
                <c:pt idx="15">
                  <c:v>0.28945411764705881</c:v>
                </c:pt>
                <c:pt idx="16">
                  <c:v>0.30875105882352943</c:v>
                </c:pt>
                <c:pt idx="17">
                  <c:v>0.32804800000000001</c:v>
                </c:pt>
                <c:pt idx="18">
                  <c:v>0.34734494117647058</c:v>
                </c:pt>
                <c:pt idx="19">
                  <c:v>0.36664188235294121</c:v>
                </c:pt>
                <c:pt idx="20">
                  <c:v>0.38593882352941178</c:v>
                </c:pt>
                <c:pt idx="21">
                  <c:v>0.40523576470588235</c:v>
                </c:pt>
                <c:pt idx="22">
                  <c:v>0.42453270588235298</c:v>
                </c:pt>
                <c:pt idx="23">
                  <c:v>0.44382964705882355</c:v>
                </c:pt>
                <c:pt idx="24">
                  <c:v>0.46312658823529412</c:v>
                </c:pt>
                <c:pt idx="25">
                  <c:v>0.4824235294117647</c:v>
                </c:pt>
                <c:pt idx="26">
                  <c:v>0.50172047058823532</c:v>
                </c:pt>
                <c:pt idx="27">
                  <c:v>0.52101741176470595</c:v>
                </c:pt>
                <c:pt idx="28">
                  <c:v>0.54031435294117647</c:v>
                </c:pt>
                <c:pt idx="29">
                  <c:v>0.5596112941176471</c:v>
                </c:pt>
                <c:pt idx="30">
                  <c:v>0.57890823529411761</c:v>
                </c:pt>
                <c:pt idx="31">
                  <c:v>0.59820517647058824</c:v>
                </c:pt>
                <c:pt idx="32">
                  <c:v>0.61750211764705887</c:v>
                </c:pt>
                <c:pt idx="33">
                  <c:v>0.6367990588235295</c:v>
                </c:pt>
                <c:pt idx="34">
                  <c:v>0.65609600000000001</c:v>
                </c:pt>
                <c:pt idx="35">
                  <c:v>0.67539294117647064</c:v>
                </c:pt>
                <c:pt idx="36">
                  <c:v>0.69468988235294116</c:v>
                </c:pt>
                <c:pt idx="37">
                  <c:v>0.7139868235294119</c:v>
                </c:pt>
                <c:pt idx="38">
                  <c:v>0.73328376470588241</c:v>
                </c:pt>
                <c:pt idx="39">
                  <c:v>0.75258070588235304</c:v>
                </c:pt>
                <c:pt idx="40">
                  <c:v>0.77187764705882356</c:v>
                </c:pt>
                <c:pt idx="41">
                  <c:v>0.79117458823529418</c:v>
                </c:pt>
                <c:pt idx="42">
                  <c:v>0.8104715294117647</c:v>
                </c:pt>
                <c:pt idx="43">
                  <c:v>0.82976847058823544</c:v>
                </c:pt>
                <c:pt idx="44">
                  <c:v>0.84906541176470596</c:v>
                </c:pt>
                <c:pt idx="45">
                  <c:v>0.86836235294117659</c:v>
                </c:pt>
                <c:pt idx="46">
                  <c:v>0.8876592941176471</c:v>
                </c:pt>
                <c:pt idx="47">
                  <c:v>0.90695623529411773</c:v>
                </c:pt>
                <c:pt idx="48">
                  <c:v>0.92625317647058825</c:v>
                </c:pt>
                <c:pt idx="49">
                  <c:v>0.94555011764705887</c:v>
                </c:pt>
                <c:pt idx="50">
                  <c:v>0.96484705882352939</c:v>
                </c:pt>
                <c:pt idx="51">
                  <c:v>0.98414400000000013</c:v>
                </c:pt>
                <c:pt idx="52">
                  <c:v>1.0034409411764706</c:v>
                </c:pt>
                <c:pt idx="53">
                  <c:v>1.0227378823529412</c:v>
                </c:pt>
                <c:pt idx="54">
                  <c:v>1.0420348235294119</c:v>
                </c:pt>
                <c:pt idx="55">
                  <c:v>1.0613317647058824</c:v>
                </c:pt>
                <c:pt idx="56">
                  <c:v>1.0806287058823529</c:v>
                </c:pt>
                <c:pt idx="57">
                  <c:v>1.0999256470588237</c:v>
                </c:pt>
                <c:pt idx="58">
                  <c:v>1.1192225882352942</c:v>
                </c:pt>
                <c:pt idx="59">
                  <c:v>1.1385195294117647</c:v>
                </c:pt>
                <c:pt idx="60">
                  <c:v>1.1578164705882352</c:v>
                </c:pt>
                <c:pt idx="61">
                  <c:v>1.177113411764706</c:v>
                </c:pt>
                <c:pt idx="62">
                  <c:v>1.1964103529411765</c:v>
                </c:pt>
                <c:pt idx="63">
                  <c:v>1.2157072941176472</c:v>
                </c:pt>
                <c:pt idx="64">
                  <c:v>1.2350042352941177</c:v>
                </c:pt>
                <c:pt idx="65">
                  <c:v>1.2543011764705883</c:v>
                </c:pt>
                <c:pt idx="66">
                  <c:v>1.273598117647059</c:v>
                </c:pt>
                <c:pt idx="67">
                  <c:v>1.2928950588235295</c:v>
                </c:pt>
                <c:pt idx="68">
                  <c:v>1.312192</c:v>
                </c:pt>
                <c:pt idx="69">
                  <c:v>1.3314889411764705</c:v>
                </c:pt>
                <c:pt idx="70">
                  <c:v>1.3507858823529413</c:v>
                </c:pt>
                <c:pt idx="71">
                  <c:v>1.3700828235294118</c:v>
                </c:pt>
                <c:pt idx="72">
                  <c:v>1.3893797647058823</c:v>
                </c:pt>
                <c:pt idx="73">
                  <c:v>1.4086767058823528</c:v>
                </c:pt>
                <c:pt idx="74">
                  <c:v>1.4279736470588238</c:v>
                </c:pt>
                <c:pt idx="75">
                  <c:v>1.4472705882352943</c:v>
                </c:pt>
                <c:pt idx="76">
                  <c:v>1.4665675294117648</c:v>
                </c:pt>
                <c:pt idx="77">
                  <c:v>1.4858644705882353</c:v>
                </c:pt>
                <c:pt idx="78">
                  <c:v>1.5051614117647061</c:v>
                </c:pt>
                <c:pt idx="79">
                  <c:v>1.5244583529411766</c:v>
                </c:pt>
                <c:pt idx="80">
                  <c:v>1.5437552941176471</c:v>
                </c:pt>
                <c:pt idx="81">
                  <c:v>1.5630522352941176</c:v>
                </c:pt>
                <c:pt idx="82">
                  <c:v>1.5823491764705884</c:v>
                </c:pt>
                <c:pt idx="83">
                  <c:v>1.6016461176470589</c:v>
                </c:pt>
                <c:pt idx="84">
                  <c:v>1.6209430588235294</c:v>
                </c:pt>
                <c:pt idx="85">
                  <c:v>1.6402399999999999</c:v>
                </c:pt>
                <c:pt idx="86">
                  <c:v>1.6595369411764709</c:v>
                </c:pt>
                <c:pt idx="87">
                  <c:v>1.6788338823529414</c:v>
                </c:pt>
                <c:pt idx="88">
                  <c:v>1.6981308235294119</c:v>
                </c:pt>
                <c:pt idx="89">
                  <c:v>1.7174277647058824</c:v>
                </c:pt>
                <c:pt idx="90">
                  <c:v>1.7367247058823532</c:v>
                </c:pt>
                <c:pt idx="91">
                  <c:v>1.7560216470588237</c:v>
                </c:pt>
                <c:pt idx="92">
                  <c:v>1.7753185882352942</c:v>
                </c:pt>
                <c:pt idx="93">
                  <c:v>1.7946155294117647</c:v>
                </c:pt>
                <c:pt idx="94">
                  <c:v>1.8139124705882355</c:v>
                </c:pt>
                <c:pt idx="95">
                  <c:v>1.833209411764706</c:v>
                </c:pt>
                <c:pt idx="96">
                  <c:v>1.8525063529411765</c:v>
                </c:pt>
                <c:pt idx="97">
                  <c:v>1.871803294117647</c:v>
                </c:pt>
                <c:pt idx="98">
                  <c:v>1.8911002352941177</c:v>
                </c:pt>
                <c:pt idx="99">
                  <c:v>1.9103971764705883</c:v>
                </c:pt>
                <c:pt idx="100">
                  <c:v>1.9296941176470588</c:v>
                </c:pt>
                <c:pt idx="101">
                  <c:v>1.9489910588235293</c:v>
                </c:pt>
                <c:pt idx="102">
                  <c:v>1.9682880000000003</c:v>
                </c:pt>
                <c:pt idx="103">
                  <c:v>1.9875849411764708</c:v>
                </c:pt>
                <c:pt idx="104">
                  <c:v>2.0068818823529413</c:v>
                </c:pt>
                <c:pt idx="105">
                  <c:v>2.0261788235294116</c:v>
                </c:pt>
                <c:pt idx="106">
                  <c:v>2.0454757647058823</c:v>
                </c:pt>
                <c:pt idx="107">
                  <c:v>2.0647727058823531</c:v>
                </c:pt>
                <c:pt idx="108">
                  <c:v>2.0840696470588238</c:v>
                </c:pt>
                <c:pt idx="109">
                  <c:v>2.1033665882352941</c:v>
                </c:pt>
                <c:pt idx="110">
                  <c:v>2.1226635294117648</c:v>
                </c:pt>
                <c:pt idx="111">
                  <c:v>2.1419604705882356</c:v>
                </c:pt>
                <c:pt idx="112">
                  <c:v>2.1612574117647059</c:v>
                </c:pt>
                <c:pt idx="113">
                  <c:v>2.1805543529411766</c:v>
                </c:pt>
                <c:pt idx="114">
                  <c:v>2.1998512941176473</c:v>
                </c:pt>
                <c:pt idx="115">
                  <c:v>2.2191482352941176</c:v>
                </c:pt>
                <c:pt idx="116">
                  <c:v>2.2384451764705884</c:v>
                </c:pt>
                <c:pt idx="117">
                  <c:v>2.2577421176470587</c:v>
                </c:pt>
                <c:pt idx="118">
                  <c:v>2.2770390588235294</c:v>
                </c:pt>
                <c:pt idx="119">
                  <c:v>2.2963360000000002</c:v>
                </c:pt>
                <c:pt idx="120">
                  <c:v>2.3156329411764704</c:v>
                </c:pt>
                <c:pt idx="121">
                  <c:v>2.3349298823529412</c:v>
                </c:pt>
                <c:pt idx="122">
                  <c:v>2.3542268235294119</c:v>
                </c:pt>
                <c:pt idx="123">
                  <c:v>2.3735237647058827</c:v>
                </c:pt>
                <c:pt idx="124">
                  <c:v>2.392820705882353</c:v>
                </c:pt>
                <c:pt idx="125">
                  <c:v>2.4121176470588237</c:v>
                </c:pt>
                <c:pt idx="126">
                  <c:v>2.4314145882352944</c:v>
                </c:pt>
                <c:pt idx="127">
                  <c:v>2.4507115294117647</c:v>
                </c:pt>
                <c:pt idx="128">
                  <c:v>2.4700084705882355</c:v>
                </c:pt>
                <c:pt idx="129">
                  <c:v>2.4893054117647058</c:v>
                </c:pt>
                <c:pt idx="130">
                  <c:v>2.5086023529411765</c:v>
                </c:pt>
                <c:pt idx="131">
                  <c:v>2.5278992941176468</c:v>
                </c:pt>
                <c:pt idx="132">
                  <c:v>2.547196235294118</c:v>
                </c:pt>
                <c:pt idx="133">
                  <c:v>2.5664931764705887</c:v>
                </c:pt>
                <c:pt idx="134">
                  <c:v>2.585790117647059</c:v>
                </c:pt>
                <c:pt idx="135">
                  <c:v>2.6050870588235298</c:v>
                </c:pt>
                <c:pt idx="136">
                  <c:v>2.6243840000000001</c:v>
                </c:pt>
                <c:pt idx="137">
                  <c:v>2.6436809411764708</c:v>
                </c:pt>
                <c:pt idx="138">
                  <c:v>2.6629778823529411</c:v>
                </c:pt>
                <c:pt idx="139">
                  <c:v>2.6822748235294118</c:v>
                </c:pt>
                <c:pt idx="140">
                  <c:v>2.7015717647058826</c:v>
                </c:pt>
                <c:pt idx="141">
                  <c:v>2.7208687058823533</c:v>
                </c:pt>
                <c:pt idx="142">
                  <c:v>2.7401656470588236</c:v>
                </c:pt>
                <c:pt idx="143">
                  <c:v>2.7594625882352943</c:v>
                </c:pt>
                <c:pt idx="144">
                  <c:v>2.7787595294117646</c:v>
                </c:pt>
                <c:pt idx="145">
                  <c:v>2.7980564705882354</c:v>
                </c:pt>
                <c:pt idx="146">
                  <c:v>2.8173534117647057</c:v>
                </c:pt>
                <c:pt idx="147">
                  <c:v>2.8366503529411764</c:v>
                </c:pt>
                <c:pt idx="148">
                  <c:v>2.8559472941176476</c:v>
                </c:pt>
                <c:pt idx="149">
                  <c:v>2.8752442352941179</c:v>
                </c:pt>
                <c:pt idx="150">
                  <c:v>2.8945411764705886</c:v>
                </c:pt>
                <c:pt idx="151">
                  <c:v>2.9138381176470589</c:v>
                </c:pt>
                <c:pt idx="152">
                  <c:v>2.9331350588235297</c:v>
                </c:pt>
                <c:pt idx="153">
                  <c:v>2.9524319999999999</c:v>
                </c:pt>
                <c:pt idx="154">
                  <c:v>2.9717289411764707</c:v>
                </c:pt>
                <c:pt idx="155">
                  <c:v>2.991025882352941</c:v>
                </c:pt>
                <c:pt idx="156">
                  <c:v>3.0103228235294122</c:v>
                </c:pt>
                <c:pt idx="157">
                  <c:v>3.0296197647058825</c:v>
                </c:pt>
                <c:pt idx="158">
                  <c:v>3.0489167058823532</c:v>
                </c:pt>
                <c:pt idx="159">
                  <c:v>3.0682136470588235</c:v>
                </c:pt>
                <c:pt idx="160">
                  <c:v>3.0875105882352942</c:v>
                </c:pt>
                <c:pt idx="161">
                  <c:v>3.1068075294117645</c:v>
                </c:pt>
                <c:pt idx="162">
                  <c:v>3.1261044705882353</c:v>
                </c:pt>
                <c:pt idx="163">
                  <c:v>3.1454014117647056</c:v>
                </c:pt>
                <c:pt idx="164">
                  <c:v>3.1646983529411767</c:v>
                </c:pt>
                <c:pt idx="165">
                  <c:v>3.1839952941176475</c:v>
                </c:pt>
                <c:pt idx="166">
                  <c:v>3.2032922352941178</c:v>
                </c:pt>
                <c:pt idx="167">
                  <c:v>3.2225891764705885</c:v>
                </c:pt>
                <c:pt idx="168">
                  <c:v>3.2418861176470588</c:v>
                </c:pt>
                <c:pt idx="169">
                  <c:v>3.2611830588235295</c:v>
                </c:pt>
                <c:pt idx="170">
                  <c:v>3.2804799999999998</c:v>
                </c:pt>
                <c:pt idx="171">
                  <c:v>3.2997769411764706</c:v>
                </c:pt>
                <c:pt idx="172">
                  <c:v>3.3190738823529418</c:v>
                </c:pt>
                <c:pt idx="173">
                  <c:v>3.3383708235294121</c:v>
                </c:pt>
                <c:pt idx="174">
                  <c:v>3.3576677647058828</c:v>
                </c:pt>
                <c:pt idx="175">
                  <c:v>3.3769647058823531</c:v>
                </c:pt>
                <c:pt idx="176">
                  <c:v>3.3962616470588238</c:v>
                </c:pt>
                <c:pt idx="177">
                  <c:v>3.4155585882352941</c:v>
                </c:pt>
                <c:pt idx="178">
                  <c:v>3.4348555294117649</c:v>
                </c:pt>
                <c:pt idx="179">
                  <c:v>3.4541524705882352</c:v>
                </c:pt>
                <c:pt idx="180">
                  <c:v>3.4734494117647063</c:v>
                </c:pt>
                <c:pt idx="181">
                  <c:v>3.4927463529411766</c:v>
                </c:pt>
                <c:pt idx="182">
                  <c:v>3.5120432941176474</c:v>
                </c:pt>
                <c:pt idx="183">
                  <c:v>3.5313402352941177</c:v>
                </c:pt>
                <c:pt idx="184">
                  <c:v>3.5506371764705884</c:v>
                </c:pt>
                <c:pt idx="185">
                  <c:v>3.5699341176470587</c:v>
                </c:pt>
                <c:pt idx="186">
                  <c:v>3.5892310588235294</c:v>
                </c:pt>
                <c:pt idx="187">
                  <c:v>3.6085279999999997</c:v>
                </c:pt>
                <c:pt idx="188">
                  <c:v>3.6278249411764709</c:v>
                </c:pt>
                <c:pt idx="189">
                  <c:v>3.6471218823529417</c:v>
                </c:pt>
                <c:pt idx="190">
                  <c:v>3.666418823529412</c:v>
                </c:pt>
                <c:pt idx="191">
                  <c:v>3.6857157647058827</c:v>
                </c:pt>
                <c:pt idx="192">
                  <c:v>3.705012705882353</c:v>
                </c:pt>
                <c:pt idx="193">
                  <c:v>3.7243096470588237</c:v>
                </c:pt>
                <c:pt idx="194">
                  <c:v>3.743606588235294</c:v>
                </c:pt>
                <c:pt idx="195">
                  <c:v>3.7629035294117648</c:v>
                </c:pt>
                <c:pt idx="196">
                  <c:v>3.7822004705882355</c:v>
                </c:pt>
                <c:pt idx="197">
                  <c:v>3.8014974117647062</c:v>
                </c:pt>
                <c:pt idx="198">
                  <c:v>3.8207943529411765</c:v>
                </c:pt>
                <c:pt idx="199">
                  <c:v>3.8400912941176473</c:v>
                </c:pt>
                <c:pt idx="200">
                  <c:v>3.8593882352941176</c:v>
                </c:pt>
                <c:pt idx="201">
                  <c:v>3.8786851764705883</c:v>
                </c:pt>
                <c:pt idx="202">
                  <c:v>3.8979821176470586</c:v>
                </c:pt>
                <c:pt idx="203">
                  <c:v>3.9172790588235293</c:v>
                </c:pt>
                <c:pt idx="204">
                  <c:v>3.9365760000000005</c:v>
                </c:pt>
                <c:pt idx="205">
                  <c:v>3.9558729411764708</c:v>
                </c:pt>
                <c:pt idx="206">
                  <c:v>3.9751698823529416</c:v>
                </c:pt>
                <c:pt idx="207">
                  <c:v>3.9944668235294118</c:v>
                </c:pt>
                <c:pt idx="208">
                  <c:v>4.0137637647058826</c:v>
                </c:pt>
                <c:pt idx="209">
                  <c:v>4.0330607058823533</c:v>
                </c:pt>
                <c:pt idx="210">
                  <c:v>4.0523576470588232</c:v>
                </c:pt>
                <c:pt idx="211">
                  <c:v>4.0716545882352939</c:v>
                </c:pt>
                <c:pt idx="212">
                  <c:v>4.0909515294117647</c:v>
                </c:pt>
                <c:pt idx="213">
                  <c:v>4.1102484705882354</c:v>
                </c:pt>
                <c:pt idx="214">
                  <c:v>4.1295454117647061</c:v>
                </c:pt>
                <c:pt idx="215">
                  <c:v>4.1488423529411769</c:v>
                </c:pt>
                <c:pt idx="216">
                  <c:v>4.1681392941176476</c:v>
                </c:pt>
                <c:pt idx="217">
                  <c:v>4.1874362352941175</c:v>
                </c:pt>
                <c:pt idx="218">
                  <c:v>4.2067331764705882</c:v>
                </c:pt>
                <c:pt idx="219">
                  <c:v>4.2260301176470589</c:v>
                </c:pt>
                <c:pt idx="220">
                  <c:v>4.2453270588235297</c:v>
                </c:pt>
                <c:pt idx="221">
                  <c:v>4.2646240000000004</c:v>
                </c:pt>
                <c:pt idx="222">
                  <c:v>4.2839209411764712</c:v>
                </c:pt>
                <c:pt idx="223">
                  <c:v>4.303217882352941</c:v>
                </c:pt>
                <c:pt idx="224">
                  <c:v>4.3225148235294117</c:v>
                </c:pt>
                <c:pt idx="225">
                  <c:v>4.3418117647058825</c:v>
                </c:pt>
                <c:pt idx="226">
                  <c:v>4.3611087058823532</c:v>
                </c:pt>
                <c:pt idx="227">
                  <c:v>4.3804056470588231</c:v>
                </c:pt>
                <c:pt idx="228">
                  <c:v>4.3997025882352947</c:v>
                </c:pt>
                <c:pt idx="229">
                  <c:v>4.4189995294117654</c:v>
                </c:pt>
                <c:pt idx="230">
                  <c:v>4.4382964705882353</c:v>
                </c:pt>
                <c:pt idx="231">
                  <c:v>4.457593411764706</c:v>
                </c:pt>
                <c:pt idx="232">
                  <c:v>4.4768903529411768</c:v>
                </c:pt>
                <c:pt idx="233">
                  <c:v>4.4961872941176475</c:v>
                </c:pt>
                <c:pt idx="234">
                  <c:v>4.5154842352941174</c:v>
                </c:pt>
                <c:pt idx="235">
                  <c:v>4.5347811764705881</c:v>
                </c:pt>
                <c:pt idx="236">
                  <c:v>4.5540781176470588</c:v>
                </c:pt>
                <c:pt idx="237">
                  <c:v>4.5733750588235296</c:v>
                </c:pt>
                <c:pt idx="238">
                  <c:v>4.5926720000000003</c:v>
                </c:pt>
                <c:pt idx="239">
                  <c:v>4.611968941176471</c:v>
                </c:pt>
                <c:pt idx="240">
                  <c:v>4.6312658823529409</c:v>
                </c:pt>
                <c:pt idx="241">
                  <c:v>4.6505628235294116</c:v>
                </c:pt>
                <c:pt idx="242">
                  <c:v>4.6698597647058824</c:v>
                </c:pt>
                <c:pt idx="243">
                  <c:v>4.6891567058823531</c:v>
                </c:pt>
                <c:pt idx="244">
                  <c:v>4.7084536470588239</c:v>
                </c:pt>
                <c:pt idx="245">
                  <c:v>4.7277505882352946</c:v>
                </c:pt>
                <c:pt idx="246">
                  <c:v>4.7470475294117653</c:v>
                </c:pt>
                <c:pt idx="247">
                  <c:v>4.7663444705882352</c:v>
                </c:pt>
                <c:pt idx="248">
                  <c:v>4.7856414117647059</c:v>
                </c:pt>
                <c:pt idx="249">
                  <c:v>4.8049383529411767</c:v>
                </c:pt>
                <c:pt idx="250">
                  <c:v>4.8242352941176474</c:v>
                </c:pt>
                <c:pt idx="251">
                  <c:v>4.8435322352941172</c:v>
                </c:pt>
                <c:pt idx="252">
                  <c:v>4.8628291764705889</c:v>
                </c:pt>
                <c:pt idx="253">
                  <c:v>4.8821261176470587</c:v>
                </c:pt>
                <c:pt idx="254">
                  <c:v>4.9014230588235295</c:v>
                </c:pt>
                <c:pt idx="255">
                  <c:v>4.9207200000000002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1088</c:v>
                </c:pt>
                <c:pt idx="7">
                  <c:v>0</c:v>
                </c:pt>
                <c:pt idx="8">
                  <c:v>418</c:v>
                </c:pt>
                <c:pt idx="9">
                  <c:v>0</c:v>
                </c:pt>
                <c:pt idx="10">
                  <c:v>0</c:v>
                </c:pt>
                <c:pt idx="11">
                  <c:v>1289</c:v>
                </c:pt>
                <c:pt idx="12">
                  <c:v>0</c:v>
                </c:pt>
                <c:pt idx="13">
                  <c:v>2702</c:v>
                </c:pt>
                <c:pt idx="14">
                  <c:v>0</c:v>
                </c:pt>
                <c:pt idx="15">
                  <c:v>0</c:v>
                </c:pt>
                <c:pt idx="16">
                  <c:v>8527</c:v>
                </c:pt>
                <c:pt idx="17">
                  <c:v>0</c:v>
                </c:pt>
                <c:pt idx="18">
                  <c:v>0</c:v>
                </c:pt>
                <c:pt idx="19">
                  <c:v>16093</c:v>
                </c:pt>
                <c:pt idx="20">
                  <c:v>0</c:v>
                </c:pt>
                <c:pt idx="21">
                  <c:v>20469</c:v>
                </c:pt>
                <c:pt idx="22">
                  <c:v>0</c:v>
                </c:pt>
                <c:pt idx="23">
                  <c:v>0</c:v>
                </c:pt>
                <c:pt idx="24">
                  <c:v>19590</c:v>
                </c:pt>
                <c:pt idx="25">
                  <c:v>0</c:v>
                </c:pt>
                <c:pt idx="26">
                  <c:v>25124</c:v>
                </c:pt>
                <c:pt idx="27">
                  <c:v>0</c:v>
                </c:pt>
                <c:pt idx="28">
                  <c:v>0</c:v>
                </c:pt>
                <c:pt idx="29">
                  <c:v>28246</c:v>
                </c:pt>
                <c:pt idx="30">
                  <c:v>0</c:v>
                </c:pt>
                <c:pt idx="31">
                  <c:v>28910</c:v>
                </c:pt>
                <c:pt idx="32">
                  <c:v>0</c:v>
                </c:pt>
                <c:pt idx="33">
                  <c:v>0</c:v>
                </c:pt>
                <c:pt idx="34">
                  <c:v>33493</c:v>
                </c:pt>
                <c:pt idx="35">
                  <c:v>0</c:v>
                </c:pt>
                <c:pt idx="36">
                  <c:v>0</c:v>
                </c:pt>
                <c:pt idx="37">
                  <c:v>28664</c:v>
                </c:pt>
                <c:pt idx="38">
                  <c:v>0</c:v>
                </c:pt>
                <c:pt idx="39">
                  <c:v>29556</c:v>
                </c:pt>
                <c:pt idx="40">
                  <c:v>0</c:v>
                </c:pt>
                <c:pt idx="41">
                  <c:v>0</c:v>
                </c:pt>
                <c:pt idx="42">
                  <c:v>30193</c:v>
                </c:pt>
                <c:pt idx="43">
                  <c:v>0</c:v>
                </c:pt>
                <c:pt idx="44">
                  <c:v>53152</c:v>
                </c:pt>
                <c:pt idx="45">
                  <c:v>0</c:v>
                </c:pt>
                <c:pt idx="46">
                  <c:v>0</c:v>
                </c:pt>
                <c:pt idx="47">
                  <c:v>68544</c:v>
                </c:pt>
                <c:pt idx="48">
                  <c:v>0</c:v>
                </c:pt>
                <c:pt idx="49">
                  <c:v>88096</c:v>
                </c:pt>
                <c:pt idx="50">
                  <c:v>0</c:v>
                </c:pt>
                <c:pt idx="51">
                  <c:v>0</c:v>
                </c:pt>
                <c:pt idx="52">
                  <c:v>86236</c:v>
                </c:pt>
                <c:pt idx="53">
                  <c:v>0</c:v>
                </c:pt>
                <c:pt idx="54">
                  <c:v>0</c:v>
                </c:pt>
                <c:pt idx="55">
                  <c:v>80782</c:v>
                </c:pt>
                <c:pt idx="56">
                  <c:v>0</c:v>
                </c:pt>
                <c:pt idx="57">
                  <c:v>82254</c:v>
                </c:pt>
                <c:pt idx="58">
                  <c:v>0</c:v>
                </c:pt>
                <c:pt idx="59">
                  <c:v>0</c:v>
                </c:pt>
                <c:pt idx="60">
                  <c:v>83825</c:v>
                </c:pt>
                <c:pt idx="61">
                  <c:v>0</c:v>
                </c:pt>
                <c:pt idx="62">
                  <c:v>81209</c:v>
                </c:pt>
                <c:pt idx="63">
                  <c:v>0</c:v>
                </c:pt>
                <c:pt idx="64">
                  <c:v>0</c:v>
                </c:pt>
                <c:pt idx="65">
                  <c:v>94304</c:v>
                </c:pt>
                <c:pt idx="66">
                  <c:v>0</c:v>
                </c:pt>
                <c:pt idx="67">
                  <c:v>92699</c:v>
                </c:pt>
                <c:pt idx="68">
                  <c:v>0</c:v>
                </c:pt>
                <c:pt idx="69">
                  <c:v>0</c:v>
                </c:pt>
                <c:pt idx="70">
                  <c:v>113461</c:v>
                </c:pt>
                <c:pt idx="71">
                  <c:v>0</c:v>
                </c:pt>
                <c:pt idx="72">
                  <c:v>0</c:v>
                </c:pt>
                <c:pt idx="73">
                  <c:v>115780</c:v>
                </c:pt>
                <c:pt idx="74">
                  <c:v>0</c:v>
                </c:pt>
                <c:pt idx="75">
                  <c:v>110465</c:v>
                </c:pt>
                <c:pt idx="76">
                  <c:v>0</c:v>
                </c:pt>
                <c:pt idx="77">
                  <c:v>0</c:v>
                </c:pt>
                <c:pt idx="78">
                  <c:v>110736</c:v>
                </c:pt>
                <c:pt idx="79">
                  <c:v>0</c:v>
                </c:pt>
                <c:pt idx="80">
                  <c:v>112133</c:v>
                </c:pt>
                <c:pt idx="81">
                  <c:v>0</c:v>
                </c:pt>
                <c:pt idx="82">
                  <c:v>0</c:v>
                </c:pt>
                <c:pt idx="83">
                  <c:v>122991</c:v>
                </c:pt>
                <c:pt idx="84">
                  <c:v>0</c:v>
                </c:pt>
                <c:pt idx="85">
                  <c:v>0</c:v>
                </c:pt>
                <c:pt idx="86">
                  <c:v>123929</c:v>
                </c:pt>
                <c:pt idx="87">
                  <c:v>0</c:v>
                </c:pt>
                <c:pt idx="88">
                  <c:v>128314</c:v>
                </c:pt>
                <c:pt idx="89">
                  <c:v>0</c:v>
                </c:pt>
                <c:pt idx="90">
                  <c:v>0</c:v>
                </c:pt>
                <c:pt idx="91">
                  <c:v>123180</c:v>
                </c:pt>
                <c:pt idx="92">
                  <c:v>0</c:v>
                </c:pt>
                <c:pt idx="93">
                  <c:v>124040</c:v>
                </c:pt>
                <c:pt idx="94">
                  <c:v>0</c:v>
                </c:pt>
                <c:pt idx="95">
                  <c:v>0</c:v>
                </c:pt>
                <c:pt idx="96">
                  <c:v>107386</c:v>
                </c:pt>
                <c:pt idx="97">
                  <c:v>0</c:v>
                </c:pt>
                <c:pt idx="98">
                  <c:v>100353</c:v>
                </c:pt>
                <c:pt idx="99">
                  <c:v>0</c:v>
                </c:pt>
                <c:pt idx="100">
                  <c:v>0</c:v>
                </c:pt>
                <c:pt idx="101">
                  <c:v>90234</c:v>
                </c:pt>
                <c:pt idx="102">
                  <c:v>0</c:v>
                </c:pt>
                <c:pt idx="103">
                  <c:v>0</c:v>
                </c:pt>
                <c:pt idx="104">
                  <c:v>83148</c:v>
                </c:pt>
                <c:pt idx="105">
                  <c:v>0</c:v>
                </c:pt>
                <c:pt idx="106">
                  <c:v>75619</c:v>
                </c:pt>
                <c:pt idx="107">
                  <c:v>0</c:v>
                </c:pt>
                <c:pt idx="108">
                  <c:v>0</c:v>
                </c:pt>
                <c:pt idx="109">
                  <c:v>73104</c:v>
                </c:pt>
                <c:pt idx="110">
                  <c:v>0</c:v>
                </c:pt>
                <c:pt idx="111">
                  <c:v>64283</c:v>
                </c:pt>
                <c:pt idx="112">
                  <c:v>0</c:v>
                </c:pt>
                <c:pt idx="113">
                  <c:v>0</c:v>
                </c:pt>
                <c:pt idx="114">
                  <c:v>55519</c:v>
                </c:pt>
                <c:pt idx="115">
                  <c:v>0</c:v>
                </c:pt>
                <c:pt idx="116">
                  <c:v>49408</c:v>
                </c:pt>
                <c:pt idx="117">
                  <c:v>0</c:v>
                </c:pt>
                <c:pt idx="118">
                  <c:v>0</c:v>
                </c:pt>
                <c:pt idx="119">
                  <c:v>46549</c:v>
                </c:pt>
                <c:pt idx="120">
                  <c:v>0</c:v>
                </c:pt>
                <c:pt idx="121">
                  <c:v>0</c:v>
                </c:pt>
                <c:pt idx="122">
                  <c:v>46202</c:v>
                </c:pt>
                <c:pt idx="123">
                  <c:v>0</c:v>
                </c:pt>
                <c:pt idx="124">
                  <c:v>38699</c:v>
                </c:pt>
                <c:pt idx="125">
                  <c:v>0</c:v>
                </c:pt>
                <c:pt idx="126">
                  <c:v>0</c:v>
                </c:pt>
                <c:pt idx="127">
                  <c:v>36534</c:v>
                </c:pt>
                <c:pt idx="128">
                  <c:v>0</c:v>
                </c:pt>
                <c:pt idx="129">
                  <c:v>32601</c:v>
                </c:pt>
                <c:pt idx="130">
                  <c:v>0</c:v>
                </c:pt>
                <c:pt idx="131">
                  <c:v>0</c:v>
                </c:pt>
                <c:pt idx="132">
                  <c:v>28638</c:v>
                </c:pt>
                <c:pt idx="133">
                  <c:v>0</c:v>
                </c:pt>
                <c:pt idx="134">
                  <c:v>27989</c:v>
                </c:pt>
                <c:pt idx="135">
                  <c:v>0</c:v>
                </c:pt>
                <c:pt idx="136">
                  <c:v>0</c:v>
                </c:pt>
                <c:pt idx="137">
                  <c:v>24327</c:v>
                </c:pt>
                <c:pt idx="138">
                  <c:v>0</c:v>
                </c:pt>
                <c:pt idx="139">
                  <c:v>0</c:v>
                </c:pt>
                <c:pt idx="140">
                  <c:v>18931</c:v>
                </c:pt>
                <c:pt idx="141">
                  <c:v>0</c:v>
                </c:pt>
                <c:pt idx="142">
                  <c:v>16222</c:v>
                </c:pt>
                <c:pt idx="143">
                  <c:v>0</c:v>
                </c:pt>
                <c:pt idx="144">
                  <c:v>0</c:v>
                </c:pt>
                <c:pt idx="145">
                  <c:v>15723</c:v>
                </c:pt>
                <c:pt idx="146">
                  <c:v>0</c:v>
                </c:pt>
                <c:pt idx="147">
                  <c:v>13616</c:v>
                </c:pt>
                <c:pt idx="148">
                  <c:v>0</c:v>
                </c:pt>
                <c:pt idx="149">
                  <c:v>0</c:v>
                </c:pt>
                <c:pt idx="150">
                  <c:v>11925</c:v>
                </c:pt>
                <c:pt idx="151">
                  <c:v>0</c:v>
                </c:pt>
                <c:pt idx="152">
                  <c:v>11548</c:v>
                </c:pt>
                <c:pt idx="153">
                  <c:v>0</c:v>
                </c:pt>
                <c:pt idx="154">
                  <c:v>0</c:v>
                </c:pt>
                <c:pt idx="155">
                  <c:v>7011</c:v>
                </c:pt>
                <c:pt idx="156">
                  <c:v>0</c:v>
                </c:pt>
                <c:pt idx="157">
                  <c:v>0</c:v>
                </c:pt>
                <c:pt idx="158">
                  <c:v>4546</c:v>
                </c:pt>
                <c:pt idx="159">
                  <c:v>0</c:v>
                </c:pt>
                <c:pt idx="160">
                  <c:v>3597</c:v>
                </c:pt>
                <c:pt idx="161">
                  <c:v>0</c:v>
                </c:pt>
                <c:pt idx="162">
                  <c:v>0</c:v>
                </c:pt>
                <c:pt idx="163">
                  <c:v>2074</c:v>
                </c:pt>
                <c:pt idx="164">
                  <c:v>0</c:v>
                </c:pt>
                <c:pt idx="165">
                  <c:v>957</c:v>
                </c:pt>
                <c:pt idx="166">
                  <c:v>0</c:v>
                </c:pt>
                <c:pt idx="167">
                  <c:v>0</c:v>
                </c:pt>
                <c:pt idx="168">
                  <c:v>486</c:v>
                </c:pt>
                <c:pt idx="169">
                  <c:v>0</c:v>
                </c:pt>
                <c:pt idx="170">
                  <c:v>0</c:v>
                </c:pt>
                <c:pt idx="171">
                  <c:v>254</c:v>
                </c:pt>
                <c:pt idx="172">
                  <c:v>0</c:v>
                </c:pt>
                <c:pt idx="173">
                  <c:v>703</c:v>
                </c:pt>
                <c:pt idx="174">
                  <c:v>0</c:v>
                </c:pt>
                <c:pt idx="175">
                  <c:v>0</c:v>
                </c:pt>
                <c:pt idx="176">
                  <c:v>192</c:v>
                </c:pt>
                <c:pt idx="177">
                  <c:v>0</c:v>
                </c:pt>
                <c:pt idx="178">
                  <c:v>134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505</c:v>
                </c:pt>
                <c:pt idx="7">
                  <c:v>0</c:v>
                </c:pt>
                <c:pt idx="8">
                  <c:v>3427</c:v>
                </c:pt>
                <c:pt idx="9">
                  <c:v>0</c:v>
                </c:pt>
                <c:pt idx="10">
                  <c:v>0</c:v>
                </c:pt>
                <c:pt idx="11">
                  <c:v>10371</c:v>
                </c:pt>
                <c:pt idx="12">
                  <c:v>0</c:v>
                </c:pt>
                <c:pt idx="13">
                  <c:v>12419</c:v>
                </c:pt>
                <c:pt idx="14">
                  <c:v>0</c:v>
                </c:pt>
                <c:pt idx="15">
                  <c:v>0</c:v>
                </c:pt>
                <c:pt idx="16">
                  <c:v>10507</c:v>
                </c:pt>
                <c:pt idx="17">
                  <c:v>0</c:v>
                </c:pt>
                <c:pt idx="18">
                  <c:v>0</c:v>
                </c:pt>
                <c:pt idx="19">
                  <c:v>14436</c:v>
                </c:pt>
                <c:pt idx="20">
                  <c:v>0</c:v>
                </c:pt>
                <c:pt idx="21">
                  <c:v>15839</c:v>
                </c:pt>
                <c:pt idx="22">
                  <c:v>0</c:v>
                </c:pt>
                <c:pt idx="23">
                  <c:v>0</c:v>
                </c:pt>
                <c:pt idx="24">
                  <c:v>25522</c:v>
                </c:pt>
                <c:pt idx="25">
                  <c:v>0</c:v>
                </c:pt>
                <c:pt idx="26">
                  <c:v>22740</c:v>
                </c:pt>
                <c:pt idx="27">
                  <c:v>0</c:v>
                </c:pt>
                <c:pt idx="28">
                  <c:v>0</c:v>
                </c:pt>
                <c:pt idx="29">
                  <c:v>24562</c:v>
                </c:pt>
                <c:pt idx="30">
                  <c:v>0</c:v>
                </c:pt>
                <c:pt idx="31">
                  <c:v>29223</c:v>
                </c:pt>
                <c:pt idx="32">
                  <c:v>0</c:v>
                </c:pt>
                <c:pt idx="33">
                  <c:v>0</c:v>
                </c:pt>
                <c:pt idx="34">
                  <c:v>37269</c:v>
                </c:pt>
                <c:pt idx="35">
                  <c:v>0</c:v>
                </c:pt>
                <c:pt idx="36">
                  <c:v>0</c:v>
                </c:pt>
                <c:pt idx="37">
                  <c:v>44884</c:v>
                </c:pt>
                <c:pt idx="38">
                  <c:v>0</c:v>
                </c:pt>
                <c:pt idx="39">
                  <c:v>52410</c:v>
                </c:pt>
                <c:pt idx="40">
                  <c:v>0</c:v>
                </c:pt>
                <c:pt idx="41">
                  <c:v>0</c:v>
                </c:pt>
                <c:pt idx="42">
                  <c:v>74160</c:v>
                </c:pt>
                <c:pt idx="43">
                  <c:v>0</c:v>
                </c:pt>
                <c:pt idx="44">
                  <c:v>88914</c:v>
                </c:pt>
                <c:pt idx="45">
                  <c:v>0</c:v>
                </c:pt>
                <c:pt idx="46">
                  <c:v>0</c:v>
                </c:pt>
                <c:pt idx="47">
                  <c:v>88795</c:v>
                </c:pt>
                <c:pt idx="48">
                  <c:v>0</c:v>
                </c:pt>
                <c:pt idx="49">
                  <c:v>97726</c:v>
                </c:pt>
                <c:pt idx="50">
                  <c:v>0</c:v>
                </c:pt>
                <c:pt idx="51">
                  <c:v>0</c:v>
                </c:pt>
                <c:pt idx="52">
                  <c:v>91407</c:v>
                </c:pt>
                <c:pt idx="53">
                  <c:v>0</c:v>
                </c:pt>
                <c:pt idx="54">
                  <c:v>0</c:v>
                </c:pt>
                <c:pt idx="55">
                  <c:v>103689</c:v>
                </c:pt>
                <c:pt idx="56">
                  <c:v>0</c:v>
                </c:pt>
                <c:pt idx="57">
                  <c:v>100649</c:v>
                </c:pt>
                <c:pt idx="58">
                  <c:v>0</c:v>
                </c:pt>
                <c:pt idx="59">
                  <c:v>0</c:v>
                </c:pt>
                <c:pt idx="60">
                  <c:v>111164</c:v>
                </c:pt>
                <c:pt idx="61">
                  <c:v>0</c:v>
                </c:pt>
                <c:pt idx="62">
                  <c:v>112282</c:v>
                </c:pt>
                <c:pt idx="63">
                  <c:v>0</c:v>
                </c:pt>
                <c:pt idx="64">
                  <c:v>0</c:v>
                </c:pt>
                <c:pt idx="65">
                  <c:v>114625</c:v>
                </c:pt>
                <c:pt idx="66">
                  <c:v>0</c:v>
                </c:pt>
                <c:pt idx="67">
                  <c:v>106492</c:v>
                </c:pt>
                <c:pt idx="68">
                  <c:v>0</c:v>
                </c:pt>
                <c:pt idx="69">
                  <c:v>0</c:v>
                </c:pt>
                <c:pt idx="70">
                  <c:v>115280</c:v>
                </c:pt>
                <c:pt idx="71">
                  <c:v>0</c:v>
                </c:pt>
                <c:pt idx="72">
                  <c:v>0</c:v>
                </c:pt>
                <c:pt idx="73">
                  <c:v>120960</c:v>
                </c:pt>
                <c:pt idx="74">
                  <c:v>0</c:v>
                </c:pt>
                <c:pt idx="75">
                  <c:v>112490</c:v>
                </c:pt>
                <c:pt idx="76">
                  <c:v>0</c:v>
                </c:pt>
                <c:pt idx="77">
                  <c:v>0</c:v>
                </c:pt>
                <c:pt idx="78">
                  <c:v>112098</c:v>
                </c:pt>
                <c:pt idx="79">
                  <c:v>0</c:v>
                </c:pt>
                <c:pt idx="80">
                  <c:v>89108</c:v>
                </c:pt>
                <c:pt idx="81">
                  <c:v>0</c:v>
                </c:pt>
                <c:pt idx="82">
                  <c:v>0</c:v>
                </c:pt>
                <c:pt idx="83">
                  <c:v>80690</c:v>
                </c:pt>
                <c:pt idx="84">
                  <c:v>0</c:v>
                </c:pt>
                <c:pt idx="85">
                  <c:v>0</c:v>
                </c:pt>
                <c:pt idx="86">
                  <c:v>66795</c:v>
                </c:pt>
                <c:pt idx="87">
                  <c:v>0</c:v>
                </c:pt>
                <c:pt idx="88">
                  <c:v>63359</c:v>
                </c:pt>
                <c:pt idx="89">
                  <c:v>0</c:v>
                </c:pt>
                <c:pt idx="90">
                  <c:v>0</c:v>
                </c:pt>
                <c:pt idx="91">
                  <c:v>51852</c:v>
                </c:pt>
                <c:pt idx="92">
                  <c:v>0</c:v>
                </c:pt>
                <c:pt idx="93">
                  <c:v>49507</c:v>
                </c:pt>
                <c:pt idx="94">
                  <c:v>0</c:v>
                </c:pt>
                <c:pt idx="95">
                  <c:v>0</c:v>
                </c:pt>
                <c:pt idx="96">
                  <c:v>44790</c:v>
                </c:pt>
                <c:pt idx="97">
                  <c:v>0</c:v>
                </c:pt>
                <c:pt idx="98">
                  <c:v>42175</c:v>
                </c:pt>
                <c:pt idx="99">
                  <c:v>0</c:v>
                </c:pt>
                <c:pt idx="100">
                  <c:v>0</c:v>
                </c:pt>
                <c:pt idx="101">
                  <c:v>40142</c:v>
                </c:pt>
                <c:pt idx="102">
                  <c:v>0</c:v>
                </c:pt>
                <c:pt idx="103">
                  <c:v>0</c:v>
                </c:pt>
                <c:pt idx="104">
                  <c:v>39583</c:v>
                </c:pt>
                <c:pt idx="105">
                  <c:v>0</c:v>
                </c:pt>
                <c:pt idx="106">
                  <c:v>40608</c:v>
                </c:pt>
                <c:pt idx="107">
                  <c:v>0</c:v>
                </c:pt>
                <c:pt idx="108">
                  <c:v>0</c:v>
                </c:pt>
                <c:pt idx="109">
                  <c:v>40890</c:v>
                </c:pt>
                <c:pt idx="110">
                  <c:v>0</c:v>
                </c:pt>
                <c:pt idx="111">
                  <c:v>32837</c:v>
                </c:pt>
                <c:pt idx="112">
                  <c:v>0</c:v>
                </c:pt>
                <c:pt idx="113">
                  <c:v>0</c:v>
                </c:pt>
                <c:pt idx="114">
                  <c:v>34619</c:v>
                </c:pt>
                <c:pt idx="115">
                  <c:v>0</c:v>
                </c:pt>
                <c:pt idx="116">
                  <c:v>28720</c:v>
                </c:pt>
                <c:pt idx="117">
                  <c:v>0</c:v>
                </c:pt>
                <c:pt idx="118">
                  <c:v>0</c:v>
                </c:pt>
                <c:pt idx="119">
                  <c:v>25708</c:v>
                </c:pt>
                <c:pt idx="120">
                  <c:v>0</c:v>
                </c:pt>
                <c:pt idx="121">
                  <c:v>0</c:v>
                </c:pt>
                <c:pt idx="122">
                  <c:v>28061</c:v>
                </c:pt>
                <c:pt idx="123">
                  <c:v>0</c:v>
                </c:pt>
                <c:pt idx="124">
                  <c:v>21564</c:v>
                </c:pt>
                <c:pt idx="125">
                  <c:v>0</c:v>
                </c:pt>
                <c:pt idx="126">
                  <c:v>0</c:v>
                </c:pt>
                <c:pt idx="127">
                  <c:v>21720</c:v>
                </c:pt>
                <c:pt idx="128">
                  <c:v>0</c:v>
                </c:pt>
                <c:pt idx="129">
                  <c:v>21201</c:v>
                </c:pt>
                <c:pt idx="130">
                  <c:v>0</c:v>
                </c:pt>
                <c:pt idx="131">
                  <c:v>0</c:v>
                </c:pt>
                <c:pt idx="132">
                  <c:v>15294</c:v>
                </c:pt>
                <c:pt idx="133">
                  <c:v>0</c:v>
                </c:pt>
                <c:pt idx="134">
                  <c:v>13808</c:v>
                </c:pt>
                <c:pt idx="135">
                  <c:v>0</c:v>
                </c:pt>
                <c:pt idx="136">
                  <c:v>0</c:v>
                </c:pt>
                <c:pt idx="137">
                  <c:v>9982</c:v>
                </c:pt>
                <c:pt idx="138">
                  <c:v>0</c:v>
                </c:pt>
                <c:pt idx="139">
                  <c:v>0</c:v>
                </c:pt>
                <c:pt idx="140">
                  <c:v>6960</c:v>
                </c:pt>
                <c:pt idx="141">
                  <c:v>0</c:v>
                </c:pt>
                <c:pt idx="142">
                  <c:v>8614</c:v>
                </c:pt>
                <c:pt idx="143">
                  <c:v>0</c:v>
                </c:pt>
                <c:pt idx="144">
                  <c:v>0</c:v>
                </c:pt>
                <c:pt idx="145">
                  <c:v>7381</c:v>
                </c:pt>
                <c:pt idx="146">
                  <c:v>0</c:v>
                </c:pt>
                <c:pt idx="147">
                  <c:v>3978</c:v>
                </c:pt>
                <c:pt idx="148">
                  <c:v>0</c:v>
                </c:pt>
                <c:pt idx="149">
                  <c:v>0</c:v>
                </c:pt>
                <c:pt idx="150">
                  <c:v>3098</c:v>
                </c:pt>
                <c:pt idx="151">
                  <c:v>0</c:v>
                </c:pt>
                <c:pt idx="152">
                  <c:v>2380</c:v>
                </c:pt>
                <c:pt idx="153">
                  <c:v>0</c:v>
                </c:pt>
                <c:pt idx="154">
                  <c:v>0</c:v>
                </c:pt>
                <c:pt idx="155">
                  <c:v>1023</c:v>
                </c:pt>
                <c:pt idx="156">
                  <c:v>0</c:v>
                </c:pt>
                <c:pt idx="157">
                  <c:v>0</c:v>
                </c:pt>
                <c:pt idx="158">
                  <c:v>478</c:v>
                </c:pt>
                <c:pt idx="159">
                  <c:v>0</c:v>
                </c:pt>
                <c:pt idx="160">
                  <c:v>739</c:v>
                </c:pt>
                <c:pt idx="161">
                  <c:v>0</c:v>
                </c:pt>
                <c:pt idx="162">
                  <c:v>0</c:v>
                </c:pt>
                <c:pt idx="163">
                  <c:v>638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0.16769769629762371</c:v>
                </c:pt>
                <c:pt idx="1">
                  <c:v>0.27268369544818938</c:v>
                </c:pt>
                <c:pt idx="2">
                  <c:v>0.55961860825418686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0.5327295603632588</c:v>
                </c:pt>
                <c:pt idx="1">
                  <c:v>0.21896560527789283</c:v>
                </c:pt>
                <c:pt idx="2">
                  <c:v>0.24830483435884837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7.2681324999999992</c:v>
                </c:pt>
                <c:pt idx="1">
                  <c:v>22.07291</c:v>
                </c:pt>
                <c:pt idx="2">
                  <c:v>32.278549999999996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0.40481400000000001</c:v>
                </c:pt>
                <c:pt idx="2">
                  <c:v>0.81277500000000003</c:v>
                </c:pt>
                <c:pt idx="3">
                  <c:v>1.2186300000000001</c:v>
                </c:pt>
                <c:pt idx="4">
                  <c:v>1.62154</c:v>
                </c:pt>
                <c:pt idx="5">
                  <c:v>2.0285099999999998</c:v>
                </c:pt>
                <c:pt idx="6">
                  <c:v>2.4394100000000001</c:v>
                </c:pt>
                <c:pt idx="7">
                  <c:v>2.84538</c:v>
                </c:pt>
                <c:pt idx="8">
                  <c:v>3.2481800000000001</c:v>
                </c:pt>
                <c:pt idx="9">
                  <c:v>3.65415</c:v>
                </c:pt>
                <c:pt idx="10">
                  <c:v>4.06013</c:v>
                </c:pt>
                <c:pt idx="11">
                  <c:v>4.4669499999999998</c:v>
                </c:pt>
                <c:pt idx="12">
                  <c:v>4.8754600000000003</c:v>
                </c:pt>
                <c:pt idx="13">
                  <c:v>5.2828299999999997</c:v>
                </c:pt>
                <c:pt idx="14">
                  <c:v>5.6847000000000003</c:v>
                </c:pt>
                <c:pt idx="15">
                  <c:v>6.0922200000000002</c:v>
                </c:pt>
                <c:pt idx="16">
                  <c:v>6.4985099999999996</c:v>
                </c:pt>
                <c:pt idx="17">
                  <c:v>6.90259</c:v>
                </c:pt>
                <c:pt idx="18">
                  <c:v>7.3123399999999998</c:v>
                </c:pt>
                <c:pt idx="19">
                  <c:v>7.7172599999999996</c:v>
                </c:pt>
                <c:pt idx="20">
                  <c:v>8.1221599999999992</c:v>
                </c:pt>
                <c:pt idx="21">
                  <c:v>8.5256699999999999</c:v>
                </c:pt>
                <c:pt idx="22">
                  <c:v>8.9319400000000009</c:v>
                </c:pt>
                <c:pt idx="23">
                  <c:v>9.3420199999999998</c:v>
                </c:pt>
                <c:pt idx="24">
                  <c:v>9.7498299999999993</c:v>
                </c:pt>
                <c:pt idx="25">
                  <c:v>10.153700000000001</c:v>
                </c:pt>
                <c:pt idx="26">
                  <c:v>10.559799999999999</c:v>
                </c:pt>
                <c:pt idx="27">
                  <c:v>10.970499999999999</c:v>
                </c:pt>
                <c:pt idx="28">
                  <c:v>11.3705</c:v>
                </c:pt>
                <c:pt idx="29">
                  <c:v>11.7804</c:v>
                </c:pt>
                <c:pt idx="30">
                  <c:v>12.1844</c:v>
                </c:pt>
                <c:pt idx="31">
                  <c:v>12.5954</c:v>
                </c:pt>
                <c:pt idx="32">
                  <c:v>12.9992</c:v>
                </c:pt>
                <c:pt idx="33">
                  <c:v>13.4062</c:v>
                </c:pt>
                <c:pt idx="34">
                  <c:v>13.81</c:v>
                </c:pt>
                <c:pt idx="35">
                  <c:v>14.215999999999999</c:v>
                </c:pt>
                <c:pt idx="36">
                  <c:v>14.623900000000001</c:v>
                </c:pt>
                <c:pt idx="37">
                  <c:v>15.0288</c:v>
                </c:pt>
                <c:pt idx="38">
                  <c:v>15.4367</c:v>
                </c:pt>
                <c:pt idx="39">
                  <c:v>15.845599999999999</c:v>
                </c:pt>
                <c:pt idx="40">
                  <c:v>16.247499999999999</c:v>
                </c:pt>
                <c:pt idx="41">
                  <c:v>16.6524</c:v>
                </c:pt>
                <c:pt idx="42">
                  <c:v>17.0623</c:v>
                </c:pt>
                <c:pt idx="43">
                  <c:v>17.467400000000001</c:v>
                </c:pt>
                <c:pt idx="44">
                  <c:v>17.871200000000002</c:v>
                </c:pt>
                <c:pt idx="45">
                  <c:v>18.277100000000001</c:v>
                </c:pt>
                <c:pt idx="46">
                  <c:v>18.687999999999999</c:v>
                </c:pt>
                <c:pt idx="47">
                  <c:v>19.094899999999999</c:v>
                </c:pt>
                <c:pt idx="48">
                  <c:v>19.4968</c:v>
                </c:pt>
                <c:pt idx="49">
                  <c:v>19.901900000000001</c:v>
                </c:pt>
                <c:pt idx="50">
                  <c:v>20.3127</c:v>
                </c:pt>
                <c:pt idx="51">
                  <c:v>20.721499999999999</c:v>
                </c:pt>
                <c:pt idx="52">
                  <c:v>21.1234</c:v>
                </c:pt>
                <c:pt idx="53">
                  <c:v>21.529399999999999</c:v>
                </c:pt>
                <c:pt idx="54">
                  <c:v>21.935500000000001</c:v>
                </c:pt>
                <c:pt idx="55">
                  <c:v>22.339200000000002</c:v>
                </c:pt>
                <c:pt idx="56">
                  <c:v>22.751200000000001</c:v>
                </c:pt>
                <c:pt idx="57">
                  <c:v>23.155000000000001</c:v>
                </c:pt>
                <c:pt idx="58">
                  <c:v>23.556899999999999</c:v>
                </c:pt>
                <c:pt idx="59">
                  <c:v>23.969899999999999</c:v>
                </c:pt>
                <c:pt idx="60">
                  <c:v>24.375900000000001</c:v>
                </c:pt>
                <c:pt idx="61">
                  <c:v>24.781700000000001</c:v>
                </c:pt>
                <c:pt idx="62">
                  <c:v>25.1846</c:v>
                </c:pt>
                <c:pt idx="63">
                  <c:v>25.592600000000001</c:v>
                </c:pt>
                <c:pt idx="64">
                  <c:v>25.999600000000001</c:v>
                </c:pt>
                <c:pt idx="65">
                  <c:v>26.407299999999999</c:v>
                </c:pt>
                <c:pt idx="66">
                  <c:v>26.815300000000001</c:v>
                </c:pt>
                <c:pt idx="67">
                  <c:v>27.215199999999999</c:v>
                </c:pt>
                <c:pt idx="68">
                  <c:v>27.623100000000001</c:v>
                </c:pt>
                <c:pt idx="69">
                  <c:v>28.029199999999999</c:v>
                </c:pt>
                <c:pt idx="70">
                  <c:v>28.436</c:v>
                </c:pt>
                <c:pt idx="71">
                  <c:v>28.842199999999998</c:v>
                </c:pt>
                <c:pt idx="72">
                  <c:v>29.250699999999998</c:v>
                </c:pt>
                <c:pt idx="73">
                  <c:v>29.654599999999999</c:v>
                </c:pt>
                <c:pt idx="74">
                  <c:v>30.059899999999999</c:v>
                </c:pt>
                <c:pt idx="75">
                  <c:v>30.645</c:v>
                </c:pt>
                <c:pt idx="76">
                  <c:v>31.013999999999999</c:v>
                </c:pt>
                <c:pt idx="77">
                  <c:v>31.387</c:v>
                </c:pt>
                <c:pt idx="78">
                  <c:v>31.764900000000001</c:v>
                </c:pt>
                <c:pt idx="79">
                  <c:v>32.152900000000002</c:v>
                </c:pt>
                <c:pt idx="80">
                  <c:v>32.5608</c:v>
                </c:pt>
                <c:pt idx="81">
                  <c:v>32.970700000000001</c:v>
                </c:pt>
                <c:pt idx="82">
                  <c:v>33.374600000000001</c:v>
                </c:pt>
                <c:pt idx="83">
                  <c:v>33.779600000000002</c:v>
                </c:pt>
                <c:pt idx="84">
                  <c:v>34.185600000000001</c:v>
                </c:pt>
                <c:pt idx="85">
                  <c:v>34.591700000000003</c:v>
                </c:pt>
                <c:pt idx="86">
                  <c:v>34.999299999999998</c:v>
                </c:pt>
                <c:pt idx="87">
                  <c:v>35.407299999999999</c:v>
                </c:pt>
                <c:pt idx="88">
                  <c:v>35.813099999999999</c:v>
                </c:pt>
                <c:pt idx="89">
                  <c:v>36.2151</c:v>
                </c:pt>
                <c:pt idx="90">
                  <c:v>36.622599999999998</c:v>
                </c:pt>
                <c:pt idx="91">
                  <c:v>37.026899999999998</c:v>
                </c:pt>
                <c:pt idx="92">
                  <c:v>37.436799999999998</c:v>
                </c:pt>
                <c:pt idx="93">
                  <c:v>37.844700000000003</c:v>
                </c:pt>
                <c:pt idx="94">
                  <c:v>38.249600000000001</c:v>
                </c:pt>
                <c:pt idx="95">
                  <c:v>38.652500000000003</c:v>
                </c:pt>
                <c:pt idx="96">
                  <c:v>39.062399999999997</c:v>
                </c:pt>
                <c:pt idx="97">
                  <c:v>39.4664</c:v>
                </c:pt>
                <c:pt idx="98">
                  <c:v>39.871400000000001</c:v>
                </c:pt>
                <c:pt idx="99">
                  <c:v>40.282200000000003</c:v>
                </c:pt>
                <c:pt idx="100">
                  <c:v>40.687100000000001</c:v>
                </c:pt>
                <c:pt idx="101">
                  <c:v>41.094999999999999</c:v>
                </c:pt>
                <c:pt idx="102">
                  <c:v>41.497</c:v>
                </c:pt>
                <c:pt idx="103">
                  <c:v>41.906799999999997</c:v>
                </c:pt>
                <c:pt idx="104">
                  <c:v>42.307699999999997</c:v>
                </c:pt>
                <c:pt idx="105">
                  <c:v>42.719700000000003</c:v>
                </c:pt>
                <c:pt idx="106">
                  <c:v>43.125900000000001</c:v>
                </c:pt>
                <c:pt idx="107">
                  <c:v>43.528500000000001</c:v>
                </c:pt>
                <c:pt idx="108">
                  <c:v>43.934699999999999</c:v>
                </c:pt>
                <c:pt idx="109">
                  <c:v>44.344299999999997</c:v>
                </c:pt>
                <c:pt idx="110">
                  <c:v>44.749299999999998</c:v>
                </c:pt>
                <c:pt idx="111">
                  <c:v>45.156100000000002</c:v>
                </c:pt>
                <c:pt idx="112">
                  <c:v>45.559399999999997</c:v>
                </c:pt>
                <c:pt idx="113">
                  <c:v>45.968000000000004</c:v>
                </c:pt>
                <c:pt idx="114">
                  <c:v>46.376100000000001</c:v>
                </c:pt>
                <c:pt idx="115">
                  <c:v>46.780799999999999</c:v>
                </c:pt>
                <c:pt idx="116">
                  <c:v>47.1907</c:v>
                </c:pt>
                <c:pt idx="117">
                  <c:v>47.595999999999997</c:v>
                </c:pt>
                <c:pt idx="118">
                  <c:v>48.000599999999999</c:v>
                </c:pt>
                <c:pt idx="119">
                  <c:v>48.411799999999999</c:v>
                </c:pt>
                <c:pt idx="120">
                  <c:v>48.814500000000002</c:v>
                </c:pt>
                <c:pt idx="121">
                  <c:v>49.221699999999998</c:v>
                </c:pt>
                <c:pt idx="122">
                  <c:v>49.625700000000002</c:v>
                </c:pt>
                <c:pt idx="123">
                  <c:v>50.031399999999998</c:v>
                </c:pt>
                <c:pt idx="124">
                  <c:v>50.433</c:v>
                </c:pt>
                <c:pt idx="125">
                  <c:v>50.841000000000001</c:v>
                </c:pt>
                <c:pt idx="126">
                  <c:v>51.250900000000001</c:v>
                </c:pt>
                <c:pt idx="127">
                  <c:v>51.654800000000002</c:v>
                </c:pt>
                <c:pt idx="128">
                  <c:v>52.062899999999999</c:v>
                </c:pt>
                <c:pt idx="129">
                  <c:v>52.468600000000002</c:v>
                </c:pt>
                <c:pt idx="130">
                  <c:v>52.872500000000002</c:v>
                </c:pt>
                <c:pt idx="131">
                  <c:v>53.284399999999998</c:v>
                </c:pt>
                <c:pt idx="132">
                  <c:v>53.685499999999998</c:v>
                </c:pt>
                <c:pt idx="133">
                  <c:v>54.091700000000003</c:v>
                </c:pt>
                <c:pt idx="134">
                  <c:v>54.5002</c:v>
                </c:pt>
                <c:pt idx="135">
                  <c:v>54.907200000000003</c:v>
                </c:pt>
                <c:pt idx="136">
                  <c:v>55.312100000000001</c:v>
                </c:pt>
                <c:pt idx="137">
                  <c:v>55.716900000000003</c:v>
                </c:pt>
                <c:pt idx="138">
                  <c:v>56.123100000000001</c:v>
                </c:pt>
                <c:pt idx="139">
                  <c:v>56.532800000000002</c:v>
                </c:pt>
                <c:pt idx="140">
                  <c:v>56.9377</c:v>
                </c:pt>
                <c:pt idx="141">
                  <c:v>57.345799999999997</c:v>
                </c:pt>
                <c:pt idx="142">
                  <c:v>57.747500000000002</c:v>
                </c:pt>
                <c:pt idx="143">
                  <c:v>58.154499999999999</c:v>
                </c:pt>
                <c:pt idx="144">
                  <c:v>58.564300000000003</c:v>
                </c:pt>
                <c:pt idx="145">
                  <c:v>58.968299999999999</c:v>
                </c:pt>
                <c:pt idx="146">
                  <c:v>59.375599999999999</c:v>
                </c:pt>
                <c:pt idx="147">
                  <c:v>59.783099999999997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3.3662100000000001</c:v>
                </c:pt>
                <c:pt idx="1">
                  <c:v>3.3807799999999997</c:v>
                </c:pt>
                <c:pt idx="2">
                  <c:v>3.39575</c:v>
                </c:pt>
                <c:pt idx="3">
                  <c:v>3.4131299999999998</c:v>
                </c:pt>
                <c:pt idx="4">
                  <c:v>3.4339599999999999</c:v>
                </c:pt>
                <c:pt idx="5">
                  <c:v>3.4603999999999999</c:v>
                </c:pt>
                <c:pt idx="6">
                  <c:v>3.48875</c:v>
                </c:pt>
                <c:pt idx="7">
                  <c:v>3.5147899999999996</c:v>
                </c:pt>
                <c:pt idx="8">
                  <c:v>3.5395700000000003</c:v>
                </c:pt>
                <c:pt idx="9">
                  <c:v>3.5640200000000002</c:v>
                </c:pt>
                <c:pt idx="10">
                  <c:v>3.5846299999999998</c:v>
                </c:pt>
                <c:pt idx="11">
                  <c:v>3.5979000000000001</c:v>
                </c:pt>
                <c:pt idx="12">
                  <c:v>3.6047800000000003</c:v>
                </c:pt>
                <c:pt idx="13">
                  <c:v>3.609</c:v>
                </c:pt>
                <c:pt idx="14">
                  <c:v>3.6111900000000001</c:v>
                </c:pt>
                <c:pt idx="15">
                  <c:v>3.6087699999999998</c:v>
                </c:pt>
                <c:pt idx="16">
                  <c:v>3.6063800000000001</c:v>
                </c:pt>
                <c:pt idx="17">
                  <c:v>3.6002800000000001</c:v>
                </c:pt>
                <c:pt idx="18">
                  <c:v>3.5892900000000001</c:v>
                </c:pt>
                <c:pt idx="19">
                  <c:v>3.5731700000000002</c:v>
                </c:pt>
                <c:pt idx="20">
                  <c:v>3.5552800000000002</c:v>
                </c:pt>
                <c:pt idx="21">
                  <c:v>3.5331899999999998</c:v>
                </c:pt>
                <c:pt idx="22">
                  <c:v>3.5074300000000003</c:v>
                </c:pt>
                <c:pt idx="23">
                  <c:v>3.47939</c:v>
                </c:pt>
                <c:pt idx="24">
                  <c:v>3.4470299999999998</c:v>
                </c:pt>
                <c:pt idx="25">
                  <c:v>3.4129300000000002</c:v>
                </c:pt>
                <c:pt idx="26">
                  <c:v>3.3812799999999998</c:v>
                </c:pt>
                <c:pt idx="27">
                  <c:v>3.3535399999999997</c:v>
                </c:pt>
                <c:pt idx="28">
                  <c:v>3.3238400000000001</c:v>
                </c:pt>
                <c:pt idx="29">
                  <c:v>3.2911899999999998</c:v>
                </c:pt>
                <c:pt idx="30">
                  <c:v>3.25461</c:v>
                </c:pt>
                <c:pt idx="31">
                  <c:v>3.2127299999999996</c:v>
                </c:pt>
                <c:pt idx="32">
                  <c:v>3.1717299999999997</c:v>
                </c:pt>
                <c:pt idx="33">
                  <c:v>3.1331899999999999</c:v>
                </c:pt>
                <c:pt idx="34">
                  <c:v>3.0960900000000002</c:v>
                </c:pt>
                <c:pt idx="35">
                  <c:v>3.06359</c:v>
                </c:pt>
                <c:pt idx="36">
                  <c:v>3.0393599999999998</c:v>
                </c:pt>
                <c:pt idx="37">
                  <c:v>3.0217200000000002</c:v>
                </c:pt>
                <c:pt idx="38">
                  <c:v>3.0059900000000002</c:v>
                </c:pt>
                <c:pt idx="39">
                  <c:v>2.9924299999999997</c:v>
                </c:pt>
                <c:pt idx="40">
                  <c:v>2.9854099999999999</c:v>
                </c:pt>
                <c:pt idx="41">
                  <c:v>2.9775800000000001</c:v>
                </c:pt>
                <c:pt idx="42">
                  <c:v>2.97315</c:v>
                </c:pt>
                <c:pt idx="43">
                  <c:v>2.9705300000000001</c:v>
                </c:pt>
                <c:pt idx="44">
                  <c:v>2.9682999999999997</c:v>
                </c:pt>
                <c:pt idx="45">
                  <c:v>2.96306</c:v>
                </c:pt>
                <c:pt idx="46">
                  <c:v>2.9575299999999998</c:v>
                </c:pt>
                <c:pt idx="47">
                  <c:v>2.9523100000000002</c:v>
                </c:pt>
                <c:pt idx="48">
                  <c:v>2.944</c:v>
                </c:pt>
                <c:pt idx="49">
                  <c:v>2.9316900000000001</c:v>
                </c:pt>
                <c:pt idx="50">
                  <c:v>2.9256799999999998</c:v>
                </c:pt>
                <c:pt idx="51">
                  <c:v>2.9135</c:v>
                </c:pt>
                <c:pt idx="52">
                  <c:v>2.9013499999999999</c:v>
                </c:pt>
                <c:pt idx="53">
                  <c:v>2.8913600000000002</c:v>
                </c:pt>
                <c:pt idx="54">
                  <c:v>2.88117</c:v>
                </c:pt>
                <c:pt idx="55">
                  <c:v>2.8717300000000003</c:v>
                </c:pt>
                <c:pt idx="56">
                  <c:v>2.8618199999999998</c:v>
                </c:pt>
                <c:pt idx="57">
                  <c:v>2.8496999999999999</c:v>
                </c:pt>
                <c:pt idx="58">
                  <c:v>2.8367599999999999</c:v>
                </c:pt>
                <c:pt idx="59">
                  <c:v>2.8224</c:v>
                </c:pt>
                <c:pt idx="60">
                  <c:v>2.8069600000000001</c:v>
                </c:pt>
                <c:pt idx="61">
                  <c:v>2.7871899999999998</c:v>
                </c:pt>
                <c:pt idx="62">
                  <c:v>2.7645300000000002</c:v>
                </c:pt>
                <c:pt idx="63">
                  <c:v>2.7400099999999998</c:v>
                </c:pt>
                <c:pt idx="64">
                  <c:v>2.7151700000000001</c:v>
                </c:pt>
                <c:pt idx="65">
                  <c:v>2.6870100000000003</c:v>
                </c:pt>
                <c:pt idx="66">
                  <c:v>2.6569500000000001</c:v>
                </c:pt>
                <c:pt idx="67">
                  <c:v>2.6230700000000002</c:v>
                </c:pt>
                <c:pt idx="68">
                  <c:v>2.58962</c:v>
                </c:pt>
                <c:pt idx="69">
                  <c:v>2.5608900000000001</c:v>
                </c:pt>
                <c:pt idx="70">
                  <c:v>2.5365900000000003</c:v>
                </c:pt>
                <c:pt idx="71">
                  <c:v>2.5155400000000001</c:v>
                </c:pt>
                <c:pt idx="72">
                  <c:v>2.4958200000000001</c:v>
                </c:pt>
                <c:pt idx="73">
                  <c:v>2.48109</c:v>
                </c:pt>
                <c:pt idx="74">
                  <c:v>2.47288</c:v>
                </c:pt>
                <c:pt idx="75">
                  <c:v>2.4653900000000002</c:v>
                </c:pt>
                <c:pt idx="76">
                  <c:v>2.4581900000000001</c:v>
                </c:pt>
                <c:pt idx="77">
                  <c:v>2.4498899999999999</c:v>
                </c:pt>
                <c:pt idx="78">
                  <c:v>2.4397099999999998</c:v>
                </c:pt>
                <c:pt idx="79">
                  <c:v>2.4296699999999998</c:v>
                </c:pt>
                <c:pt idx="80">
                  <c:v>2.4220000000000002</c:v>
                </c:pt>
                <c:pt idx="81">
                  <c:v>2.4191699999999998</c:v>
                </c:pt>
                <c:pt idx="82">
                  <c:v>2.4215400000000002</c:v>
                </c:pt>
                <c:pt idx="83">
                  <c:v>2.4267099999999999</c:v>
                </c:pt>
                <c:pt idx="84">
                  <c:v>2.43458</c:v>
                </c:pt>
                <c:pt idx="85">
                  <c:v>2.4436100000000001</c:v>
                </c:pt>
                <c:pt idx="86">
                  <c:v>2.4534600000000002</c:v>
                </c:pt>
                <c:pt idx="87">
                  <c:v>2.4633699999999998</c:v>
                </c:pt>
                <c:pt idx="88">
                  <c:v>2.4730599999999998</c:v>
                </c:pt>
                <c:pt idx="89">
                  <c:v>2.4811199999999998</c:v>
                </c:pt>
                <c:pt idx="90">
                  <c:v>2.4900500000000001</c:v>
                </c:pt>
                <c:pt idx="91">
                  <c:v>2.5006499999999998</c:v>
                </c:pt>
                <c:pt idx="92">
                  <c:v>2.5162499999999999</c:v>
                </c:pt>
                <c:pt idx="93">
                  <c:v>2.5361899999999999</c:v>
                </c:pt>
                <c:pt idx="94">
                  <c:v>2.5596799999999997</c:v>
                </c:pt>
                <c:pt idx="95">
                  <c:v>2.5856400000000002</c:v>
                </c:pt>
                <c:pt idx="96">
                  <c:v>2.6140999999999996</c:v>
                </c:pt>
                <c:pt idx="97">
                  <c:v>2.6447099999999999</c:v>
                </c:pt>
                <c:pt idx="98">
                  <c:v>2.6778499999999998</c:v>
                </c:pt>
                <c:pt idx="99">
                  <c:v>2.7151799999999997</c:v>
                </c:pt>
                <c:pt idx="100">
                  <c:v>2.7549200000000003</c:v>
                </c:pt>
                <c:pt idx="101">
                  <c:v>2.7959800000000001</c:v>
                </c:pt>
                <c:pt idx="102">
                  <c:v>2.8368599999999997</c:v>
                </c:pt>
                <c:pt idx="103">
                  <c:v>2.8773500000000003</c:v>
                </c:pt>
                <c:pt idx="104">
                  <c:v>2.9165600000000005</c:v>
                </c:pt>
                <c:pt idx="105">
                  <c:v>2.95892</c:v>
                </c:pt>
                <c:pt idx="106">
                  <c:v>3.00197</c:v>
                </c:pt>
                <c:pt idx="107">
                  <c:v>3.0397600000000002</c:v>
                </c:pt>
                <c:pt idx="108">
                  <c:v>3.07334</c:v>
                </c:pt>
                <c:pt idx="109">
                  <c:v>3.1044</c:v>
                </c:pt>
                <c:pt idx="110">
                  <c:v>3.1330400000000003</c:v>
                </c:pt>
                <c:pt idx="111">
                  <c:v>3.1585800000000002</c:v>
                </c:pt>
                <c:pt idx="112">
                  <c:v>3.1806000000000001</c:v>
                </c:pt>
                <c:pt idx="113">
                  <c:v>3.1985400000000004</c:v>
                </c:pt>
                <c:pt idx="114">
                  <c:v>3.2135799999999999</c:v>
                </c:pt>
                <c:pt idx="115">
                  <c:v>3.2265300000000003</c:v>
                </c:pt>
                <c:pt idx="116">
                  <c:v>3.2359100000000001</c:v>
                </c:pt>
                <c:pt idx="117">
                  <c:v>3.2412900000000002</c:v>
                </c:pt>
                <c:pt idx="118">
                  <c:v>3.2434699999999999</c:v>
                </c:pt>
                <c:pt idx="119">
                  <c:v>3.2410800000000002</c:v>
                </c:pt>
                <c:pt idx="120">
                  <c:v>3.2359800000000001</c:v>
                </c:pt>
                <c:pt idx="121">
                  <c:v>3.2292800000000002</c:v>
                </c:pt>
                <c:pt idx="122">
                  <c:v>3.2189699999999997</c:v>
                </c:pt>
                <c:pt idx="123">
                  <c:v>3.20703</c:v>
                </c:pt>
                <c:pt idx="124">
                  <c:v>3.2037399999999998</c:v>
                </c:pt>
                <c:pt idx="125">
                  <c:v>3.1974200000000002</c:v>
                </c:pt>
                <c:pt idx="126">
                  <c:v>3.1886299999999999</c:v>
                </c:pt>
                <c:pt idx="127">
                  <c:v>3.1778599999999999</c:v>
                </c:pt>
                <c:pt idx="128">
                  <c:v>3.1655800000000003</c:v>
                </c:pt>
                <c:pt idx="129">
                  <c:v>3.15286</c:v>
                </c:pt>
                <c:pt idx="130">
                  <c:v>3.1344699999999999</c:v>
                </c:pt>
                <c:pt idx="131">
                  <c:v>3.1119699999999999</c:v>
                </c:pt>
                <c:pt idx="132">
                  <c:v>3.0908200000000003</c:v>
                </c:pt>
                <c:pt idx="133">
                  <c:v>3.0707</c:v>
                </c:pt>
                <c:pt idx="134">
                  <c:v>3.0496499999999997</c:v>
                </c:pt>
                <c:pt idx="135">
                  <c:v>3.0274000000000001</c:v>
                </c:pt>
                <c:pt idx="136">
                  <c:v>3.0043899999999999</c:v>
                </c:pt>
                <c:pt idx="137">
                  <c:v>2.98393</c:v>
                </c:pt>
                <c:pt idx="138">
                  <c:v>2.9678599999999999</c:v>
                </c:pt>
                <c:pt idx="139">
                  <c:v>2.9554900000000002</c:v>
                </c:pt>
                <c:pt idx="140">
                  <c:v>2.94373</c:v>
                </c:pt>
                <c:pt idx="141">
                  <c:v>2.9356800000000001</c:v>
                </c:pt>
                <c:pt idx="142">
                  <c:v>2.9280900000000001</c:v>
                </c:pt>
                <c:pt idx="143">
                  <c:v>2.9169299999999998</c:v>
                </c:pt>
                <c:pt idx="144">
                  <c:v>2.90944</c:v>
                </c:pt>
                <c:pt idx="145">
                  <c:v>2.9033199999999999</c:v>
                </c:pt>
                <c:pt idx="146">
                  <c:v>2.8873500000000001</c:v>
                </c:pt>
                <c:pt idx="147">
                  <c:v>2.8934100000000003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0.40481400000000001</c:v>
                </c:pt>
                <c:pt idx="2">
                  <c:v>0.81277500000000003</c:v>
                </c:pt>
                <c:pt idx="3">
                  <c:v>1.2186300000000001</c:v>
                </c:pt>
                <c:pt idx="4">
                  <c:v>1.62154</c:v>
                </c:pt>
                <c:pt idx="5">
                  <c:v>2.0285099999999998</c:v>
                </c:pt>
                <c:pt idx="6">
                  <c:v>2.4394100000000001</c:v>
                </c:pt>
                <c:pt idx="7">
                  <c:v>2.84538</c:v>
                </c:pt>
                <c:pt idx="8">
                  <c:v>3.2481800000000001</c:v>
                </c:pt>
                <c:pt idx="9">
                  <c:v>3.65415</c:v>
                </c:pt>
                <c:pt idx="10">
                  <c:v>4.06013</c:v>
                </c:pt>
                <c:pt idx="11">
                  <c:v>4.4669499999999998</c:v>
                </c:pt>
                <c:pt idx="12">
                  <c:v>4.8754600000000003</c:v>
                </c:pt>
                <c:pt idx="13">
                  <c:v>5.2828299999999997</c:v>
                </c:pt>
                <c:pt idx="14">
                  <c:v>5.6847000000000003</c:v>
                </c:pt>
                <c:pt idx="15">
                  <c:v>6.0922200000000002</c:v>
                </c:pt>
                <c:pt idx="16">
                  <c:v>6.4985099999999996</c:v>
                </c:pt>
                <c:pt idx="17">
                  <c:v>6.90259</c:v>
                </c:pt>
                <c:pt idx="18">
                  <c:v>7.3123399999999998</c:v>
                </c:pt>
                <c:pt idx="19">
                  <c:v>7.7172599999999996</c:v>
                </c:pt>
                <c:pt idx="20">
                  <c:v>8.1221599999999992</c:v>
                </c:pt>
                <c:pt idx="21">
                  <c:v>8.5256699999999999</c:v>
                </c:pt>
                <c:pt idx="22">
                  <c:v>8.9319400000000009</c:v>
                </c:pt>
                <c:pt idx="23">
                  <c:v>9.3420199999999998</c:v>
                </c:pt>
                <c:pt idx="24">
                  <c:v>9.7498299999999993</c:v>
                </c:pt>
                <c:pt idx="25">
                  <c:v>10.153700000000001</c:v>
                </c:pt>
                <c:pt idx="26">
                  <c:v>10.559799999999999</c:v>
                </c:pt>
                <c:pt idx="27">
                  <c:v>10.970499999999999</c:v>
                </c:pt>
                <c:pt idx="28">
                  <c:v>11.3705</c:v>
                </c:pt>
                <c:pt idx="29">
                  <c:v>11.7804</c:v>
                </c:pt>
                <c:pt idx="30">
                  <c:v>12.1844</c:v>
                </c:pt>
                <c:pt idx="31">
                  <c:v>12.5954</c:v>
                </c:pt>
                <c:pt idx="32">
                  <c:v>12.9992</c:v>
                </c:pt>
                <c:pt idx="33">
                  <c:v>13.4062</c:v>
                </c:pt>
                <c:pt idx="34">
                  <c:v>13.81</c:v>
                </c:pt>
                <c:pt idx="35">
                  <c:v>14.215999999999999</c:v>
                </c:pt>
                <c:pt idx="36">
                  <c:v>14.623900000000001</c:v>
                </c:pt>
                <c:pt idx="37">
                  <c:v>15.0288</c:v>
                </c:pt>
                <c:pt idx="38">
                  <c:v>15.4367</c:v>
                </c:pt>
                <c:pt idx="39">
                  <c:v>15.845599999999999</c:v>
                </c:pt>
                <c:pt idx="40">
                  <c:v>16.247499999999999</c:v>
                </c:pt>
                <c:pt idx="41">
                  <c:v>16.6524</c:v>
                </c:pt>
                <c:pt idx="42">
                  <c:v>17.0623</c:v>
                </c:pt>
                <c:pt idx="43">
                  <c:v>17.467400000000001</c:v>
                </c:pt>
                <c:pt idx="44">
                  <c:v>17.871200000000002</c:v>
                </c:pt>
                <c:pt idx="45">
                  <c:v>18.277100000000001</c:v>
                </c:pt>
                <c:pt idx="46">
                  <c:v>18.687999999999999</c:v>
                </c:pt>
                <c:pt idx="47">
                  <c:v>19.094899999999999</c:v>
                </c:pt>
                <c:pt idx="48">
                  <c:v>19.4968</c:v>
                </c:pt>
                <c:pt idx="49">
                  <c:v>19.901900000000001</c:v>
                </c:pt>
                <c:pt idx="50">
                  <c:v>20.3127</c:v>
                </c:pt>
                <c:pt idx="51">
                  <c:v>20.721499999999999</c:v>
                </c:pt>
                <c:pt idx="52">
                  <c:v>21.1234</c:v>
                </c:pt>
                <c:pt idx="53">
                  <c:v>21.529399999999999</c:v>
                </c:pt>
                <c:pt idx="54">
                  <c:v>21.935500000000001</c:v>
                </c:pt>
                <c:pt idx="55">
                  <c:v>22.339200000000002</c:v>
                </c:pt>
                <c:pt idx="56">
                  <c:v>22.751200000000001</c:v>
                </c:pt>
                <c:pt idx="57">
                  <c:v>23.155000000000001</c:v>
                </c:pt>
                <c:pt idx="58">
                  <c:v>23.556899999999999</c:v>
                </c:pt>
                <c:pt idx="59">
                  <c:v>23.969899999999999</c:v>
                </c:pt>
                <c:pt idx="60">
                  <c:v>24.375900000000001</c:v>
                </c:pt>
                <c:pt idx="61">
                  <c:v>24.781700000000001</c:v>
                </c:pt>
                <c:pt idx="62">
                  <c:v>25.1846</c:v>
                </c:pt>
                <c:pt idx="63">
                  <c:v>25.592600000000001</c:v>
                </c:pt>
                <c:pt idx="64">
                  <c:v>25.999600000000001</c:v>
                </c:pt>
                <c:pt idx="65">
                  <c:v>26.407299999999999</c:v>
                </c:pt>
                <c:pt idx="66">
                  <c:v>26.815300000000001</c:v>
                </c:pt>
                <c:pt idx="67">
                  <c:v>27.215199999999999</c:v>
                </c:pt>
                <c:pt idx="68">
                  <c:v>27.623100000000001</c:v>
                </c:pt>
                <c:pt idx="69">
                  <c:v>28.029199999999999</c:v>
                </c:pt>
                <c:pt idx="70">
                  <c:v>28.436</c:v>
                </c:pt>
                <c:pt idx="71">
                  <c:v>28.842199999999998</c:v>
                </c:pt>
                <c:pt idx="72">
                  <c:v>29.250699999999998</c:v>
                </c:pt>
                <c:pt idx="73">
                  <c:v>29.654599999999999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3.3662100000000001</c:v>
                </c:pt>
                <c:pt idx="1">
                  <c:v>3.3807799999999997</c:v>
                </c:pt>
                <c:pt idx="2">
                  <c:v>3.39575</c:v>
                </c:pt>
                <c:pt idx="3">
                  <c:v>3.4131299999999998</c:v>
                </c:pt>
                <c:pt idx="4">
                  <c:v>3.4339599999999999</c:v>
                </c:pt>
                <c:pt idx="5">
                  <c:v>3.4603999999999999</c:v>
                </c:pt>
                <c:pt idx="6">
                  <c:v>3.48875</c:v>
                </c:pt>
                <c:pt idx="7">
                  <c:v>3.5147899999999996</c:v>
                </c:pt>
                <c:pt idx="8">
                  <c:v>3.5395700000000003</c:v>
                </c:pt>
                <c:pt idx="9">
                  <c:v>3.5640200000000002</c:v>
                </c:pt>
                <c:pt idx="10">
                  <c:v>3.5846299999999998</c:v>
                </c:pt>
                <c:pt idx="11">
                  <c:v>3.5979000000000001</c:v>
                </c:pt>
                <c:pt idx="12">
                  <c:v>3.6047800000000003</c:v>
                </c:pt>
                <c:pt idx="13">
                  <c:v>3.609</c:v>
                </c:pt>
                <c:pt idx="14">
                  <c:v>3.6111900000000001</c:v>
                </c:pt>
                <c:pt idx="15">
                  <c:v>3.6087699999999998</c:v>
                </c:pt>
                <c:pt idx="16">
                  <c:v>3.6063800000000001</c:v>
                </c:pt>
                <c:pt idx="17">
                  <c:v>3.6002800000000001</c:v>
                </c:pt>
                <c:pt idx="18">
                  <c:v>3.5892900000000001</c:v>
                </c:pt>
                <c:pt idx="19">
                  <c:v>3.5731700000000002</c:v>
                </c:pt>
                <c:pt idx="20">
                  <c:v>3.5552800000000002</c:v>
                </c:pt>
                <c:pt idx="21">
                  <c:v>3.5331899999999998</c:v>
                </c:pt>
                <c:pt idx="22">
                  <c:v>3.5074300000000003</c:v>
                </c:pt>
                <c:pt idx="23">
                  <c:v>3.47939</c:v>
                </c:pt>
                <c:pt idx="24">
                  <c:v>3.4470299999999998</c:v>
                </c:pt>
                <c:pt idx="25">
                  <c:v>3.4129300000000002</c:v>
                </c:pt>
                <c:pt idx="26">
                  <c:v>3.3812799999999998</c:v>
                </c:pt>
                <c:pt idx="27">
                  <c:v>3.3535399999999997</c:v>
                </c:pt>
                <c:pt idx="28">
                  <c:v>3.3238400000000001</c:v>
                </c:pt>
                <c:pt idx="29">
                  <c:v>3.2911899999999998</c:v>
                </c:pt>
                <c:pt idx="30">
                  <c:v>3.25461</c:v>
                </c:pt>
                <c:pt idx="31">
                  <c:v>3.2127299999999996</c:v>
                </c:pt>
                <c:pt idx="32">
                  <c:v>3.1717299999999997</c:v>
                </c:pt>
                <c:pt idx="33">
                  <c:v>3.1331899999999999</c:v>
                </c:pt>
                <c:pt idx="34">
                  <c:v>3.0960900000000002</c:v>
                </c:pt>
                <c:pt idx="35">
                  <c:v>3.06359</c:v>
                </c:pt>
                <c:pt idx="36">
                  <c:v>3.0393599999999998</c:v>
                </c:pt>
                <c:pt idx="37">
                  <c:v>3.0217200000000002</c:v>
                </c:pt>
                <c:pt idx="38">
                  <c:v>3.0059900000000002</c:v>
                </c:pt>
                <c:pt idx="39">
                  <c:v>2.9924299999999997</c:v>
                </c:pt>
                <c:pt idx="40">
                  <c:v>2.9854099999999999</c:v>
                </c:pt>
                <c:pt idx="41">
                  <c:v>2.9775800000000001</c:v>
                </c:pt>
                <c:pt idx="42">
                  <c:v>2.97315</c:v>
                </c:pt>
                <c:pt idx="43">
                  <c:v>2.9705300000000001</c:v>
                </c:pt>
                <c:pt idx="44">
                  <c:v>2.9682999999999997</c:v>
                </c:pt>
                <c:pt idx="45">
                  <c:v>2.96306</c:v>
                </c:pt>
                <c:pt idx="46">
                  <c:v>2.9575299999999998</c:v>
                </c:pt>
                <c:pt idx="47">
                  <c:v>2.9523100000000002</c:v>
                </c:pt>
                <c:pt idx="48">
                  <c:v>2.944</c:v>
                </c:pt>
                <c:pt idx="49">
                  <c:v>2.9316900000000001</c:v>
                </c:pt>
                <c:pt idx="50">
                  <c:v>2.9256799999999998</c:v>
                </c:pt>
                <c:pt idx="51">
                  <c:v>2.9135</c:v>
                </c:pt>
                <c:pt idx="52">
                  <c:v>2.9013499999999999</c:v>
                </c:pt>
                <c:pt idx="53">
                  <c:v>2.8913600000000002</c:v>
                </c:pt>
                <c:pt idx="54">
                  <c:v>2.88117</c:v>
                </c:pt>
                <c:pt idx="55">
                  <c:v>2.8717300000000003</c:v>
                </c:pt>
                <c:pt idx="56">
                  <c:v>2.8618199999999998</c:v>
                </c:pt>
                <c:pt idx="57">
                  <c:v>2.8496999999999999</c:v>
                </c:pt>
                <c:pt idx="58">
                  <c:v>2.8367599999999999</c:v>
                </c:pt>
                <c:pt idx="59">
                  <c:v>2.8224</c:v>
                </c:pt>
                <c:pt idx="60">
                  <c:v>2.8069600000000001</c:v>
                </c:pt>
                <c:pt idx="61">
                  <c:v>2.7871899999999998</c:v>
                </c:pt>
                <c:pt idx="62">
                  <c:v>2.7645300000000002</c:v>
                </c:pt>
                <c:pt idx="63">
                  <c:v>2.7400099999999998</c:v>
                </c:pt>
                <c:pt idx="64">
                  <c:v>2.7151700000000001</c:v>
                </c:pt>
                <c:pt idx="65">
                  <c:v>2.6870100000000003</c:v>
                </c:pt>
                <c:pt idx="66">
                  <c:v>2.6569500000000001</c:v>
                </c:pt>
                <c:pt idx="67">
                  <c:v>2.6230700000000002</c:v>
                </c:pt>
                <c:pt idx="68">
                  <c:v>2.58962</c:v>
                </c:pt>
                <c:pt idx="69">
                  <c:v>2.5608900000000001</c:v>
                </c:pt>
                <c:pt idx="70">
                  <c:v>2.5365900000000003</c:v>
                </c:pt>
                <c:pt idx="71">
                  <c:v>2.5155400000000001</c:v>
                </c:pt>
                <c:pt idx="72">
                  <c:v>2.4958200000000001</c:v>
                </c:pt>
                <c:pt idx="73">
                  <c:v>2.48109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29.654599999999999</c:v>
                </c:pt>
                <c:pt idx="1">
                  <c:v>30.059899999999999</c:v>
                </c:pt>
                <c:pt idx="2">
                  <c:v>30.645</c:v>
                </c:pt>
                <c:pt idx="3">
                  <c:v>31.013999999999999</c:v>
                </c:pt>
                <c:pt idx="4">
                  <c:v>31.387</c:v>
                </c:pt>
                <c:pt idx="5">
                  <c:v>31.764900000000001</c:v>
                </c:pt>
                <c:pt idx="6">
                  <c:v>32.152900000000002</c:v>
                </c:pt>
                <c:pt idx="7">
                  <c:v>32.5608</c:v>
                </c:pt>
                <c:pt idx="8">
                  <c:v>32.970700000000001</c:v>
                </c:pt>
                <c:pt idx="9">
                  <c:v>33.374600000000001</c:v>
                </c:pt>
                <c:pt idx="10">
                  <c:v>33.779600000000002</c:v>
                </c:pt>
                <c:pt idx="11">
                  <c:v>34.185600000000001</c:v>
                </c:pt>
                <c:pt idx="12">
                  <c:v>34.591700000000003</c:v>
                </c:pt>
                <c:pt idx="13">
                  <c:v>34.999299999999998</c:v>
                </c:pt>
                <c:pt idx="14">
                  <c:v>35.407299999999999</c:v>
                </c:pt>
                <c:pt idx="15">
                  <c:v>35.813099999999999</c:v>
                </c:pt>
                <c:pt idx="16">
                  <c:v>36.2151</c:v>
                </c:pt>
                <c:pt idx="17">
                  <c:v>36.622599999999998</c:v>
                </c:pt>
                <c:pt idx="18">
                  <c:v>37.026899999999998</c:v>
                </c:pt>
                <c:pt idx="19">
                  <c:v>37.436799999999998</c:v>
                </c:pt>
                <c:pt idx="20">
                  <c:v>37.844700000000003</c:v>
                </c:pt>
                <c:pt idx="21">
                  <c:v>38.249600000000001</c:v>
                </c:pt>
                <c:pt idx="22">
                  <c:v>38.652500000000003</c:v>
                </c:pt>
                <c:pt idx="23">
                  <c:v>39.062399999999997</c:v>
                </c:pt>
                <c:pt idx="24">
                  <c:v>39.4664</c:v>
                </c:pt>
                <c:pt idx="25">
                  <c:v>39.871400000000001</c:v>
                </c:pt>
                <c:pt idx="26">
                  <c:v>40.282200000000003</c:v>
                </c:pt>
                <c:pt idx="27">
                  <c:v>40.687100000000001</c:v>
                </c:pt>
                <c:pt idx="28">
                  <c:v>41.094999999999999</c:v>
                </c:pt>
                <c:pt idx="29">
                  <c:v>41.497</c:v>
                </c:pt>
                <c:pt idx="30">
                  <c:v>41.906799999999997</c:v>
                </c:pt>
                <c:pt idx="31">
                  <c:v>42.307699999999997</c:v>
                </c:pt>
                <c:pt idx="32">
                  <c:v>42.719700000000003</c:v>
                </c:pt>
                <c:pt idx="33">
                  <c:v>43.125900000000001</c:v>
                </c:pt>
                <c:pt idx="34">
                  <c:v>43.528500000000001</c:v>
                </c:pt>
                <c:pt idx="35">
                  <c:v>43.934699999999999</c:v>
                </c:pt>
                <c:pt idx="36">
                  <c:v>44.344299999999997</c:v>
                </c:pt>
                <c:pt idx="37">
                  <c:v>44.749299999999998</c:v>
                </c:pt>
                <c:pt idx="38">
                  <c:v>45.156100000000002</c:v>
                </c:pt>
                <c:pt idx="39">
                  <c:v>45.559399999999997</c:v>
                </c:pt>
                <c:pt idx="40">
                  <c:v>45.968000000000004</c:v>
                </c:pt>
                <c:pt idx="41">
                  <c:v>46.376100000000001</c:v>
                </c:pt>
                <c:pt idx="42">
                  <c:v>46.780799999999999</c:v>
                </c:pt>
                <c:pt idx="43">
                  <c:v>47.1907</c:v>
                </c:pt>
                <c:pt idx="44">
                  <c:v>47.595999999999997</c:v>
                </c:pt>
                <c:pt idx="45">
                  <c:v>48.000599999999999</c:v>
                </c:pt>
                <c:pt idx="46">
                  <c:v>48.411799999999999</c:v>
                </c:pt>
                <c:pt idx="47">
                  <c:v>48.814500000000002</c:v>
                </c:pt>
                <c:pt idx="48">
                  <c:v>49.221699999999998</c:v>
                </c:pt>
                <c:pt idx="49">
                  <c:v>49.625700000000002</c:v>
                </c:pt>
                <c:pt idx="50">
                  <c:v>50.031399999999998</c:v>
                </c:pt>
                <c:pt idx="51">
                  <c:v>50.433</c:v>
                </c:pt>
                <c:pt idx="52">
                  <c:v>50.841000000000001</c:v>
                </c:pt>
                <c:pt idx="53">
                  <c:v>51.250900000000001</c:v>
                </c:pt>
                <c:pt idx="54">
                  <c:v>51.654800000000002</c:v>
                </c:pt>
                <c:pt idx="55">
                  <c:v>52.062899999999999</c:v>
                </c:pt>
                <c:pt idx="56">
                  <c:v>52.468600000000002</c:v>
                </c:pt>
                <c:pt idx="57">
                  <c:v>52.872500000000002</c:v>
                </c:pt>
                <c:pt idx="58">
                  <c:v>53.284399999999998</c:v>
                </c:pt>
                <c:pt idx="59">
                  <c:v>53.685499999999998</c:v>
                </c:pt>
                <c:pt idx="60">
                  <c:v>54.091700000000003</c:v>
                </c:pt>
                <c:pt idx="61">
                  <c:v>54.5002</c:v>
                </c:pt>
                <c:pt idx="62">
                  <c:v>54.907200000000003</c:v>
                </c:pt>
                <c:pt idx="63">
                  <c:v>55.312100000000001</c:v>
                </c:pt>
                <c:pt idx="64">
                  <c:v>55.716900000000003</c:v>
                </c:pt>
                <c:pt idx="65">
                  <c:v>56.123100000000001</c:v>
                </c:pt>
                <c:pt idx="66">
                  <c:v>56.532800000000002</c:v>
                </c:pt>
                <c:pt idx="67">
                  <c:v>56.9377</c:v>
                </c:pt>
                <c:pt idx="68">
                  <c:v>57.345799999999997</c:v>
                </c:pt>
                <c:pt idx="69">
                  <c:v>57.747500000000002</c:v>
                </c:pt>
                <c:pt idx="70">
                  <c:v>58.154499999999999</c:v>
                </c:pt>
                <c:pt idx="71">
                  <c:v>58.564300000000003</c:v>
                </c:pt>
                <c:pt idx="72">
                  <c:v>58.968299999999999</c:v>
                </c:pt>
                <c:pt idx="73">
                  <c:v>59.375599999999999</c:v>
                </c:pt>
                <c:pt idx="74">
                  <c:v>59.783099999999997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2.48109</c:v>
                </c:pt>
                <c:pt idx="1">
                  <c:v>2.47288</c:v>
                </c:pt>
                <c:pt idx="2">
                  <c:v>2.4653900000000002</c:v>
                </c:pt>
                <c:pt idx="3">
                  <c:v>2.4581900000000001</c:v>
                </c:pt>
                <c:pt idx="4">
                  <c:v>2.4498899999999999</c:v>
                </c:pt>
                <c:pt idx="5">
                  <c:v>2.4397099999999998</c:v>
                </c:pt>
                <c:pt idx="6">
                  <c:v>2.4296699999999998</c:v>
                </c:pt>
                <c:pt idx="7">
                  <c:v>2.4220000000000002</c:v>
                </c:pt>
                <c:pt idx="8">
                  <c:v>2.4191699999999998</c:v>
                </c:pt>
                <c:pt idx="9">
                  <c:v>2.4215400000000002</c:v>
                </c:pt>
                <c:pt idx="10">
                  <c:v>2.4267099999999999</c:v>
                </c:pt>
                <c:pt idx="11">
                  <c:v>2.43458</c:v>
                </c:pt>
                <c:pt idx="12">
                  <c:v>2.4436100000000001</c:v>
                </c:pt>
                <c:pt idx="13">
                  <c:v>2.4534600000000002</c:v>
                </c:pt>
                <c:pt idx="14">
                  <c:v>2.4633699999999998</c:v>
                </c:pt>
                <c:pt idx="15">
                  <c:v>2.4730599999999998</c:v>
                </c:pt>
                <c:pt idx="16">
                  <c:v>2.4811199999999998</c:v>
                </c:pt>
                <c:pt idx="17">
                  <c:v>2.4900500000000001</c:v>
                </c:pt>
                <c:pt idx="18">
                  <c:v>2.5006499999999998</c:v>
                </c:pt>
                <c:pt idx="19">
                  <c:v>2.5162499999999999</c:v>
                </c:pt>
                <c:pt idx="20">
                  <c:v>2.5361899999999999</c:v>
                </c:pt>
                <c:pt idx="21">
                  <c:v>2.5596799999999997</c:v>
                </c:pt>
                <c:pt idx="22">
                  <c:v>2.5856400000000002</c:v>
                </c:pt>
                <c:pt idx="23">
                  <c:v>2.6140999999999996</c:v>
                </c:pt>
                <c:pt idx="24">
                  <c:v>2.6447099999999999</c:v>
                </c:pt>
                <c:pt idx="25">
                  <c:v>2.6778499999999998</c:v>
                </c:pt>
                <c:pt idx="26">
                  <c:v>2.7151799999999997</c:v>
                </c:pt>
                <c:pt idx="27">
                  <c:v>2.7549200000000003</c:v>
                </c:pt>
                <c:pt idx="28">
                  <c:v>2.7959800000000001</c:v>
                </c:pt>
                <c:pt idx="29">
                  <c:v>2.8368599999999997</c:v>
                </c:pt>
                <c:pt idx="30">
                  <c:v>2.8773500000000003</c:v>
                </c:pt>
                <c:pt idx="31">
                  <c:v>2.9165600000000005</c:v>
                </c:pt>
                <c:pt idx="32">
                  <c:v>2.95892</c:v>
                </c:pt>
                <c:pt idx="33">
                  <c:v>3.00197</c:v>
                </c:pt>
                <c:pt idx="34">
                  <c:v>3.0397600000000002</c:v>
                </c:pt>
                <c:pt idx="35">
                  <c:v>3.07334</c:v>
                </c:pt>
                <c:pt idx="36">
                  <c:v>3.1044</c:v>
                </c:pt>
                <c:pt idx="37">
                  <c:v>3.1330400000000003</c:v>
                </c:pt>
                <c:pt idx="38">
                  <c:v>3.1585800000000002</c:v>
                </c:pt>
                <c:pt idx="39">
                  <c:v>3.1806000000000001</c:v>
                </c:pt>
                <c:pt idx="40">
                  <c:v>3.1985400000000004</c:v>
                </c:pt>
                <c:pt idx="41">
                  <c:v>3.2135799999999999</c:v>
                </c:pt>
                <c:pt idx="42">
                  <c:v>3.2265300000000003</c:v>
                </c:pt>
                <c:pt idx="43">
                  <c:v>3.2359100000000001</c:v>
                </c:pt>
                <c:pt idx="44">
                  <c:v>3.2412900000000002</c:v>
                </c:pt>
                <c:pt idx="45">
                  <c:v>3.2434699999999999</c:v>
                </c:pt>
                <c:pt idx="46">
                  <c:v>3.2410800000000002</c:v>
                </c:pt>
                <c:pt idx="47">
                  <c:v>3.2359800000000001</c:v>
                </c:pt>
                <c:pt idx="48">
                  <c:v>3.2292800000000002</c:v>
                </c:pt>
                <c:pt idx="49">
                  <c:v>3.2189699999999997</c:v>
                </c:pt>
                <c:pt idx="50">
                  <c:v>3.20703</c:v>
                </c:pt>
                <c:pt idx="51">
                  <c:v>3.2037399999999998</c:v>
                </c:pt>
                <c:pt idx="52">
                  <c:v>3.1974200000000002</c:v>
                </c:pt>
                <c:pt idx="53">
                  <c:v>3.1886299999999999</c:v>
                </c:pt>
                <c:pt idx="54">
                  <c:v>3.1778599999999999</c:v>
                </c:pt>
                <c:pt idx="55">
                  <c:v>3.1655800000000003</c:v>
                </c:pt>
                <c:pt idx="56">
                  <c:v>3.15286</c:v>
                </c:pt>
                <c:pt idx="57">
                  <c:v>3.1344699999999999</c:v>
                </c:pt>
                <c:pt idx="58">
                  <c:v>3.1119699999999999</c:v>
                </c:pt>
                <c:pt idx="59">
                  <c:v>3.0908200000000003</c:v>
                </c:pt>
                <c:pt idx="60">
                  <c:v>3.0707</c:v>
                </c:pt>
                <c:pt idx="61">
                  <c:v>3.0496499999999997</c:v>
                </c:pt>
                <c:pt idx="62">
                  <c:v>3.0274000000000001</c:v>
                </c:pt>
                <c:pt idx="63">
                  <c:v>3.0043899999999999</c:v>
                </c:pt>
                <c:pt idx="64">
                  <c:v>2.98393</c:v>
                </c:pt>
                <c:pt idx="65">
                  <c:v>2.9678599999999999</c:v>
                </c:pt>
                <c:pt idx="66">
                  <c:v>2.9554900000000002</c:v>
                </c:pt>
                <c:pt idx="67">
                  <c:v>2.94373</c:v>
                </c:pt>
                <c:pt idx="68">
                  <c:v>2.9356800000000001</c:v>
                </c:pt>
                <c:pt idx="69">
                  <c:v>2.9280900000000001</c:v>
                </c:pt>
                <c:pt idx="70">
                  <c:v>2.9169299999999998</c:v>
                </c:pt>
                <c:pt idx="71">
                  <c:v>2.90944</c:v>
                </c:pt>
                <c:pt idx="72">
                  <c:v>2.9033199999999999</c:v>
                </c:pt>
                <c:pt idx="73">
                  <c:v>2.8873500000000001</c:v>
                </c:pt>
                <c:pt idx="74">
                  <c:v>2.8934100000000003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3.3662100000000001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3.3662100000000001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3.3662100000000001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3.3662100000000001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3.3662100000000001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3.3662100000000001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3.3662100000000001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3.3662100000000001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3.3662100000000001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3.3662100000000001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3.3662100000000001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3.3662100000000001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3.3662100000000001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3.3662100000000001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3.3662100000000001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3.3662100000000001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3.3662100000000001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3.3662100000000001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3.3662100000000001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3.3662100000000001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3.3662100000000001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3.3662100000000001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14.945774999999999</c:v>
                </c:pt>
                <c:pt idx="1">
                  <c:v>44.837325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3.1237670270270264</c:v>
                </c:pt>
                <c:pt idx="1">
                  <c:v>2.8664771621621616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0.40481400000000001</c:v>
                </c:pt>
                <c:pt idx="2">
                  <c:v>0.81277500000000003</c:v>
                </c:pt>
                <c:pt idx="3">
                  <c:v>1.2186300000000001</c:v>
                </c:pt>
                <c:pt idx="4">
                  <c:v>1.62154</c:v>
                </c:pt>
                <c:pt idx="5">
                  <c:v>2.0285099999999998</c:v>
                </c:pt>
                <c:pt idx="6">
                  <c:v>2.4394100000000001</c:v>
                </c:pt>
                <c:pt idx="7">
                  <c:v>2.84538</c:v>
                </c:pt>
                <c:pt idx="8">
                  <c:v>3.2481800000000001</c:v>
                </c:pt>
                <c:pt idx="9">
                  <c:v>3.65415</c:v>
                </c:pt>
                <c:pt idx="10">
                  <c:v>4.06013</c:v>
                </c:pt>
                <c:pt idx="11">
                  <c:v>4.4669499999999998</c:v>
                </c:pt>
                <c:pt idx="12">
                  <c:v>4.8754600000000003</c:v>
                </c:pt>
                <c:pt idx="13">
                  <c:v>5.2828299999999997</c:v>
                </c:pt>
                <c:pt idx="14">
                  <c:v>5.6847000000000003</c:v>
                </c:pt>
                <c:pt idx="15">
                  <c:v>6.0922200000000002</c:v>
                </c:pt>
                <c:pt idx="16">
                  <c:v>6.4985099999999996</c:v>
                </c:pt>
                <c:pt idx="17">
                  <c:v>6.90259</c:v>
                </c:pt>
                <c:pt idx="18">
                  <c:v>7.3123399999999998</c:v>
                </c:pt>
                <c:pt idx="19">
                  <c:v>7.7172599999999996</c:v>
                </c:pt>
                <c:pt idx="20">
                  <c:v>8.1221599999999992</c:v>
                </c:pt>
                <c:pt idx="21">
                  <c:v>8.5256699999999999</c:v>
                </c:pt>
                <c:pt idx="22">
                  <c:v>8.9319400000000009</c:v>
                </c:pt>
                <c:pt idx="23">
                  <c:v>9.3420199999999998</c:v>
                </c:pt>
                <c:pt idx="24">
                  <c:v>9.7498299999999993</c:v>
                </c:pt>
                <c:pt idx="25">
                  <c:v>10.153700000000001</c:v>
                </c:pt>
                <c:pt idx="26">
                  <c:v>10.559799999999999</c:v>
                </c:pt>
                <c:pt idx="27">
                  <c:v>10.970499999999999</c:v>
                </c:pt>
                <c:pt idx="28">
                  <c:v>11.3705</c:v>
                </c:pt>
                <c:pt idx="29">
                  <c:v>11.7804</c:v>
                </c:pt>
                <c:pt idx="30">
                  <c:v>12.1844</c:v>
                </c:pt>
                <c:pt idx="31">
                  <c:v>12.5954</c:v>
                </c:pt>
                <c:pt idx="32">
                  <c:v>12.9992</c:v>
                </c:pt>
                <c:pt idx="33">
                  <c:v>13.4062</c:v>
                </c:pt>
                <c:pt idx="34">
                  <c:v>13.81</c:v>
                </c:pt>
                <c:pt idx="35">
                  <c:v>14.215999999999999</c:v>
                </c:pt>
                <c:pt idx="36">
                  <c:v>14.623900000000001</c:v>
                </c:pt>
                <c:pt idx="37">
                  <c:v>15.0288</c:v>
                </c:pt>
                <c:pt idx="38">
                  <c:v>15.4367</c:v>
                </c:pt>
                <c:pt idx="39">
                  <c:v>15.845599999999999</c:v>
                </c:pt>
                <c:pt idx="40">
                  <c:v>16.247499999999999</c:v>
                </c:pt>
                <c:pt idx="41">
                  <c:v>16.6524</c:v>
                </c:pt>
                <c:pt idx="42">
                  <c:v>17.0623</c:v>
                </c:pt>
                <c:pt idx="43">
                  <c:v>17.467400000000001</c:v>
                </c:pt>
                <c:pt idx="44">
                  <c:v>17.871200000000002</c:v>
                </c:pt>
                <c:pt idx="45">
                  <c:v>18.277100000000001</c:v>
                </c:pt>
                <c:pt idx="46">
                  <c:v>18.687999999999999</c:v>
                </c:pt>
                <c:pt idx="47">
                  <c:v>19.094899999999999</c:v>
                </c:pt>
                <c:pt idx="48">
                  <c:v>19.4968</c:v>
                </c:pt>
                <c:pt idx="49">
                  <c:v>19.901900000000001</c:v>
                </c:pt>
                <c:pt idx="50">
                  <c:v>20.3127</c:v>
                </c:pt>
                <c:pt idx="51">
                  <c:v>20.721499999999999</c:v>
                </c:pt>
                <c:pt idx="52">
                  <c:v>21.1234</c:v>
                </c:pt>
                <c:pt idx="53">
                  <c:v>21.529399999999999</c:v>
                </c:pt>
                <c:pt idx="54">
                  <c:v>21.935500000000001</c:v>
                </c:pt>
                <c:pt idx="55">
                  <c:v>22.339200000000002</c:v>
                </c:pt>
                <c:pt idx="56">
                  <c:v>22.751200000000001</c:v>
                </c:pt>
                <c:pt idx="57">
                  <c:v>23.155000000000001</c:v>
                </c:pt>
                <c:pt idx="58">
                  <c:v>23.556899999999999</c:v>
                </c:pt>
                <c:pt idx="59">
                  <c:v>23.969899999999999</c:v>
                </c:pt>
                <c:pt idx="60">
                  <c:v>24.375900000000001</c:v>
                </c:pt>
                <c:pt idx="61">
                  <c:v>24.781700000000001</c:v>
                </c:pt>
                <c:pt idx="62">
                  <c:v>25.1846</c:v>
                </c:pt>
                <c:pt idx="63">
                  <c:v>25.592600000000001</c:v>
                </c:pt>
                <c:pt idx="64">
                  <c:v>25.999600000000001</c:v>
                </c:pt>
                <c:pt idx="65">
                  <c:v>26.407299999999999</c:v>
                </c:pt>
                <c:pt idx="66">
                  <c:v>26.815300000000001</c:v>
                </c:pt>
                <c:pt idx="67">
                  <c:v>27.215199999999999</c:v>
                </c:pt>
                <c:pt idx="68">
                  <c:v>27.623100000000001</c:v>
                </c:pt>
                <c:pt idx="69">
                  <c:v>28.029199999999999</c:v>
                </c:pt>
                <c:pt idx="70">
                  <c:v>28.436</c:v>
                </c:pt>
                <c:pt idx="71">
                  <c:v>28.842199999999998</c:v>
                </c:pt>
                <c:pt idx="72">
                  <c:v>29.250699999999998</c:v>
                </c:pt>
                <c:pt idx="73">
                  <c:v>29.654599999999999</c:v>
                </c:pt>
                <c:pt idx="74">
                  <c:v>30.059899999999999</c:v>
                </c:pt>
                <c:pt idx="75">
                  <c:v>30.645</c:v>
                </c:pt>
                <c:pt idx="76">
                  <c:v>31.013999999999999</c:v>
                </c:pt>
                <c:pt idx="77">
                  <c:v>31.387</c:v>
                </c:pt>
                <c:pt idx="78">
                  <c:v>31.764900000000001</c:v>
                </c:pt>
                <c:pt idx="79">
                  <c:v>32.152900000000002</c:v>
                </c:pt>
                <c:pt idx="80">
                  <c:v>32.5608</c:v>
                </c:pt>
                <c:pt idx="81">
                  <c:v>32.970700000000001</c:v>
                </c:pt>
                <c:pt idx="82">
                  <c:v>33.374600000000001</c:v>
                </c:pt>
                <c:pt idx="83">
                  <c:v>33.779600000000002</c:v>
                </c:pt>
                <c:pt idx="84">
                  <c:v>34.185600000000001</c:v>
                </c:pt>
                <c:pt idx="85">
                  <c:v>34.591700000000003</c:v>
                </c:pt>
                <c:pt idx="86">
                  <c:v>34.999299999999998</c:v>
                </c:pt>
                <c:pt idx="87">
                  <c:v>35.407299999999999</c:v>
                </c:pt>
                <c:pt idx="88">
                  <c:v>35.813099999999999</c:v>
                </c:pt>
                <c:pt idx="89">
                  <c:v>36.2151</c:v>
                </c:pt>
                <c:pt idx="90">
                  <c:v>36.622599999999998</c:v>
                </c:pt>
                <c:pt idx="91">
                  <c:v>37.026899999999998</c:v>
                </c:pt>
                <c:pt idx="92">
                  <c:v>37.436799999999998</c:v>
                </c:pt>
                <c:pt idx="93">
                  <c:v>37.844700000000003</c:v>
                </c:pt>
                <c:pt idx="94">
                  <c:v>38.249600000000001</c:v>
                </c:pt>
                <c:pt idx="95">
                  <c:v>38.652500000000003</c:v>
                </c:pt>
                <c:pt idx="96">
                  <c:v>39.062399999999997</c:v>
                </c:pt>
                <c:pt idx="97">
                  <c:v>39.4664</c:v>
                </c:pt>
                <c:pt idx="98">
                  <c:v>39.871400000000001</c:v>
                </c:pt>
                <c:pt idx="99">
                  <c:v>40.282200000000003</c:v>
                </c:pt>
                <c:pt idx="100">
                  <c:v>40.687100000000001</c:v>
                </c:pt>
                <c:pt idx="101">
                  <c:v>41.094999999999999</c:v>
                </c:pt>
                <c:pt idx="102">
                  <c:v>41.497</c:v>
                </c:pt>
                <c:pt idx="103">
                  <c:v>41.906799999999997</c:v>
                </c:pt>
                <c:pt idx="104">
                  <c:v>42.307699999999997</c:v>
                </c:pt>
                <c:pt idx="105">
                  <c:v>42.719700000000003</c:v>
                </c:pt>
                <c:pt idx="106">
                  <c:v>43.125900000000001</c:v>
                </c:pt>
                <c:pt idx="107">
                  <c:v>43.528500000000001</c:v>
                </c:pt>
                <c:pt idx="108">
                  <c:v>43.934699999999999</c:v>
                </c:pt>
                <c:pt idx="109">
                  <c:v>44.344299999999997</c:v>
                </c:pt>
                <c:pt idx="110">
                  <c:v>44.749299999999998</c:v>
                </c:pt>
                <c:pt idx="111">
                  <c:v>45.156100000000002</c:v>
                </c:pt>
                <c:pt idx="112">
                  <c:v>45.559399999999997</c:v>
                </c:pt>
                <c:pt idx="113">
                  <c:v>45.968000000000004</c:v>
                </c:pt>
                <c:pt idx="114">
                  <c:v>46.376100000000001</c:v>
                </c:pt>
                <c:pt idx="115">
                  <c:v>46.780799999999999</c:v>
                </c:pt>
                <c:pt idx="116">
                  <c:v>47.1907</c:v>
                </c:pt>
                <c:pt idx="117">
                  <c:v>47.595999999999997</c:v>
                </c:pt>
                <c:pt idx="118">
                  <c:v>48.000599999999999</c:v>
                </c:pt>
                <c:pt idx="119">
                  <c:v>48.411799999999999</c:v>
                </c:pt>
                <c:pt idx="120">
                  <c:v>48.814500000000002</c:v>
                </c:pt>
                <c:pt idx="121">
                  <c:v>49.221699999999998</c:v>
                </c:pt>
                <c:pt idx="122">
                  <c:v>49.625700000000002</c:v>
                </c:pt>
                <c:pt idx="123">
                  <c:v>50.031399999999998</c:v>
                </c:pt>
                <c:pt idx="124">
                  <c:v>50.433</c:v>
                </c:pt>
                <c:pt idx="125">
                  <c:v>50.841000000000001</c:v>
                </c:pt>
                <c:pt idx="126">
                  <c:v>51.250900000000001</c:v>
                </c:pt>
                <c:pt idx="127">
                  <c:v>51.654800000000002</c:v>
                </c:pt>
                <c:pt idx="128">
                  <c:v>52.062899999999999</c:v>
                </c:pt>
                <c:pt idx="129">
                  <c:v>52.468600000000002</c:v>
                </c:pt>
                <c:pt idx="130">
                  <c:v>52.872500000000002</c:v>
                </c:pt>
                <c:pt idx="131">
                  <c:v>53.284399999999998</c:v>
                </c:pt>
                <c:pt idx="132">
                  <c:v>53.685499999999998</c:v>
                </c:pt>
                <c:pt idx="133">
                  <c:v>54.091700000000003</c:v>
                </c:pt>
                <c:pt idx="134">
                  <c:v>54.5002</c:v>
                </c:pt>
                <c:pt idx="135">
                  <c:v>54.907200000000003</c:v>
                </c:pt>
                <c:pt idx="136">
                  <c:v>55.312100000000001</c:v>
                </c:pt>
                <c:pt idx="137">
                  <c:v>55.716900000000003</c:v>
                </c:pt>
                <c:pt idx="138">
                  <c:v>56.123100000000001</c:v>
                </c:pt>
                <c:pt idx="139">
                  <c:v>56.532800000000002</c:v>
                </c:pt>
                <c:pt idx="140">
                  <c:v>56.9377</c:v>
                </c:pt>
                <c:pt idx="141">
                  <c:v>57.345799999999997</c:v>
                </c:pt>
                <c:pt idx="142">
                  <c:v>57.747500000000002</c:v>
                </c:pt>
                <c:pt idx="143">
                  <c:v>58.154499999999999</c:v>
                </c:pt>
                <c:pt idx="144">
                  <c:v>58.564300000000003</c:v>
                </c:pt>
                <c:pt idx="145">
                  <c:v>58.968299999999999</c:v>
                </c:pt>
                <c:pt idx="146">
                  <c:v>59.375599999999999</c:v>
                </c:pt>
                <c:pt idx="147">
                  <c:v>59.783099999999997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46.235599999999998</c:v>
                </c:pt>
                <c:pt idx="1">
                  <c:v>46.169900000000005</c:v>
                </c:pt>
                <c:pt idx="2">
                  <c:v>46.013799999999996</c:v>
                </c:pt>
                <c:pt idx="3">
                  <c:v>45.851300000000002</c:v>
                </c:pt>
                <c:pt idx="4">
                  <c:v>45.669399999999996</c:v>
                </c:pt>
                <c:pt idx="5">
                  <c:v>45.429499999999997</c:v>
                </c:pt>
                <c:pt idx="6">
                  <c:v>45.16</c:v>
                </c:pt>
                <c:pt idx="7">
                  <c:v>44.835799999999999</c:v>
                </c:pt>
                <c:pt idx="8">
                  <c:v>44.413499999999999</c:v>
                </c:pt>
                <c:pt idx="9">
                  <c:v>43.987400000000001</c:v>
                </c:pt>
                <c:pt idx="10">
                  <c:v>43.68</c:v>
                </c:pt>
                <c:pt idx="11">
                  <c:v>43.430400000000006</c:v>
                </c:pt>
                <c:pt idx="12">
                  <c:v>43.215800000000002</c:v>
                </c:pt>
                <c:pt idx="13">
                  <c:v>43.026899999999998</c:v>
                </c:pt>
                <c:pt idx="14">
                  <c:v>42.848199999999999</c:v>
                </c:pt>
                <c:pt idx="15">
                  <c:v>42.613199999999999</c:v>
                </c:pt>
                <c:pt idx="16">
                  <c:v>42.427599999999998</c:v>
                </c:pt>
                <c:pt idx="17">
                  <c:v>42.220800000000004</c:v>
                </c:pt>
                <c:pt idx="18">
                  <c:v>42.032000000000004</c:v>
                </c:pt>
                <c:pt idx="19">
                  <c:v>41.838900000000002</c:v>
                </c:pt>
                <c:pt idx="20">
                  <c:v>41.655999999999999</c:v>
                </c:pt>
                <c:pt idx="21">
                  <c:v>41.490300000000005</c:v>
                </c:pt>
                <c:pt idx="22">
                  <c:v>41.293100000000003</c:v>
                </c:pt>
                <c:pt idx="23">
                  <c:v>41.101399999999998</c:v>
                </c:pt>
                <c:pt idx="24">
                  <c:v>40.9863</c:v>
                </c:pt>
                <c:pt idx="25">
                  <c:v>40.927100000000003</c:v>
                </c:pt>
                <c:pt idx="26">
                  <c:v>40.926699999999997</c:v>
                </c:pt>
                <c:pt idx="27">
                  <c:v>41.033500000000004</c:v>
                </c:pt>
                <c:pt idx="28">
                  <c:v>41.170899999999996</c:v>
                </c:pt>
                <c:pt idx="29">
                  <c:v>41.417700000000004</c:v>
                </c:pt>
                <c:pt idx="30">
                  <c:v>41.750900000000001</c:v>
                </c:pt>
                <c:pt idx="31">
                  <c:v>42.217300000000002</c:v>
                </c:pt>
                <c:pt idx="32">
                  <c:v>42.805900000000001</c:v>
                </c:pt>
                <c:pt idx="33">
                  <c:v>43.5212</c:v>
                </c:pt>
                <c:pt idx="34">
                  <c:v>44.299500000000002</c:v>
                </c:pt>
                <c:pt idx="35">
                  <c:v>44.965699999999998</c:v>
                </c:pt>
                <c:pt idx="36">
                  <c:v>45.4876</c:v>
                </c:pt>
                <c:pt idx="37">
                  <c:v>45.812199999999997</c:v>
                </c:pt>
                <c:pt idx="38">
                  <c:v>46.071600000000004</c:v>
                </c:pt>
                <c:pt idx="39">
                  <c:v>46.308199999999999</c:v>
                </c:pt>
                <c:pt idx="40">
                  <c:v>46.463700000000003</c:v>
                </c:pt>
                <c:pt idx="41">
                  <c:v>46.647800000000004</c:v>
                </c:pt>
                <c:pt idx="42">
                  <c:v>46.8277</c:v>
                </c:pt>
                <c:pt idx="43">
                  <c:v>46.903599999999997</c:v>
                </c:pt>
                <c:pt idx="44">
                  <c:v>46.889199999999995</c:v>
                </c:pt>
                <c:pt idx="45">
                  <c:v>46.886400000000002</c:v>
                </c:pt>
                <c:pt idx="46">
                  <c:v>46.847299999999997</c:v>
                </c:pt>
                <c:pt idx="47">
                  <c:v>46.872700000000002</c:v>
                </c:pt>
                <c:pt idx="48">
                  <c:v>46.888500000000001</c:v>
                </c:pt>
                <c:pt idx="49">
                  <c:v>46.863900000000001</c:v>
                </c:pt>
                <c:pt idx="50">
                  <c:v>46.786299999999997</c:v>
                </c:pt>
                <c:pt idx="51">
                  <c:v>46.703899999999997</c:v>
                </c:pt>
                <c:pt idx="52">
                  <c:v>46.628599999999999</c:v>
                </c:pt>
                <c:pt idx="53">
                  <c:v>46.533900000000003</c:v>
                </c:pt>
                <c:pt idx="54">
                  <c:v>46.421300000000002</c:v>
                </c:pt>
                <c:pt idx="55">
                  <c:v>46.339100000000002</c:v>
                </c:pt>
                <c:pt idx="56">
                  <c:v>46.223999999999997</c:v>
                </c:pt>
                <c:pt idx="57">
                  <c:v>46.063200000000002</c:v>
                </c:pt>
                <c:pt idx="58">
                  <c:v>45.929199999999994</c:v>
                </c:pt>
                <c:pt idx="59">
                  <c:v>45.8536</c:v>
                </c:pt>
                <c:pt idx="60">
                  <c:v>45.854800000000004</c:v>
                </c:pt>
                <c:pt idx="61">
                  <c:v>45.964199999999998</c:v>
                </c:pt>
                <c:pt idx="62">
                  <c:v>46.19</c:v>
                </c:pt>
                <c:pt idx="63">
                  <c:v>46.5137</c:v>
                </c:pt>
                <c:pt idx="64">
                  <c:v>46.919899999999998</c:v>
                </c:pt>
                <c:pt idx="65">
                  <c:v>47.498000000000005</c:v>
                </c:pt>
                <c:pt idx="66">
                  <c:v>48.1614</c:v>
                </c:pt>
                <c:pt idx="67">
                  <c:v>48.953799999999994</c:v>
                </c:pt>
                <c:pt idx="68">
                  <c:v>49.831099999999999</c:v>
                </c:pt>
                <c:pt idx="69">
                  <c:v>50.722900000000003</c:v>
                </c:pt>
                <c:pt idx="70">
                  <c:v>51.558099999999996</c:v>
                </c:pt>
                <c:pt idx="71">
                  <c:v>52.373000000000005</c:v>
                </c:pt>
                <c:pt idx="72">
                  <c:v>53.091500000000003</c:v>
                </c:pt>
                <c:pt idx="73">
                  <c:v>53.7408</c:v>
                </c:pt>
                <c:pt idx="74">
                  <c:v>54.275500000000001</c:v>
                </c:pt>
                <c:pt idx="75">
                  <c:v>54.9724</c:v>
                </c:pt>
                <c:pt idx="76">
                  <c:v>55.543100000000003</c:v>
                </c:pt>
                <c:pt idx="77">
                  <c:v>56.165200000000006</c:v>
                </c:pt>
                <c:pt idx="78">
                  <c:v>56.85</c:v>
                </c:pt>
                <c:pt idx="79">
                  <c:v>57.548600000000008</c:v>
                </c:pt>
                <c:pt idx="80">
                  <c:v>58.171900000000001</c:v>
                </c:pt>
                <c:pt idx="81">
                  <c:v>58.713700000000003</c:v>
                </c:pt>
                <c:pt idx="82">
                  <c:v>59.152499999999996</c:v>
                </c:pt>
                <c:pt idx="83">
                  <c:v>59.398099999999999</c:v>
                </c:pt>
                <c:pt idx="84">
                  <c:v>59.5336</c:v>
                </c:pt>
                <c:pt idx="85">
                  <c:v>59.572199999999995</c:v>
                </c:pt>
                <c:pt idx="86">
                  <c:v>59.500399999999999</c:v>
                </c:pt>
                <c:pt idx="87">
                  <c:v>59.375199999999992</c:v>
                </c:pt>
                <c:pt idx="88">
                  <c:v>59.179000000000002</c:v>
                </c:pt>
                <c:pt idx="89">
                  <c:v>58.945800000000006</c:v>
                </c:pt>
                <c:pt idx="90">
                  <c:v>58.629600000000003</c:v>
                </c:pt>
                <c:pt idx="91">
                  <c:v>58.142700000000005</c:v>
                </c:pt>
                <c:pt idx="92">
                  <c:v>57.477599999999995</c:v>
                </c:pt>
                <c:pt idx="93">
                  <c:v>56.630499999999998</c:v>
                </c:pt>
                <c:pt idx="94">
                  <c:v>55.631799999999998</c:v>
                </c:pt>
                <c:pt idx="95">
                  <c:v>54.545000000000002</c:v>
                </c:pt>
                <c:pt idx="96">
                  <c:v>53.374999999999993</c:v>
                </c:pt>
                <c:pt idx="97">
                  <c:v>52.162500000000001</c:v>
                </c:pt>
                <c:pt idx="98">
                  <c:v>50.962700000000005</c:v>
                </c:pt>
                <c:pt idx="99">
                  <c:v>49.728099999999998</c:v>
                </c:pt>
                <c:pt idx="100">
                  <c:v>48.521999999999998</c:v>
                </c:pt>
                <c:pt idx="101">
                  <c:v>47.384999999999998</c:v>
                </c:pt>
                <c:pt idx="102">
                  <c:v>46.268799999999999</c:v>
                </c:pt>
                <c:pt idx="103">
                  <c:v>45.280300000000004</c:v>
                </c:pt>
                <c:pt idx="104">
                  <c:v>44.429699999999997</c:v>
                </c:pt>
                <c:pt idx="105">
                  <c:v>43.554200000000002</c:v>
                </c:pt>
                <c:pt idx="106">
                  <c:v>42.732799999999997</c:v>
                </c:pt>
                <c:pt idx="107">
                  <c:v>42.112899999999996</c:v>
                </c:pt>
                <c:pt idx="108">
                  <c:v>41.6295</c:v>
                </c:pt>
                <c:pt idx="109">
                  <c:v>41.242000000000004</c:v>
                </c:pt>
                <c:pt idx="110">
                  <c:v>40.931800000000003</c:v>
                </c:pt>
                <c:pt idx="111">
                  <c:v>40.748200000000004</c:v>
                </c:pt>
                <c:pt idx="112">
                  <c:v>40.676099999999998</c:v>
                </c:pt>
                <c:pt idx="113">
                  <c:v>40.675800000000002</c:v>
                </c:pt>
                <c:pt idx="114">
                  <c:v>40.730400000000003</c:v>
                </c:pt>
                <c:pt idx="115">
                  <c:v>40.804899999999996</c:v>
                </c:pt>
                <c:pt idx="116">
                  <c:v>40.921500000000002</c:v>
                </c:pt>
                <c:pt idx="117">
                  <c:v>41.0456</c:v>
                </c:pt>
                <c:pt idx="118">
                  <c:v>41.156300000000002</c:v>
                </c:pt>
                <c:pt idx="119">
                  <c:v>41.255299999999998</c:v>
                </c:pt>
                <c:pt idx="120">
                  <c:v>41.376400000000004</c:v>
                </c:pt>
                <c:pt idx="121">
                  <c:v>41.499900000000004</c:v>
                </c:pt>
                <c:pt idx="122">
                  <c:v>41.668699999999994</c:v>
                </c:pt>
                <c:pt idx="123">
                  <c:v>41.856700000000004</c:v>
                </c:pt>
                <c:pt idx="124">
                  <c:v>41.963000000000001</c:v>
                </c:pt>
                <c:pt idx="125">
                  <c:v>42.090299999999999</c:v>
                </c:pt>
                <c:pt idx="126">
                  <c:v>42.2408</c:v>
                </c:pt>
                <c:pt idx="127">
                  <c:v>42.495699999999999</c:v>
                </c:pt>
                <c:pt idx="128">
                  <c:v>42.770899999999997</c:v>
                </c:pt>
                <c:pt idx="129">
                  <c:v>43.041699999999999</c:v>
                </c:pt>
                <c:pt idx="130">
                  <c:v>43.467599999999997</c:v>
                </c:pt>
                <c:pt idx="131">
                  <c:v>44.0366</c:v>
                </c:pt>
                <c:pt idx="132">
                  <c:v>44.527999999999999</c:v>
                </c:pt>
                <c:pt idx="133">
                  <c:v>44.996199999999995</c:v>
                </c:pt>
                <c:pt idx="134">
                  <c:v>45.438600000000001</c:v>
                </c:pt>
                <c:pt idx="135">
                  <c:v>45.927599999999998</c:v>
                </c:pt>
                <c:pt idx="136">
                  <c:v>46.417000000000002</c:v>
                </c:pt>
                <c:pt idx="137">
                  <c:v>46.817799999999998</c:v>
                </c:pt>
                <c:pt idx="138">
                  <c:v>47.115000000000002</c:v>
                </c:pt>
                <c:pt idx="139">
                  <c:v>47.316800000000001</c:v>
                </c:pt>
                <c:pt idx="140">
                  <c:v>47.522799999999997</c:v>
                </c:pt>
                <c:pt idx="141">
                  <c:v>47.597299999999997</c:v>
                </c:pt>
                <c:pt idx="142">
                  <c:v>47.534399999999998</c:v>
                </c:pt>
                <c:pt idx="143">
                  <c:v>47.516999999999996</c:v>
                </c:pt>
                <c:pt idx="144">
                  <c:v>47.4923</c:v>
                </c:pt>
                <c:pt idx="145">
                  <c:v>47.408799999999999</c:v>
                </c:pt>
                <c:pt idx="146">
                  <c:v>47.782899999999998</c:v>
                </c:pt>
                <c:pt idx="147">
                  <c:v>47.750399999999999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0.40481400000000001</c:v>
                </c:pt>
                <c:pt idx="2">
                  <c:v>0.81277500000000003</c:v>
                </c:pt>
                <c:pt idx="3">
                  <c:v>1.2186300000000001</c:v>
                </c:pt>
                <c:pt idx="4">
                  <c:v>1.62154</c:v>
                </c:pt>
                <c:pt idx="5">
                  <c:v>2.0285099999999998</c:v>
                </c:pt>
                <c:pt idx="6">
                  <c:v>2.4394100000000001</c:v>
                </c:pt>
                <c:pt idx="7">
                  <c:v>2.84538</c:v>
                </c:pt>
                <c:pt idx="8">
                  <c:v>3.2481800000000001</c:v>
                </c:pt>
                <c:pt idx="9">
                  <c:v>3.65415</c:v>
                </c:pt>
                <c:pt idx="10">
                  <c:v>4.06013</c:v>
                </c:pt>
                <c:pt idx="11">
                  <c:v>4.4669499999999998</c:v>
                </c:pt>
                <c:pt idx="12">
                  <c:v>4.8754600000000003</c:v>
                </c:pt>
                <c:pt idx="13">
                  <c:v>5.2828299999999997</c:v>
                </c:pt>
                <c:pt idx="14">
                  <c:v>5.6847000000000003</c:v>
                </c:pt>
                <c:pt idx="15">
                  <c:v>6.0922200000000002</c:v>
                </c:pt>
                <c:pt idx="16">
                  <c:v>6.4985099999999996</c:v>
                </c:pt>
                <c:pt idx="17">
                  <c:v>6.90259</c:v>
                </c:pt>
                <c:pt idx="18">
                  <c:v>7.3123399999999998</c:v>
                </c:pt>
                <c:pt idx="19">
                  <c:v>7.7172599999999996</c:v>
                </c:pt>
                <c:pt idx="20">
                  <c:v>8.1221599999999992</c:v>
                </c:pt>
                <c:pt idx="21">
                  <c:v>8.5256699999999999</c:v>
                </c:pt>
                <c:pt idx="22">
                  <c:v>8.9319400000000009</c:v>
                </c:pt>
                <c:pt idx="23">
                  <c:v>9.3420199999999998</c:v>
                </c:pt>
                <c:pt idx="24">
                  <c:v>9.7498299999999993</c:v>
                </c:pt>
                <c:pt idx="25">
                  <c:v>10.153700000000001</c:v>
                </c:pt>
                <c:pt idx="26">
                  <c:v>10.559799999999999</c:v>
                </c:pt>
                <c:pt idx="27">
                  <c:v>10.970499999999999</c:v>
                </c:pt>
                <c:pt idx="28">
                  <c:v>11.3705</c:v>
                </c:pt>
                <c:pt idx="29">
                  <c:v>11.7804</c:v>
                </c:pt>
                <c:pt idx="30">
                  <c:v>12.1844</c:v>
                </c:pt>
                <c:pt idx="31">
                  <c:v>12.5954</c:v>
                </c:pt>
                <c:pt idx="32">
                  <c:v>12.9992</c:v>
                </c:pt>
                <c:pt idx="33">
                  <c:v>13.4062</c:v>
                </c:pt>
                <c:pt idx="34">
                  <c:v>13.81</c:v>
                </c:pt>
                <c:pt idx="35">
                  <c:v>14.215999999999999</c:v>
                </c:pt>
                <c:pt idx="36">
                  <c:v>14.623900000000001</c:v>
                </c:pt>
                <c:pt idx="37">
                  <c:v>15.0288</c:v>
                </c:pt>
                <c:pt idx="38">
                  <c:v>15.4367</c:v>
                </c:pt>
                <c:pt idx="39">
                  <c:v>15.845599999999999</c:v>
                </c:pt>
                <c:pt idx="40">
                  <c:v>16.247499999999999</c:v>
                </c:pt>
                <c:pt idx="41">
                  <c:v>16.6524</c:v>
                </c:pt>
                <c:pt idx="42">
                  <c:v>17.0623</c:v>
                </c:pt>
                <c:pt idx="43">
                  <c:v>17.467400000000001</c:v>
                </c:pt>
                <c:pt idx="44">
                  <c:v>17.871200000000002</c:v>
                </c:pt>
                <c:pt idx="45">
                  <c:v>18.277100000000001</c:v>
                </c:pt>
                <c:pt idx="46">
                  <c:v>18.687999999999999</c:v>
                </c:pt>
                <c:pt idx="47">
                  <c:v>19.094899999999999</c:v>
                </c:pt>
                <c:pt idx="48">
                  <c:v>19.4968</c:v>
                </c:pt>
                <c:pt idx="49">
                  <c:v>19.901900000000001</c:v>
                </c:pt>
                <c:pt idx="50">
                  <c:v>20.3127</c:v>
                </c:pt>
                <c:pt idx="51">
                  <c:v>20.721499999999999</c:v>
                </c:pt>
                <c:pt idx="52">
                  <c:v>21.1234</c:v>
                </c:pt>
                <c:pt idx="53">
                  <c:v>21.529399999999999</c:v>
                </c:pt>
                <c:pt idx="54">
                  <c:v>21.935500000000001</c:v>
                </c:pt>
                <c:pt idx="55">
                  <c:v>22.339200000000002</c:v>
                </c:pt>
                <c:pt idx="56">
                  <c:v>22.751200000000001</c:v>
                </c:pt>
                <c:pt idx="57">
                  <c:v>23.155000000000001</c:v>
                </c:pt>
                <c:pt idx="58">
                  <c:v>23.556899999999999</c:v>
                </c:pt>
                <c:pt idx="59">
                  <c:v>23.969899999999999</c:v>
                </c:pt>
                <c:pt idx="60">
                  <c:v>24.375900000000001</c:v>
                </c:pt>
                <c:pt idx="61">
                  <c:v>24.781700000000001</c:v>
                </c:pt>
                <c:pt idx="62">
                  <c:v>25.1846</c:v>
                </c:pt>
                <c:pt idx="63">
                  <c:v>25.592600000000001</c:v>
                </c:pt>
                <c:pt idx="64">
                  <c:v>25.999600000000001</c:v>
                </c:pt>
                <c:pt idx="65">
                  <c:v>26.407299999999999</c:v>
                </c:pt>
                <c:pt idx="66">
                  <c:v>26.815300000000001</c:v>
                </c:pt>
                <c:pt idx="67">
                  <c:v>27.215199999999999</c:v>
                </c:pt>
                <c:pt idx="68">
                  <c:v>27.623100000000001</c:v>
                </c:pt>
                <c:pt idx="69">
                  <c:v>28.029199999999999</c:v>
                </c:pt>
                <c:pt idx="70">
                  <c:v>28.436</c:v>
                </c:pt>
                <c:pt idx="71">
                  <c:v>28.842199999999998</c:v>
                </c:pt>
                <c:pt idx="72">
                  <c:v>29.250699999999998</c:v>
                </c:pt>
                <c:pt idx="73">
                  <c:v>29.654599999999999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46.235599999999998</c:v>
                </c:pt>
                <c:pt idx="1">
                  <c:v>46.169900000000005</c:v>
                </c:pt>
                <c:pt idx="2">
                  <c:v>46.013799999999996</c:v>
                </c:pt>
                <c:pt idx="3">
                  <c:v>45.851300000000002</c:v>
                </c:pt>
                <c:pt idx="4">
                  <c:v>45.669399999999996</c:v>
                </c:pt>
                <c:pt idx="5">
                  <c:v>45.429499999999997</c:v>
                </c:pt>
                <c:pt idx="6">
                  <c:v>45.16</c:v>
                </c:pt>
                <c:pt idx="7">
                  <c:v>44.835799999999999</c:v>
                </c:pt>
                <c:pt idx="8">
                  <c:v>44.413499999999999</c:v>
                </c:pt>
                <c:pt idx="9">
                  <c:v>43.987400000000001</c:v>
                </c:pt>
                <c:pt idx="10">
                  <c:v>43.68</c:v>
                </c:pt>
                <c:pt idx="11">
                  <c:v>43.430400000000006</c:v>
                </c:pt>
                <c:pt idx="12">
                  <c:v>43.215800000000002</c:v>
                </c:pt>
                <c:pt idx="13">
                  <c:v>43.026899999999998</c:v>
                </c:pt>
                <c:pt idx="14">
                  <c:v>42.848199999999999</c:v>
                </c:pt>
                <c:pt idx="15">
                  <c:v>42.613199999999999</c:v>
                </c:pt>
                <c:pt idx="16">
                  <c:v>42.427599999999998</c:v>
                </c:pt>
                <c:pt idx="17">
                  <c:v>42.220800000000004</c:v>
                </c:pt>
                <c:pt idx="18">
                  <c:v>42.032000000000004</c:v>
                </c:pt>
                <c:pt idx="19">
                  <c:v>41.838900000000002</c:v>
                </c:pt>
                <c:pt idx="20">
                  <c:v>41.655999999999999</c:v>
                </c:pt>
                <c:pt idx="21">
                  <c:v>41.490300000000005</c:v>
                </c:pt>
                <c:pt idx="22">
                  <c:v>41.293100000000003</c:v>
                </c:pt>
                <c:pt idx="23">
                  <c:v>41.101399999999998</c:v>
                </c:pt>
                <c:pt idx="24">
                  <c:v>40.9863</c:v>
                </c:pt>
                <c:pt idx="25">
                  <c:v>40.927100000000003</c:v>
                </c:pt>
                <c:pt idx="26">
                  <c:v>40.926699999999997</c:v>
                </c:pt>
                <c:pt idx="27">
                  <c:v>41.033500000000004</c:v>
                </c:pt>
                <c:pt idx="28">
                  <c:v>41.170899999999996</c:v>
                </c:pt>
                <c:pt idx="29">
                  <c:v>41.417700000000004</c:v>
                </c:pt>
                <c:pt idx="30">
                  <c:v>41.750900000000001</c:v>
                </c:pt>
                <c:pt idx="31">
                  <c:v>42.217300000000002</c:v>
                </c:pt>
                <c:pt idx="32">
                  <c:v>42.805900000000001</c:v>
                </c:pt>
                <c:pt idx="33">
                  <c:v>43.5212</c:v>
                </c:pt>
                <c:pt idx="34">
                  <c:v>44.299500000000002</c:v>
                </c:pt>
                <c:pt idx="35">
                  <c:v>44.965699999999998</c:v>
                </c:pt>
                <c:pt idx="36">
                  <c:v>45.4876</c:v>
                </c:pt>
                <c:pt idx="37">
                  <c:v>45.812199999999997</c:v>
                </c:pt>
                <c:pt idx="38">
                  <c:v>46.071600000000004</c:v>
                </c:pt>
                <c:pt idx="39">
                  <c:v>46.308199999999999</c:v>
                </c:pt>
                <c:pt idx="40">
                  <c:v>46.463700000000003</c:v>
                </c:pt>
                <c:pt idx="41">
                  <c:v>46.647800000000004</c:v>
                </c:pt>
                <c:pt idx="42">
                  <c:v>46.8277</c:v>
                </c:pt>
                <c:pt idx="43">
                  <c:v>46.903599999999997</c:v>
                </c:pt>
                <c:pt idx="44">
                  <c:v>46.889199999999995</c:v>
                </c:pt>
                <c:pt idx="45">
                  <c:v>46.886400000000002</c:v>
                </c:pt>
                <c:pt idx="46">
                  <c:v>46.847299999999997</c:v>
                </c:pt>
                <c:pt idx="47">
                  <c:v>46.872700000000002</c:v>
                </c:pt>
                <c:pt idx="48">
                  <c:v>46.888500000000001</c:v>
                </c:pt>
                <c:pt idx="49">
                  <c:v>46.863900000000001</c:v>
                </c:pt>
                <c:pt idx="50">
                  <c:v>46.786299999999997</c:v>
                </c:pt>
                <c:pt idx="51">
                  <c:v>46.703899999999997</c:v>
                </c:pt>
                <c:pt idx="52">
                  <c:v>46.628599999999999</c:v>
                </c:pt>
                <c:pt idx="53">
                  <c:v>46.533900000000003</c:v>
                </c:pt>
                <c:pt idx="54">
                  <c:v>46.421300000000002</c:v>
                </c:pt>
                <c:pt idx="55">
                  <c:v>46.339100000000002</c:v>
                </c:pt>
                <c:pt idx="56">
                  <c:v>46.223999999999997</c:v>
                </c:pt>
                <c:pt idx="57">
                  <c:v>46.063200000000002</c:v>
                </c:pt>
                <c:pt idx="58">
                  <c:v>45.929199999999994</c:v>
                </c:pt>
                <c:pt idx="59">
                  <c:v>45.8536</c:v>
                </c:pt>
                <c:pt idx="60">
                  <c:v>45.854800000000004</c:v>
                </c:pt>
                <c:pt idx="61">
                  <c:v>45.964199999999998</c:v>
                </c:pt>
                <c:pt idx="62">
                  <c:v>46.19</c:v>
                </c:pt>
                <c:pt idx="63">
                  <c:v>46.5137</c:v>
                </c:pt>
                <c:pt idx="64">
                  <c:v>46.919899999999998</c:v>
                </c:pt>
                <c:pt idx="65">
                  <c:v>47.498000000000005</c:v>
                </c:pt>
                <c:pt idx="66">
                  <c:v>48.1614</c:v>
                </c:pt>
                <c:pt idx="67">
                  <c:v>48.953799999999994</c:v>
                </c:pt>
                <c:pt idx="68">
                  <c:v>49.831099999999999</c:v>
                </c:pt>
                <c:pt idx="69">
                  <c:v>50.722900000000003</c:v>
                </c:pt>
                <c:pt idx="70">
                  <c:v>51.558099999999996</c:v>
                </c:pt>
                <c:pt idx="71">
                  <c:v>52.373000000000005</c:v>
                </c:pt>
                <c:pt idx="72">
                  <c:v>53.091500000000003</c:v>
                </c:pt>
                <c:pt idx="73">
                  <c:v>53.7408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29.654599999999999</c:v>
                </c:pt>
                <c:pt idx="1">
                  <c:v>30.059899999999999</c:v>
                </c:pt>
                <c:pt idx="2">
                  <c:v>30.645</c:v>
                </c:pt>
                <c:pt idx="3">
                  <c:v>31.013999999999999</c:v>
                </c:pt>
                <c:pt idx="4">
                  <c:v>31.387</c:v>
                </c:pt>
                <c:pt idx="5">
                  <c:v>31.764900000000001</c:v>
                </c:pt>
                <c:pt idx="6">
                  <c:v>32.152900000000002</c:v>
                </c:pt>
                <c:pt idx="7">
                  <c:v>32.5608</c:v>
                </c:pt>
                <c:pt idx="8">
                  <c:v>32.970700000000001</c:v>
                </c:pt>
                <c:pt idx="9">
                  <c:v>33.374600000000001</c:v>
                </c:pt>
                <c:pt idx="10">
                  <c:v>33.779600000000002</c:v>
                </c:pt>
                <c:pt idx="11">
                  <c:v>34.185600000000001</c:v>
                </c:pt>
                <c:pt idx="12">
                  <c:v>34.591700000000003</c:v>
                </c:pt>
                <c:pt idx="13">
                  <c:v>34.999299999999998</c:v>
                </c:pt>
                <c:pt idx="14">
                  <c:v>35.407299999999999</c:v>
                </c:pt>
                <c:pt idx="15">
                  <c:v>35.813099999999999</c:v>
                </c:pt>
                <c:pt idx="16">
                  <c:v>36.2151</c:v>
                </c:pt>
                <c:pt idx="17">
                  <c:v>36.622599999999998</c:v>
                </c:pt>
                <c:pt idx="18">
                  <c:v>37.026899999999998</c:v>
                </c:pt>
                <c:pt idx="19">
                  <c:v>37.436799999999998</c:v>
                </c:pt>
                <c:pt idx="20">
                  <c:v>37.844700000000003</c:v>
                </c:pt>
                <c:pt idx="21">
                  <c:v>38.249600000000001</c:v>
                </c:pt>
                <c:pt idx="22">
                  <c:v>38.652500000000003</c:v>
                </c:pt>
                <c:pt idx="23">
                  <c:v>39.062399999999997</c:v>
                </c:pt>
                <c:pt idx="24">
                  <c:v>39.4664</c:v>
                </c:pt>
                <c:pt idx="25">
                  <c:v>39.871400000000001</c:v>
                </c:pt>
                <c:pt idx="26">
                  <c:v>40.282200000000003</c:v>
                </c:pt>
                <c:pt idx="27">
                  <c:v>40.687100000000001</c:v>
                </c:pt>
                <c:pt idx="28">
                  <c:v>41.094999999999999</c:v>
                </c:pt>
                <c:pt idx="29">
                  <c:v>41.497</c:v>
                </c:pt>
                <c:pt idx="30">
                  <c:v>41.906799999999997</c:v>
                </c:pt>
                <c:pt idx="31">
                  <c:v>42.307699999999997</c:v>
                </c:pt>
                <c:pt idx="32">
                  <c:v>42.719700000000003</c:v>
                </c:pt>
                <c:pt idx="33">
                  <c:v>43.125900000000001</c:v>
                </c:pt>
                <c:pt idx="34">
                  <c:v>43.528500000000001</c:v>
                </c:pt>
                <c:pt idx="35">
                  <c:v>43.934699999999999</c:v>
                </c:pt>
                <c:pt idx="36">
                  <c:v>44.344299999999997</c:v>
                </c:pt>
                <c:pt idx="37">
                  <c:v>44.749299999999998</c:v>
                </c:pt>
                <c:pt idx="38">
                  <c:v>45.156100000000002</c:v>
                </c:pt>
                <c:pt idx="39">
                  <c:v>45.559399999999997</c:v>
                </c:pt>
                <c:pt idx="40">
                  <c:v>45.968000000000004</c:v>
                </c:pt>
                <c:pt idx="41">
                  <c:v>46.376100000000001</c:v>
                </c:pt>
                <c:pt idx="42">
                  <c:v>46.780799999999999</c:v>
                </c:pt>
                <c:pt idx="43">
                  <c:v>47.1907</c:v>
                </c:pt>
                <c:pt idx="44">
                  <c:v>47.595999999999997</c:v>
                </c:pt>
                <c:pt idx="45">
                  <c:v>48.000599999999999</c:v>
                </c:pt>
                <c:pt idx="46">
                  <c:v>48.411799999999999</c:v>
                </c:pt>
                <c:pt idx="47">
                  <c:v>48.814500000000002</c:v>
                </c:pt>
                <c:pt idx="48">
                  <c:v>49.221699999999998</c:v>
                </c:pt>
                <c:pt idx="49">
                  <c:v>49.625700000000002</c:v>
                </c:pt>
                <c:pt idx="50">
                  <c:v>50.031399999999998</c:v>
                </c:pt>
                <c:pt idx="51">
                  <c:v>50.433</c:v>
                </c:pt>
                <c:pt idx="52">
                  <c:v>50.841000000000001</c:v>
                </c:pt>
                <c:pt idx="53">
                  <c:v>51.250900000000001</c:v>
                </c:pt>
                <c:pt idx="54">
                  <c:v>51.654800000000002</c:v>
                </c:pt>
                <c:pt idx="55">
                  <c:v>52.062899999999999</c:v>
                </c:pt>
                <c:pt idx="56">
                  <c:v>52.468600000000002</c:v>
                </c:pt>
                <c:pt idx="57">
                  <c:v>52.872500000000002</c:v>
                </c:pt>
                <c:pt idx="58">
                  <c:v>53.284399999999998</c:v>
                </c:pt>
                <c:pt idx="59">
                  <c:v>53.685499999999998</c:v>
                </c:pt>
                <c:pt idx="60">
                  <c:v>54.091700000000003</c:v>
                </c:pt>
                <c:pt idx="61">
                  <c:v>54.5002</c:v>
                </c:pt>
                <c:pt idx="62">
                  <c:v>54.907200000000003</c:v>
                </c:pt>
                <c:pt idx="63">
                  <c:v>55.312100000000001</c:v>
                </c:pt>
                <c:pt idx="64">
                  <c:v>55.716900000000003</c:v>
                </c:pt>
                <c:pt idx="65">
                  <c:v>56.123100000000001</c:v>
                </c:pt>
                <c:pt idx="66">
                  <c:v>56.532800000000002</c:v>
                </c:pt>
                <c:pt idx="67">
                  <c:v>56.9377</c:v>
                </c:pt>
                <c:pt idx="68">
                  <c:v>57.345799999999997</c:v>
                </c:pt>
                <c:pt idx="69">
                  <c:v>57.747500000000002</c:v>
                </c:pt>
                <c:pt idx="70">
                  <c:v>58.154499999999999</c:v>
                </c:pt>
                <c:pt idx="71">
                  <c:v>58.564300000000003</c:v>
                </c:pt>
                <c:pt idx="72">
                  <c:v>58.968299999999999</c:v>
                </c:pt>
                <c:pt idx="73">
                  <c:v>59.375599999999999</c:v>
                </c:pt>
                <c:pt idx="74">
                  <c:v>59.783099999999997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53.7408</c:v>
                </c:pt>
                <c:pt idx="1">
                  <c:v>54.275500000000001</c:v>
                </c:pt>
                <c:pt idx="2">
                  <c:v>54.9724</c:v>
                </c:pt>
                <c:pt idx="3">
                  <c:v>55.543100000000003</c:v>
                </c:pt>
                <c:pt idx="4">
                  <c:v>56.165200000000006</c:v>
                </c:pt>
                <c:pt idx="5">
                  <c:v>56.85</c:v>
                </c:pt>
                <c:pt idx="6">
                  <c:v>57.548600000000008</c:v>
                </c:pt>
                <c:pt idx="7">
                  <c:v>58.171900000000001</c:v>
                </c:pt>
                <c:pt idx="8">
                  <c:v>58.713700000000003</c:v>
                </c:pt>
                <c:pt idx="9">
                  <c:v>59.152499999999996</c:v>
                </c:pt>
                <c:pt idx="10">
                  <c:v>59.398099999999999</c:v>
                </c:pt>
                <c:pt idx="11">
                  <c:v>59.5336</c:v>
                </c:pt>
                <c:pt idx="12">
                  <c:v>59.572199999999995</c:v>
                </c:pt>
                <c:pt idx="13">
                  <c:v>59.500399999999999</c:v>
                </c:pt>
                <c:pt idx="14">
                  <c:v>59.375199999999992</c:v>
                </c:pt>
                <c:pt idx="15">
                  <c:v>59.179000000000002</c:v>
                </c:pt>
                <c:pt idx="16">
                  <c:v>58.945800000000006</c:v>
                </c:pt>
                <c:pt idx="17">
                  <c:v>58.629600000000003</c:v>
                </c:pt>
                <c:pt idx="18">
                  <c:v>58.142700000000005</c:v>
                </c:pt>
                <c:pt idx="19">
                  <c:v>57.477599999999995</c:v>
                </c:pt>
                <c:pt idx="20">
                  <c:v>56.630499999999998</c:v>
                </c:pt>
                <c:pt idx="21">
                  <c:v>55.631799999999998</c:v>
                </c:pt>
                <c:pt idx="22">
                  <c:v>54.545000000000002</c:v>
                </c:pt>
                <c:pt idx="23">
                  <c:v>53.374999999999993</c:v>
                </c:pt>
                <c:pt idx="24">
                  <c:v>52.162500000000001</c:v>
                </c:pt>
                <c:pt idx="25">
                  <c:v>50.962700000000005</c:v>
                </c:pt>
                <c:pt idx="26">
                  <c:v>49.728099999999998</c:v>
                </c:pt>
                <c:pt idx="27">
                  <c:v>48.521999999999998</c:v>
                </c:pt>
                <c:pt idx="28">
                  <c:v>47.384999999999998</c:v>
                </c:pt>
                <c:pt idx="29">
                  <c:v>46.268799999999999</c:v>
                </c:pt>
                <c:pt idx="30">
                  <c:v>45.280300000000004</c:v>
                </c:pt>
                <c:pt idx="31">
                  <c:v>44.429699999999997</c:v>
                </c:pt>
                <c:pt idx="32">
                  <c:v>43.554200000000002</c:v>
                </c:pt>
                <c:pt idx="33">
                  <c:v>42.732799999999997</c:v>
                </c:pt>
                <c:pt idx="34">
                  <c:v>42.112899999999996</c:v>
                </c:pt>
                <c:pt idx="35">
                  <c:v>41.6295</c:v>
                </c:pt>
                <c:pt idx="36">
                  <c:v>41.242000000000004</c:v>
                </c:pt>
                <c:pt idx="37">
                  <c:v>40.931800000000003</c:v>
                </c:pt>
                <c:pt idx="38">
                  <c:v>40.748200000000004</c:v>
                </c:pt>
                <c:pt idx="39">
                  <c:v>40.676099999999998</c:v>
                </c:pt>
                <c:pt idx="40">
                  <c:v>40.675800000000002</c:v>
                </c:pt>
                <c:pt idx="41">
                  <c:v>40.730400000000003</c:v>
                </c:pt>
                <c:pt idx="42">
                  <c:v>40.804899999999996</c:v>
                </c:pt>
                <c:pt idx="43">
                  <c:v>40.921500000000002</c:v>
                </c:pt>
                <c:pt idx="44">
                  <c:v>41.0456</c:v>
                </c:pt>
                <c:pt idx="45">
                  <c:v>41.156300000000002</c:v>
                </c:pt>
                <c:pt idx="46">
                  <c:v>41.255299999999998</c:v>
                </c:pt>
                <c:pt idx="47">
                  <c:v>41.376400000000004</c:v>
                </c:pt>
                <c:pt idx="48">
                  <c:v>41.499900000000004</c:v>
                </c:pt>
                <c:pt idx="49">
                  <c:v>41.668699999999994</c:v>
                </c:pt>
                <c:pt idx="50">
                  <c:v>41.856700000000004</c:v>
                </c:pt>
                <c:pt idx="51">
                  <c:v>41.963000000000001</c:v>
                </c:pt>
                <c:pt idx="52">
                  <c:v>42.090299999999999</c:v>
                </c:pt>
                <c:pt idx="53">
                  <c:v>42.2408</c:v>
                </c:pt>
                <c:pt idx="54">
                  <c:v>42.495699999999999</c:v>
                </c:pt>
                <c:pt idx="55">
                  <c:v>42.770899999999997</c:v>
                </c:pt>
                <c:pt idx="56">
                  <c:v>43.041699999999999</c:v>
                </c:pt>
                <c:pt idx="57">
                  <c:v>43.467599999999997</c:v>
                </c:pt>
                <c:pt idx="58">
                  <c:v>44.0366</c:v>
                </c:pt>
                <c:pt idx="59">
                  <c:v>44.527999999999999</c:v>
                </c:pt>
                <c:pt idx="60">
                  <c:v>44.996199999999995</c:v>
                </c:pt>
                <c:pt idx="61">
                  <c:v>45.438600000000001</c:v>
                </c:pt>
                <c:pt idx="62">
                  <c:v>45.927599999999998</c:v>
                </c:pt>
                <c:pt idx="63">
                  <c:v>46.417000000000002</c:v>
                </c:pt>
                <c:pt idx="64">
                  <c:v>46.817799999999998</c:v>
                </c:pt>
                <c:pt idx="65">
                  <c:v>47.115000000000002</c:v>
                </c:pt>
                <c:pt idx="66">
                  <c:v>47.316800000000001</c:v>
                </c:pt>
                <c:pt idx="67">
                  <c:v>47.522799999999997</c:v>
                </c:pt>
                <c:pt idx="68">
                  <c:v>47.597299999999997</c:v>
                </c:pt>
                <c:pt idx="69">
                  <c:v>47.534399999999998</c:v>
                </c:pt>
                <c:pt idx="70">
                  <c:v>47.516999999999996</c:v>
                </c:pt>
                <c:pt idx="71">
                  <c:v>47.4923</c:v>
                </c:pt>
                <c:pt idx="72">
                  <c:v>47.408799999999999</c:v>
                </c:pt>
                <c:pt idx="73">
                  <c:v>47.782899999999998</c:v>
                </c:pt>
                <c:pt idx="74">
                  <c:v>47.750399999999999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46.235599999999998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46.235599999999998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46.235599999999998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46.235599999999998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46.235599999999998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46.235599999999998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46.235599999999998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46.235599999999998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46.235599999999998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46.235599999999998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46.235599999999998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46.235599999999998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46.235599999999998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46.235599999999998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46.235599999999998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46.235599999999998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46.235599999999998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46.235599999999998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46.235599999999998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46.235599999999998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46.235599999999998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46.235599999999998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14.945774999999999</c:v>
                </c:pt>
                <c:pt idx="1">
                  <c:v>44.837325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45.34175945945946</c:v>
                </c:pt>
                <c:pt idx="1">
                  <c:v>48.431851351351362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3.3662100000000001</c:v>
                </c:pt>
                <c:pt idx="1">
                  <c:v>3.3807799999999997</c:v>
                </c:pt>
                <c:pt idx="2">
                  <c:v>3.39575</c:v>
                </c:pt>
                <c:pt idx="3">
                  <c:v>3.4131299999999998</c:v>
                </c:pt>
                <c:pt idx="4">
                  <c:v>3.4339599999999999</c:v>
                </c:pt>
                <c:pt idx="5">
                  <c:v>3.4603999999999999</c:v>
                </c:pt>
                <c:pt idx="6">
                  <c:v>3.48875</c:v>
                </c:pt>
                <c:pt idx="7">
                  <c:v>3.5147899999999996</c:v>
                </c:pt>
                <c:pt idx="8">
                  <c:v>3.5395700000000003</c:v>
                </c:pt>
                <c:pt idx="9">
                  <c:v>3.5640200000000002</c:v>
                </c:pt>
                <c:pt idx="10">
                  <c:v>3.5846299999999998</c:v>
                </c:pt>
                <c:pt idx="11">
                  <c:v>3.5979000000000001</c:v>
                </c:pt>
                <c:pt idx="12">
                  <c:v>3.6047800000000003</c:v>
                </c:pt>
                <c:pt idx="13">
                  <c:v>3.609</c:v>
                </c:pt>
                <c:pt idx="14">
                  <c:v>3.6111900000000001</c:v>
                </c:pt>
                <c:pt idx="15">
                  <c:v>3.6087699999999998</c:v>
                </c:pt>
                <c:pt idx="16">
                  <c:v>3.6063800000000001</c:v>
                </c:pt>
                <c:pt idx="17">
                  <c:v>3.6002800000000001</c:v>
                </c:pt>
                <c:pt idx="18">
                  <c:v>3.5892900000000001</c:v>
                </c:pt>
                <c:pt idx="19">
                  <c:v>3.5731700000000002</c:v>
                </c:pt>
                <c:pt idx="20">
                  <c:v>3.5552800000000002</c:v>
                </c:pt>
                <c:pt idx="21">
                  <c:v>3.5331899999999998</c:v>
                </c:pt>
                <c:pt idx="22">
                  <c:v>3.5074300000000003</c:v>
                </c:pt>
                <c:pt idx="23">
                  <c:v>3.47939</c:v>
                </c:pt>
                <c:pt idx="24">
                  <c:v>3.4470299999999998</c:v>
                </c:pt>
                <c:pt idx="25">
                  <c:v>3.4129300000000002</c:v>
                </c:pt>
                <c:pt idx="26">
                  <c:v>3.3812799999999998</c:v>
                </c:pt>
                <c:pt idx="27">
                  <c:v>3.3535399999999997</c:v>
                </c:pt>
                <c:pt idx="28">
                  <c:v>3.3238400000000001</c:v>
                </c:pt>
                <c:pt idx="29">
                  <c:v>3.2911899999999998</c:v>
                </c:pt>
                <c:pt idx="30">
                  <c:v>3.25461</c:v>
                </c:pt>
                <c:pt idx="31">
                  <c:v>3.2127299999999996</c:v>
                </c:pt>
                <c:pt idx="32">
                  <c:v>3.1717299999999997</c:v>
                </c:pt>
                <c:pt idx="33">
                  <c:v>3.1331899999999999</c:v>
                </c:pt>
                <c:pt idx="34">
                  <c:v>3.0960900000000002</c:v>
                </c:pt>
                <c:pt idx="35">
                  <c:v>3.06359</c:v>
                </c:pt>
                <c:pt idx="36">
                  <c:v>3.0393599999999998</c:v>
                </c:pt>
                <c:pt idx="37">
                  <c:v>3.0217200000000002</c:v>
                </c:pt>
                <c:pt idx="38">
                  <c:v>3.0059900000000002</c:v>
                </c:pt>
                <c:pt idx="39">
                  <c:v>2.9924299999999997</c:v>
                </c:pt>
                <c:pt idx="40">
                  <c:v>2.9854099999999999</c:v>
                </c:pt>
                <c:pt idx="41">
                  <c:v>2.9775800000000001</c:v>
                </c:pt>
                <c:pt idx="42">
                  <c:v>2.97315</c:v>
                </c:pt>
                <c:pt idx="43">
                  <c:v>2.9705300000000001</c:v>
                </c:pt>
                <c:pt idx="44">
                  <c:v>2.9682999999999997</c:v>
                </c:pt>
                <c:pt idx="45">
                  <c:v>2.96306</c:v>
                </c:pt>
                <c:pt idx="46">
                  <c:v>2.9575299999999998</c:v>
                </c:pt>
                <c:pt idx="47">
                  <c:v>2.9523100000000002</c:v>
                </c:pt>
                <c:pt idx="48">
                  <c:v>2.944</c:v>
                </c:pt>
                <c:pt idx="49">
                  <c:v>2.9316900000000001</c:v>
                </c:pt>
                <c:pt idx="50">
                  <c:v>2.9256799999999998</c:v>
                </c:pt>
                <c:pt idx="51">
                  <c:v>2.9135</c:v>
                </c:pt>
                <c:pt idx="52">
                  <c:v>2.9013499999999999</c:v>
                </c:pt>
                <c:pt idx="53">
                  <c:v>2.8913600000000002</c:v>
                </c:pt>
                <c:pt idx="54">
                  <c:v>2.88117</c:v>
                </c:pt>
                <c:pt idx="55">
                  <c:v>2.8717300000000003</c:v>
                </c:pt>
                <c:pt idx="56">
                  <c:v>2.8618199999999998</c:v>
                </c:pt>
                <c:pt idx="57">
                  <c:v>2.8496999999999999</c:v>
                </c:pt>
                <c:pt idx="58">
                  <c:v>2.8367599999999999</c:v>
                </c:pt>
                <c:pt idx="59">
                  <c:v>2.8224</c:v>
                </c:pt>
                <c:pt idx="60">
                  <c:v>2.8069600000000001</c:v>
                </c:pt>
                <c:pt idx="61">
                  <c:v>2.7871899999999998</c:v>
                </c:pt>
                <c:pt idx="62">
                  <c:v>2.7645300000000002</c:v>
                </c:pt>
                <c:pt idx="63">
                  <c:v>2.7400099999999998</c:v>
                </c:pt>
                <c:pt idx="64">
                  <c:v>2.7151700000000001</c:v>
                </c:pt>
                <c:pt idx="65">
                  <c:v>2.6870100000000003</c:v>
                </c:pt>
                <c:pt idx="66">
                  <c:v>2.6569500000000001</c:v>
                </c:pt>
                <c:pt idx="67">
                  <c:v>2.6230700000000002</c:v>
                </c:pt>
                <c:pt idx="68">
                  <c:v>2.58962</c:v>
                </c:pt>
                <c:pt idx="69">
                  <c:v>2.5608900000000001</c:v>
                </c:pt>
                <c:pt idx="70">
                  <c:v>2.5365900000000003</c:v>
                </c:pt>
                <c:pt idx="71">
                  <c:v>2.5155400000000001</c:v>
                </c:pt>
                <c:pt idx="72">
                  <c:v>2.4958200000000001</c:v>
                </c:pt>
                <c:pt idx="73">
                  <c:v>2.48109</c:v>
                </c:pt>
                <c:pt idx="74">
                  <c:v>2.47288</c:v>
                </c:pt>
                <c:pt idx="75">
                  <c:v>2.4653900000000002</c:v>
                </c:pt>
                <c:pt idx="76">
                  <c:v>2.4581900000000001</c:v>
                </c:pt>
                <c:pt idx="77">
                  <c:v>2.4498899999999999</c:v>
                </c:pt>
                <c:pt idx="78">
                  <c:v>2.4397099999999998</c:v>
                </c:pt>
                <c:pt idx="79">
                  <c:v>2.4296699999999998</c:v>
                </c:pt>
                <c:pt idx="80">
                  <c:v>2.4220000000000002</c:v>
                </c:pt>
                <c:pt idx="81">
                  <c:v>2.4191699999999998</c:v>
                </c:pt>
                <c:pt idx="82">
                  <c:v>2.4215400000000002</c:v>
                </c:pt>
                <c:pt idx="83">
                  <c:v>2.4267099999999999</c:v>
                </c:pt>
                <c:pt idx="84">
                  <c:v>2.43458</c:v>
                </c:pt>
                <c:pt idx="85">
                  <c:v>2.4436100000000001</c:v>
                </c:pt>
                <c:pt idx="86">
                  <c:v>2.4534600000000002</c:v>
                </c:pt>
                <c:pt idx="87">
                  <c:v>2.4633699999999998</c:v>
                </c:pt>
                <c:pt idx="88">
                  <c:v>2.4730599999999998</c:v>
                </c:pt>
                <c:pt idx="89">
                  <c:v>2.4811199999999998</c:v>
                </c:pt>
                <c:pt idx="90">
                  <c:v>2.4900500000000001</c:v>
                </c:pt>
                <c:pt idx="91">
                  <c:v>2.5006499999999998</c:v>
                </c:pt>
                <c:pt idx="92">
                  <c:v>2.5162499999999999</c:v>
                </c:pt>
                <c:pt idx="93">
                  <c:v>2.5361899999999999</c:v>
                </c:pt>
                <c:pt idx="94">
                  <c:v>2.5596799999999997</c:v>
                </c:pt>
                <c:pt idx="95">
                  <c:v>2.5856400000000002</c:v>
                </c:pt>
                <c:pt idx="96">
                  <c:v>2.6140999999999996</c:v>
                </c:pt>
                <c:pt idx="97">
                  <c:v>2.6447099999999999</c:v>
                </c:pt>
                <c:pt idx="98">
                  <c:v>2.6778499999999998</c:v>
                </c:pt>
                <c:pt idx="99">
                  <c:v>2.7151799999999997</c:v>
                </c:pt>
                <c:pt idx="100">
                  <c:v>2.7549200000000003</c:v>
                </c:pt>
                <c:pt idx="101">
                  <c:v>2.7959800000000001</c:v>
                </c:pt>
                <c:pt idx="102">
                  <c:v>2.8368599999999997</c:v>
                </c:pt>
                <c:pt idx="103">
                  <c:v>2.8773500000000003</c:v>
                </c:pt>
                <c:pt idx="104">
                  <c:v>2.9165600000000005</c:v>
                </c:pt>
                <c:pt idx="105">
                  <c:v>2.95892</c:v>
                </c:pt>
                <c:pt idx="106">
                  <c:v>3.00197</c:v>
                </c:pt>
                <c:pt idx="107">
                  <c:v>3.0397600000000002</c:v>
                </c:pt>
                <c:pt idx="108">
                  <c:v>3.07334</c:v>
                </c:pt>
                <c:pt idx="109">
                  <c:v>3.1044</c:v>
                </c:pt>
                <c:pt idx="110">
                  <c:v>3.1330400000000003</c:v>
                </c:pt>
                <c:pt idx="111">
                  <c:v>3.1585800000000002</c:v>
                </c:pt>
                <c:pt idx="112">
                  <c:v>3.1806000000000001</c:v>
                </c:pt>
                <c:pt idx="113">
                  <c:v>3.1985400000000004</c:v>
                </c:pt>
                <c:pt idx="114">
                  <c:v>3.2135799999999999</c:v>
                </c:pt>
                <c:pt idx="115">
                  <c:v>3.2265300000000003</c:v>
                </c:pt>
                <c:pt idx="116">
                  <c:v>3.2359100000000001</c:v>
                </c:pt>
                <c:pt idx="117">
                  <c:v>3.2412900000000002</c:v>
                </c:pt>
                <c:pt idx="118">
                  <c:v>3.2434699999999999</c:v>
                </c:pt>
                <c:pt idx="119">
                  <c:v>3.2410800000000002</c:v>
                </c:pt>
                <c:pt idx="120">
                  <c:v>3.2359800000000001</c:v>
                </c:pt>
                <c:pt idx="121">
                  <c:v>3.2292800000000002</c:v>
                </c:pt>
                <c:pt idx="122">
                  <c:v>3.2189699999999997</c:v>
                </c:pt>
                <c:pt idx="123">
                  <c:v>3.20703</c:v>
                </c:pt>
                <c:pt idx="124">
                  <c:v>3.2037399999999998</c:v>
                </c:pt>
                <c:pt idx="125">
                  <c:v>3.1974200000000002</c:v>
                </c:pt>
                <c:pt idx="126">
                  <c:v>3.1886299999999999</c:v>
                </c:pt>
                <c:pt idx="127">
                  <c:v>3.1778599999999999</c:v>
                </c:pt>
                <c:pt idx="128">
                  <c:v>3.1655800000000003</c:v>
                </c:pt>
                <c:pt idx="129">
                  <c:v>3.15286</c:v>
                </c:pt>
                <c:pt idx="130">
                  <c:v>3.1344699999999999</c:v>
                </c:pt>
                <c:pt idx="131">
                  <c:v>3.1119699999999999</c:v>
                </c:pt>
                <c:pt idx="132">
                  <c:v>3.0908200000000003</c:v>
                </c:pt>
                <c:pt idx="133">
                  <c:v>3.0707</c:v>
                </c:pt>
                <c:pt idx="134">
                  <c:v>3.0496499999999997</c:v>
                </c:pt>
                <c:pt idx="135">
                  <c:v>3.0274000000000001</c:v>
                </c:pt>
                <c:pt idx="136">
                  <c:v>3.0043899999999999</c:v>
                </c:pt>
                <c:pt idx="137">
                  <c:v>2.98393</c:v>
                </c:pt>
                <c:pt idx="138">
                  <c:v>2.9678599999999999</c:v>
                </c:pt>
                <c:pt idx="139">
                  <c:v>2.9554900000000002</c:v>
                </c:pt>
                <c:pt idx="140">
                  <c:v>2.94373</c:v>
                </c:pt>
                <c:pt idx="141">
                  <c:v>2.9356800000000001</c:v>
                </c:pt>
                <c:pt idx="142">
                  <c:v>2.9280900000000001</c:v>
                </c:pt>
                <c:pt idx="143">
                  <c:v>2.9169299999999998</c:v>
                </c:pt>
                <c:pt idx="144">
                  <c:v>2.90944</c:v>
                </c:pt>
                <c:pt idx="145">
                  <c:v>2.9033199999999999</c:v>
                </c:pt>
                <c:pt idx="146">
                  <c:v>2.8873500000000001</c:v>
                </c:pt>
                <c:pt idx="147">
                  <c:v>2.8934100000000003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46.235599999999998</c:v>
                </c:pt>
                <c:pt idx="1">
                  <c:v>46.169900000000005</c:v>
                </c:pt>
                <c:pt idx="2">
                  <c:v>46.013799999999996</c:v>
                </c:pt>
                <c:pt idx="3">
                  <c:v>45.851300000000002</c:v>
                </c:pt>
                <c:pt idx="4">
                  <c:v>45.669399999999996</c:v>
                </c:pt>
                <c:pt idx="5">
                  <c:v>45.429499999999997</c:v>
                </c:pt>
                <c:pt idx="6">
                  <c:v>45.16</c:v>
                </c:pt>
                <c:pt idx="7">
                  <c:v>44.835799999999999</c:v>
                </c:pt>
                <c:pt idx="8">
                  <c:v>44.413499999999999</c:v>
                </c:pt>
                <c:pt idx="9">
                  <c:v>43.987400000000001</c:v>
                </c:pt>
                <c:pt idx="10">
                  <c:v>43.68</c:v>
                </c:pt>
                <c:pt idx="11">
                  <c:v>43.430400000000006</c:v>
                </c:pt>
                <c:pt idx="12">
                  <c:v>43.215800000000002</c:v>
                </c:pt>
                <c:pt idx="13">
                  <c:v>43.026899999999998</c:v>
                </c:pt>
                <c:pt idx="14">
                  <c:v>42.848199999999999</c:v>
                </c:pt>
                <c:pt idx="15">
                  <c:v>42.613199999999999</c:v>
                </c:pt>
                <c:pt idx="16">
                  <c:v>42.427599999999998</c:v>
                </c:pt>
                <c:pt idx="17">
                  <c:v>42.220800000000004</c:v>
                </c:pt>
                <c:pt idx="18">
                  <c:v>42.032000000000004</c:v>
                </c:pt>
                <c:pt idx="19">
                  <c:v>41.838900000000002</c:v>
                </c:pt>
                <c:pt idx="20">
                  <c:v>41.655999999999999</c:v>
                </c:pt>
                <c:pt idx="21">
                  <c:v>41.490300000000005</c:v>
                </c:pt>
                <c:pt idx="22">
                  <c:v>41.293100000000003</c:v>
                </c:pt>
                <c:pt idx="23">
                  <c:v>41.101399999999998</c:v>
                </c:pt>
                <c:pt idx="24">
                  <c:v>40.9863</c:v>
                </c:pt>
                <c:pt idx="25">
                  <c:v>40.927100000000003</c:v>
                </c:pt>
                <c:pt idx="26">
                  <c:v>40.926699999999997</c:v>
                </c:pt>
                <c:pt idx="27">
                  <c:v>41.033500000000004</c:v>
                </c:pt>
                <c:pt idx="28">
                  <c:v>41.170899999999996</c:v>
                </c:pt>
                <c:pt idx="29">
                  <c:v>41.417700000000004</c:v>
                </c:pt>
                <c:pt idx="30">
                  <c:v>41.750900000000001</c:v>
                </c:pt>
                <c:pt idx="31">
                  <c:v>42.217300000000002</c:v>
                </c:pt>
                <c:pt idx="32">
                  <c:v>42.805900000000001</c:v>
                </c:pt>
                <c:pt idx="33">
                  <c:v>43.5212</c:v>
                </c:pt>
                <c:pt idx="34">
                  <c:v>44.299500000000002</c:v>
                </c:pt>
                <c:pt idx="35">
                  <c:v>44.965699999999998</c:v>
                </c:pt>
                <c:pt idx="36">
                  <c:v>45.4876</c:v>
                </c:pt>
                <c:pt idx="37">
                  <c:v>45.812199999999997</c:v>
                </c:pt>
                <c:pt idx="38">
                  <c:v>46.071600000000004</c:v>
                </c:pt>
                <c:pt idx="39">
                  <c:v>46.308199999999999</c:v>
                </c:pt>
                <c:pt idx="40">
                  <c:v>46.463700000000003</c:v>
                </c:pt>
                <c:pt idx="41">
                  <c:v>46.647800000000004</c:v>
                </c:pt>
                <c:pt idx="42">
                  <c:v>46.8277</c:v>
                </c:pt>
                <c:pt idx="43">
                  <c:v>46.903599999999997</c:v>
                </c:pt>
                <c:pt idx="44">
                  <c:v>46.889199999999995</c:v>
                </c:pt>
                <c:pt idx="45">
                  <c:v>46.886400000000002</c:v>
                </c:pt>
                <c:pt idx="46">
                  <c:v>46.847299999999997</c:v>
                </c:pt>
                <c:pt idx="47">
                  <c:v>46.872700000000002</c:v>
                </c:pt>
                <c:pt idx="48">
                  <c:v>46.888500000000001</c:v>
                </c:pt>
                <c:pt idx="49">
                  <c:v>46.863900000000001</c:v>
                </c:pt>
                <c:pt idx="50">
                  <c:v>46.786299999999997</c:v>
                </c:pt>
                <c:pt idx="51">
                  <c:v>46.703899999999997</c:v>
                </c:pt>
                <c:pt idx="52">
                  <c:v>46.628599999999999</c:v>
                </c:pt>
                <c:pt idx="53">
                  <c:v>46.533900000000003</c:v>
                </c:pt>
                <c:pt idx="54">
                  <c:v>46.421300000000002</c:v>
                </c:pt>
                <c:pt idx="55">
                  <c:v>46.339100000000002</c:v>
                </c:pt>
                <c:pt idx="56">
                  <c:v>46.223999999999997</c:v>
                </c:pt>
                <c:pt idx="57">
                  <c:v>46.063200000000002</c:v>
                </c:pt>
                <c:pt idx="58">
                  <c:v>45.929199999999994</c:v>
                </c:pt>
                <c:pt idx="59">
                  <c:v>45.8536</c:v>
                </c:pt>
                <c:pt idx="60">
                  <c:v>45.854800000000004</c:v>
                </c:pt>
                <c:pt idx="61">
                  <c:v>45.964199999999998</c:v>
                </c:pt>
                <c:pt idx="62">
                  <c:v>46.19</c:v>
                </c:pt>
                <c:pt idx="63">
                  <c:v>46.5137</c:v>
                </c:pt>
                <c:pt idx="64">
                  <c:v>46.919899999999998</c:v>
                </c:pt>
                <c:pt idx="65">
                  <c:v>47.498000000000005</c:v>
                </c:pt>
                <c:pt idx="66">
                  <c:v>48.1614</c:v>
                </c:pt>
                <c:pt idx="67">
                  <c:v>48.953799999999994</c:v>
                </c:pt>
                <c:pt idx="68">
                  <c:v>49.831099999999999</c:v>
                </c:pt>
                <c:pt idx="69">
                  <c:v>50.722900000000003</c:v>
                </c:pt>
                <c:pt idx="70">
                  <c:v>51.558099999999996</c:v>
                </c:pt>
                <c:pt idx="71">
                  <c:v>52.373000000000005</c:v>
                </c:pt>
                <c:pt idx="72">
                  <c:v>53.091500000000003</c:v>
                </c:pt>
                <c:pt idx="73">
                  <c:v>53.7408</c:v>
                </c:pt>
                <c:pt idx="74">
                  <c:v>54.275500000000001</c:v>
                </c:pt>
                <c:pt idx="75">
                  <c:v>54.9724</c:v>
                </c:pt>
                <c:pt idx="76">
                  <c:v>55.543100000000003</c:v>
                </c:pt>
                <c:pt idx="77">
                  <c:v>56.165200000000006</c:v>
                </c:pt>
                <c:pt idx="78">
                  <c:v>56.85</c:v>
                </c:pt>
                <c:pt idx="79">
                  <c:v>57.548600000000008</c:v>
                </c:pt>
                <c:pt idx="80">
                  <c:v>58.171900000000001</c:v>
                </c:pt>
                <c:pt idx="81">
                  <c:v>58.713700000000003</c:v>
                </c:pt>
                <c:pt idx="82">
                  <c:v>59.152499999999996</c:v>
                </c:pt>
                <c:pt idx="83">
                  <c:v>59.398099999999999</c:v>
                </c:pt>
                <c:pt idx="84">
                  <c:v>59.5336</c:v>
                </c:pt>
                <c:pt idx="85">
                  <c:v>59.572199999999995</c:v>
                </c:pt>
                <c:pt idx="86">
                  <c:v>59.500399999999999</c:v>
                </c:pt>
                <c:pt idx="87">
                  <c:v>59.375199999999992</c:v>
                </c:pt>
                <c:pt idx="88">
                  <c:v>59.179000000000002</c:v>
                </c:pt>
                <c:pt idx="89">
                  <c:v>58.945800000000006</c:v>
                </c:pt>
                <c:pt idx="90">
                  <c:v>58.629600000000003</c:v>
                </c:pt>
                <c:pt idx="91">
                  <c:v>58.142700000000005</c:v>
                </c:pt>
                <c:pt idx="92">
                  <c:v>57.477599999999995</c:v>
                </c:pt>
                <c:pt idx="93">
                  <c:v>56.630499999999998</c:v>
                </c:pt>
                <c:pt idx="94">
                  <c:v>55.631799999999998</c:v>
                </c:pt>
                <c:pt idx="95">
                  <c:v>54.545000000000002</c:v>
                </c:pt>
                <c:pt idx="96">
                  <c:v>53.374999999999993</c:v>
                </c:pt>
                <c:pt idx="97">
                  <c:v>52.162500000000001</c:v>
                </c:pt>
                <c:pt idx="98">
                  <c:v>50.962700000000005</c:v>
                </c:pt>
                <c:pt idx="99">
                  <c:v>49.728099999999998</c:v>
                </c:pt>
                <c:pt idx="100">
                  <c:v>48.521999999999998</c:v>
                </c:pt>
                <c:pt idx="101">
                  <c:v>47.384999999999998</c:v>
                </c:pt>
                <c:pt idx="102">
                  <c:v>46.268799999999999</c:v>
                </c:pt>
                <c:pt idx="103">
                  <c:v>45.280300000000004</c:v>
                </c:pt>
                <c:pt idx="104">
                  <c:v>44.429699999999997</c:v>
                </c:pt>
                <c:pt idx="105">
                  <c:v>43.554200000000002</c:v>
                </c:pt>
                <c:pt idx="106">
                  <c:v>42.732799999999997</c:v>
                </c:pt>
                <c:pt idx="107">
                  <c:v>42.112899999999996</c:v>
                </c:pt>
                <c:pt idx="108">
                  <c:v>41.6295</c:v>
                </c:pt>
                <c:pt idx="109">
                  <c:v>41.242000000000004</c:v>
                </c:pt>
                <c:pt idx="110">
                  <c:v>40.931800000000003</c:v>
                </c:pt>
                <c:pt idx="111">
                  <c:v>40.748200000000004</c:v>
                </c:pt>
                <c:pt idx="112">
                  <c:v>40.676099999999998</c:v>
                </c:pt>
                <c:pt idx="113">
                  <c:v>40.675800000000002</c:v>
                </c:pt>
                <c:pt idx="114">
                  <c:v>40.730400000000003</c:v>
                </c:pt>
                <c:pt idx="115">
                  <c:v>40.804899999999996</c:v>
                </c:pt>
                <c:pt idx="116">
                  <c:v>40.921500000000002</c:v>
                </c:pt>
                <c:pt idx="117">
                  <c:v>41.0456</c:v>
                </c:pt>
                <c:pt idx="118">
                  <c:v>41.156300000000002</c:v>
                </c:pt>
                <c:pt idx="119">
                  <c:v>41.255299999999998</c:v>
                </c:pt>
                <c:pt idx="120">
                  <c:v>41.376400000000004</c:v>
                </c:pt>
                <c:pt idx="121">
                  <c:v>41.499900000000004</c:v>
                </c:pt>
                <c:pt idx="122">
                  <c:v>41.668699999999994</c:v>
                </c:pt>
                <c:pt idx="123">
                  <c:v>41.856700000000004</c:v>
                </c:pt>
                <c:pt idx="124">
                  <c:v>41.963000000000001</c:v>
                </c:pt>
                <c:pt idx="125">
                  <c:v>42.090299999999999</c:v>
                </c:pt>
                <c:pt idx="126">
                  <c:v>42.2408</c:v>
                </c:pt>
                <c:pt idx="127">
                  <c:v>42.495699999999999</c:v>
                </c:pt>
                <c:pt idx="128">
                  <c:v>42.770899999999997</c:v>
                </c:pt>
                <c:pt idx="129">
                  <c:v>43.041699999999999</c:v>
                </c:pt>
                <c:pt idx="130">
                  <c:v>43.467599999999997</c:v>
                </c:pt>
                <c:pt idx="131">
                  <c:v>44.0366</c:v>
                </c:pt>
                <c:pt idx="132">
                  <c:v>44.527999999999999</c:v>
                </c:pt>
                <c:pt idx="133">
                  <c:v>44.996199999999995</c:v>
                </c:pt>
                <c:pt idx="134">
                  <c:v>45.438600000000001</c:v>
                </c:pt>
                <c:pt idx="135">
                  <c:v>45.927599999999998</c:v>
                </c:pt>
                <c:pt idx="136">
                  <c:v>46.417000000000002</c:v>
                </c:pt>
                <c:pt idx="137">
                  <c:v>46.817799999999998</c:v>
                </c:pt>
                <c:pt idx="138">
                  <c:v>47.115000000000002</c:v>
                </c:pt>
                <c:pt idx="139">
                  <c:v>47.316800000000001</c:v>
                </c:pt>
                <c:pt idx="140">
                  <c:v>47.522799999999997</c:v>
                </c:pt>
                <c:pt idx="141">
                  <c:v>47.597299999999997</c:v>
                </c:pt>
                <c:pt idx="142">
                  <c:v>47.534399999999998</c:v>
                </c:pt>
                <c:pt idx="143">
                  <c:v>47.516999999999996</c:v>
                </c:pt>
                <c:pt idx="144">
                  <c:v>47.4923</c:v>
                </c:pt>
                <c:pt idx="145">
                  <c:v>47.408799999999999</c:v>
                </c:pt>
                <c:pt idx="146">
                  <c:v>47.782899999999998</c:v>
                </c:pt>
                <c:pt idx="147">
                  <c:v>47.750399999999999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3.3662100000000001</c:v>
                </c:pt>
                <c:pt idx="1">
                  <c:v>3.3807799999999997</c:v>
                </c:pt>
                <c:pt idx="2">
                  <c:v>3.39575</c:v>
                </c:pt>
                <c:pt idx="3">
                  <c:v>3.4131299999999998</c:v>
                </c:pt>
                <c:pt idx="4">
                  <c:v>3.4339599999999999</c:v>
                </c:pt>
                <c:pt idx="5">
                  <c:v>3.4603999999999999</c:v>
                </c:pt>
                <c:pt idx="6">
                  <c:v>3.48875</c:v>
                </c:pt>
                <c:pt idx="7">
                  <c:v>3.5147899999999996</c:v>
                </c:pt>
                <c:pt idx="8">
                  <c:v>3.5395700000000003</c:v>
                </c:pt>
                <c:pt idx="9">
                  <c:v>3.5640200000000002</c:v>
                </c:pt>
                <c:pt idx="10">
                  <c:v>3.5846299999999998</c:v>
                </c:pt>
                <c:pt idx="11">
                  <c:v>3.5979000000000001</c:v>
                </c:pt>
                <c:pt idx="12">
                  <c:v>3.6047800000000003</c:v>
                </c:pt>
                <c:pt idx="13">
                  <c:v>3.609</c:v>
                </c:pt>
                <c:pt idx="14">
                  <c:v>3.6111900000000001</c:v>
                </c:pt>
                <c:pt idx="15">
                  <c:v>3.6087699999999998</c:v>
                </c:pt>
                <c:pt idx="16">
                  <c:v>3.6063800000000001</c:v>
                </c:pt>
                <c:pt idx="17">
                  <c:v>3.6002800000000001</c:v>
                </c:pt>
                <c:pt idx="18">
                  <c:v>3.5892900000000001</c:v>
                </c:pt>
                <c:pt idx="19">
                  <c:v>3.5731700000000002</c:v>
                </c:pt>
                <c:pt idx="20">
                  <c:v>3.5552800000000002</c:v>
                </c:pt>
                <c:pt idx="21">
                  <c:v>3.5331899999999998</c:v>
                </c:pt>
                <c:pt idx="22">
                  <c:v>3.5074300000000003</c:v>
                </c:pt>
                <c:pt idx="23">
                  <c:v>3.47939</c:v>
                </c:pt>
                <c:pt idx="24">
                  <c:v>3.4470299999999998</c:v>
                </c:pt>
                <c:pt idx="25">
                  <c:v>3.4129300000000002</c:v>
                </c:pt>
                <c:pt idx="26">
                  <c:v>3.3812799999999998</c:v>
                </c:pt>
                <c:pt idx="27">
                  <c:v>3.3535399999999997</c:v>
                </c:pt>
                <c:pt idx="28">
                  <c:v>3.3238400000000001</c:v>
                </c:pt>
                <c:pt idx="29">
                  <c:v>3.2911899999999998</c:v>
                </c:pt>
                <c:pt idx="30">
                  <c:v>3.25461</c:v>
                </c:pt>
                <c:pt idx="31">
                  <c:v>3.2127299999999996</c:v>
                </c:pt>
                <c:pt idx="32">
                  <c:v>3.1717299999999997</c:v>
                </c:pt>
                <c:pt idx="33">
                  <c:v>3.1331899999999999</c:v>
                </c:pt>
                <c:pt idx="34">
                  <c:v>3.0960900000000002</c:v>
                </c:pt>
                <c:pt idx="35">
                  <c:v>3.06359</c:v>
                </c:pt>
                <c:pt idx="36">
                  <c:v>3.0393599999999998</c:v>
                </c:pt>
                <c:pt idx="37">
                  <c:v>3.0217200000000002</c:v>
                </c:pt>
                <c:pt idx="38">
                  <c:v>3.0059900000000002</c:v>
                </c:pt>
                <c:pt idx="39">
                  <c:v>2.9924299999999997</c:v>
                </c:pt>
                <c:pt idx="40">
                  <c:v>2.9854099999999999</c:v>
                </c:pt>
                <c:pt idx="41">
                  <c:v>2.9775800000000001</c:v>
                </c:pt>
                <c:pt idx="42">
                  <c:v>2.97315</c:v>
                </c:pt>
                <c:pt idx="43">
                  <c:v>2.9705300000000001</c:v>
                </c:pt>
                <c:pt idx="44">
                  <c:v>2.9682999999999997</c:v>
                </c:pt>
                <c:pt idx="45">
                  <c:v>2.96306</c:v>
                </c:pt>
                <c:pt idx="46">
                  <c:v>2.9575299999999998</c:v>
                </c:pt>
                <c:pt idx="47">
                  <c:v>2.9523100000000002</c:v>
                </c:pt>
                <c:pt idx="48">
                  <c:v>2.944</c:v>
                </c:pt>
                <c:pt idx="49">
                  <c:v>2.9316900000000001</c:v>
                </c:pt>
                <c:pt idx="50">
                  <c:v>2.9256799999999998</c:v>
                </c:pt>
                <c:pt idx="51">
                  <c:v>2.9135</c:v>
                </c:pt>
                <c:pt idx="52">
                  <c:v>2.9013499999999999</c:v>
                </c:pt>
                <c:pt idx="53">
                  <c:v>2.8913600000000002</c:v>
                </c:pt>
                <c:pt idx="54">
                  <c:v>2.88117</c:v>
                </c:pt>
                <c:pt idx="55">
                  <c:v>2.8717300000000003</c:v>
                </c:pt>
                <c:pt idx="56">
                  <c:v>2.8618199999999998</c:v>
                </c:pt>
                <c:pt idx="57">
                  <c:v>2.8496999999999999</c:v>
                </c:pt>
                <c:pt idx="58">
                  <c:v>2.8367599999999999</c:v>
                </c:pt>
                <c:pt idx="59">
                  <c:v>2.8224</c:v>
                </c:pt>
                <c:pt idx="60">
                  <c:v>2.8069600000000001</c:v>
                </c:pt>
                <c:pt idx="61">
                  <c:v>2.7871899999999998</c:v>
                </c:pt>
                <c:pt idx="62">
                  <c:v>2.7645300000000002</c:v>
                </c:pt>
                <c:pt idx="63">
                  <c:v>2.7400099999999998</c:v>
                </c:pt>
                <c:pt idx="64">
                  <c:v>2.7151700000000001</c:v>
                </c:pt>
                <c:pt idx="65">
                  <c:v>2.6870100000000003</c:v>
                </c:pt>
                <c:pt idx="66">
                  <c:v>2.6569500000000001</c:v>
                </c:pt>
                <c:pt idx="67">
                  <c:v>2.6230700000000002</c:v>
                </c:pt>
                <c:pt idx="68">
                  <c:v>2.58962</c:v>
                </c:pt>
                <c:pt idx="69">
                  <c:v>2.5608900000000001</c:v>
                </c:pt>
                <c:pt idx="70">
                  <c:v>2.5365900000000003</c:v>
                </c:pt>
                <c:pt idx="71">
                  <c:v>2.5155400000000001</c:v>
                </c:pt>
                <c:pt idx="72">
                  <c:v>2.4958200000000001</c:v>
                </c:pt>
                <c:pt idx="73">
                  <c:v>2.48109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46.235599999999998</c:v>
                </c:pt>
                <c:pt idx="1">
                  <c:v>46.169900000000005</c:v>
                </c:pt>
                <c:pt idx="2">
                  <c:v>46.013799999999996</c:v>
                </c:pt>
                <c:pt idx="3">
                  <c:v>45.851300000000002</c:v>
                </c:pt>
                <c:pt idx="4">
                  <c:v>45.669399999999996</c:v>
                </c:pt>
                <c:pt idx="5">
                  <c:v>45.429499999999997</c:v>
                </c:pt>
                <c:pt idx="6">
                  <c:v>45.16</c:v>
                </c:pt>
                <c:pt idx="7">
                  <c:v>44.835799999999999</c:v>
                </c:pt>
                <c:pt idx="8">
                  <c:v>44.413499999999999</c:v>
                </c:pt>
                <c:pt idx="9">
                  <c:v>43.987400000000001</c:v>
                </c:pt>
                <c:pt idx="10">
                  <c:v>43.68</c:v>
                </c:pt>
                <c:pt idx="11">
                  <c:v>43.430400000000006</c:v>
                </c:pt>
                <c:pt idx="12">
                  <c:v>43.215800000000002</c:v>
                </c:pt>
                <c:pt idx="13">
                  <c:v>43.026899999999998</c:v>
                </c:pt>
                <c:pt idx="14">
                  <c:v>42.848199999999999</c:v>
                </c:pt>
                <c:pt idx="15">
                  <c:v>42.613199999999999</c:v>
                </c:pt>
                <c:pt idx="16">
                  <c:v>42.427599999999998</c:v>
                </c:pt>
                <c:pt idx="17">
                  <c:v>42.220800000000004</c:v>
                </c:pt>
                <c:pt idx="18">
                  <c:v>42.032000000000004</c:v>
                </c:pt>
                <c:pt idx="19">
                  <c:v>41.838900000000002</c:v>
                </c:pt>
                <c:pt idx="20">
                  <c:v>41.655999999999999</c:v>
                </c:pt>
                <c:pt idx="21">
                  <c:v>41.490300000000005</c:v>
                </c:pt>
                <c:pt idx="22">
                  <c:v>41.293100000000003</c:v>
                </c:pt>
                <c:pt idx="23">
                  <c:v>41.101399999999998</c:v>
                </c:pt>
                <c:pt idx="24">
                  <c:v>40.9863</c:v>
                </c:pt>
                <c:pt idx="25">
                  <c:v>40.927100000000003</c:v>
                </c:pt>
                <c:pt idx="26">
                  <c:v>40.926699999999997</c:v>
                </c:pt>
                <c:pt idx="27">
                  <c:v>41.033500000000004</c:v>
                </c:pt>
                <c:pt idx="28">
                  <c:v>41.170899999999996</c:v>
                </c:pt>
                <c:pt idx="29">
                  <c:v>41.417700000000004</c:v>
                </c:pt>
                <c:pt idx="30">
                  <c:v>41.750900000000001</c:v>
                </c:pt>
                <c:pt idx="31">
                  <c:v>42.217300000000002</c:v>
                </c:pt>
                <c:pt idx="32">
                  <c:v>42.805900000000001</c:v>
                </c:pt>
                <c:pt idx="33">
                  <c:v>43.5212</c:v>
                </c:pt>
                <c:pt idx="34">
                  <c:v>44.299500000000002</c:v>
                </c:pt>
                <c:pt idx="35">
                  <c:v>44.965699999999998</c:v>
                </c:pt>
                <c:pt idx="36">
                  <c:v>45.4876</c:v>
                </c:pt>
                <c:pt idx="37">
                  <c:v>45.812199999999997</c:v>
                </c:pt>
                <c:pt idx="38">
                  <c:v>46.071600000000004</c:v>
                </c:pt>
                <c:pt idx="39">
                  <c:v>46.308199999999999</c:v>
                </c:pt>
                <c:pt idx="40">
                  <c:v>46.463700000000003</c:v>
                </c:pt>
                <c:pt idx="41">
                  <c:v>46.647800000000004</c:v>
                </c:pt>
                <c:pt idx="42">
                  <c:v>46.8277</c:v>
                </c:pt>
                <c:pt idx="43">
                  <c:v>46.903599999999997</c:v>
                </c:pt>
                <c:pt idx="44">
                  <c:v>46.889199999999995</c:v>
                </c:pt>
                <c:pt idx="45">
                  <c:v>46.886400000000002</c:v>
                </c:pt>
                <c:pt idx="46">
                  <c:v>46.847299999999997</c:v>
                </c:pt>
                <c:pt idx="47">
                  <c:v>46.872700000000002</c:v>
                </c:pt>
                <c:pt idx="48">
                  <c:v>46.888500000000001</c:v>
                </c:pt>
                <c:pt idx="49">
                  <c:v>46.863900000000001</c:v>
                </c:pt>
                <c:pt idx="50">
                  <c:v>46.786299999999997</c:v>
                </c:pt>
                <c:pt idx="51">
                  <c:v>46.703899999999997</c:v>
                </c:pt>
                <c:pt idx="52">
                  <c:v>46.628599999999999</c:v>
                </c:pt>
                <c:pt idx="53">
                  <c:v>46.533900000000003</c:v>
                </c:pt>
                <c:pt idx="54">
                  <c:v>46.421300000000002</c:v>
                </c:pt>
                <c:pt idx="55">
                  <c:v>46.339100000000002</c:v>
                </c:pt>
                <c:pt idx="56">
                  <c:v>46.223999999999997</c:v>
                </c:pt>
                <c:pt idx="57">
                  <c:v>46.063200000000002</c:v>
                </c:pt>
                <c:pt idx="58">
                  <c:v>45.929199999999994</c:v>
                </c:pt>
                <c:pt idx="59">
                  <c:v>45.8536</c:v>
                </c:pt>
                <c:pt idx="60">
                  <c:v>45.854800000000004</c:v>
                </c:pt>
                <c:pt idx="61">
                  <c:v>45.964199999999998</c:v>
                </c:pt>
                <c:pt idx="62">
                  <c:v>46.19</c:v>
                </c:pt>
                <c:pt idx="63">
                  <c:v>46.5137</c:v>
                </c:pt>
                <c:pt idx="64">
                  <c:v>46.919899999999998</c:v>
                </c:pt>
                <c:pt idx="65">
                  <c:v>47.498000000000005</c:v>
                </c:pt>
                <c:pt idx="66">
                  <c:v>48.1614</c:v>
                </c:pt>
                <c:pt idx="67">
                  <c:v>48.953799999999994</c:v>
                </c:pt>
                <c:pt idx="68">
                  <c:v>49.831099999999999</c:v>
                </c:pt>
                <c:pt idx="69">
                  <c:v>50.722900000000003</c:v>
                </c:pt>
                <c:pt idx="70">
                  <c:v>51.558099999999996</c:v>
                </c:pt>
                <c:pt idx="71">
                  <c:v>52.373000000000005</c:v>
                </c:pt>
                <c:pt idx="72">
                  <c:v>53.091500000000003</c:v>
                </c:pt>
                <c:pt idx="73">
                  <c:v>53.7408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2.48109</c:v>
                </c:pt>
                <c:pt idx="1">
                  <c:v>2.47288</c:v>
                </c:pt>
                <c:pt idx="2">
                  <c:v>2.4653900000000002</c:v>
                </c:pt>
                <c:pt idx="3">
                  <c:v>2.4581900000000001</c:v>
                </c:pt>
                <c:pt idx="4">
                  <c:v>2.4498899999999999</c:v>
                </c:pt>
                <c:pt idx="5">
                  <c:v>2.4397099999999998</c:v>
                </c:pt>
                <c:pt idx="6">
                  <c:v>2.4296699999999998</c:v>
                </c:pt>
                <c:pt idx="7">
                  <c:v>2.4220000000000002</c:v>
                </c:pt>
                <c:pt idx="8">
                  <c:v>2.4191699999999998</c:v>
                </c:pt>
                <c:pt idx="9">
                  <c:v>2.4215400000000002</c:v>
                </c:pt>
                <c:pt idx="10">
                  <c:v>2.4267099999999999</c:v>
                </c:pt>
                <c:pt idx="11">
                  <c:v>2.43458</c:v>
                </c:pt>
                <c:pt idx="12">
                  <c:v>2.4436100000000001</c:v>
                </c:pt>
                <c:pt idx="13">
                  <c:v>2.4534600000000002</c:v>
                </c:pt>
                <c:pt idx="14">
                  <c:v>2.4633699999999998</c:v>
                </c:pt>
                <c:pt idx="15">
                  <c:v>2.4730599999999998</c:v>
                </c:pt>
                <c:pt idx="16">
                  <c:v>2.4811199999999998</c:v>
                </c:pt>
                <c:pt idx="17">
                  <c:v>2.4900500000000001</c:v>
                </c:pt>
                <c:pt idx="18">
                  <c:v>2.5006499999999998</c:v>
                </c:pt>
                <c:pt idx="19">
                  <c:v>2.5162499999999999</c:v>
                </c:pt>
                <c:pt idx="20">
                  <c:v>2.5361899999999999</c:v>
                </c:pt>
                <c:pt idx="21">
                  <c:v>2.5596799999999997</c:v>
                </c:pt>
                <c:pt idx="22">
                  <c:v>2.5856400000000002</c:v>
                </c:pt>
                <c:pt idx="23">
                  <c:v>2.6140999999999996</c:v>
                </c:pt>
                <c:pt idx="24">
                  <c:v>2.6447099999999999</c:v>
                </c:pt>
                <c:pt idx="25">
                  <c:v>2.6778499999999998</c:v>
                </c:pt>
                <c:pt idx="26">
                  <c:v>2.7151799999999997</c:v>
                </c:pt>
                <c:pt idx="27">
                  <c:v>2.7549200000000003</c:v>
                </c:pt>
                <c:pt idx="28">
                  <c:v>2.7959800000000001</c:v>
                </c:pt>
                <c:pt idx="29">
                  <c:v>2.8368599999999997</c:v>
                </c:pt>
                <c:pt idx="30">
                  <c:v>2.8773500000000003</c:v>
                </c:pt>
                <c:pt idx="31">
                  <c:v>2.9165600000000005</c:v>
                </c:pt>
                <c:pt idx="32">
                  <c:v>2.95892</c:v>
                </c:pt>
                <c:pt idx="33">
                  <c:v>3.00197</c:v>
                </c:pt>
                <c:pt idx="34">
                  <c:v>3.0397600000000002</c:v>
                </c:pt>
                <c:pt idx="35">
                  <c:v>3.07334</c:v>
                </c:pt>
                <c:pt idx="36">
                  <c:v>3.1044</c:v>
                </c:pt>
                <c:pt idx="37">
                  <c:v>3.1330400000000003</c:v>
                </c:pt>
                <c:pt idx="38">
                  <c:v>3.1585800000000002</c:v>
                </c:pt>
                <c:pt idx="39">
                  <c:v>3.1806000000000001</c:v>
                </c:pt>
                <c:pt idx="40">
                  <c:v>3.1985400000000004</c:v>
                </c:pt>
                <c:pt idx="41">
                  <c:v>3.2135799999999999</c:v>
                </c:pt>
                <c:pt idx="42">
                  <c:v>3.2265300000000003</c:v>
                </c:pt>
                <c:pt idx="43">
                  <c:v>3.2359100000000001</c:v>
                </c:pt>
                <c:pt idx="44">
                  <c:v>3.2412900000000002</c:v>
                </c:pt>
                <c:pt idx="45">
                  <c:v>3.2434699999999999</c:v>
                </c:pt>
                <c:pt idx="46">
                  <c:v>3.2410800000000002</c:v>
                </c:pt>
                <c:pt idx="47">
                  <c:v>3.2359800000000001</c:v>
                </c:pt>
                <c:pt idx="48">
                  <c:v>3.2292800000000002</c:v>
                </c:pt>
                <c:pt idx="49">
                  <c:v>3.2189699999999997</c:v>
                </c:pt>
                <c:pt idx="50">
                  <c:v>3.20703</c:v>
                </c:pt>
                <c:pt idx="51">
                  <c:v>3.2037399999999998</c:v>
                </c:pt>
                <c:pt idx="52">
                  <c:v>3.1974200000000002</c:v>
                </c:pt>
                <c:pt idx="53">
                  <c:v>3.1886299999999999</c:v>
                </c:pt>
                <c:pt idx="54">
                  <c:v>3.1778599999999999</c:v>
                </c:pt>
                <c:pt idx="55">
                  <c:v>3.1655800000000003</c:v>
                </c:pt>
                <c:pt idx="56">
                  <c:v>3.15286</c:v>
                </c:pt>
                <c:pt idx="57">
                  <c:v>3.1344699999999999</c:v>
                </c:pt>
                <c:pt idx="58">
                  <c:v>3.1119699999999999</c:v>
                </c:pt>
                <c:pt idx="59">
                  <c:v>3.0908200000000003</c:v>
                </c:pt>
                <c:pt idx="60">
                  <c:v>3.0707</c:v>
                </c:pt>
                <c:pt idx="61">
                  <c:v>3.0496499999999997</c:v>
                </c:pt>
                <c:pt idx="62">
                  <c:v>3.0274000000000001</c:v>
                </c:pt>
                <c:pt idx="63">
                  <c:v>3.0043899999999999</c:v>
                </c:pt>
                <c:pt idx="64">
                  <c:v>2.98393</c:v>
                </c:pt>
                <c:pt idx="65">
                  <c:v>2.9678599999999999</c:v>
                </c:pt>
                <c:pt idx="66">
                  <c:v>2.9554900000000002</c:v>
                </c:pt>
                <c:pt idx="67">
                  <c:v>2.94373</c:v>
                </c:pt>
                <c:pt idx="68">
                  <c:v>2.9356800000000001</c:v>
                </c:pt>
                <c:pt idx="69">
                  <c:v>2.9280900000000001</c:v>
                </c:pt>
                <c:pt idx="70">
                  <c:v>2.9169299999999998</c:v>
                </c:pt>
                <c:pt idx="71">
                  <c:v>2.90944</c:v>
                </c:pt>
                <c:pt idx="72">
                  <c:v>2.9033199999999999</c:v>
                </c:pt>
                <c:pt idx="73">
                  <c:v>2.8873500000000001</c:v>
                </c:pt>
                <c:pt idx="74">
                  <c:v>2.8934100000000003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53.7408</c:v>
                </c:pt>
                <c:pt idx="1">
                  <c:v>54.275500000000001</c:v>
                </c:pt>
                <c:pt idx="2">
                  <c:v>54.9724</c:v>
                </c:pt>
                <c:pt idx="3">
                  <c:v>55.543100000000003</c:v>
                </c:pt>
                <c:pt idx="4">
                  <c:v>56.165200000000006</c:v>
                </c:pt>
                <c:pt idx="5">
                  <c:v>56.85</c:v>
                </c:pt>
                <c:pt idx="6">
                  <c:v>57.548600000000008</c:v>
                </c:pt>
                <c:pt idx="7">
                  <c:v>58.171900000000001</c:v>
                </c:pt>
                <c:pt idx="8">
                  <c:v>58.713700000000003</c:v>
                </c:pt>
                <c:pt idx="9">
                  <c:v>59.152499999999996</c:v>
                </c:pt>
                <c:pt idx="10">
                  <c:v>59.398099999999999</c:v>
                </c:pt>
                <c:pt idx="11">
                  <c:v>59.5336</c:v>
                </c:pt>
                <c:pt idx="12">
                  <c:v>59.572199999999995</c:v>
                </c:pt>
                <c:pt idx="13">
                  <c:v>59.500399999999999</c:v>
                </c:pt>
                <c:pt idx="14">
                  <c:v>59.375199999999992</c:v>
                </c:pt>
                <c:pt idx="15">
                  <c:v>59.179000000000002</c:v>
                </c:pt>
                <c:pt idx="16">
                  <c:v>58.945800000000006</c:v>
                </c:pt>
                <c:pt idx="17">
                  <c:v>58.629600000000003</c:v>
                </c:pt>
                <c:pt idx="18">
                  <c:v>58.142700000000005</c:v>
                </c:pt>
                <c:pt idx="19">
                  <c:v>57.477599999999995</c:v>
                </c:pt>
                <c:pt idx="20">
                  <c:v>56.630499999999998</c:v>
                </c:pt>
                <c:pt idx="21">
                  <c:v>55.631799999999998</c:v>
                </c:pt>
                <c:pt idx="22">
                  <c:v>54.545000000000002</c:v>
                </c:pt>
                <c:pt idx="23">
                  <c:v>53.374999999999993</c:v>
                </c:pt>
                <c:pt idx="24">
                  <c:v>52.162500000000001</c:v>
                </c:pt>
                <c:pt idx="25">
                  <c:v>50.962700000000005</c:v>
                </c:pt>
                <c:pt idx="26">
                  <c:v>49.728099999999998</c:v>
                </c:pt>
                <c:pt idx="27">
                  <c:v>48.521999999999998</c:v>
                </c:pt>
                <c:pt idx="28">
                  <c:v>47.384999999999998</c:v>
                </c:pt>
                <c:pt idx="29">
                  <c:v>46.268799999999999</c:v>
                </c:pt>
                <c:pt idx="30">
                  <c:v>45.280300000000004</c:v>
                </c:pt>
                <c:pt idx="31">
                  <c:v>44.429699999999997</c:v>
                </c:pt>
                <c:pt idx="32">
                  <c:v>43.554200000000002</c:v>
                </c:pt>
                <c:pt idx="33">
                  <c:v>42.732799999999997</c:v>
                </c:pt>
                <c:pt idx="34">
                  <c:v>42.112899999999996</c:v>
                </c:pt>
                <c:pt idx="35">
                  <c:v>41.6295</c:v>
                </c:pt>
                <c:pt idx="36">
                  <c:v>41.242000000000004</c:v>
                </c:pt>
                <c:pt idx="37">
                  <c:v>40.931800000000003</c:v>
                </c:pt>
                <c:pt idx="38">
                  <c:v>40.748200000000004</c:v>
                </c:pt>
                <c:pt idx="39">
                  <c:v>40.676099999999998</c:v>
                </c:pt>
                <c:pt idx="40">
                  <c:v>40.675800000000002</c:v>
                </c:pt>
                <c:pt idx="41">
                  <c:v>40.730400000000003</c:v>
                </c:pt>
                <c:pt idx="42">
                  <c:v>40.804899999999996</c:v>
                </c:pt>
                <c:pt idx="43">
                  <c:v>40.921500000000002</c:v>
                </c:pt>
                <c:pt idx="44">
                  <c:v>41.0456</c:v>
                </c:pt>
                <c:pt idx="45">
                  <c:v>41.156300000000002</c:v>
                </c:pt>
                <c:pt idx="46">
                  <c:v>41.255299999999998</c:v>
                </c:pt>
                <c:pt idx="47">
                  <c:v>41.376400000000004</c:v>
                </c:pt>
                <c:pt idx="48">
                  <c:v>41.499900000000004</c:v>
                </c:pt>
                <c:pt idx="49">
                  <c:v>41.668699999999994</c:v>
                </c:pt>
                <c:pt idx="50">
                  <c:v>41.856700000000004</c:v>
                </c:pt>
                <c:pt idx="51">
                  <c:v>41.963000000000001</c:v>
                </c:pt>
                <c:pt idx="52">
                  <c:v>42.090299999999999</c:v>
                </c:pt>
                <c:pt idx="53">
                  <c:v>42.2408</c:v>
                </c:pt>
                <c:pt idx="54">
                  <c:v>42.495699999999999</c:v>
                </c:pt>
                <c:pt idx="55">
                  <c:v>42.770899999999997</c:v>
                </c:pt>
                <c:pt idx="56">
                  <c:v>43.041699999999999</c:v>
                </c:pt>
                <c:pt idx="57">
                  <c:v>43.467599999999997</c:v>
                </c:pt>
                <c:pt idx="58">
                  <c:v>44.0366</c:v>
                </c:pt>
                <c:pt idx="59">
                  <c:v>44.527999999999999</c:v>
                </c:pt>
                <c:pt idx="60">
                  <c:v>44.996199999999995</c:v>
                </c:pt>
                <c:pt idx="61">
                  <c:v>45.438600000000001</c:v>
                </c:pt>
                <c:pt idx="62">
                  <c:v>45.927599999999998</c:v>
                </c:pt>
                <c:pt idx="63">
                  <c:v>46.417000000000002</c:v>
                </c:pt>
                <c:pt idx="64">
                  <c:v>46.817799999999998</c:v>
                </c:pt>
                <c:pt idx="65">
                  <c:v>47.115000000000002</c:v>
                </c:pt>
                <c:pt idx="66">
                  <c:v>47.316800000000001</c:v>
                </c:pt>
                <c:pt idx="67">
                  <c:v>47.522799999999997</c:v>
                </c:pt>
                <c:pt idx="68">
                  <c:v>47.597299999999997</c:v>
                </c:pt>
                <c:pt idx="69">
                  <c:v>47.534399999999998</c:v>
                </c:pt>
                <c:pt idx="70">
                  <c:v>47.516999999999996</c:v>
                </c:pt>
                <c:pt idx="71">
                  <c:v>47.4923</c:v>
                </c:pt>
                <c:pt idx="72">
                  <c:v>47.408799999999999</c:v>
                </c:pt>
                <c:pt idx="73">
                  <c:v>47.782899999999998</c:v>
                </c:pt>
                <c:pt idx="74">
                  <c:v>47.750399999999999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3.3662100000000001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46.235599999999998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3.1237670270270264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45.34175945945946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2.8664771621621616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48.431851351351362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2.8664771621621616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48.431851351351362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53"/>
      <c r="D1" s="154"/>
      <c r="E1" s="154"/>
      <c r="F1" s="154"/>
      <c r="G1" s="154"/>
      <c r="H1" s="154"/>
      <c r="I1" s="154"/>
      <c r="J1" s="26"/>
      <c r="K1" s="8"/>
      <c r="L1" s="2"/>
      <c r="M1" s="2"/>
      <c r="N1" s="2"/>
      <c r="O1" s="2"/>
      <c r="P1" s="2"/>
    </row>
    <row r="2" spans="2:21" ht="27.75" customHeight="1" thickBot="1">
      <c r="B2" s="194" t="s">
        <v>290</v>
      </c>
      <c r="C2" s="195"/>
      <c r="D2" s="195"/>
      <c r="E2" s="195"/>
      <c r="F2" s="195"/>
      <c r="G2" s="195"/>
      <c r="H2" s="195"/>
      <c r="I2" s="195"/>
      <c r="J2" s="195"/>
      <c r="K2" s="195"/>
      <c r="L2" s="90"/>
      <c r="M2" s="90"/>
      <c r="N2" s="90"/>
      <c r="O2" s="90"/>
      <c r="P2" s="90"/>
    </row>
    <row r="3" spans="2:21" ht="13.5">
      <c r="B3" s="176" t="str">
        <f>lang!B2</f>
        <v>心理生理状态分析结果</v>
      </c>
      <c r="C3" s="177"/>
      <c r="D3" s="177"/>
      <c r="E3" s="177"/>
      <c r="F3" s="177"/>
      <c r="G3" s="177"/>
      <c r="H3" s="177"/>
      <c r="I3" s="177"/>
      <c r="J3" s="177"/>
      <c r="K3" s="178"/>
    </row>
    <row r="4" spans="2:21" ht="34.5" customHeight="1" thickBot="1">
      <c r="B4" s="179"/>
      <c r="C4" s="180"/>
      <c r="D4" s="180"/>
      <c r="E4" s="180"/>
      <c r="F4" s="180"/>
      <c r="G4" s="180"/>
      <c r="H4" s="180"/>
      <c r="I4" s="180"/>
      <c r="J4" s="180"/>
      <c r="K4" s="181"/>
    </row>
    <row r="5" spans="2:21" ht="16.5" customHeight="1">
      <c r="B5" s="45" t="str">
        <f>lang!B24</f>
        <v>姓名</v>
      </c>
      <c r="C5" s="197" t="s">
        <v>520</v>
      </c>
      <c r="D5" s="191"/>
      <c r="E5" s="191"/>
      <c r="F5" s="192"/>
      <c r="G5" s="48" t="str">
        <f>lang!B27</f>
        <v>编号</v>
      </c>
      <c r="H5" s="190">
        <v>3</v>
      </c>
      <c r="I5" s="191"/>
      <c r="J5" s="191"/>
      <c r="K5" s="193"/>
    </row>
    <row r="6" spans="2:21" ht="17.25" customHeight="1">
      <c r="B6" s="46" t="str">
        <f>lang!B25</f>
        <v>性别</v>
      </c>
      <c r="C6" s="198" t="s">
        <v>519</v>
      </c>
      <c r="D6" s="145"/>
      <c r="E6" s="145"/>
      <c r="F6" s="146"/>
      <c r="G6" s="49" t="str">
        <f>lang!B28</f>
        <v xml:space="preserve"> 日期</v>
      </c>
      <c r="H6" s="129">
        <f>FH_info!A2</f>
        <v>43608.368738425925</v>
      </c>
      <c r="I6" s="130"/>
      <c r="J6" s="130"/>
      <c r="K6" s="131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47">
        <v>47</v>
      </c>
      <c r="D7" s="148"/>
      <c r="E7" s="148"/>
      <c r="F7" s="149"/>
      <c r="G7" s="50" t="str">
        <f>lang!B29</f>
        <v>误差率（%）</v>
      </c>
      <c r="H7" s="132">
        <f>M!B17*1</f>
        <v>18.350999999999999</v>
      </c>
      <c r="I7" s="133"/>
      <c r="J7" s="133"/>
      <c r="K7" s="134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25" t="str">
        <f>lang!B30</f>
        <v>10项参数结果</v>
      </c>
      <c r="C8" s="126"/>
      <c r="D8" s="127"/>
      <c r="E8" s="127"/>
      <c r="F8" s="127"/>
      <c r="G8" s="127"/>
      <c r="H8" s="127"/>
      <c r="I8" s="127"/>
      <c r="J8" s="127"/>
      <c r="K8" s="128"/>
      <c r="M8" s="27" t="str">
        <f>lang!B14</f>
        <v>攻击性</v>
      </c>
      <c r="N8" s="59">
        <f>M!B5*1</f>
        <v>36.146599999999999</v>
      </c>
      <c r="O8" s="59">
        <f>M!C5*1</f>
        <v>4.3622800000000002</v>
      </c>
      <c r="P8" s="59">
        <f>M!D5*1</f>
        <v>12.068300000000001</v>
      </c>
      <c r="Q8" s="59">
        <f>M!E5*1</f>
        <v>20</v>
      </c>
      <c r="R8" s="59">
        <f>M!F5*1</f>
        <v>24.105399999999999</v>
      </c>
      <c r="S8" s="59">
        <f>M!G5*1</f>
        <v>50</v>
      </c>
      <c r="T8" s="59">
        <f>M!H5*1</f>
        <v>42.560299999999998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26.152999999999999</v>
      </c>
      <c r="O9" s="59">
        <f>M!C6*1</f>
        <v>3.29027</v>
      </c>
      <c r="P9" s="59">
        <f>M!D6*1</f>
        <v>12.5809</v>
      </c>
      <c r="Q9" s="59">
        <f>M!E6*1</f>
        <v>20</v>
      </c>
      <c r="R9" s="59">
        <f>M!F6*1</f>
        <v>17.807099999999998</v>
      </c>
      <c r="S9" s="59">
        <f>M!G6*1</f>
        <v>40</v>
      </c>
      <c r="T9" s="59">
        <f>M!H6*1</f>
        <v>34.735999999999997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24.105399999999999</v>
      </c>
      <c r="D10" s="99">
        <f>N8</f>
        <v>36.146599999999999</v>
      </c>
      <c r="E10" s="100">
        <f>T8</f>
        <v>42.560299999999998</v>
      </c>
      <c r="F10" s="91">
        <f>P8</f>
        <v>12.068300000000001</v>
      </c>
      <c r="G10" s="81" t="str">
        <f>CONCATENATE(M9,"
(20 ~ 40)")</f>
        <v>压力
(20 ~ 40)</v>
      </c>
      <c r="H10" s="98">
        <f>R9</f>
        <v>17.807099999999998</v>
      </c>
      <c r="I10" s="108">
        <f>N9</f>
        <v>26.152999999999999</v>
      </c>
      <c r="J10" s="98">
        <f>T9</f>
        <v>34.735999999999997</v>
      </c>
      <c r="K10" s="92">
        <f>P9</f>
        <v>12.5809</v>
      </c>
      <c r="L10" s="6"/>
      <c r="M10" s="27" t="str">
        <f>lang!B16</f>
        <v>焦虑</v>
      </c>
      <c r="N10" s="59">
        <f>M!B7*1</f>
        <v>19.405899999999999</v>
      </c>
      <c r="O10" s="59">
        <f>M!C7*1</f>
        <v>9.0010600000000007</v>
      </c>
      <c r="P10" s="59">
        <f>M!D7*1</f>
        <v>46.383200000000002</v>
      </c>
      <c r="Q10" s="59">
        <f>M!E7*1</f>
        <v>15</v>
      </c>
      <c r="R10" s="59">
        <f>M!F7*1</f>
        <v>2.37249</v>
      </c>
      <c r="S10" s="59">
        <f>M!G7*1</f>
        <v>40</v>
      </c>
      <c r="T10" s="59">
        <f>M!H7*1</f>
        <v>44.511099999999999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2.37249</v>
      </c>
      <c r="D11" s="102">
        <f>N10</f>
        <v>19.405899999999999</v>
      </c>
      <c r="E11" s="103">
        <f>T10</f>
        <v>44.511099999999999</v>
      </c>
      <c r="F11" s="94">
        <f>P10</f>
        <v>46.383200000000002</v>
      </c>
      <c r="G11" s="52" t="str">
        <f>CONCATENATE(M11,"
(20 ~ 50)")</f>
        <v>可疑
(20 ~ 50)</v>
      </c>
      <c r="H11" s="101">
        <f>R11</f>
        <v>21.6693</v>
      </c>
      <c r="I11" s="104">
        <f>N11</f>
        <v>27.755400000000002</v>
      </c>
      <c r="J11" s="101">
        <f>T11</f>
        <v>33.534599999999998</v>
      </c>
      <c r="K11" s="95">
        <f>P11</f>
        <v>11.035299999999999</v>
      </c>
      <c r="L11" s="4"/>
      <c r="M11" s="27" t="str">
        <f>lang!B17</f>
        <v>可疑</v>
      </c>
      <c r="N11" s="59">
        <f>M!B8*1</f>
        <v>27.755400000000002</v>
      </c>
      <c r="O11" s="59">
        <f>M!C8*1</f>
        <v>3.0629</v>
      </c>
      <c r="P11" s="59">
        <f>M!D8*1</f>
        <v>11.035299999999999</v>
      </c>
      <c r="Q11" s="59">
        <f>M!E8*1</f>
        <v>20</v>
      </c>
      <c r="R11" s="59">
        <f>M!F8*1</f>
        <v>21.6693</v>
      </c>
      <c r="S11" s="59">
        <f>M!G8*1</f>
        <v>50</v>
      </c>
      <c r="T11" s="59">
        <f>M!H8*1</f>
        <v>33.534599999999998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42.209200000000003</v>
      </c>
      <c r="D12" s="104">
        <f>N12</f>
        <v>67.9011</v>
      </c>
      <c r="E12" s="101">
        <f>T12</f>
        <v>82.529300000000006</v>
      </c>
      <c r="F12" s="93">
        <f>P12</f>
        <v>11.2301</v>
      </c>
      <c r="G12" s="52" t="str">
        <f>CONCATENATE(M13,"
(40 ~ 100)")</f>
        <v>自信
(40 ~ 100)</v>
      </c>
      <c r="H12" s="101">
        <f>R13</f>
        <v>68.688299999999998</v>
      </c>
      <c r="I12" s="104">
        <f>N13</f>
        <v>81.331599999999995</v>
      </c>
      <c r="J12" s="101">
        <f>T13</f>
        <v>85.608599999999996</v>
      </c>
      <c r="K12" s="95">
        <f>P13</f>
        <v>4.0725100000000003</v>
      </c>
      <c r="L12" s="4"/>
      <c r="M12" s="27" t="str">
        <f>lang!B18</f>
        <v>平衡</v>
      </c>
      <c r="N12" s="59">
        <f>M!B9*1</f>
        <v>67.9011</v>
      </c>
      <c r="O12" s="59">
        <f>M!C9*1</f>
        <v>7.6253799999999998</v>
      </c>
      <c r="P12" s="59">
        <f>M!D9*1</f>
        <v>11.2301</v>
      </c>
      <c r="Q12" s="59">
        <f>M!E9*1</f>
        <v>50</v>
      </c>
      <c r="R12" s="59">
        <f>M!F9*1</f>
        <v>42.209200000000003</v>
      </c>
      <c r="S12" s="59">
        <f>M!G9*1</f>
        <v>100</v>
      </c>
      <c r="T12" s="59">
        <f>M!H9*1</f>
        <v>82.529300000000006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14.2174</v>
      </c>
      <c r="D13" s="102">
        <f>N14</f>
        <v>19.260899999999999</v>
      </c>
      <c r="E13" s="103">
        <f>T14</f>
        <v>27.943100000000001</v>
      </c>
      <c r="F13" s="94">
        <f>P14</f>
        <v>16.469799999999999</v>
      </c>
      <c r="G13" s="52" t="str">
        <f>CONCATENATE(M15,"
(50 ~ 100)")</f>
        <v>自我调节
(50 ~ 100)</v>
      </c>
      <c r="H13" s="101">
        <f>R15</f>
        <v>58.689900000000002</v>
      </c>
      <c r="I13" s="104">
        <f>N15</f>
        <v>74.453199999999995</v>
      </c>
      <c r="J13" s="101">
        <f>T15</f>
        <v>83.409899999999993</v>
      </c>
      <c r="K13" s="95">
        <f>P15</f>
        <v>6.7439499999999999</v>
      </c>
      <c r="L13" s="4"/>
      <c r="M13" s="27" t="str">
        <f>lang!B19</f>
        <v>自信</v>
      </c>
      <c r="N13" s="59">
        <f>M!B10*1</f>
        <v>81.331599999999995</v>
      </c>
      <c r="O13" s="59">
        <f>M!C10*1</f>
        <v>3.31223</v>
      </c>
      <c r="P13" s="59">
        <f>M!D10*1</f>
        <v>4.0725100000000003</v>
      </c>
      <c r="Q13" s="59">
        <f>M!E10*1</f>
        <v>40</v>
      </c>
      <c r="R13" s="59">
        <f>M!F10*1</f>
        <v>68.688299999999998</v>
      </c>
      <c r="S13" s="59">
        <f>M!G10*1</f>
        <v>100</v>
      </c>
      <c r="T13" s="59">
        <f>M!H10*1</f>
        <v>85.608599999999996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13.961499999999999</v>
      </c>
      <c r="D14" s="106">
        <f>N16</f>
        <v>20.651599999999998</v>
      </c>
      <c r="E14" s="107">
        <f>T16</f>
        <v>34.211199999999998</v>
      </c>
      <c r="F14" s="96">
        <f>P16</f>
        <v>21.623899999999999</v>
      </c>
      <c r="G14" s="112" t="str">
        <f>CONCATENATE(M17,"
(10 ~ 50)")</f>
        <v>神经质
(10 ~ 50)</v>
      </c>
      <c r="H14" s="105">
        <f>R17</f>
        <v>0.58793300000000004</v>
      </c>
      <c r="I14" s="106">
        <f>N17</f>
        <v>44.656700000000001</v>
      </c>
      <c r="J14" s="107">
        <f>T17</f>
        <v>62.183</v>
      </c>
      <c r="K14" s="97">
        <f>P17</f>
        <v>41.301699999999997</v>
      </c>
      <c r="M14" s="27" t="str">
        <f>lang!B20</f>
        <v>活力</v>
      </c>
      <c r="N14" s="59">
        <f>M!B11*1</f>
        <v>19.260899999999999</v>
      </c>
      <c r="O14" s="59">
        <f>M!C11*1</f>
        <v>3.1722299999999999</v>
      </c>
      <c r="P14" s="59">
        <f>M!D11*1</f>
        <v>16.469799999999999</v>
      </c>
      <c r="Q14" s="59">
        <f>M!E11*1</f>
        <v>10</v>
      </c>
      <c r="R14" s="59">
        <f>M!F11*1</f>
        <v>14.2174</v>
      </c>
      <c r="S14" s="59">
        <f>M!G11*1</f>
        <v>50</v>
      </c>
      <c r="T14" s="59">
        <f>M!H11*1</f>
        <v>27.943100000000001</v>
      </c>
      <c r="U14" s="14"/>
    </row>
    <row r="15" spans="2:21" ht="19.5" customHeight="1" thickBot="1">
      <c r="B15" s="187" t="str">
        <f>lang!B3</f>
        <v>参数表</v>
      </c>
      <c r="C15" s="188"/>
      <c r="D15" s="188"/>
      <c r="E15" s="188"/>
      <c r="F15" s="189"/>
      <c r="G15" s="184" t="str">
        <f>lang!B4</f>
        <v>情感状态分布图</v>
      </c>
      <c r="H15" s="185"/>
      <c r="I15" s="185"/>
      <c r="J15" s="185"/>
      <c r="K15" s="186"/>
      <c r="M15" s="27" t="str">
        <f>lang!B21</f>
        <v>自我调节</v>
      </c>
      <c r="N15" s="59">
        <f>M!B12*1</f>
        <v>74.453199999999995</v>
      </c>
      <c r="O15" s="59">
        <f>M!C12*1</f>
        <v>5.0210900000000001</v>
      </c>
      <c r="P15" s="59">
        <f>M!D12*1</f>
        <v>6.7439499999999999</v>
      </c>
      <c r="Q15" s="59">
        <f>M!E12*1</f>
        <v>50</v>
      </c>
      <c r="R15" s="59">
        <f>M!F12*1</f>
        <v>58.689900000000002</v>
      </c>
      <c r="S15" s="59">
        <f>M!G12*1</f>
        <v>100</v>
      </c>
      <c r="T15" s="59">
        <f>M!H12*1</f>
        <v>83.409899999999993</v>
      </c>
      <c r="U15" s="14"/>
    </row>
    <row r="16" spans="2:21" ht="21" customHeight="1">
      <c r="B16" s="38"/>
      <c r="C16" s="28"/>
      <c r="D16" s="28"/>
      <c r="E16" s="28"/>
      <c r="F16" s="28"/>
      <c r="G16" s="165"/>
      <c r="H16" s="166"/>
      <c r="I16" s="166"/>
      <c r="J16" s="166"/>
      <c r="K16" s="167"/>
      <c r="M16" s="27" t="str">
        <f>lang!B22</f>
        <v>抑郁</v>
      </c>
      <c r="N16" s="59">
        <f>M!B13*1</f>
        <v>20.651599999999998</v>
      </c>
      <c r="O16" s="59">
        <f>M!C13*1</f>
        <v>4.4656700000000003</v>
      </c>
      <c r="P16" s="59">
        <f>M!D13*1</f>
        <v>21.623899999999999</v>
      </c>
      <c r="Q16" s="59">
        <f>M!E13*1</f>
        <v>10</v>
      </c>
      <c r="R16" s="59">
        <f>M!F13*1</f>
        <v>13.961499999999999</v>
      </c>
      <c r="S16" s="59">
        <f>M!G13*1</f>
        <v>25</v>
      </c>
      <c r="T16" s="59">
        <f>M!H13*1</f>
        <v>34.211199999999998</v>
      </c>
      <c r="U16" s="14"/>
    </row>
    <row r="17" spans="2:24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7" t="str">
        <f>lang!B23</f>
        <v>神经质</v>
      </c>
      <c r="N17" s="59">
        <f>M!B14*1</f>
        <v>44.656700000000001</v>
      </c>
      <c r="O17" s="59">
        <f>M!C14*1</f>
        <v>18.443999999999999</v>
      </c>
      <c r="P17" s="59">
        <f>M!D14*1</f>
        <v>41.301699999999997</v>
      </c>
      <c r="Q17" s="59">
        <f>M!E14*1</f>
        <v>10</v>
      </c>
      <c r="R17" s="59">
        <f>M!F14*1</f>
        <v>0.58793300000000004</v>
      </c>
      <c r="S17" s="59">
        <f>M!G14*1</f>
        <v>50</v>
      </c>
      <c r="T17" s="59">
        <f>M!H14*1</f>
        <v>62.183</v>
      </c>
      <c r="U17" s="15"/>
    </row>
    <row r="18" spans="2:24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lang!B7</f>
        <v>Positive</v>
      </c>
      <c r="N18" s="65">
        <f>SUM(N12:N15)/4</f>
        <v>60.736699999999999</v>
      </c>
      <c r="O18" s="22">
        <f>N18/(N18+N19+N20)</f>
        <v>0.50297014042564736</v>
      </c>
      <c r="P18" s="65">
        <f>SUM(P12:P15)/4</f>
        <v>9.6290899999999997</v>
      </c>
      <c r="Q18" s="22">
        <f>P18/(P18+P19+P20)</f>
        <v>0.15629403032666675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lang!B8</f>
        <v>Negative</v>
      </c>
      <c r="N19" s="18">
        <f>SUM(N8:N11)/4</f>
        <v>27.365225000000002</v>
      </c>
      <c r="O19" s="22">
        <f>N19/(N18+N19+N20)</f>
        <v>0.22661572098960656</v>
      </c>
      <c r="P19" s="18">
        <f>SUM(P8:P11)/4</f>
        <v>20.516925000000001</v>
      </c>
      <c r="Q19" s="22">
        <f>P19/(P18+P19+P20)</f>
        <v>0.33301930900634924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 t="str">
        <f>lang!B9</f>
        <v>Physiological</v>
      </c>
      <c r="N20" s="18">
        <f>(N16+N17)/2</f>
        <v>32.654150000000001</v>
      </c>
      <c r="O20" s="22">
        <f>N20/(N18+N19+N20)</f>
        <v>0.27041413858474617</v>
      </c>
      <c r="P20" s="18">
        <f>(P16+P17)/2</f>
        <v>31.462799999999998</v>
      </c>
      <c r="Q20" s="22">
        <f>P20/(P18+P19+P20)</f>
        <v>0.51068666066698409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21" t="str">
        <f>lang!B50</f>
        <v>Sat</v>
      </c>
      <c r="N21" s="88">
        <f ca="1">(info!V3-info!U3)-(info!X3-info!W3)</f>
        <v>5.6629905405405467E-2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68"/>
      <c r="H22" s="169"/>
      <c r="I22" s="169"/>
      <c r="J22" s="169"/>
      <c r="K22" s="17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71"/>
      <c r="H23" s="172"/>
      <c r="I23" s="172"/>
      <c r="J23" s="172"/>
      <c r="K23" s="173"/>
      <c r="M23" s="16"/>
      <c r="O23" s="17"/>
      <c r="Q23"/>
      <c r="T23"/>
      <c r="U23" s="19"/>
    </row>
    <row r="24" spans="2:24" ht="17.25" customHeight="1" thickBot="1">
      <c r="B24" s="150" t="str">
        <f>lang!B5</f>
        <v>频率分布直方图</v>
      </c>
      <c r="C24" s="151"/>
      <c r="D24" s="151"/>
      <c r="E24" s="151"/>
      <c r="F24" s="152"/>
      <c r="G24" s="162" t="str">
        <f>lang!B6</f>
        <v xml:space="preserve">心理变化 - 心理基础代谢 </v>
      </c>
      <c r="H24" s="163"/>
      <c r="I24" s="163"/>
      <c r="J24" s="163"/>
      <c r="K24" s="16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1.4924702822686366</v>
      </c>
      <c r="D25" s="44" t="str">
        <f>lang!B11</f>
        <v>频率方差</v>
      </c>
      <c r="E25" s="182">
        <f ca="1">FH!L3</f>
        <v>0.55478774594457403</v>
      </c>
      <c r="F25" s="183"/>
      <c r="G25" s="174" t="str">
        <f>lang!B12</f>
        <v>生理变化率</v>
      </c>
      <c r="H25" s="175"/>
      <c r="I25" s="62" t="str">
        <f ca="1">CONCATENATE(info!M7,"-",info!M8)</f>
        <v>40.7-59.6</v>
      </c>
      <c r="J25" s="42" t="str">
        <f>lang!B13</f>
        <v>千卡l/分钟</v>
      </c>
      <c r="K25" s="41" t="str">
        <f ca="1">CONCATENATE(info!M5,"-",info!M6)</f>
        <v>2.4-3.6</v>
      </c>
      <c r="M25" s="16"/>
      <c r="O25" s="17"/>
      <c r="P25" s="17"/>
      <c r="Q25"/>
      <c r="T25"/>
      <c r="U25" s="19"/>
    </row>
    <row r="26" spans="2:24" ht="156.75" customHeight="1" thickBot="1">
      <c r="B26" s="155" ph="1"/>
      <c r="C26" s="156" ph="1"/>
      <c r="D26" s="156" ph="1"/>
      <c r="E26" s="157" ph="1"/>
      <c r="F26" s="39" ph="1"/>
      <c r="G26" s="158"/>
      <c r="H26" s="159"/>
      <c r="I26" s="159"/>
      <c r="J26" s="160"/>
      <c r="K26" s="161"/>
      <c r="M26"/>
      <c r="O26" s="17"/>
      <c r="Q26"/>
      <c r="T26"/>
      <c r="U26" s="19"/>
    </row>
    <row r="27" spans="2:24" ht="15" customHeight="1" thickBot="1">
      <c r="B27" s="119" t="str">
        <f>CONCATENATE( lang!B31," ",ROUND(100-FH_info!L2,0),"%]")</f>
        <v>Result [Quality 100%]</v>
      </c>
      <c r="C27" s="120"/>
      <c r="D27" s="120"/>
      <c r="E27" s="120"/>
      <c r="F27" s="120"/>
      <c r="G27" s="120"/>
      <c r="H27" s="120"/>
      <c r="I27" s="120"/>
      <c r="J27" s="120"/>
      <c r="K27" s="121"/>
      <c r="M27"/>
      <c r="Q27"/>
      <c r="T27"/>
    </row>
    <row r="28" spans="2:24" ht="15.75" thickBot="1">
      <c r="B28" s="135" t="str">
        <f>lang!B32</f>
        <v>外向性</v>
      </c>
      <c r="C28" s="136"/>
      <c r="D28" s="137"/>
      <c r="E28" s="119">
        <f>M!B18*100</f>
        <v>55.156700000000001</v>
      </c>
      <c r="F28" s="121"/>
      <c r="G28" s="135" t="str">
        <f>lang!B33</f>
        <v>稳定性</v>
      </c>
      <c r="H28" s="136"/>
      <c r="I28" s="137"/>
      <c r="J28" s="138">
        <f>M!B19*100</f>
        <v>58.6828</v>
      </c>
      <c r="K28" s="139"/>
    </row>
    <row r="29" spans="2:24" ht="24.75" customHeight="1">
      <c r="B29" s="122" t="str">
        <f>lang!B34</f>
        <v xml:space="preserve">心理生理状态分析结果： </v>
      </c>
      <c r="C29" s="123"/>
      <c r="D29" s="123"/>
      <c r="E29" s="123"/>
      <c r="F29" s="123"/>
      <c r="G29" s="123"/>
      <c r="H29" s="123"/>
      <c r="I29" s="123"/>
      <c r="J29" s="123"/>
      <c r="K29" s="124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⊡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⊠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40" t="str">
        <f>lang!B37</f>
        <v>意见</v>
      </c>
      <c r="C32" s="141"/>
      <c r="D32" s="142"/>
      <c r="E32" s="142"/>
      <c r="F32" s="142"/>
      <c r="G32" s="142"/>
      <c r="H32" s="142"/>
      <c r="I32" s="142"/>
      <c r="J32" s="142"/>
      <c r="K32" s="143"/>
      <c r="M32"/>
      <c r="Q32"/>
      <c r="T32"/>
      <c r="W32" s="33"/>
      <c r="X32" s="33"/>
    </row>
    <row r="33" spans="2:24" ht="18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20.25" customHeight="1">
      <c r="B34" s="113"/>
      <c r="C34" s="114"/>
      <c r="D34" s="114"/>
      <c r="E34" s="114"/>
      <c r="F34" s="114"/>
      <c r="G34" s="114"/>
      <c r="H34" s="114"/>
      <c r="I34" s="114"/>
      <c r="J34" s="114"/>
      <c r="K34" s="115"/>
      <c r="M34"/>
      <c r="Q34"/>
      <c r="T34"/>
      <c r="W34" s="33"/>
      <c r="X34" s="33"/>
    </row>
    <row r="35" spans="2:24" ht="35.25" customHeight="1" thickBot="1">
      <c r="B35" s="116"/>
      <c r="C35" s="117"/>
      <c r="D35" s="117"/>
      <c r="E35" s="117"/>
      <c r="F35" s="117"/>
      <c r="G35" s="117"/>
      <c r="H35" s="117"/>
      <c r="I35" s="117"/>
      <c r="J35" s="117"/>
      <c r="K35" s="118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53"/>
      <c r="D1" s="154"/>
      <c r="E1" s="154"/>
      <c r="F1" s="154"/>
      <c r="G1" s="154"/>
      <c r="H1" s="154"/>
      <c r="I1" s="154"/>
      <c r="J1" s="87"/>
      <c r="K1" s="87"/>
      <c r="L1" s="86"/>
      <c r="M1" s="86"/>
      <c r="N1" s="86"/>
      <c r="O1" s="86"/>
      <c r="P1" s="86"/>
    </row>
    <row r="2" spans="2:38" ht="13.5">
      <c r="B2" s="176" t="str">
        <f>lang!B2</f>
        <v>心理生理状态分析结果</v>
      </c>
      <c r="C2" s="177"/>
      <c r="D2" s="177"/>
      <c r="E2" s="177"/>
      <c r="F2" s="177"/>
      <c r="G2" s="177"/>
      <c r="H2" s="177"/>
      <c r="I2" s="177"/>
      <c r="J2" s="177"/>
      <c r="K2" s="178"/>
    </row>
    <row r="3" spans="2:38" ht="31.5" customHeight="1" thickBot="1">
      <c r="B3" s="179"/>
      <c r="C3" s="180"/>
      <c r="D3" s="180"/>
      <c r="E3" s="180"/>
      <c r="F3" s="180"/>
      <c r="G3" s="180"/>
      <c r="H3" s="180"/>
      <c r="I3" s="180"/>
      <c r="J3" s="180"/>
      <c r="K3" s="181"/>
    </row>
    <row r="4" spans="2:38" ht="16.5" customHeight="1">
      <c r="B4" s="45" t="str">
        <f>lang!B24</f>
        <v>姓名</v>
      </c>
      <c r="C4" s="190" t="str">
        <f>FH_info!B2</f>
        <v>.</v>
      </c>
      <c r="D4" s="191"/>
      <c r="E4" s="191"/>
      <c r="F4" s="192"/>
      <c r="G4" s="48" t="str">
        <f>lang!B27</f>
        <v>编号</v>
      </c>
      <c r="H4" s="190"/>
      <c r="I4" s="191"/>
      <c r="J4" s="191"/>
      <c r="K4" s="193"/>
    </row>
    <row r="5" spans="2:38" ht="17.25" customHeight="1">
      <c r="B5" s="46" t="str">
        <f>lang!B25</f>
        <v>性别</v>
      </c>
      <c r="C5" s="144"/>
      <c r="D5" s="145"/>
      <c r="E5" s="145"/>
      <c r="F5" s="146"/>
      <c r="G5" s="49" t="str">
        <f>lang!B28</f>
        <v xml:space="preserve"> 日期</v>
      </c>
      <c r="H5" s="129">
        <f>FH_info!A2</f>
        <v>43608.368738425925</v>
      </c>
      <c r="I5" s="130"/>
      <c r="J5" s="130"/>
      <c r="K5" s="131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47"/>
      <c r="D6" s="148"/>
      <c r="E6" s="148"/>
      <c r="F6" s="149"/>
      <c r="G6" s="50" t="str">
        <f>lang!B29</f>
        <v>误差率（%）</v>
      </c>
      <c r="H6" s="132">
        <f>dM!B17*1</f>
        <v>0</v>
      </c>
      <c r="I6" s="133"/>
      <c r="J6" s="133"/>
      <c r="K6" s="134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25" t="str">
        <f>lang!B30</f>
        <v>10项参数结果</v>
      </c>
      <c r="C7" s="126"/>
      <c r="D7" s="127"/>
      <c r="E7" s="127"/>
      <c r="F7" s="127"/>
      <c r="G7" s="127"/>
      <c r="H7" s="127"/>
      <c r="I7" s="127"/>
      <c r="J7" s="127"/>
      <c r="K7" s="128"/>
      <c r="M7" s="27" t="str">
        <f>lang!B14</f>
        <v>攻击性</v>
      </c>
      <c r="N7" s="59">
        <f>AF7-W7</f>
        <v>-6.2771000000000043</v>
      </c>
      <c r="O7" s="59">
        <f t="shared" ref="O7:T7" si="2">AG7-X7</f>
        <v>1.5724100000000001</v>
      </c>
      <c r="P7" s="59">
        <f t="shared" si="2"/>
        <v>6.5296700000000012</v>
      </c>
      <c r="Q7" s="59">
        <f t="shared" si="2"/>
        <v>0</v>
      </c>
      <c r="R7" s="59">
        <f t="shared" si="2"/>
        <v>-5.1073000000000022</v>
      </c>
      <c r="S7" s="59">
        <f t="shared" si="2"/>
        <v>0</v>
      </c>
      <c r="T7" s="59">
        <f t="shared" si="2"/>
        <v>-1.4769999999999968</v>
      </c>
      <c r="U7" s="14"/>
      <c r="V7" s="27" t="str">
        <f>M7</f>
        <v>攻击性</v>
      </c>
      <c r="W7" s="59">
        <f>'M1'!B5*1</f>
        <v>37.783900000000003</v>
      </c>
      <c r="X7" s="59">
        <f>'M1'!C5*1</f>
        <v>2.9186299999999998</v>
      </c>
      <c r="Y7" s="59">
        <f>'M1'!D5*1</f>
        <v>7.7245299999999997</v>
      </c>
      <c r="Z7" s="59">
        <f>'M1'!E5*1</f>
        <v>20</v>
      </c>
      <c r="AA7" s="59">
        <f>'M1'!F5*1</f>
        <v>29.212700000000002</v>
      </c>
      <c r="AB7" s="59">
        <f>'M1'!G5*1</f>
        <v>50</v>
      </c>
      <c r="AC7" s="59">
        <f>'M1'!H5*1</f>
        <v>42.560299999999998</v>
      </c>
      <c r="AE7" s="27" t="str">
        <f>V7</f>
        <v>攻击性</v>
      </c>
      <c r="AF7" s="59">
        <f>'M2'!B5*1</f>
        <v>31.506799999999998</v>
      </c>
      <c r="AG7" s="59">
        <f>'M2'!C5*1</f>
        <v>4.4910399999999999</v>
      </c>
      <c r="AH7" s="59">
        <f>'M2'!D5*1</f>
        <v>14.254200000000001</v>
      </c>
      <c r="AI7" s="59">
        <f>'M2'!E5*1</f>
        <v>20</v>
      </c>
      <c r="AJ7" s="59">
        <f>'M2'!F5*1</f>
        <v>24.105399999999999</v>
      </c>
      <c r="AK7" s="59">
        <f>'M2'!G5*1</f>
        <v>50</v>
      </c>
      <c r="AL7" s="59">
        <f>'M2'!H5*1</f>
        <v>41.083300000000001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-4.2774000000000001</v>
      </c>
      <c r="O8" s="59">
        <f t="shared" ref="O8:O16" si="5">AG8-X8</f>
        <v>-1.6279999999999999</v>
      </c>
      <c r="P8" s="59">
        <f t="shared" ref="P8:P16" si="6">AH8-Y8</f>
        <v>-4.3507600000000011</v>
      </c>
      <c r="Q8" s="59">
        <f t="shared" ref="Q8:Q16" si="7">AI8-Z8</f>
        <v>0</v>
      </c>
      <c r="R8" s="59">
        <f t="shared" ref="R8:R16" si="8">AJ8-AA8</f>
        <v>-3.2894000000000005</v>
      </c>
      <c r="S8" s="59">
        <f t="shared" ref="S8:S16" si="9">AK8-AB8</f>
        <v>0</v>
      </c>
      <c r="T8" s="59">
        <f t="shared" ref="T8:T16" si="10">AL8-AC8</f>
        <v>-5.4127999999999972</v>
      </c>
      <c r="U8" s="15"/>
      <c r="V8" s="27" t="str">
        <f t="shared" ref="V8:V16" si="11">M8</f>
        <v>压力</v>
      </c>
      <c r="W8" s="59">
        <f>'M1'!B6*1</f>
        <v>29.9892</v>
      </c>
      <c r="X8" s="59">
        <f>'M1'!C6*1</f>
        <v>3.5709399999999998</v>
      </c>
      <c r="Y8" s="59">
        <f>'M1'!D6*1</f>
        <v>11.907400000000001</v>
      </c>
      <c r="Z8" s="59">
        <f>'M1'!E6*1</f>
        <v>20</v>
      </c>
      <c r="AA8" s="59">
        <f>'M1'!F6*1</f>
        <v>21.096499999999999</v>
      </c>
      <c r="AB8" s="59">
        <f>'M1'!G6*1</f>
        <v>40</v>
      </c>
      <c r="AC8" s="59">
        <f>'M1'!H6*1</f>
        <v>34.735999999999997</v>
      </c>
      <c r="AE8" s="27" t="str">
        <f t="shared" ref="AE8:AE16" si="12">V8</f>
        <v>压力</v>
      </c>
      <c r="AF8" s="59">
        <f>'M2'!B6*1</f>
        <v>25.7118</v>
      </c>
      <c r="AG8" s="59">
        <f>'M2'!C6*1</f>
        <v>1.9429399999999999</v>
      </c>
      <c r="AH8" s="59">
        <f>'M2'!D6*1</f>
        <v>7.5566399999999998</v>
      </c>
      <c r="AI8" s="59">
        <f>'M2'!E6*1</f>
        <v>20</v>
      </c>
      <c r="AJ8" s="59">
        <f>'M2'!F6*1</f>
        <v>17.807099999999998</v>
      </c>
      <c r="AK8" s="59">
        <f>'M2'!G6*1</f>
        <v>40</v>
      </c>
      <c r="AL8" s="59">
        <f>'M2'!H6*1</f>
        <v>29.3232</v>
      </c>
    </row>
    <row r="9" spans="2:38" s="7" customFormat="1" ht="21" customHeight="1">
      <c r="B9" s="76" t="str">
        <f>CONCATENATE(M7,"
(20 ~ 50)")</f>
        <v>攻击性
(20 ~ 50)</v>
      </c>
      <c r="C9" s="77">
        <f>R7</f>
        <v>-5.1073000000000022</v>
      </c>
      <c r="D9" s="78">
        <f>N7</f>
        <v>-6.2771000000000043</v>
      </c>
      <c r="E9" s="79">
        <f>T7</f>
        <v>-1.4769999999999968</v>
      </c>
      <c r="F9" s="79">
        <f>P7</f>
        <v>6.5296700000000012</v>
      </c>
      <c r="G9" s="80" t="str">
        <f>CONCATENATE(M8,"
(20 ~ 40)")</f>
        <v>压力
(20 ~ 40)</v>
      </c>
      <c r="H9" s="77">
        <f>R8</f>
        <v>-3.2894000000000005</v>
      </c>
      <c r="I9" s="81">
        <f>N8</f>
        <v>-4.2774000000000001</v>
      </c>
      <c r="J9" s="77">
        <f>T8</f>
        <v>-5.4127999999999972</v>
      </c>
      <c r="K9" s="82">
        <f>P8</f>
        <v>-4.3507600000000011</v>
      </c>
      <c r="L9" s="6"/>
      <c r="M9" s="27" t="str">
        <f>lang!B16</f>
        <v>焦虑</v>
      </c>
      <c r="N9" s="59">
        <f t="shared" si="4"/>
        <v>-5.622399999999999</v>
      </c>
      <c r="O9" s="59">
        <f t="shared" si="5"/>
        <v>1.5259100000000014</v>
      </c>
      <c r="P9" s="59">
        <f t="shared" si="6"/>
        <v>19.508099999999999</v>
      </c>
      <c r="Q9" s="59">
        <f t="shared" si="7"/>
        <v>0</v>
      </c>
      <c r="R9" s="59">
        <f t="shared" si="8"/>
        <v>-0.56443999999999983</v>
      </c>
      <c r="S9" s="59">
        <f t="shared" si="9"/>
        <v>0</v>
      </c>
      <c r="T9" s="59">
        <f t="shared" si="10"/>
        <v>1.707099999999997</v>
      </c>
      <c r="U9" s="14"/>
      <c r="V9" s="27" t="str">
        <f t="shared" si="11"/>
        <v>焦虑</v>
      </c>
      <c r="W9" s="59">
        <f>'M1'!B7*1</f>
        <v>23.492599999999999</v>
      </c>
      <c r="X9" s="59">
        <f>'M1'!C7*1</f>
        <v>8.1907099999999993</v>
      </c>
      <c r="Y9" s="59">
        <f>'M1'!D7*1</f>
        <v>34.865099999999998</v>
      </c>
      <c r="Z9" s="59">
        <f>'M1'!E7*1</f>
        <v>15</v>
      </c>
      <c r="AA9" s="59">
        <f>'M1'!F7*1</f>
        <v>2.9369299999999998</v>
      </c>
      <c r="AB9" s="59">
        <f>'M1'!G7*1</f>
        <v>40</v>
      </c>
      <c r="AC9" s="59">
        <f>'M1'!H7*1</f>
        <v>42.804000000000002</v>
      </c>
      <c r="AE9" s="27" t="str">
        <f t="shared" si="12"/>
        <v>焦虑</v>
      </c>
      <c r="AF9" s="59">
        <f>'M2'!B7*1</f>
        <v>17.870200000000001</v>
      </c>
      <c r="AG9" s="59">
        <f>'M2'!C7*1</f>
        <v>9.7166200000000007</v>
      </c>
      <c r="AH9" s="59">
        <f>'M2'!D7*1</f>
        <v>54.373199999999997</v>
      </c>
      <c r="AI9" s="59">
        <f>'M2'!E7*1</f>
        <v>15</v>
      </c>
      <c r="AJ9" s="59">
        <f>'M2'!F7*1</f>
        <v>2.37249</v>
      </c>
      <c r="AK9" s="59">
        <f>'M2'!G7*1</f>
        <v>40</v>
      </c>
      <c r="AL9" s="59">
        <f>'M2'!H7*1</f>
        <v>44.511099999999999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-0.56443999999999983</v>
      </c>
      <c r="D10" s="51">
        <f>N9</f>
        <v>-5.622399999999999</v>
      </c>
      <c r="E10" s="53">
        <f>T9</f>
        <v>1.707099999999997</v>
      </c>
      <c r="F10" s="53">
        <f>P9</f>
        <v>19.508099999999999</v>
      </c>
      <c r="G10" s="73" t="str">
        <f>CONCATENATE(M10,"
(20 ~ 50)")</f>
        <v>可疑
(20 ~ 50)</v>
      </c>
      <c r="H10" s="24">
        <f>R10</f>
        <v>-1.7806999999999995</v>
      </c>
      <c r="I10" s="52">
        <f>N10</f>
        <v>-4.6511999999999993</v>
      </c>
      <c r="J10" s="24">
        <f>T10</f>
        <v>1.2125999999999948</v>
      </c>
      <c r="K10" s="25">
        <f>P10</f>
        <v>4.7637199999999993</v>
      </c>
      <c r="L10" s="4"/>
      <c r="M10" s="27" t="str">
        <f>lang!B17</f>
        <v>可疑</v>
      </c>
      <c r="N10" s="59">
        <f t="shared" si="4"/>
        <v>-4.6511999999999993</v>
      </c>
      <c r="O10" s="59">
        <f t="shared" si="5"/>
        <v>0.86160999999999976</v>
      </c>
      <c r="P10" s="59">
        <f t="shared" si="6"/>
        <v>4.7637199999999993</v>
      </c>
      <c r="Q10" s="59">
        <f t="shared" si="7"/>
        <v>0</v>
      </c>
      <c r="R10" s="59">
        <f t="shared" si="8"/>
        <v>-1.7806999999999995</v>
      </c>
      <c r="S10" s="59">
        <f t="shared" si="9"/>
        <v>0</v>
      </c>
      <c r="T10" s="59">
        <f t="shared" si="10"/>
        <v>1.2125999999999948</v>
      </c>
      <c r="U10" s="14"/>
      <c r="V10" s="27" t="str">
        <f t="shared" si="11"/>
        <v>可疑</v>
      </c>
      <c r="W10" s="59">
        <f>'M1'!B8*1</f>
        <v>29.9086</v>
      </c>
      <c r="X10" s="59">
        <f>'M1'!C8*1</f>
        <v>2.19645</v>
      </c>
      <c r="Y10" s="59">
        <f>'M1'!D8*1</f>
        <v>7.3438800000000004</v>
      </c>
      <c r="Z10" s="59">
        <f>'M1'!E8*1</f>
        <v>20</v>
      </c>
      <c r="AA10" s="59">
        <f>'M1'!F8*1</f>
        <v>23.45</v>
      </c>
      <c r="AB10" s="59">
        <f>'M1'!G8*1</f>
        <v>50</v>
      </c>
      <c r="AC10" s="59">
        <f>'M1'!H8*1</f>
        <v>32.322000000000003</v>
      </c>
      <c r="AE10" s="27" t="str">
        <f t="shared" si="12"/>
        <v>可疑</v>
      </c>
      <c r="AF10" s="59">
        <f>'M2'!B8*1</f>
        <v>25.257400000000001</v>
      </c>
      <c r="AG10" s="59">
        <f>'M2'!C8*1</f>
        <v>3.0580599999999998</v>
      </c>
      <c r="AH10" s="59">
        <f>'M2'!D8*1</f>
        <v>12.1076</v>
      </c>
      <c r="AI10" s="59">
        <f>'M2'!E8*1</f>
        <v>20</v>
      </c>
      <c r="AJ10" s="59">
        <f>'M2'!F8*1</f>
        <v>21.6693</v>
      </c>
      <c r="AK10" s="59">
        <f>'M2'!G8*1</f>
        <v>50</v>
      </c>
      <c r="AL10" s="59">
        <f>'M2'!H8*1</f>
        <v>33.534599999999998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15.2072</v>
      </c>
      <c r="D11" s="52">
        <f>N11</f>
        <v>2.0148000000000081</v>
      </c>
      <c r="E11" s="24">
        <f>T11</f>
        <v>5.9668000000000063</v>
      </c>
      <c r="F11" s="24">
        <f>P11</f>
        <v>-4.319700000000001</v>
      </c>
      <c r="G11" s="73" t="str">
        <f>CONCATENATE(M12,"
(40 ~ 100)")</f>
        <v>自信
(40 ~ 100)</v>
      </c>
      <c r="H11" s="24">
        <f>R12</f>
        <v>8.8495999999999952</v>
      </c>
      <c r="I11" s="52">
        <f>N12</f>
        <v>2.7039000000000044</v>
      </c>
      <c r="J11" s="24">
        <f>T12</f>
        <v>0.45009999999999195</v>
      </c>
      <c r="K11" s="25">
        <f>P12</f>
        <v>-1.7074700000000003</v>
      </c>
      <c r="L11" s="4"/>
      <c r="M11" s="27" t="str">
        <f>lang!B18</f>
        <v>平衡</v>
      </c>
      <c r="N11" s="59">
        <f t="shared" si="4"/>
        <v>2.0148000000000081</v>
      </c>
      <c r="O11" s="59">
        <f t="shared" si="5"/>
        <v>-2.7280099999999994</v>
      </c>
      <c r="P11" s="59">
        <f t="shared" si="6"/>
        <v>-4.319700000000001</v>
      </c>
      <c r="Q11" s="59">
        <f t="shared" si="7"/>
        <v>0</v>
      </c>
      <c r="R11" s="59">
        <f t="shared" si="8"/>
        <v>15.2072</v>
      </c>
      <c r="S11" s="59">
        <f t="shared" si="9"/>
        <v>0</v>
      </c>
      <c r="T11" s="59">
        <f t="shared" si="10"/>
        <v>5.9668000000000063</v>
      </c>
      <c r="U11" s="14"/>
      <c r="V11" s="27" t="str">
        <f t="shared" si="11"/>
        <v>平衡</v>
      </c>
      <c r="W11" s="59">
        <f>'M1'!B9*1</f>
        <v>67.052499999999995</v>
      </c>
      <c r="X11" s="59">
        <f>'M1'!C9*1</f>
        <v>8.5034899999999993</v>
      </c>
      <c r="Y11" s="59">
        <f>'M1'!D9*1</f>
        <v>12.681800000000001</v>
      </c>
      <c r="Z11" s="59">
        <f>'M1'!E9*1</f>
        <v>50</v>
      </c>
      <c r="AA11" s="59">
        <f>'M1'!F9*1</f>
        <v>42.209200000000003</v>
      </c>
      <c r="AB11" s="59">
        <f>'M1'!G9*1</f>
        <v>100</v>
      </c>
      <c r="AC11" s="59">
        <f>'M1'!H9*1</f>
        <v>76.5625</v>
      </c>
      <c r="AE11" s="27" t="str">
        <f t="shared" si="12"/>
        <v>平衡</v>
      </c>
      <c r="AF11" s="59">
        <f>'M2'!B9*1</f>
        <v>69.067300000000003</v>
      </c>
      <c r="AG11" s="59">
        <f>'M2'!C9*1</f>
        <v>5.7754799999999999</v>
      </c>
      <c r="AH11" s="59">
        <f>'M2'!D9*1</f>
        <v>8.3620999999999999</v>
      </c>
      <c r="AI11" s="59">
        <f>'M2'!E9*1</f>
        <v>50</v>
      </c>
      <c r="AJ11" s="59">
        <f>'M2'!F9*1</f>
        <v>57.416400000000003</v>
      </c>
      <c r="AK11" s="59">
        <f>'M2'!G9*1</f>
        <v>100</v>
      </c>
      <c r="AL11" s="59">
        <f>'M2'!H9*1</f>
        <v>82.529300000000006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-1.3699000000000012</v>
      </c>
      <c r="D12" s="51">
        <f>N13</f>
        <v>-4.1768000000000001</v>
      </c>
      <c r="E12" s="53">
        <f>T13</f>
        <v>-5.6332000000000022</v>
      </c>
      <c r="F12" s="53">
        <f>P13</f>
        <v>-1.8599999999999284E-2</v>
      </c>
      <c r="G12" s="73" t="str">
        <f>CONCATENATE(M14,"
(50 ~ 100)")</f>
        <v>自我调节
(50 ~ 100)</v>
      </c>
      <c r="H12" s="24">
        <f>R14</f>
        <v>10.557799999999993</v>
      </c>
      <c r="I12" s="52">
        <f>N14</f>
        <v>1.7947999999999951</v>
      </c>
      <c r="J12" s="24">
        <f>T14</f>
        <v>4.4898999999999916</v>
      </c>
      <c r="K12" s="25">
        <f>P14</f>
        <v>-2.9132299999999995</v>
      </c>
      <c r="L12" s="4"/>
      <c r="M12" s="27" t="str">
        <f>lang!B19</f>
        <v>自信</v>
      </c>
      <c r="N12" s="59">
        <f t="shared" si="4"/>
        <v>2.7039000000000044</v>
      </c>
      <c r="O12" s="59">
        <f t="shared" si="5"/>
        <v>-1.3014700000000001</v>
      </c>
      <c r="P12" s="59">
        <f t="shared" si="6"/>
        <v>-1.7074700000000003</v>
      </c>
      <c r="Q12" s="59">
        <f t="shared" si="7"/>
        <v>0</v>
      </c>
      <c r="R12" s="59">
        <f t="shared" si="8"/>
        <v>8.8495999999999952</v>
      </c>
      <c r="S12" s="59">
        <f t="shared" si="9"/>
        <v>0</v>
      </c>
      <c r="T12" s="59">
        <f t="shared" si="10"/>
        <v>0.45009999999999195</v>
      </c>
      <c r="U12" s="15"/>
      <c r="V12" s="27" t="str">
        <f t="shared" si="11"/>
        <v>自信</v>
      </c>
      <c r="W12" s="59">
        <f>'M1'!B10*1</f>
        <v>80.110699999999994</v>
      </c>
      <c r="X12" s="59">
        <f>'M1'!C10*1</f>
        <v>3.3351600000000001</v>
      </c>
      <c r="Y12" s="59">
        <f>'M1'!D10*1</f>
        <v>4.1631900000000002</v>
      </c>
      <c r="Z12" s="59">
        <f>'M1'!E10*1</f>
        <v>40</v>
      </c>
      <c r="AA12" s="59">
        <f>'M1'!F10*1</f>
        <v>68.688299999999998</v>
      </c>
      <c r="AB12" s="59">
        <f>'M1'!G10*1</f>
        <v>100</v>
      </c>
      <c r="AC12" s="59">
        <f>'M1'!H10*1</f>
        <v>85.158500000000004</v>
      </c>
      <c r="AE12" s="27" t="str">
        <f t="shared" si="12"/>
        <v>自信</v>
      </c>
      <c r="AF12" s="59">
        <f>'M2'!B10*1</f>
        <v>82.814599999999999</v>
      </c>
      <c r="AG12" s="59">
        <f>'M2'!C10*1</f>
        <v>2.03369</v>
      </c>
      <c r="AH12" s="59">
        <f>'M2'!D10*1</f>
        <v>2.4557199999999999</v>
      </c>
      <c r="AI12" s="59">
        <f>'M2'!E10*1</f>
        <v>40</v>
      </c>
      <c r="AJ12" s="59">
        <f>'M2'!F10*1</f>
        <v>77.537899999999993</v>
      </c>
      <c r="AK12" s="59">
        <f>'M2'!G10*1</f>
        <v>100</v>
      </c>
      <c r="AL12" s="59">
        <f>'M2'!H10*1</f>
        <v>85.608599999999996</v>
      </c>
    </row>
    <row r="13" spans="2:38" ht="25.5" customHeight="1" thickBot="1">
      <c r="B13" s="72" t="str">
        <f>CONCATENATE(M15,"
(10 ~ 25)")</f>
        <v>抑郁
(10 ~ 25)</v>
      </c>
      <c r="C13" s="54">
        <f>R15</f>
        <v>-1.0914000000000001</v>
      </c>
      <c r="D13" s="55">
        <f>N15</f>
        <v>-2.6634000000000029</v>
      </c>
      <c r="E13" s="56">
        <f>T15</f>
        <v>-1.3256999999999977</v>
      </c>
      <c r="F13" s="56">
        <f>P15</f>
        <v>-2.2838999999999992</v>
      </c>
      <c r="G13" s="74" t="str">
        <f>CONCATENATE(M16,"
(10 ~ 50)")</f>
        <v>神经质
(10 ~ 50)</v>
      </c>
      <c r="H13" s="54">
        <f>R16</f>
        <v>2.252707</v>
      </c>
      <c r="I13" s="55">
        <f>N16</f>
        <v>-10.154399999999995</v>
      </c>
      <c r="J13" s="56">
        <f>T16</f>
        <v>-14.8063</v>
      </c>
      <c r="K13" s="57">
        <f>P16</f>
        <v>3.3840999999999966</v>
      </c>
      <c r="M13" s="27" t="str">
        <f>lang!B20</f>
        <v>活力</v>
      </c>
      <c r="N13" s="59">
        <f t="shared" si="4"/>
        <v>-4.1768000000000001</v>
      </c>
      <c r="O13" s="59">
        <f t="shared" si="5"/>
        <v>-0.57664999999999988</v>
      </c>
      <c r="P13" s="59">
        <f t="shared" si="6"/>
        <v>-1.8599999999999284E-2</v>
      </c>
      <c r="Q13" s="59">
        <f t="shared" si="7"/>
        <v>0</v>
      </c>
      <c r="R13" s="59">
        <f t="shared" si="8"/>
        <v>-1.3699000000000012</v>
      </c>
      <c r="S13" s="59">
        <f t="shared" si="9"/>
        <v>0</v>
      </c>
      <c r="T13" s="59">
        <f t="shared" si="10"/>
        <v>-5.6332000000000022</v>
      </c>
      <c r="U13" s="14"/>
      <c r="V13" s="27" t="str">
        <f t="shared" si="11"/>
        <v>活力</v>
      </c>
      <c r="W13" s="59">
        <f>'M1'!B11*1</f>
        <v>21.0304</v>
      </c>
      <c r="X13" s="59">
        <f>'M1'!C11*1</f>
        <v>2.8875899999999999</v>
      </c>
      <c r="Y13" s="59">
        <f>'M1'!D11*1</f>
        <v>13.730499999999999</v>
      </c>
      <c r="Z13" s="59">
        <f>'M1'!E11*1</f>
        <v>10</v>
      </c>
      <c r="AA13" s="59">
        <f>'M1'!F11*1</f>
        <v>15.587300000000001</v>
      </c>
      <c r="AB13" s="59">
        <f>'M1'!G11*1</f>
        <v>50</v>
      </c>
      <c r="AC13" s="59">
        <f>'M1'!H11*1</f>
        <v>27.943100000000001</v>
      </c>
      <c r="AE13" s="27" t="str">
        <f t="shared" si="12"/>
        <v>活力</v>
      </c>
      <c r="AF13" s="59">
        <f>'M2'!B11*1</f>
        <v>16.8536</v>
      </c>
      <c r="AG13" s="59">
        <f>'M2'!C11*1</f>
        <v>2.31094</v>
      </c>
      <c r="AH13" s="59">
        <f>'M2'!D11*1</f>
        <v>13.7119</v>
      </c>
      <c r="AI13" s="59">
        <f>'M2'!E11*1</f>
        <v>10</v>
      </c>
      <c r="AJ13" s="59">
        <f>'M2'!F11*1</f>
        <v>14.2174</v>
      </c>
      <c r="AK13" s="59">
        <f>'M2'!G11*1</f>
        <v>50</v>
      </c>
      <c r="AL13" s="59">
        <f>'M2'!H11*1</f>
        <v>22.309899999999999</v>
      </c>
    </row>
    <row r="14" spans="2:38" ht="19.5" customHeight="1" thickBot="1">
      <c r="B14" s="187" t="str">
        <f>lang!B3</f>
        <v>参数表</v>
      </c>
      <c r="C14" s="188"/>
      <c r="D14" s="188"/>
      <c r="E14" s="188"/>
      <c r="F14" s="189"/>
      <c r="G14" s="184" t="str">
        <f>lang!B4</f>
        <v>情感状态分布图</v>
      </c>
      <c r="H14" s="185"/>
      <c r="I14" s="185"/>
      <c r="J14" s="185"/>
      <c r="K14" s="186"/>
      <c r="M14" s="27" t="str">
        <f>lang!B21</f>
        <v>自我调节</v>
      </c>
      <c r="N14" s="59">
        <f t="shared" si="4"/>
        <v>1.7947999999999951</v>
      </c>
      <c r="O14" s="59">
        <f t="shared" si="5"/>
        <v>-2.0627699999999995</v>
      </c>
      <c r="P14" s="59">
        <f t="shared" si="6"/>
        <v>-2.9132299999999995</v>
      </c>
      <c r="Q14" s="59">
        <f t="shared" si="7"/>
        <v>0</v>
      </c>
      <c r="R14" s="59">
        <f t="shared" si="8"/>
        <v>10.557799999999993</v>
      </c>
      <c r="S14" s="59">
        <f t="shared" si="9"/>
        <v>0</v>
      </c>
      <c r="T14" s="59">
        <f t="shared" si="10"/>
        <v>4.4898999999999916</v>
      </c>
      <c r="U14" s="14"/>
      <c r="V14" s="27" t="str">
        <f t="shared" si="11"/>
        <v>自我调节</v>
      </c>
      <c r="W14" s="59">
        <f>'M1'!B12*1</f>
        <v>73.605699999999999</v>
      </c>
      <c r="X14" s="59">
        <f>'M1'!C12*1</f>
        <v>5.4880699999999996</v>
      </c>
      <c r="Y14" s="59">
        <f>'M1'!D12*1</f>
        <v>7.4560399999999998</v>
      </c>
      <c r="Z14" s="59">
        <f>'M1'!E12*1</f>
        <v>50</v>
      </c>
      <c r="AA14" s="59">
        <f>'M1'!F12*1</f>
        <v>58.689900000000002</v>
      </c>
      <c r="AB14" s="59">
        <f>'M1'!G12*1</f>
        <v>100</v>
      </c>
      <c r="AC14" s="59">
        <f>'M1'!H12*1</f>
        <v>78.92</v>
      </c>
      <c r="AE14" s="27" t="str">
        <f t="shared" si="12"/>
        <v>自我调节</v>
      </c>
      <c r="AF14" s="59">
        <f>'M2'!B12*1</f>
        <v>75.400499999999994</v>
      </c>
      <c r="AG14" s="59">
        <f>'M2'!C12*1</f>
        <v>3.4253</v>
      </c>
      <c r="AH14" s="59">
        <f>'M2'!D12*1</f>
        <v>4.5428100000000002</v>
      </c>
      <c r="AI14" s="59">
        <f>'M2'!E12*1</f>
        <v>50</v>
      </c>
      <c r="AJ14" s="59">
        <f>'M2'!F12*1</f>
        <v>69.247699999999995</v>
      </c>
      <c r="AK14" s="59">
        <f>'M2'!G12*1</f>
        <v>100</v>
      </c>
      <c r="AL14" s="59">
        <f>'M2'!H12*1</f>
        <v>83.409899999999993</v>
      </c>
    </row>
    <row r="15" spans="2:38" ht="21" customHeight="1">
      <c r="B15" s="38"/>
      <c r="C15" s="28"/>
      <c r="D15" s="28"/>
      <c r="E15" s="28"/>
      <c r="F15" s="28"/>
      <c r="G15" s="165"/>
      <c r="H15" s="166"/>
      <c r="I15" s="166"/>
      <c r="J15" s="166"/>
      <c r="K15" s="167"/>
      <c r="M15" s="27" t="str">
        <f>lang!B22</f>
        <v>抑郁</v>
      </c>
      <c r="N15" s="59">
        <f t="shared" si="4"/>
        <v>-2.6634000000000029</v>
      </c>
      <c r="O15" s="59">
        <f t="shared" si="5"/>
        <v>-1.0154399999999999</v>
      </c>
      <c r="P15" s="59">
        <f t="shared" si="6"/>
        <v>-2.2838999999999992</v>
      </c>
      <c r="Q15" s="59">
        <f t="shared" si="7"/>
        <v>0</v>
      </c>
      <c r="R15" s="59">
        <f t="shared" si="8"/>
        <v>-1.0914000000000001</v>
      </c>
      <c r="S15" s="59">
        <f t="shared" si="9"/>
        <v>0</v>
      </c>
      <c r="T15" s="59">
        <f t="shared" si="10"/>
        <v>-1.3256999999999977</v>
      </c>
      <c r="U15" s="14"/>
      <c r="V15" s="27" t="str">
        <f t="shared" si="11"/>
        <v>抑郁</v>
      </c>
      <c r="W15" s="59">
        <f>'M1'!B13*1</f>
        <v>22.253900000000002</v>
      </c>
      <c r="X15" s="59">
        <f>'M1'!C13*1</f>
        <v>4.7459699999999998</v>
      </c>
      <c r="Y15" s="59">
        <f>'M1'!D13*1</f>
        <v>21.326499999999999</v>
      </c>
      <c r="Z15" s="59">
        <f>'M1'!E13*1</f>
        <v>10</v>
      </c>
      <c r="AA15" s="59">
        <f>'M1'!F13*1</f>
        <v>15.052899999999999</v>
      </c>
      <c r="AB15" s="59">
        <f>'M1'!G13*1</f>
        <v>25</v>
      </c>
      <c r="AC15" s="59">
        <f>'M1'!H13*1</f>
        <v>34.211199999999998</v>
      </c>
      <c r="AE15" s="27" t="str">
        <f t="shared" si="12"/>
        <v>抑郁</v>
      </c>
      <c r="AF15" s="59">
        <f>'M2'!B13*1</f>
        <v>19.590499999999999</v>
      </c>
      <c r="AG15" s="59">
        <f>'M2'!C13*1</f>
        <v>3.7305299999999999</v>
      </c>
      <c r="AH15" s="59">
        <f>'M2'!D13*1</f>
        <v>19.0426</v>
      </c>
      <c r="AI15" s="59">
        <f>'M2'!E13*1</f>
        <v>10</v>
      </c>
      <c r="AJ15" s="59">
        <f>'M2'!F13*1</f>
        <v>13.961499999999999</v>
      </c>
      <c r="AK15" s="59">
        <f>'M2'!G13*1</f>
        <v>25</v>
      </c>
      <c r="AL15" s="59">
        <f>'M2'!H13*1</f>
        <v>32.8855</v>
      </c>
    </row>
    <row r="16" spans="2:38" ht="21" customHeight="1">
      <c r="B16" s="29"/>
      <c r="C16" s="32"/>
      <c r="D16" s="32"/>
      <c r="E16" s="32"/>
      <c r="F16" s="32"/>
      <c r="G16" s="168"/>
      <c r="H16" s="169"/>
      <c r="I16" s="169"/>
      <c r="J16" s="169"/>
      <c r="K16" s="170"/>
      <c r="M16" s="27" t="str">
        <f>lang!B23</f>
        <v>神经质</v>
      </c>
      <c r="N16" s="59">
        <f t="shared" si="4"/>
        <v>-10.154399999999995</v>
      </c>
      <c r="O16" s="59">
        <f t="shared" si="5"/>
        <v>-3.0156000000000027</v>
      </c>
      <c r="P16" s="59">
        <f t="shared" si="6"/>
        <v>3.3840999999999966</v>
      </c>
      <c r="Q16" s="59">
        <f t="shared" si="7"/>
        <v>0</v>
      </c>
      <c r="R16" s="59">
        <f t="shared" si="8"/>
        <v>2.252707</v>
      </c>
      <c r="S16" s="59">
        <f t="shared" si="9"/>
        <v>0</v>
      </c>
      <c r="T16" s="59">
        <f t="shared" si="10"/>
        <v>-14.8063</v>
      </c>
      <c r="U16" s="15"/>
      <c r="V16" s="27" t="str">
        <f t="shared" si="11"/>
        <v>神经质</v>
      </c>
      <c r="W16" s="59">
        <f>'M1'!B14*1</f>
        <v>47.459699999999998</v>
      </c>
      <c r="X16" s="59">
        <f>'M1'!C14*1</f>
        <v>19.994900000000001</v>
      </c>
      <c r="Y16" s="59">
        <f>'M1'!D14*1</f>
        <v>42.130400000000002</v>
      </c>
      <c r="Z16" s="59">
        <f>'M1'!E14*1</f>
        <v>10</v>
      </c>
      <c r="AA16" s="59">
        <f>'M1'!F14*1</f>
        <v>0.58793300000000004</v>
      </c>
      <c r="AB16" s="59">
        <f>'M1'!G14*1</f>
        <v>50</v>
      </c>
      <c r="AC16" s="59">
        <f>'M1'!H14*1</f>
        <v>62.183</v>
      </c>
      <c r="AE16" s="27" t="str">
        <f t="shared" si="12"/>
        <v>神经质</v>
      </c>
      <c r="AF16" s="59">
        <f>'M2'!B14*1</f>
        <v>37.305300000000003</v>
      </c>
      <c r="AG16" s="59">
        <f>'M2'!C14*1</f>
        <v>16.979299999999999</v>
      </c>
      <c r="AH16" s="59">
        <f>'M2'!D14*1</f>
        <v>45.514499999999998</v>
      </c>
      <c r="AI16" s="59">
        <f>'M2'!E14*1</f>
        <v>10</v>
      </c>
      <c r="AJ16" s="59">
        <f>'M2'!F14*1</f>
        <v>2.8406400000000001</v>
      </c>
      <c r="AK16" s="59">
        <f>'M2'!G14*1</f>
        <v>50</v>
      </c>
      <c r="AL16" s="59">
        <f>'M2'!H14*1</f>
        <v>47.3767</v>
      </c>
    </row>
    <row r="17" spans="2:38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1" t="str">
        <f>lang!B7</f>
        <v>Positive</v>
      </c>
      <c r="N17" s="65">
        <f>SUM(N11:N14)/4</f>
        <v>0.58417500000000189</v>
      </c>
      <c r="O17" s="22">
        <f>N17/(N17+N18+N19)</f>
        <v>-5.2953973757563576E-2</v>
      </c>
      <c r="P17" s="65">
        <f>SUM(P11:P14)/4</f>
        <v>-2.2397499999999999</v>
      </c>
      <c r="Q17" s="22">
        <f>P17/(P17+P18+P19)</f>
        <v>-0.45495332399288457</v>
      </c>
      <c r="R17" s="14"/>
      <c r="S17" s="14"/>
      <c r="T17" s="14"/>
      <c r="U17" s="14"/>
      <c r="V17" s="21" t="str">
        <f>M17</f>
        <v>Positive</v>
      </c>
      <c r="W17" s="65">
        <f>SUM(W11:W14)/4</f>
        <v>60.449825000000004</v>
      </c>
      <c r="X17" s="22">
        <f>W17/(W17+W18+W19)</f>
        <v>0.48128764922348855</v>
      </c>
      <c r="Y17" s="65">
        <f>SUM(Y11:Y14)/4</f>
        <v>9.5078825000000009</v>
      </c>
      <c r="Z17" s="22">
        <f>Y17/(Y17+Y18+Y19)</f>
        <v>0.16769769629762371</v>
      </c>
      <c r="AA17" s="14"/>
      <c r="AB17" s="14"/>
      <c r="AC17" s="14"/>
      <c r="AE17" s="21" t="str">
        <f>V17</f>
        <v>Positive</v>
      </c>
      <c r="AF17" s="65">
        <f>SUM(AF11:AF14)/4</f>
        <v>61.033999999999999</v>
      </c>
      <c r="AG17" s="22">
        <f>AF17/(AF17+AF18+AF19)</f>
        <v>0.5327295603632588</v>
      </c>
      <c r="AH17" s="65">
        <f>SUM(AH11:AH14)/4</f>
        <v>7.2681324999999992</v>
      </c>
      <c r="AI17" s="22">
        <f>AH17/(AH17+AH18+AH19)</f>
        <v>0.11795164825213668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lang!B8</f>
        <v>Negative</v>
      </c>
      <c r="N18" s="18">
        <f>SUM(N7:N10)/4</f>
        <v>-5.2070250000000007</v>
      </c>
      <c r="O18" s="22">
        <f>N18/(N17+N18+N19)</f>
        <v>0.47200353525052702</v>
      </c>
      <c r="P18" s="18">
        <f>SUM(P7:P10)/4</f>
        <v>6.6126825</v>
      </c>
      <c r="Q18" s="22">
        <f>P18/(P17+P18+P19)</f>
        <v>1.3432132532133398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30.293574999999997</v>
      </c>
      <c r="X18" s="22">
        <f>W18/(W17+W18+W19)</f>
        <v>0.24119049969665651</v>
      </c>
      <c r="Y18" s="18">
        <f>SUM(Y7:Y10)/4</f>
        <v>15.460227499999998</v>
      </c>
      <c r="Z18" s="22">
        <f>Y18/(Y17+Y18+Y19)</f>
        <v>0.27268369544818938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25.086549999999999</v>
      </c>
      <c r="AG18" s="22">
        <f>AF18/(AF17+AF18+AF19)</f>
        <v>0.21896560527789283</v>
      </c>
      <c r="AH18" s="18">
        <f>SUM(AH7:AH10)/4</f>
        <v>22.07291</v>
      </c>
      <c r="AI18" s="22">
        <f>AH18/(AH17+AH18+AH19)</f>
        <v>0.35821252793906422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lang!B9</f>
        <v>Physiological</v>
      </c>
      <c r="N19" s="18">
        <f>(N15+N16)/2</f>
        <v>-6.4088999999999992</v>
      </c>
      <c r="O19" s="22">
        <f>N19/(N17+N18+N19)</f>
        <v>0.58095043850703654</v>
      </c>
      <c r="P19" s="18">
        <f>(P15+P16)/2</f>
        <v>0.5500999999999987</v>
      </c>
      <c r="Q19" s="22">
        <f>P19/(P17+P18+P19)</f>
        <v>0.11174007077954469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34.8568</v>
      </c>
      <c r="X19" s="22">
        <f>W19/(W17+W18+W19)</f>
        <v>0.27752185107985494</v>
      </c>
      <c r="Y19" s="18">
        <f>(Y15+Y16)/2</f>
        <v>31.728450000000002</v>
      </c>
      <c r="Z19" s="22">
        <f>Y19/(Y17+Y18+Y19)</f>
        <v>0.55961860825418686</v>
      </c>
      <c r="AA19" s="14"/>
      <c r="AB19" s="14"/>
      <c r="AC19" s="14"/>
      <c r="AE19" s="21" t="str">
        <f t="shared" si="14"/>
        <v>Physiological</v>
      </c>
      <c r="AF19" s="18">
        <f>(AF15+AF16)/2</f>
        <v>28.447900000000001</v>
      </c>
      <c r="AG19" s="22">
        <f>AF19/(AF17+AF18+AF19)</f>
        <v>0.24830483435884837</v>
      </c>
      <c r="AH19" s="18">
        <f>(AH15+AH16)/2</f>
        <v>32.278549999999996</v>
      </c>
      <c r="AI19" s="22">
        <f>AH19/(AH17+AH18+AH19)</f>
        <v>0.52383582380879912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71"/>
      <c r="H22" s="172"/>
      <c r="I22" s="172"/>
      <c r="J22" s="172"/>
      <c r="K22" s="173"/>
      <c r="M22" s="16"/>
      <c r="O22" s="17"/>
      <c r="Q22"/>
      <c r="T22"/>
      <c r="U22" s="19"/>
    </row>
    <row r="23" spans="2:38" ht="17.25" customHeight="1" thickBot="1">
      <c r="B23" s="150" t="str">
        <f>lang!B5</f>
        <v>频率分布直方图</v>
      </c>
      <c r="C23" s="151"/>
      <c r="D23" s="151"/>
      <c r="E23" s="151"/>
      <c r="F23" s="152"/>
      <c r="G23" s="162" t="str">
        <f>lang!B6</f>
        <v xml:space="preserve">心理变化 - 心理基础代谢 </v>
      </c>
      <c r="H23" s="163"/>
      <c r="I23" s="163"/>
      <c r="J23" s="163"/>
      <c r="K23" s="16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1.59/1.38</v>
      </c>
      <c r="D24" s="44" t="str">
        <f>lang!B11</f>
        <v>频率方差</v>
      </c>
      <c r="E24" s="182" t="str">
        <f ca="1">CONCATENATE(ROUND('FH1'!L3,2),"/",ROUND('FH2'!L3,2))</f>
        <v>0.56/0.53</v>
      </c>
      <c r="F24" s="183"/>
      <c r="G24" s="174" t="str">
        <f>lang!B12</f>
        <v>生理变化率</v>
      </c>
      <c r="H24" s="175"/>
      <c r="I24" s="62" t="str">
        <f ca="1">CONCATENATE(info!M7,"-",info!M8)</f>
        <v>40.7-59.6</v>
      </c>
      <c r="J24" s="42" t="str">
        <f>lang!B13</f>
        <v>千卡l/分钟</v>
      </c>
      <c r="K24" s="41" t="str">
        <f ca="1">CONCATENATE(info!M5,"-",info!M6)</f>
        <v>2.4-3.6</v>
      </c>
      <c r="M24" s="16"/>
      <c r="O24" s="17"/>
      <c r="P24" s="17"/>
      <c r="Q24"/>
      <c r="T24"/>
      <c r="U24" s="19"/>
    </row>
    <row r="25" spans="2:38" ht="156.75" customHeight="1" thickBot="1">
      <c r="B25" s="155"/>
      <c r="C25" s="156"/>
      <c r="D25" s="156"/>
      <c r="E25" s="157"/>
      <c r="F25" s="39"/>
      <c r="G25" s="158"/>
      <c r="H25" s="159"/>
      <c r="I25" s="159"/>
      <c r="J25" s="160"/>
      <c r="K25" s="161"/>
      <c r="M25"/>
      <c r="O25" s="17"/>
      <c r="Q25"/>
      <c r="T25"/>
      <c r="U25" s="19"/>
    </row>
    <row r="26" spans="2:38" ht="15" customHeight="1" thickBot="1">
      <c r="B26" s="119" t="str">
        <f>CONCATENATE( lang!B31," ",ROUND(100-FH_info!L2,0),"%]")</f>
        <v>Result [Quality 100%]</v>
      </c>
      <c r="C26" s="120"/>
      <c r="D26" s="120"/>
      <c r="E26" s="120"/>
      <c r="F26" s="120"/>
      <c r="G26" s="120"/>
      <c r="H26" s="120"/>
      <c r="I26" s="120"/>
      <c r="J26" s="120"/>
      <c r="K26" s="121"/>
      <c r="M26"/>
      <c r="Q26"/>
      <c r="T26"/>
    </row>
    <row r="27" spans="2:38" ht="15.75" thickBot="1">
      <c r="B27" s="135" t="str">
        <f>lang!B32</f>
        <v>外向性</v>
      </c>
      <c r="C27" s="136"/>
      <c r="D27" s="137"/>
      <c r="E27" s="119">
        <f>dM!B18*100</f>
        <v>-5.4236999999999984</v>
      </c>
      <c r="F27" s="121"/>
      <c r="G27" s="135" t="str">
        <f>lang!B33</f>
        <v>稳定性</v>
      </c>
      <c r="H27" s="136"/>
      <c r="I27" s="137"/>
      <c r="J27" s="138">
        <f>dM!B19*100</f>
        <v>-5.5169000000000024</v>
      </c>
      <c r="K27" s="139"/>
    </row>
    <row r="28" spans="2:38" ht="24.75" customHeight="1">
      <c r="B28" s="122" t="str">
        <f>lang!B34</f>
        <v xml:space="preserve">心理生理状态分析结果： </v>
      </c>
      <c r="C28" s="123"/>
      <c r="D28" s="123"/>
      <c r="E28" s="123"/>
      <c r="F28" s="123"/>
      <c r="G28" s="123"/>
      <c r="H28" s="123"/>
      <c r="I28" s="123"/>
      <c r="J28" s="123"/>
      <c r="K28" s="124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⊡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⊠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40" t="str">
        <f>lang!B37</f>
        <v>意见</v>
      </c>
      <c r="C31" s="141"/>
      <c r="D31" s="142"/>
      <c r="E31" s="142"/>
      <c r="F31" s="142"/>
      <c r="G31" s="142"/>
      <c r="H31" s="142"/>
      <c r="I31" s="142"/>
      <c r="J31" s="142"/>
      <c r="K31" s="143"/>
      <c r="M31"/>
      <c r="Q31"/>
      <c r="T31"/>
      <c r="W31" s="33"/>
      <c r="X31" s="33"/>
    </row>
    <row r="32" spans="2:38" ht="18" customHeight="1">
      <c r="B32" s="113"/>
      <c r="C32" s="114"/>
      <c r="D32" s="114"/>
      <c r="E32" s="114"/>
      <c r="F32" s="114"/>
      <c r="G32" s="114"/>
      <c r="H32" s="114"/>
      <c r="I32" s="114"/>
      <c r="J32" s="114"/>
      <c r="K32" s="115"/>
      <c r="M32"/>
      <c r="Q32"/>
      <c r="T32"/>
      <c r="W32" s="33"/>
      <c r="X32" s="33"/>
    </row>
    <row r="33" spans="2:24" ht="20.25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35.25" customHeight="1" thickBot="1">
      <c r="B34" s="116"/>
      <c r="C34" s="117"/>
      <c r="D34" s="117"/>
      <c r="E34" s="117"/>
      <c r="F34" s="117"/>
      <c r="G34" s="117"/>
      <c r="H34" s="117"/>
      <c r="I34" s="117"/>
      <c r="J34" s="117"/>
      <c r="K34" s="118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  <mergeCell ref="B23:F23"/>
    <mergeCell ref="G23:K23"/>
    <mergeCell ref="E24:F24"/>
    <mergeCell ref="G24:H24"/>
    <mergeCell ref="B25:E25"/>
    <mergeCell ref="G25:K25"/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-0.82268827693909541</v>
      </c>
      <c r="C2">
        <f t="array" aca="1" ref="C2" ca="1">CORREL(FT_E02,FT_PH02)</f>
        <v>-0.97404749807479862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3.3662100000000001</v>
      </c>
      <c r="G2" s="61">
        <f>IF(FT!B2&lt;&gt;"",FT!B2*100,"")</f>
        <v>46.235599999999998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4.9207200000000002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1.929694117647059E-2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3.3807799999999997</v>
      </c>
      <c r="G3" s="61">
        <f>IF(FT!B3&lt;&gt;"",FT!B3*100,"")</f>
        <v>46.169900000000005</v>
      </c>
      <c r="H3" s="61">
        <f t="shared" ref="H3:H66" si="1">(IF(F3&lt;&gt;"",1,""))</f>
        <v>1</v>
      </c>
      <c r="I3" t="str">
        <f>IF(FT!B3&lt;&gt;"",FT!E3,"")</f>
        <v>1 [0.404814]</v>
      </c>
      <c r="J3">
        <f>IF(FT!B3&lt;&gt;"",FT!C3,"")</f>
        <v>0.40481400000000001</v>
      </c>
      <c r="K3" t="s">
        <v>52</v>
      </c>
      <c r="L3">
        <f>SUM(H2:H2005)</f>
        <v>148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0.45341759459459463</v>
      </c>
      <c r="V3">
        <f ca="1">AVERAGE(OFFSET(FT!B2,info!$L$3/2,0,info!$L$3/2,1))</f>
        <v>0.48431851351351363</v>
      </c>
      <c r="W3">
        <f ca="1">AVERAGE(OFFSET(FT!A2,0,0,info!$L$3/2,1))</f>
        <v>0.31237670270270262</v>
      </c>
      <c r="X3">
        <f ca="1">AVERAGE(OFFSET(FT!A2,info!$L$3/2,0,info!$L$3/2,1))</f>
        <v>0.28664771621621615</v>
      </c>
    </row>
    <row r="4" spans="1:24">
      <c r="A4" s="61">
        <f t="shared" ref="A4:A67" si="2">A3+1</f>
        <v>2</v>
      </c>
      <c r="B4" s="61">
        <f t="shared" si="0"/>
        <v>3.8593882352941179E-2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3.39575</v>
      </c>
      <c r="G4" s="61">
        <f>IF(FT!B4&lt;&gt;"",FT!B4*100,"")</f>
        <v>46.013799999999996</v>
      </c>
      <c r="H4" s="61">
        <f t="shared" si="1"/>
        <v>1</v>
      </c>
      <c r="I4" t="str">
        <f>IF(FT!B4&lt;&gt;"",FT!E4,"")</f>
        <v>1 [0.812775]</v>
      </c>
      <c r="J4">
        <f>IF(FT!B4&lt;&gt;"",FT!C4,"")</f>
        <v>0.81277500000000003</v>
      </c>
      <c r="O4">
        <f>O3+1</f>
        <v>1</v>
      </c>
      <c r="P4">
        <v>0</v>
      </c>
      <c r="Q4">
        <f>IF(R4=1998,0,R4)</f>
        <v>73</v>
      </c>
      <c r="R4">
        <f t="array" ref="R4">MAX(IF(ft_nq=O4,row_n))</f>
        <v>73</v>
      </c>
      <c r="S4">
        <f>Q4-P4+1</f>
        <v>74</v>
      </c>
      <c r="U4">
        <f>MAX(FT!C2:C4000)/4</f>
        <v>14.945774999999999</v>
      </c>
      <c r="V4">
        <f>U4*3</f>
        <v>44.837325</v>
      </c>
      <c r="W4">
        <f>U4</f>
        <v>14.945774999999999</v>
      </c>
      <c r="X4">
        <f>V4</f>
        <v>44.837325</v>
      </c>
    </row>
    <row r="5" spans="1:24">
      <c r="A5" s="61">
        <f t="shared" si="2"/>
        <v>3</v>
      </c>
      <c r="B5" s="61">
        <f t="shared" si="0"/>
        <v>5.7890823529411765E-2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3.4131299999999998</v>
      </c>
      <c r="G5" s="61">
        <f>IF(FT!B5&lt;&gt;"",FT!B5*100,"")</f>
        <v>45.851300000000002</v>
      </c>
      <c r="H5" s="61">
        <f t="shared" si="1"/>
        <v>1</v>
      </c>
      <c r="I5" t="str">
        <f>IF(FT!B5&lt;&gt;"",FT!E5,"")</f>
        <v>1 [1.218634]</v>
      </c>
      <c r="J5">
        <f>IF(FT!B5&lt;&gt;"",FT!C5,"")</f>
        <v>1.2186300000000001</v>
      </c>
      <c r="K5" t="s">
        <v>53</v>
      </c>
      <c r="L5" s="63">
        <f ca="1">MIN(FT_E)</f>
        <v>2.4191699999999998</v>
      </c>
      <c r="M5" s="63">
        <f ca="1">ROUND(L5,1)</f>
        <v>2.4</v>
      </c>
      <c r="O5">
        <f t="shared" ref="O5:O27" si="4">O4+1</f>
        <v>2</v>
      </c>
      <c r="P5">
        <f>IF(OR(R5=1998,R5=0),0,Q4)</f>
        <v>73</v>
      </c>
      <c r="Q5">
        <f>IF(R5=1998,0,R5)</f>
        <v>147</v>
      </c>
      <c r="R5">
        <f t="array" ref="R5">MAX(IF(ft_nq=O5,row_n))</f>
        <v>147</v>
      </c>
      <c r="S5">
        <f t="shared" ref="S5:S27" si="5">Q5-P5+1</f>
        <v>75</v>
      </c>
      <c r="U5">
        <f ca="1">U3*100</f>
        <v>45.34175945945946</v>
      </c>
      <c r="V5">
        <f ca="1">V3*100</f>
        <v>48.431851351351362</v>
      </c>
      <c r="W5">
        <f ca="1">W3*10</f>
        <v>3.1237670270270264</v>
      </c>
      <c r="X5">
        <f ca="1">X3*10</f>
        <v>2.8664771621621616</v>
      </c>
    </row>
    <row r="6" spans="1:24">
      <c r="A6" s="61">
        <f t="shared" si="2"/>
        <v>4</v>
      </c>
      <c r="B6" s="61">
        <f t="shared" si="0"/>
        <v>7.7187764705882358E-2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3.4339599999999999</v>
      </c>
      <c r="G6" s="61">
        <f>IF(FT!B6&lt;&gt;"",FT!B6*100,"")</f>
        <v>45.669399999999996</v>
      </c>
      <c r="H6" s="61">
        <f t="shared" si="1"/>
        <v>1</v>
      </c>
      <c r="I6" t="str">
        <f>IF(FT!B6&lt;&gt;"",FT!E6,"")</f>
        <v>1 [1.621543]</v>
      </c>
      <c r="J6">
        <f>IF(FT!B6&lt;&gt;"",FT!C6,"")</f>
        <v>1.62154</v>
      </c>
      <c r="K6" t="s">
        <v>54</v>
      </c>
      <c r="L6" s="63">
        <f ca="1">MAX(FT_E)</f>
        <v>3.6111900000000001</v>
      </c>
      <c r="M6" s="63">
        <f ca="1">ROUND(L6,1)</f>
        <v>3.6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9.6484705882352945E-2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3.4603999999999999</v>
      </c>
      <c r="G7" s="61">
        <f>IF(FT!B7&lt;&gt;"",FT!B7*100,"")</f>
        <v>45.429499999999997</v>
      </c>
      <c r="H7" s="61">
        <f t="shared" si="1"/>
        <v>1</v>
      </c>
      <c r="I7" t="str">
        <f>IF(FT!B7&lt;&gt;"",FT!E7,"")</f>
        <v>1 [2.028511]</v>
      </c>
      <c r="J7">
        <f>IF(FT!B7&lt;&gt;"",FT!C7,"")</f>
        <v>2.0285099999999998</v>
      </c>
      <c r="K7" t="s">
        <v>55</v>
      </c>
      <c r="L7" s="63">
        <f ca="1">MIN(FT_PH)</f>
        <v>40.675800000000002</v>
      </c>
      <c r="M7" s="63">
        <f ca="1">ROUND(L7,1)</f>
        <v>40.700000000000003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0.11578164705882353</v>
      </c>
      <c r="C8" s="61">
        <f>FH!A8*1</f>
        <v>1553</v>
      </c>
      <c r="D8" s="61">
        <f>FH!B8*1</f>
        <v>1553</v>
      </c>
      <c r="E8">
        <f t="shared" si="3"/>
        <v>6</v>
      </c>
      <c r="F8" s="61">
        <f>IF(FT!A8&lt;&gt;"",FT!A8*10,"")</f>
        <v>3.48875</v>
      </c>
      <c r="G8" s="61">
        <f>IF(FT!B8&lt;&gt;"",FT!B8*100,"")</f>
        <v>45.16</v>
      </c>
      <c r="H8" s="61">
        <f t="shared" si="1"/>
        <v>1</v>
      </c>
      <c r="I8" t="str">
        <f>IF(FT!B8&lt;&gt;"",FT!E8,"")</f>
        <v>1 [2.439407]</v>
      </c>
      <c r="J8">
        <f>IF(FT!B8&lt;&gt;"",FT!C8,"")</f>
        <v>2.4394100000000001</v>
      </c>
      <c r="K8" t="s">
        <v>56</v>
      </c>
      <c r="L8" s="63">
        <f ca="1">MAX(FT_PH)</f>
        <v>59.572199999999995</v>
      </c>
      <c r="M8" s="63">
        <f ca="1">ROUND(L8,1)</f>
        <v>59.6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0.13507858823529412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3.5147899999999996</v>
      </c>
      <c r="G9" s="61">
        <f>IF(FT!B9&lt;&gt;"",FT!B9*100,"")</f>
        <v>44.835799999999999</v>
      </c>
      <c r="H9" s="61">
        <f t="shared" si="1"/>
        <v>1</v>
      </c>
      <c r="I9" t="str">
        <f>IF(FT!B9&lt;&gt;"",FT!E9,"")</f>
        <v>1 [2.845383]</v>
      </c>
      <c r="J9">
        <f>IF(FT!B9&lt;&gt;"",FT!C9,"")</f>
        <v>2.84538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0.15437552941176472</v>
      </c>
      <c r="C10" s="61">
        <f>FH!A10*1</f>
        <v>3845</v>
      </c>
      <c r="D10" s="61">
        <f>FH!B10*1</f>
        <v>3845</v>
      </c>
      <c r="E10">
        <f t="shared" si="3"/>
        <v>8</v>
      </c>
      <c r="F10" s="61">
        <f>IF(FT!A10&lt;&gt;"",FT!A10*10,"")</f>
        <v>3.5395700000000003</v>
      </c>
      <c r="G10" s="61">
        <f>IF(FT!B10&lt;&gt;"",FT!B10*100,"")</f>
        <v>44.413499999999999</v>
      </c>
      <c r="H10" s="61">
        <f t="shared" si="1"/>
        <v>1</v>
      </c>
      <c r="I10" t="str">
        <f>IF(FT!B10&lt;&gt;"",FT!E10,"")</f>
        <v>1 [3.248178]</v>
      </c>
      <c r="J10">
        <f>IF(FT!B10&lt;&gt;"",FT!C10,"")</f>
        <v>3.2481800000000001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0.17367247058823529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3.5640200000000002</v>
      </c>
      <c r="G11" s="61">
        <f>IF(FT!B11&lt;&gt;"",FT!B11*100,"")</f>
        <v>43.987400000000001</v>
      </c>
      <c r="H11" s="61">
        <f t="shared" si="1"/>
        <v>1</v>
      </c>
      <c r="I11" t="str">
        <f>IF(FT!B11&lt;&gt;"",FT!E11,"")</f>
        <v>1 [3.654150]</v>
      </c>
      <c r="J11">
        <f>IF(FT!B11&lt;&gt;"",FT!C11,"")</f>
        <v>3.65415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0.19296941176470589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3.5846299999999998</v>
      </c>
      <c r="G12" s="61">
        <f>IF(FT!B12&lt;&gt;"",FT!B12*100,"")</f>
        <v>43.68</v>
      </c>
      <c r="H12" s="61">
        <f t="shared" si="1"/>
        <v>1</v>
      </c>
      <c r="I12" t="str">
        <f>IF(FT!B12&lt;&gt;"",FT!E12,"")</f>
        <v>1 [4.060135]</v>
      </c>
      <c r="J12">
        <f>IF(FT!B12&lt;&gt;"",FT!C12,"")</f>
        <v>4.06013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0.21226635294117649</v>
      </c>
      <c r="C13" s="61">
        <f>FH!A13*1</f>
        <v>11574</v>
      </c>
      <c r="D13" s="61">
        <f>FH!B13*1</f>
        <v>11574</v>
      </c>
      <c r="E13">
        <f t="shared" si="3"/>
        <v>11</v>
      </c>
      <c r="F13" s="61">
        <f>IF(FT!A13&lt;&gt;"",FT!A13*10,"")</f>
        <v>3.5979000000000001</v>
      </c>
      <c r="G13" s="61">
        <f>IF(FT!B13&lt;&gt;"",FT!B13*100,"")</f>
        <v>43.430400000000006</v>
      </c>
      <c r="H13" s="61">
        <f t="shared" si="1"/>
        <v>1</v>
      </c>
      <c r="I13" t="str">
        <f>IF(FT!B13&lt;&gt;"",FT!E13,"")</f>
        <v>1 [4.466953]</v>
      </c>
      <c r="J13">
        <f>IF(FT!B13&lt;&gt;"",FT!C13,"")</f>
        <v>4.4669499999999998</v>
      </c>
      <c r="L13" s="67">
        <f t="array" ref="L13">MAX(IF(ft_nq=2,row_n))</f>
        <v>147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0.23156329411764706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3.6047800000000003</v>
      </c>
      <c r="G14" s="61">
        <f>IF(FT!B14&lt;&gt;"",FT!B14*100,"")</f>
        <v>43.215800000000002</v>
      </c>
      <c r="H14" s="61">
        <f t="shared" si="1"/>
        <v>1</v>
      </c>
      <c r="I14" t="str">
        <f>IF(FT!B14&lt;&gt;"",FT!E14,"")</f>
        <v>1 [4.875457]</v>
      </c>
      <c r="J14">
        <f>IF(FT!B14&lt;&gt;"",FT!C14,"")</f>
        <v>4.8754600000000003</v>
      </c>
      <c r="L14">
        <f>L13+1</f>
        <v>148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0.25086023529411766</v>
      </c>
      <c r="C15" s="61">
        <f>FH!A15*1</f>
        <v>15021</v>
      </c>
      <c r="D15" s="61">
        <f>FH!B15*1</f>
        <v>15021</v>
      </c>
      <c r="E15">
        <f t="shared" si="3"/>
        <v>13</v>
      </c>
      <c r="F15" s="61">
        <f>IF(FT!A15&lt;&gt;"",FT!A15*10,"")</f>
        <v>3.609</v>
      </c>
      <c r="G15" s="61">
        <f>IF(FT!B15&lt;&gt;"",FT!B15*100,"")</f>
        <v>43.026899999999998</v>
      </c>
      <c r="H15" s="61">
        <f t="shared" si="1"/>
        <v>1</v>
      </c>
      <c r="I15" t="str">
        <f>IF(FT!B15&lt;&gt;"",FT!E15,"")</f>
        <v>1 [5.282830]</v>
      </c>
      <c r="J15">
        <f>IF(FT!B15&lt;&gt;"",FT!C15,"")</f>
        <v>5.2828299999999997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0.27015717647058823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3.6111900000000001</v>
      </c>
      <c r="G16" s="61">
        <f>IF(FT!B16&lt;&gt;"",FT!B16*100,"")</f>
        <v>42.848199999999999</v>
      </c>
      <c r="H16" s="61">
        <f t="shared" si="1"/>
        <v>1</v>
      </c>
      <c r="I16" t="str">
        <f>IF(FT!B16&lt;&gt;"",FT!E16,"")</f>
        <v>1 [5.684703]</v>
      </c>
      <c r="J16">
        <f>IF(FT!B16&lt;&gt;"",FT!C16,"")</f>
        <v>5.6847000000000003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0.28945411764705881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3.6087699999999998</v>
      </c>
      <c r="G17" s="61">
        <f>IF(FT!B17&lt;&gt;"",FT!B17*100,"")</f>
        <v>42.613199999999999</v>
      </c>
      <c r="H17" s="61">
        <f t="shared" si="1"/>
        <v>1</v>
      </c>
      <c r="I17" t="str">
        <f>IF(FT!B17&lt;&gt;"",FT!E17,"")</f>
        <v>1 [6.092224]</v>
      </c>
      <c r="J17">
        <f>IF(FT!B17&lt;&gt;"",FT!C17,"")</f>
        <v>6.0922200000000002</v>
      </c>
      <c r="L17">
        <f>L3+1</f>
        <v>149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0.30875105882352943</v>
      </c>
      <c r="C18" s="61">
        <f>FH!A18*1</f>
        <v>18831</v>
      </c>
      <c r="D18" s="61">
        <f>FH!B18*1</f>
        <v>18831</v>
      </c>
      <c r="E18">
        <f t="shared" si="3"/>
        <v>16</v>
      </c>
      <c r="F18" s="61">
        <f>IF(FT!A18&lt;&gt;"",FT!A18*10,"")</f>
        <v>3.6063800000000001</v>
      </c>
      <c r="G18" s="61">
        <f>IF(FT!B18&lt;&gt;"",FT!B18*100,"")</f>
        <v>42.427599999999998</v>
      </c>
      <c r="H18" s="61">
        <f t="shared" si="1"/>
        <v>1</v>
      </c>
      <c r="I18" t="str">
        <f>IF(FT!B18&lt;&gt;"",FT!E18,"")</f>
        <v>1 [6.498513]</v>
      </c>
      <c r="J18">
        <f>IF(FT!B18&lt;&gt;"",FT!C18,"")</f>
        <v>6.4985099999999996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0.32804800000000001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3.6002800000000001</v>
      </c>
      <c r="G19" s="61">
        <f>IF(FT!B19&lt;&gt;"",FT!B19*100,"")</f>
        <v>42.220800000000004</v>
      </c>
      <c r="H19" s="61">
        <f t="shared" si="1"/>
        <v>1</v>
      </c>
      <c r="I19" t="str">
        <f>IF(FT!B19&lt;&gt;"",FT!E19,"")</f>
        <v>1 [6.902589]</v>
      </c>
      <c r="J19">
        <f>IF(FT!B19&lt;&gt;"",FT!C19,"")</f>
        <v>6.90259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0.34734494117647058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3.5892900000000001</v>
      </c>
      <c r="G20" s="61">
        <f>IF(FT!B20&lt;&gt;"",FT!B20*100,"")</f>
        <v>42.032000000000004</v>
      </c>
      <c r="H20" s="61">
        <f t="shared" si="1"/>
        <v>1</v>
      </c>
      <c r="I20" t="str">
        <f>IF(FT!B20&lt;&gt;"",FT!E20,"")</f>
        <v>1 [7.312335]</v>
      </c>
      <c r="J20">
        <f>IF(FT!B20&lt;&gt;"",FT!C20,"")</f>
        <v>7.3123399999999998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0.36664188235294121</v>
      </c>
      <c r="C21" s="61">
        <f>FH!A21*1</f>
        <v>30213</v>
      </c>
      <c r="D21" s="61">
        <f>FH!B21*1</f>
        <v>30213</v>
      </c>
      <c r="E21">
        <f t="shared" si="3"/>
        <v>19</v>
      </c>
      <c r="F21" s="61">
        <f>IF(FT!A21&lt;&gt;"",FT!A21*10,"")</f>
        <v>3.5731700000000002</v>
      </c>
      <c r="G21" s="61">
        <f>IF(FT!B21&lt;&gt;"",FT!B21*100,"")</f>
        <v>41.838900000000002</v>
      </c>
      <c r="H21" s="61">
        <f t="shared" si="1"/>
        <v>1</v>
      </c>
      <c r="I21" t="str">
        <f>IF(FT!B21&lt;&gt;"",FT!E21,"")</f>
        <v>1 [7.717260]</v>
      </c>
      <c r="J21">
        <f>IF(FT!B21&lt;&gt;"",FT!C21,"")</f>
        <v>7.7172599999999996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0.38593882352941178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3.5552800000000002</v>
      </c>
      <c r="G22" s="61">
        <f>IF(FT!B22&lt;&gt;"",FT!B22*100,"")</f>
        <v>41.655999999999999</v>
      </c>
      <c r="H22" s="61">
        <f t="shared" si="1"/>
        <v>1</v>
      </c>
      <c r="I22" t="str">
        <f>IF(FT!B22&lt;&gt;"",FT!E22,"")</f>
        <v>1 [8.122165]</v>
      </c>
      <c r="J22">
        <f>IF(FT!B22&lt;&gt;"",FT!C22,"")</f>
        <v>8.1221599999999992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0.40523576470588235</v>
      </c>
      <c r="C23" s="61">
        <f>FH!A23*1</f>
        <v>35885</v>
      </c>
      <c r="D23" s="61">
        <f>FH!B23*1</f>
        <v>35885</v>
      </c>
      <c r="E23">
        <f t="shared" si="3"/>
        <v>21</v>
      </c>
      <c r="F23" s="61">
        <f>IF(FT!A23&lt;&gt;"",FT!A23*10,"")</f>
        <v>3.5331899999999998</v>
      </c>
      <c r="G23" s="61">
        <f>IF(FT!B23&lt;&gt;"",FT!B23*100,"")</f>
        <v>41.490300000000005</v>
      </c>
      <c r="H23" s="61">
        <f t="shared" si="1"/>
        <v>1</v>
      </c>
      <c r="I23" t="str">
        <f>IF(FT!B23&lt;&gt;"",FT!E23,"")</f>
        <v>1 [8.525675]</v>
      </c>
      <c r="J23">
        <f>IF(FT!B23&lt;&gt;"",FT!C23,"")</f>
        <v>8.5256699999999999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0.42453270588235298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3.5074300000000003</v>
      </c>
      <c r="G24" s="61">
        <f>IF(FT!B24&lt;&gt;"",FT!B24*100,"")</f>
        <v>41.293100000000003</v>
      </c>
      <c r="H24" s="61">
        <f t="shared" si="1"/>
        <v>1</v>
      </c>
      <c r="I24" t="str">
        <f>IF(FT!B24&lt;&gt;"",FT!E24,"")</f>
        <v>1 [8.931940]</v>
      </c>
      <c r="J24">
        <f>IF(FT!B24&lt;&gt;"",FT!C24,"")</f>
        <v>8.9319400000000009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0.44382964705882355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3.47939</v>
      </c>
      <c r="G25" s="61">
        <f>IF(FT!B25&lt;&gt;"",FT!B25*100,"")</f>
        <v>41.101399999999998</v>
      </c>
      <c r="H25" s="61">
        <f t="shared" si="1"/>
        <v>1</v>
      </c>
      <c r="I25" t="str">
        <f>IF(FT!B25&lt;&gt;"",FT!E25,"")</f>
        <v>1 [9.342017]</v>
      </c>
      <c r="J25">
        <f>IF(FT!B25&lt;&gt;"",FT!C25,"")</f>
        <v>9.3420199999999998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0.46312658823529412</v>
      </c>
      <c r="C26" s="61">
        <f>FH!A26*1</f>
        <v>44735</v>
      </c>
      <c r="D26" s="61">
        <f>FH!B26*1</f>
        <v>44735</v>
      </c>
      <c r="E26">
        <f t="shared" si="3"/>
        <v>24</v>
      </c>
      <c r="F26" s="61">
        <f>IF(FT!A26&lt;&gt;"",FT!A26*10,"")</f>
        <v>3.4470299999999998</v>
      </c>
      <c r="G26" s="61">
        <f>IF(FT!B26&lt;&gt;"",FT!B26*100,"")</f>
        <v>40.9863</v>
      </c>
      <c r="H26" s="61">
        <f t="shared" si="1"/>
        <v>1</v>
      </c>
      <c r="I26" t="str">
        <f>IF(FT!B26&lt;&gt;"",FT!E26,"")</f>
        <v>1 [9.749832]</v>
      </c>
      <c r="J26">
        <f>IF(FT!B26&lt;&gt;"",FT!C26,"")</f>
        <v>9.7498299999999993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0.4824235294117647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3.4129300000000002</v>
      </c>
      <c r="G27" s="61">
        <f>IF(FT!B27&lt;&gt;"",FT!B27*100,"")</f>
        <v>40.927100000000003</v>
      </c>
      <c r="H27" s="61">
        <f t="shared" si="1"/>
        <v>1</v>
      </c>
      <c r="I27" t="str">
        <f>IF(FT!B27&lt;&gt;"",FT!E27,"")</f>
        <v>1 [10.153719]</v>
      </c>
      <c r="J27">
        <f>IF(FT!B27&lt;&gt;"",FT!C27,"")</f>
        <v>10.153700000000001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0.50172047058823532</v>
      </c>
      <c r="C28" s="61">
        <f>FH!A28*1</f>
        <v>47440</v>
      </c>
      <c r="D28" s="61">
        <f>FH!B28*1</f>
        <v>47440</v>
      </c>
      <c r="E28">
        <f t="shared" si="3"/>
        <v>26</v>
      </c>
      <c r="F28" s="61">
        <f>IF(FT!A28&lt;&gt;"",FT!A28*10,"")</f>
        <v>3.3812799999999998</v>
      </c>
      <c r="G28" s="61">
        <f>IF(FT!B28&lt;&gt;"",FT!B28*100,"")</f>
        <v>40.926699999999997</v>
      </c>
      <c r="H28" s="61">
        <f t="shared" si="1"/>
        <v>1</v>
      </c>
      <c r="I28" t="str">
        <f>IF(FT!B28&lt;&gt;"",FT!E28,"")</f>
        <v>1 [10.559824]</v>
      </c>
      <c r="J28">
        <f>IF(FT!B28&lt;&gt;"",FT!C28,"")</f>
        <v>10.559799999999999</v>
      </c>
    </row>
    <row r="29" spans="1:19">
      <c r="A29" s="61">
        <f t="shared" si="2"/>
        <v>27</v>
      </c>
      <c r="B29" s="61">
        <f t="shared" si="0"/>
        <v>0.52101741176470595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3.3535399999999997</v>
      </c>
      <c r="G29" s="61">
        <f>IF(FT!B29&lt;&gt;"",FT!B29*100,"")</f>
        <v>41.033500000000004</v>
      </c>
      <c r="H29" s="61">
        <f t="shared" si="1"/>
        <v>1</v>
      </c>
      <c r="I29" t="str">
        <f>IF(FT!B29&lt;&gt;"",FT!E29,"")</f>
        <v>1 [10.970541]</v>
      </c>
      <c r="J29">
        <f>IF(FT!B29&lt;&gt;"",FT!C29,"")</f>
        <v>10.970499999999999</v>
      </c>
    </row>
    <row r="30" spans="1:19">
      <c r="A30" s="61">
        <f t="shared" si="2"/>
        <v>28</v>
      </c>
      <c r="B30" s="61">
        <f t="shared" si="0"/>
        <v>0.54031435294117647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3.3238400000000001</v>
      </c>
      <c r="G30" s="61">
        <f>IF(FT!B30&lt;&gt;"",FT!B30*100,"")</f>
        <v>41.170899999999996</v>
      </c>
      <c r="H30" s="61">
        <f t="shared" si="1"/>
        <v>1</v>
      </c>
      <c r="I30" t="str">
        <f>IF(FT!B30&lt;&gt;"",FT!E30,"")</f>
        <v>1 [11.370450]</v>
      </c>
      <c r="J30">
        <f>IF(FT!B30&lt;&gt;"",FT!C30,"")</f>
        <v>11.3705</v>
      </c>
    </row>
    <row r="31" spans="1:19">
      <c r="A31" s="61">
        <f t="shared" si="2"/>
        <v>29</v>
      </c>
      <c r="B31" s="61">
        <f t="shared" si="0"/>
        <v>0.5596112941176471</v>
      </c>
      <c r="C31" s="61">
        <f>FH!A31*1</f>
        <v>52312</v>
      </c>
      <c r="D31" s="61">
        <f>FH!B31*1</f>
        <v>52312</v>
      </c>
      <c r="E31">
        <f t="shared" si="3"/>
        <v>29</v>
      </c>
      <c r="F31" s="61">
        <f>IF(FT!A31&lt;&gt;"",FT!A31*10,"")</f>
        <v>3.2911899999999998</v>
      </c>
      <c r="G31" s="61">
        <f>IF(FT!B31&lt;&gt;"",FT!B31*100,"")</f>
        <v>41.417700000000004</v>
      </c>
      <c r="H31" s="61">
        <f t="shared" si="1"/>
        <v>1</v>
      </c>
      <c r="I31" t="str">
        <f>IF(FT!B31&lt;&gt;"",FT!E31,"")</f>
        <v>1 [11.780394]</v>
      </c>
      <c r="J31">
        <f>IF(FT!B31&lt;&gt;"",FT!C31,"")</f>
        <v>11.7804</v>
      </c>
    </row>
    <row r="32" spans="1:19">
      <c r="A32" s="61">
        <f t="shared" si="2"/>
        <v>30</v>
      </c>
      <c r="B32" s="61">
        <f t="shared" si="0"/>
        <v>0.57890823529411761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3.25461</v>
      </c>
      <c r="G32" s="61">
        <f>IF(FT!B32&lt;&gt;"",FT!B32*100,"")</f>
        <v>41.750900000000001</v>
      </c>
      <c r="H32" s="61">
        <f t="shared" si="1"/>
        <v>1</v>
      </c>
      <c r="I32" t="str">
        <f>IF(FT!B32&lt;&gt;"",FT!E32,"")</f>
        <v>1 [12.184357]</v>
      </c>
      <c r="J32">
        <f>IF(FT!B32&lt;&gt;"",FT!C32,"")</f>
        <v>12.1844</v>
      </c>
    </row>
    <row r="33" spans="1:10">
      <c r="A33" s="61">
        <f t="shared" si="2"/>
        <v>31</v>
      </c>
      <c r="B33" s="61">
        <f t="shared" si="0"/>
        <v>0.59820517647058824</v>
      </c>
      <c r="C33" s="61">
        <f>FH!A33*1</f>
        <v>57789</v>
      </c>
      <c r="D33" s="61">
        <f>FH!B33*1</f>
        <v>57789</v>
      </c>
      <c r="E33">
        <f t="shared" si="3"/>
        <v>31</v>
      </c>
      <c r="F33" s="61">
        <f>IF(FT!A33&lt;&gt;"",FT!A33*10,"")</f>
        <v>3.2127299999999996</v>
      </c>
      <c r="G33" s="61">
        <f>IF(FT!B33&lt;&gt;"",FT!B33*100,"")</f>
        <v>42.217300000000002</v>
      </c>
      <c r="H33" s="61">
        <f t="shared" si="1"/>
        <v>1</v>
      </c>
      <c r="I33" t="str">
        <f>IF(FT!B33&lt;&gt;"",FT!E33,"")</f>
        <v>1 [12.595362]</v>
      </c>
      <c r="J33">
        <f>IF(FT!B33&lt;&gt;"",FT!C33,"")</f>
        <v>12.5954</v>
      </c>
    </row>
    <row r="34" spans="1:10">
      <c r="A34" s="61">
        <f t="shared" si="2"/>
        <v>32</v>
      </c>
      <c r="B34" s="61">
        <f t="shared" si="0"/>
        <v>0.61750211764705887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3.1717299999999997</v>
      </c>
      <c r="G34" s="61">
        <f>IF(FT!B34&lt;&gt;"",FT!B34*100,"")</f>
        <v>42.805900000000001</v>
      </c>
      <c r="H34" s="61">
        <f t="shared" si="1"/>
        <v>1</v>
      </c>
      <c r="I34" t="str">
        <f>IF(FT!B34&lt;&gt;"",FT!E34,"")</f>
        <v>1 [12.999162]</v>
      </c>
      <c r="J34">
        <f>IF(FT!B34&lt;&gt;"",FT!C34,"")</f>
        <v>12.9992</v>
      </c>
    </row>
    <row r="35" spans="1:10">
      <c r="A35" s="61">
        <f t="shared" si="2"/>
        <v>33</v>
      </c>
      <c r="B35" s="61">
        <f t="shared" si="0"/>
        <v>0.6367990588235295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3.1331899999999999</v>
      </c>
      <c r="G35" s="61">
        <f>IF(FT!B35&lt;&gt;"",FT!B35*100,"")</f>
        <v>43.5212</v>
      </c>
      <c r="H35" s="61">
        <f t="shared" si="1"/>
        <v>1</v>
      </c>
      <c r="I35" t="str">
        <f>IF(FT!B35&lt;&gt;"",FT!E35,"")</f>
        <v>1 [13.406155]</v>
      </c>
      <c r="J35">
        <f>IF(FT!B35&lt;&gt;"",FT!C35,"")</f>
        <v>13.4062</v>
      </c>
    </row>
    <row r="36" spans="1:10">
      <c r="A36" s="61">
        <f t="shared" si="2"/>
        <v>34</v>
      </c>
      <c r="B36" s="61">
        <f t="shared" si="0"/>
        <v>0.65609600000000001</v>
      </c>
      <c r="C36" s="61">
        <f>FH!A36*1</f>
        <v>69802</v>
      </c>
      <c r="D36" s="61">
        <f>FH!B36*1</f>
        <v>69802</v>
      </c>
      <c r="E36">
        <f t="shared" si="3"/>
        <v>34</v>
      </c>
      <c r="F36" s="61">
        <f>IF(FT!A36&lt;&gt;"",FT!A36*10,"")</f>
        <v>3.0960900000000002</v>
      </c>
      <c r="G36" s="61">
        <f>IF(FT!B36&lt;&gt;"",FT!B36*100,"")</f>
        <v>44.299500000000002</v>
      </c>
      <c r="H36" s="61">
        <f t="shared" si="1"/>
        <v>1</v>
      </c>
      <c r="I36" t="str">
        <f>IF(FT!B36&lt;&gt;"",FT!E36,"")</f>
        <v>1 [13.809967]</v>
      </c>
      <c r="J36">
        <f>IF(FT!B36&lt;&gt;"",FT!C36,"")</f>
        <v>13.81</v>
      </c>
    </row>
    <row r="37" spans="1:10">
      <c r="A37" s="61">
        <f t="shared" si="2"/>
        <v>35</v>
      </c>
      <c r="B37" s="61">
        <f t="shared" si="0"/>
        <v>0.67539294117647064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3.06359</v>
      </c>
      <c r="G37" s="61">
        <f>IF(FT!B37&lt;&gt;"",FT!B37*100,"")</f>
        <v>44.965699999999998</v>
      </c>
      <c r="H37" s="61">
        <f t="shared" si="1"/>
        <v>1</v>
      </c>
      <c r="I37" t="str">
        <f>IF(FT!B37&lt;&gt;"",FT!E37,"")</f>
        <v>1 [14.215963]</v>
      </c>
      <c r="J37">
        <f>IF(FT!B37&lt;&gt;"",FT!C37,"")</f>
        <v>14.215999999999999</v>
      </c>
    </row>
    <row r="38" spans="1:10">
      <c r="A38" s="61">
        <f t="shared" si="2"/>
        <v>36</v>
      </c>
      <c r="B38" s="61">
        <f t="shared" si="0"/>
        <v>0.69468988235294116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3.0393599999999998</v>
      </c>
      <c r="G38" s="61">
        <f>IF(FT!B38&lt;&gt;"",FT!B38*100,"")</f>
        <v>45.4876</v>
      </c>
      <c r="H38" s="61">
        <f t="shared" si="1"/>
        <v>1</v>
      </c>
      <c r="I38" t="str">
        <f>IF(FT!B38&lt;&gt;"",FT!E38,"")</f>
        <v>1 [14.623880]</v>
      </c>
      <c r="J38">
        <f>IF(FT!B38&lt;&gt;"",FT!C38,"")</f>
        <v>14.623900000000001</v>
      </c>
    </row>
    <row r="39" spans="1:10">
      <c r="A39" s="61">
        <f t="shared" si="2"/>
        <v>37</v>
      </c>
      <c r="B39" s="61">
        <f t="shared" si="0"/>
        <v>0.7139868235294119</v>
      </c>
      <c r="C39" s="61">
        <f>FH!A39*1</f>
        <v>72840</v>
      </c>
      <c r="D39" s="61">
        <f>FH!B39*1</f>
        <v>72840</v>
      </c>
      <c r="E39">
        <f t="shared" si="3"/>
        <v>37</v>
      </c>
      <c r="F39" s="61">
        <f>IF(FT!A39&lt;&gt;"",FT!A39*10,"")</f>
        <v>3.0217200000000002</v>
      </c>
      <c r="G39" s="61">
        <f>IF(FT!B39&lt;&gt;"",FT!B39*100,"")</f>
        <v>45.812199999999997</v>
      </c>
      <c r="H39" s="61">
        <f t="shared" si="1"/>
        <v>1</v>
      </c>
      <c r="I39" t="str">
        <f>IF(FT!B39&lt;&gt;"",FT!E39,"")</f>
        <v>1 [15.028802]</v>
      </c>
      <c r="J39">
        <f>IF(FT!B39&lt;&gt;"",FT!C39,"")</f>
        <v>15.0288</v>
      </c>
    </row>
    <row r="40" spans="1:10">
      <c r="A40" s="61">
        <f t="shared" si="2"/>
        <v>38</v>
      </c>
      <c r="B40" s="61">
        <f t="shared" si="0"/>
        <v>0.73328376470588241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3.0059900000000002</v>
      </c>
      <c r="G40" s="61">
        <f>IF(FT!B40&lt;&gt;"",FT!B40*100,"")</f>
        <v>46.071600000000004</v>
      </c>
      <c r="H40" s="61">
        <f t="shared" si="1"/>
        <v>1</v>
      </c>
      <c r="I40" t="str">
        <f>IF(FT!B40&lt;&gt;"",FT!E40,"")</f>
        <v>1 [15.436660]</v>
      </c>
      <c r="J40">
        <f>IF(FT!B40&lt;&gt;"",FT!C40,"")</f>
        <v>15.4367</v>
      </c>
    </row>
    <row r="41" spans="1:10">
      <c r="A41" s="61">
        <f t="shared" si="2"/>
        <v>39</v>
      </c>
      <c r="B41" s="61">
        <f t="shared" si="0"/>
        <v>0.75258070588235304</v>
      </c>
      <c r="C41" s="61">
        <f>FH!A41*1</f>
        <v>80572</v>
      </c>
      <c r="D41" s="61">
        <f>FH!B41*1</f>
        <v>80572</v>
      </c>
      <c r="E41">
        <f t="shared" si="3"/>
        <v>39</v>
      </c>
      <c r="F41" s="61">
        <f>IF(FT!A41&lt;&gt;"",FT!A41*10,"")</f>
        <v>2.9924299999999997</v>
      </c>
      <c r="G41" s="61">
        <f>IF(FT!B41&lt;&gt;"",FT!B41*100,"")</f>
        <v>46.308199999999999</v>
      </c>
      <c r="H41" s="61">
        <f t="shared" si="1"/>
        <v>1</v>
      </c>
      <c r="I41" t="str">
        <f>IF(FT!B41&lt;&gt;"",FT!E41,"")</f>
        <v>1 [15.845637]</v>
      </c>
      <c r="J41">
        <f>IF(FT!B41&lt;&gt;"",FT!C41,"")</f>
        <v>15.845599999999999</v>
      </c>
    </row>
    <row r="42" spans="1:10">
      <c r="A42" s="61">
        <f t="shared" si="2"/>
        <v>40</v>
      </c>
      <c r="B42" s="61">
        <f t="shared" si="0"/>
        <v>0.77187764705882356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2.9854099999999999</v>
      </c>
      <c r="G42" s="61">
        <f>IF(FT!B42&lt;&gt;"",FT!B42*100,"")</f>
        <v>46.463700000000003</v>
      </c>
      <c r="H42" s="61">
        <f t="shared" si="1"/>
        <v>1</v>
      </c>
      <c r="I42" t="str">
        <f>IF(FT!B42&lt;&gt;"",FT!E42,"")</f>
        <v>1 [16.247465]</v>
      </c>
      <c r="J42">
        <f>IF(FT!B42&lt;&gt;"",FT!C42,"")</f>
        <v>16.247499999999999</v>
      </c>
    </row>
    <row r="43" spans="1:10">
      <c r="A43" s="61">
        <f t="shared" si="2"/>
        <v>41</v>
      </c>
      <c r="B43" s="61">
        <f t="shared" si="0"/>
        <v>0.79117458823529418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2.9775800000000001</v>
      </c>
      <c r="G43" s="61">
        <f>IF(FT!B43&lt;&gt;"",FT!B43*100,"")</f>
        <v>46.647800000000004</v>
      </c>
      <c r="H43" s="61">
        <f t="shared" si="1"/>
        <v>1</v>
      </c>
      <c r="I43" t="str">
        <f>IF(FT!B43&lt;&gt;"",FT!E43,"")</f>
        <v>1 [16.652406]</v>
      </c>
      <c r="J43">
        <f>IF(FT!B43&lt;&gt;"",FT!C43,"")</f>
        <v>16.6524</v>
      </c>
    </row>
    <row r="44" spans="1:10">
      <c r="A44" s="61">
        <f t="shared" si="2"/>
        <v>42</v>
      </c>
      <c r="B44" s="61">
        <f t="shared" si="0"/>
        <v>0.8104715294117647</v>
      </c>
      <c r="C44" s="61">
        <f>FH!A44*1</f>
        <v>102779</v>
      </c>
      <c r="D44" s="61">
        <f>FH!B44*1</f>
        <v>102779</v>
      </c>
      <c r="E44">
        <f t="shared" si="3"/>
        <v>42</v>
      </c>
      <c r="F44" s="61">
        <f>IF(FT!A44&lt;&gt;"",FT!A44*10,"")</f>
        <v>2.97315</v>
      </c>
      <c r="G44" s="61">
        <f>IF(FT!B44&lt;&gt;"",FT!B44*100,"")</f>
        <v>46.8277</v>
      </c>
      <c r="H44" s="61">
        <f t="shared" si="1"/>
        <v>1</v>
      </c>
      <c r="I44" t="str">
        <f>IF(FT!B44&lt;&gt;"",FT!E44,"")</f>
        <v>1 [17.062344]</v>
      </c>
      <c r="J44">
        <f>IF(FT!B44&lt;&gt;"",FT!C44,"")</f>
        <v>17.0623</v>
      </c>
    </row>
    <row r="45" spans="1:10">
      <c r="A45" s="61">
        <f t="shared" si="2"/>
        <v>43</v>
      </c>
      <c r="B45" s="61">
        <f t="shared" si="0"/>
        <v>0.82976847058823544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2.9705300000000001</v>
      </c>
      <c r="G45" s="61">
        <f>IF(FT!B45&lt;&gt;"",FT!B45*100,"")</f>
        <v>46.903599999999997</v>
      </c>
      <c r="H45" s="61">
        <f t="shared" si="1"/>
        <v>1</v>
      </c>
      <c r="I45" t="str">
        <f>IF(FT!B45&lt;&gt;"",FT!E45,"")</f>
        <v>1 [17.467351]</v>
      </c>
      <c r="J45">
        <f>IF(FT!B45&lt;&gt;"",FT!C45,"")</f>
        <v>17.467400000000001</v>
      </c>
    </row>
    <row r="46" spans="1:10">
      <c r="A46" s="61">
        <f t="shared" si="2"/>
        <v>44</v>
      </c>
      <c r="B46" s="61">
        <f t="shared" si="0"/>
        <v>0.84906541176470596</v>
      </c>
      <c r="C46" s="61">
        <f>FH!A46*1</f>
        <v>140396</v>
      </c>
      <c r="D46" s="61">
        <f>FH!B46*1</f>
        <v>140396</v>
      </c>
      <c r="E46">
        <f t="shared" si="3"/>
        <v>44</v>
      </c>
      <c r="F46" s="61">
        <f>IF(FT!A46&lt;&gt;"",FT!A46*10,"")</f>
        <v>2.9682999999999997</v>
      </c>
      <c r="G46" s="61">
        <f>IF(FT!B46&lt;&gt;"",FT!B46*100,"")</f>
        <v>46.889199999999995</v>
      </c>
      <c r="H46" s="61">
        <f t="shared" si="1"/>
        <v>1</v>
      </c>
      <c r="I46" t="str">
        <f>IF(FT!B46&lt;&gt;"",FT!E46,"")</f>
        <v>1 [17.871233]</v>
      </c>
      <c r="J46">
        <f>IF(FT!B46&lt;&gt;"",FT!C46,"")</f>
        <v>17.871200000000002</v>
      </c>
    </row>
    <row r="47" spans="1:10">
      <c r="A47" s="61">
        <f t="shared" si="2"/>
        <v>45</v>
      </c>
      <c r="B47" s="61">
        <f t="shared" si="0"/>
        <v>0.86836235294117659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2.96306</v>
      </c>
      <c r="G47" s="61">
        <f>IF(FT!B47&lt;&gt;"",FT!B47*100,"")</f>
        <v>46.886400000000002</v>
      </c>
      <c r="H47" s="61">
        <f t="shared" si="1"/>
        <v>1</v>
      </c>
      <c r="I47" t="str">
        <f>IF(FT!B47&lt;&gt;"",FT!E47,"")</f>
        <v>1 [18.277103]</v>
      </c>
      <c r="J47">
        <f>IF(FT!B47&lt;&gt;"",FT!C47,"")</f>
        <v>18.277100000000001</v>
      </c>
    </row>
    <row r="48" spans="1:10">
      <c r="A48" s="61">
        <f t="shared" si="2"/>
        <v>46</v>
      </c>
      <c r="B48" s="61">
        <f t="shared" si="0"/>
        <v>0.8876592941176471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2.9575299999999998</v>
      </c>
      <c r="G48" s="61">
        <f>IF(FT!B48&lt;&gt;"",FT!B48*100,"")</f>
        <v>46.847299999999997</v>
      </c>
      <c r="H48" s="61">
        <f t="shared" si="1"/>
        <v>1</v>
      </c>
      <c r="I48" t="str">
        <f>IF(FT!B48&lt;&gt;"",FT!E48,"")</f>
        <v>1 [18.687977]</v>
      </c>
      <c r="J48">
        <f>IF(FT!B48&lt;&gt;"",FT!C48,"")</f>
        <v>18.687999999999999</v>
      </c>
    </row>
    <row r="49" spans="1:10">
      <c r="A49" s="61">
        <f t="shared" si="2"/>
        <v>47</v>
      </c>
      <c r="B49" s="61">
        <f t="shared" si="0"/>
        <v>0.90695623529411773</v>
      </c>
      <c r="C49" s="61">
        <f>FH!A49*1</f>
        <v>154869</v>
      </c>
      <c r="D49" s="61">
        <f>FH!B49*1</f>
        <v>154869</v>
      </c>
      <c r="E49">
        <f t="shared" si="3"/>
        <v>47</v>
      </c>
      <c r="F49" s="61">
        <f>IF(FT!A49&lt;&gt;"",FT!A49*10,"")</f>
        <v>2.9523100000000002</v>
      </c>
      <c r="G49" s="61">
        <f>IF(FT!B49&lt;&gt;"",FT!B49*100,"")</f>
        <v>46.872700000000002</v>
      </c>
      <c r="H49" s="61">
        <f t="shared" si="1"/>
        <v>1</v>
      </c>
      <c r="I49" t="str">
        <f>IF(FT!B49&lt;&gt;"",FT!E49,"")</f>
        <v>1 [19.094932]</v>
      </c>
      <c r="J49">
        <f>IF(FT!B49&lt;&gt;"",FT!C49,"")</f>
        <v>19.094899999999999</v>
      </c>
    </row>
    <row r="50" spans="1:10">
      <c r="A50" s="61">
        <f t="shared" si="2"/>
        <v>48</v>
      </c>
      <c r="B50" s="61">
        <f t="shared" si="0"/>
        <v>0.92625317647058825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2.944</v>
      </c>
      <c r="G50" s="61">
        <f>IF(FT!B50&lt;&gt;"",FT!B50*100,"")</f>
        <v>46.888500000000001</v>
      </c>
      <c r="H50" s="61">
        <f t="shared" si="1"/>
        <v>1</v>
      </c>
      <c r="I50" t="str">
        <f>IF(FT!B50&lt;&gt;"",FT!E50,"")</f>
        <v>1 [19.496768]</v>
      </c>
      <c r="J50">
        <f>IF(FT!B50&lt;&gt;"",FT!C50,"")</f>
        <v>19.4968</v>
      </c>
    </row>
    <row r="51" spans="1:10">
      <c r="A51" s="61">
        <f t="shared" si="2"/>
        <v>49</v>
      </c>
      <c r="B51" s="61">
        <f t="shared" si="0"/>
        <v>0.94555011764705887</v>
      </c>
      <c r="C51" s="61">
        <f>FH!A51*1</f>
        <v>183487</v>
      </c>
      <c r="D51" s="61">
        <f>FH!B51*1</f>
        <v>183487</v>
      </c>
      <c r="E51">
        <f t="shared" si="3"/>
        <v>49</v>
      </c>
      <c r="F51" s="61">
        <f>IF(FT!A51&lt;&gt;"",FT!A51*10,"")</f>
        <v>2.9316900000000001</v>
      </c>
      <c r="G51" s="61">
        <f>IF(FT!B51&lt;&gt;"",FT!B51*100,"")</f>
        <v>46.863900000000001</v>
      </c>
      <c r="H51" s="61">
        <f t="shared" si="1"/>
        <v>1</v>
      </c>
      <c r="I51" t="str">
        <f>IF(FT!B51&lt;&gt;"",FT!E51,"")</f>
        <v>1 [19.901949]</v>
      </c>
      <c r="J51">
        <f>IF(FT!B51&lt;&gt;"",FT!C51,"")</f>
        <v>19.901900000000001</v>
      </c>
    </row>
    <row r="52" spans="1:10">
      <c r="A52" s="61">
        <f t="shared" si="2"/>
        <v>50</v>
      </c>
      <c r="B52" s="61">
        <f t="shared" si="0"/>
        <v>0.96484705882352939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2.9256799999999998</v>
      </c>
      <c r="G52" s="61">
        <f>IF(FT!B52&lt;&gt;"",FT!B52*100,"")</f>
        <v>46.786299999999997</v>
      </c>
      <c r="H52" s="61">
        <f t="shared" si="1"/>
        <v>1</v>
      </c>
      <c r="I52" t="str">
        <f>IF(FT!B52&lt;&gt;"",FT!E52,"")</f>
        <v>1 [20.312659]</v>
      </c>
      <c r="J52">
        <f>IF(FT!B52&lt;&gt;"",FT!C52,"")</f>
        <v>20.3127</v>
      </c>
    </row>
    <row r="53" spans="1:10">
      <c r="A53" s="61">
        <f t="shared" si="2"/>
        <v>51</v>
      </c>
      <c r="B53" s="61">
        <f t="shared" si="0"/>
        <v>0.98414400000000013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2.9135</v>
      </c>
      <c r="G53" s="61">
        <f>IF(FT!B53&lt;&gt;"",FT!B53*100,"")</f>
        <v>46.703899999999997</v>
      </c>
      <c r="H53" s="61">
        <f t="shared" si="1"/>
        <v>1</v>
      </c>
      <c r="I53" t="str">
        <f>IF(FT!B53&lt;&gt;"",FT!E53,"")</f>
        <v>1 [20.721523]</v>
      </c>
      <c r="J53">
        <f>IF(FT!B53&lt;&gt;"",FT!C53,"")</f>
        <v>20.721499999999999</v>
      </c>
    </row>
    <row r="54" spans="1:10">
      <c r="A54" s="61">
        <f t="shared" si="2"/>
        <v>52</v>
      </c>
      <c r="B54" s="61">
        <f t="shared" si="0"/>
        <v>1.0034409411764706</v>
      </c>
      <c r="C54" s="61">
        <f>FH!A54*1</f>
        <v>176179</v>
      </c>
      <c r="D54" s="61">
        <f>FH!B54*1</f>
        <v>176179</v>
      </c>
      <c r="E54">
        <f t="shared" si="3"/>
        <v>52</v>
      </c>
      <c r="F54" s="61">
        <f>IF(FT!A54&lt;&gt;"",FT!A54*10,"")</f>
        <v>2.9013499999999999</v>
      </c>
      <c r="G54" s="61">
        <f>IF(FT!B54&lt;&gt;"",FT!B54*100,"")</f>
        <v>46.628599999999999</v>
      </c>
      <c r="H54" s="61">
        <f t="shared" si="1"/>
        <v>1</v>
      </c>
      <c r="I54" t="str">
        <f>IF(FT!B54&lt;&gt;"",FT!E54,"")</f>
        <v>1 [21.123443]</v>
      </c>
      <c r="J54">
        <f>IF(FT!B54&lt;&gt;"",FT!C54,"")</f>
        <v>21.1234</v>
      </c>
    </row>
    <row r="55" spans="1:10">
      <c r="A55" s="61">
        <f t="shared" si="2"/>
        <v>53</v>
      </c>
      <c r="B55" s="61">
        <f t="shared" si="0"/>
        <v>1.0227378823529412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2.8913600000000002</v>
      </c>
      <c r="G55" s="61">
        <f>IF(FT!B55&lt;&gt;"",FT!B55*100,"")</f>
        <v>46.533900000000003</v>
      </c>
      <c r="H55" s="61">
        <f t="shared" si="1"/>
        <v>1</v>
      </c>
      <c r="I55" t="str">
        <f>IF(FT!B55&lt;&gt;"",FT!E55,"")</f>
        <v>1 [21.529374]</v>
      </c>
      <c r="J55">
        <f>IF(FT!B55&lt;&gt;"",FT!C55,"")</f>
        <v>21.529399999999999</v>
      </c>
    </row>
    <row r="56" spans="1:10">
      <c r="A56" s="61">
        <f t="shared" si="2"/>
        <v>54</v>
      </c>
      <c r="B56" s="61">
        <f t="shared" si="0"/>
        <v>1.0420348235294119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2.88117</v>
      </c>
      <c r="G56" s="61">
        <f>IF(FT!B56&lt;&gt;"",FT!B56*100,"")</f>
        <v>46.421300000000002</v>
      </c>
      <c r="H56" s="61">
        <f t="shared" si="1"/>
        <v>1</v>
      </c>
      <c r="I56" t="str">
        <f>IF(FT!B56&lt;&gt;"",FT!E56,"")</f>
        <v>1 [21.935525]</v>
      </c>
      <c r="J56">
        <f>IF(FT!B56&lt;&gt;"",FT!C56,"")</f>
        <v>21.935500000000001</v>
      </c>
    </row>
    <row r="57" spans="1:10">
      <c r="A57" s="61">
        <f t="shared" si="2"/>
        <v>55</v>
      </c>
      <c r="B57" s="61">
        <f t="shared" si="0"/>
        <v>1.0613317647058824</v>
      </c>
      <c r="C57" s="61">
        <f>FH!A57*1</f>
        <v>183032</v>
      </c>
      <c r="D57" s="61">
        <f>FH!B57*1</f>
        <v>183032</v>
      </c>
      <c r="E57">
        <f t="shared" si="3"/>
        <v>55</v>
      </c>
      <c r="F57" s="61">
        <f>IF(FT!A57&lt;&gt;"",FT!A57*10,"")</f>
        <v>2.8717300000000003</v>
      </c>
      <c r="G57" s="61">
        <f>IF(FT!B57&lt;&gt;"",FT!B57*100,"")</f>
        <v>46.339100000000002</v>
      </c>
      <c r="H57" s="61">
        <f t="shared" si="1"/>
        <v>1</v>
      </c>
      <c r="I57" t="str">
        <f>IF(FT!B57&lt;&gt;"",FT!E57,"")</f>
        <v>1 [22.339152]</v>
      </c>
      <c r="J57">
        <f>IF(FT!B57&lt;&gt;"",FT!C57,"")</f>
        <v>22.339200000000002</v>
      </c>
    </row>
    <row r="58" spans="1:10">
      <c r="A58" s="61">
        <f t="shared" si="2"/>
        <v>56</v>
      </c>
      <c r="B58" s="61">
        <f t="shared" si="0"/>
        <v>1.0806287058823529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2.8618199999999998</v>
      </c>
      <c r="G58" s="61">
        <f>IF(FT!B58&lt;&gt;"",FT!B58*100,"")</f>
        <v>46.223999999999997</v>
      </c>
      <c r="H58" s="61">
        <f t="shared" si="1"/>
        <v>1</v>
      </c>
      <c r="I58" t="str">
        <f>IF(FT!B58&lt;&gt;"",FT!E58,"")</f>
        <v>1 [22.751152]</v>
      </c>
      <c r="J58">
        <f>IF(FT!B58&lt;&gt;"",FT!C58,"")</f>
        <v>22.751200000000001</v>
      </c>
    </row>
    <row r="59" spans="1:10">
      <c r="A59" s="61">
        <f t="shared" si="2"/>
        <v>57</v>
      </c>
      <c r="B59" s="61">
        <f t="shared" si="0"/>
        <v>1.0999256470588237</v>
      </c>
      <c r="C59" s="61">
        <f>FH!A59*1</f>
        <v>181851</v>
      </c>
      <c r="D59" s="61">
        <f>FH!B59*1</f>
        <v>181851</v>
      </c>
      <c r="E59">
        <f t="shared" si="3"/>
        <v>57</v>
      </c>
      <c r="F59" s="61">
        <f>IF(FT!A59&lt;&gt;"",FT!A59*10,"")</f>
        <v>2.8496999999999999</v>
      </c>
      <c r="G59" s="61">
        <f>IF(FT!B59&lt;&gt;"",FT!B59*100,"")</f>
        <v>46.063200000000002</v>
      </c>
      <c r="H59" s="61">
        <f t="shared" si="1"/>
        <v>1</v>
      </c>
      <c r="I59" t="str">
        <f>IF(FT!B59&lt;&gt;"",FT!E59,"")</f>
        <v>1 [23.155040]</v>
      </c>
      <c r="J59">
        <f>IF(FT!B59&lt;&gt;"",FT!C59,"")</f>
        <v>23.155000000000001</v>
      </c>
    </row>
    <row r="60" spans="1:10">
      <c r="A60" s="61">
        <f t="shared" si="2"/>
        <v>58</v>
      </c>
      <c r="B60" s="61">
        <f t="shared" si="0"/>
        <v>1.1192225882352942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2.8367599999999999</v>
      </c>
      <c r="G60" s="61">
        <f>IF(FT!B60&lt;&gt;"",FT!B60*100,"")</f>
        <v>45.929199999999994</v>
      </c>
      <c r="H60" s="61">
        <f t="shared" si="1"/>
        <v>1</v>
      </c>
      <c r="I60" t="str">
        <f>IF(FT!B60&lt;&gt;"",FT!E60,"")</f>
        <v>1 [23.556901]</v>
      </c>
      <c r="J60">
        <f>IF(FT!B60&lt;&gt;"",FT!C60,"")</f>
        <v>23.556899999999999</v>
      </c>
    </row>
    <row r="61" spans="1:10">
      <c r="A61" s="61">
        <f t="shared" si="2"/>
        <v>59</v>
      </c>
      <c r="B61" s="61">
        <f t="shared" si="0"/>
        <v>1.1385195294117647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2.8224</v>
      </c>
      <c r="G61" s="61">
        <f>IF(FT!B61&lt;&gt;"",FT!B61*100,"")</f>
        <v>45.8536</v>
      </c>
      <c r="H61" s="61">
        <f t="shared" si="1"/>
        <v>1</v>
      </c>
      <c r="I61" t="str">
        <f>IF(FT!B61&lt;&gt;"",FT!E61,"")</f>
        <v>1 [23.969888]</v>
      </c>
      <c r="J61">
        <f>IF(FT!B61&lt;&gt;"",FT!C61,"")</f>
        <v>23.969899999999999</v>
      </c>
    </row>
    <row r="62" spans="1:10">
      <c r="A62" s="61">
        <f t="shared" si="2"/>
        <v>60</v>
      </c>
      <c r="B62" s="61">
        <f t="shared" si="0"/>
        <v>1.1578164705882352</v>
      </c>
      <c r="C62" s="61">
        <f>FH!A62*1</f>
        <v>193762</v>
      </c>
      <c r="D62" s="61">
        <f>FH!B62*1</f>
        <v>193762</v>
      </c>
      <c r="E62">
        <f t="shared" si="3"/>
        <v>60</v>
      </c>
      <c r="F62" s="61">
        <f>IF(FT!A62&lt;&gt;"",FT!A62*10,"")</f>
        <v>2.8069600000000001</v>
      </c>
      <c r="G62" s="61">
        <f>IF(FT!B62&lt;&gt;"",FT!B62*100,"")</f>
        <v>45.854800000000004</v>
      </c>
      <c r="H62" s="61">
        <f t="shared" si="1"/>
        <v>1</v>
      </c>
      <c r="I62" t="str">
        <f>IF(FT!B62&lt;&gt;"",FT!E62,"")</f>
        <v>1 [24.375944]</v>
      </c>
      <c r="J62">
        <f>IF(FT!B62&lt;&gt;"",FT!C62,"")</f>
        <v>24.375900000000001</v>
      </c>
    </row>
    <row r="63" spans="1:10">
      <c r="A63" s="61">
        <f t="shared" si="2"/>
        <v>61</v>
      </c>
      <c r="B63" s="61">
        <f t="shared" si="0"/>
        <v>1.177113411764706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2.7871899999999998</v>
      </c>
      <c r="G63" s="61">
        <f>IF(FT!B63&lt;&gt;"",FT!B63*100,"")</f>
        <v>45.964199999999998</v>
      </c>
      <c r="H63" s="61">
        <f t="shared" si="1"/>
        <v>1</v>
      </c>
      <c r="I63" t="str">
        <f>IF(FT!B63&lt;&gt;"",FT!E63,"")</f>
        <v>1 [24.781654]</v>
      </c>
      <c r="J63">
        <f>IF(FT!B63&lt;&gt;"",FT!C63,"")</f>
        <v>24.781700000000001</v>
      </c>
    </row>
    <row r="64" spans="1:10">
      <c r="A64" s="61">
        <f t="shared" si="2"/>
        <v>62</v>
      </c>
      <c r="B64" s="61">
        <f t="shared" si="0"/>
        <v>1.1964103529411765</v>
      </c>
      <c r="C64" s="61">
        <f>FH!A64*1</f>
        <v>191836</v>
      </c>
      <c r="D64" s="61">
        <f>FH!B64*1</f>
        <v>191836</v>
      </c>
      <c r="E64">
        <f t="shared" si="3"/>
        <v>62</v>
      </c>
      <c r="F64" s="61">
        <f>IF(FT!A64&lt;&gt;"",FT!A64*10,"")</f>
        <v>2.7645300000000002</v>
      </c>
      <c r="G64" s="61">
        <f>IF(FT!B64&lt;&gt;"",FT!B64*100,"")</f>
        <v>46.19</v>
      </c>
      <c r="H64" s="61">
        <f t="shared" si="1"/>
        <v>1</v>
      </c>
      <c r="I64" t="str">
        <f>IF(FT!B64&lt;&gt;"",FT!E64,"")</f>
        <v>1 [25.184602]</v>
      </c>
      <c r="J64">
        <f>IF(FT!B64&lt;&gt;"",FT!C64,"")</f>
        <v>25.1846</v>
      </c>
    </row>
    <row r="65" spans="1:10">
      <c r="A65" s="61">
        <f t="shared" si="2"/>
        <v>63</v>
      </c>
      <c r="B65" s="61">
        <f t="shared" si="0"/>
        <v>1.2157072941176472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2.7400099999999998</v>
      </c>
      <c r="G65" s="61">
        <f>IF(FT!B65&lt;&gt;"",FT!B65*100,"")</f>
        <v>46.5137</v>
      </c>
      <c r="H65" s="61">
        <f t="shared" si="1"/>
        <v>1</v>
      </c>
      <c r="I65" t="str">
        <f>IF(FT!B65&lt;&gt;"",FT!E65,"")</f>
        <v>1 [25.592602]</v>
      </c>
      <c r="J65">
        <f>IF(FT!B65&lt;&gt;"",FT!C65,"")</f>
        <v>25.592600000000001</v>
      </c>
    </row>
    <row r="66" spans="1:10">
      <c r="A66" s="61">
        <f t="shared" si="2"/>
        <v>64</v>
      </c>
      <c r="B66" s="61">
        <f t="shared" si="0"/>
        <v>1.2350042352941177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2.7151700000000001</v>
      </c>
      <c r="G66" s="61">
        <f>IF(FT!B66&lt;&gt;"",FT!B66*100,"")</f>
        <v>46.919899999999998</v>
      </c>
      <c r="H66" s="61">
        <f t="shared" si="1"/>
        <v>1</v>
      </c>
      <c r="I66" t="str">
        <f>IF(FT!B66&lt;&gt;"",FT!E66,"")</f>
        <v>1 [25.999561]</v>
      </c>
      <c r="J66">
        <f>IF(FT!B66&lt;&gt;"",FT!C66,"")</f>
        <v>25.999600000000001</v>
      </c>
    </row>
    <row r="67" spans="1:10">
      <c r="A67" s="61">
        <f t="shared" si="2"/>
        <v>65</v>
      </c>
      <c r="B67" s="61">
        <f t="shared" ref="B67:B130" si="8">A67/255*$L$2</f>
        <v>1.2543011764705883</v>
      </c>
      <c r="C67" s="61">
        <f>FH!A67*1</f>
        <v>207236</v>
      </c>
      <c r="D67" s="61">
        <f>FH!B67*1</f>
        <v>207236</v>
      </c>
      <c r="E67">
        <f t="shared" si="3"/>
        <v>65</v>
      </c>
      <c r="F67" s="61">
        <f>IF(FT!A67&lt;&gt;"",FT!A67*10,"")</f>
        <v>2.6870100000000003</v>
      </c>
      <c r="G67" s="61">
        <f>IF(FT!B67&lt;&gt;"",FT!B67*100,"")</f>
        <v>47.498000000000005</v>
      </c>
      <c r="H67" s="61">
        <f t="shared" ref="H67:H130" si="9">(IF(F67&lt;&gt;"",1,""))</f>
        <v>1</v>
      </c>
      <c r="I67" t="str">
        <f>IF(FT!B67&lt;&gt;"",FT!E67,"")</f>
        <v>1 [26.407338]</v>
      </c>
      <c r="J67">
        <f>IF(FT!B67&lt;&gt;"",FT!C67,"")</f>
        <v>26.407299999999999</v>
      </c>
    </row>
    <row r="68" spans="1:10">
      <c r="A68" s="61">
        <f t="shared" ref="A68:A131" si="10">A67+1</f>
        <v>66</v>
      </c>
      <c r="B68" s="61">
        <f t="shared" si="8"/>
        <v>1.273598117647059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2.6569500000000001</v>
      </c>
      <c r="G68" s="61">
        <f>IF(FT!B68&lt;&gt;"",FT!B68*100,"")</f>
        <v>48.1614</v>
      </c>
      <c r="H68" s="61">
        <f t="shared" si="9"/>
        <v>1</v>
      </c>
      <c r="I68" t="str">
        <f>IF(FT!B68&lt;&gt;"",FT!E68,"")</f>
        <v>1 [26.815296]</v>
      </c>
      <c r="J68">
        <f>IF(FT!B68&lt;&gt;"",FT!C68,"")</f>
        <v>26.815300000000001</v>
      </c>
    </row>
    <row r="69" spans="1:10">
      <c r="A69" s="61">
        <f t="shared" si="10"/>
        <v>67</v>
      </c>
      <c r="B69" s="61">
        <f t="shared" si="8"/>
        <v>1.2928950588235295</v>
      </c>
      <c r="C69" s="61">
        <f>FH!A69*1</f>
        <v>197570</v>
      </c>
      <c r="D69" s="61">
        <f>FH!B69*1</f>
        <v>197570</v>
      </c>
      <c r="E69">
        <f t="shared" si="11"/>
        <v>67</v>
      </c>
      <c r="F69" s="61">
        <f>IF(FT!A69&lt;&gt;"",FT!A69*10,"")</f>
        <v>2.6230700000000002</v>
      </c>
      <c r="G69" s="61">
        <f>IF(FT!B69&lt;&gt;"",FT!B69*100,"")</f>
        <v>48.953799999999994</v>
      </c>
      <c r="H69" s="61">
        <f t="shared" si="9"/>
        <v>1</v>
      </c>
      <c r="I69" t="str">
        <f>IF(FT!B69&lt;&gt;"",FT!E69,"")</f>
        <v>1 [27.215190]</v>
      </c>
      <c r="J69">
        <f>IF(FT!B69&lt;&gt;"",FT!C69,"")</f>
        <v>27.215199999999999</v>
      </c>
    </row>
    <row r="70" spans="1:10">
      <c r="A70" s="61">
        <f t="shared" si="10"/>
        <v>68</v>
      </c>
      <c r="B70" s="61">
        <f t="shared" si="8"/>
        <v>1.312192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2.58962</v>
      </c>
      <c r="G70" s="61">
        <f>IF(FT!B70&lt;&gt;"",FT!B70*100,"")</f>
        <v>49.831099999999999</v>
      </c>
      <c r="H70" s="61">
        <f t="shared" si="9"/>
        <v>1</v>
      </c>
      <c r="I70" t="str">
        <f>IF(FT!B70&lt;&gt;"",FT!E70,"")</f>
        <v>1 [27.623072]</v>
      </c>
      <c r="J70">
        <f>IF(FT!B70&lt;&gt;"",FT!C70,"")</f>
        <v>27.623100000000001</v>
      </c>
    </row>
    <row r="71" spans="1:10">
      <c r="A71" s="61">
        <f t="shared" si="10"/>
        <v>69</v>
      </c>
      <c r="B71" s="61">
        <f t="shared" si="8"/>
        <v>1.3314889411764705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2.5608900000000001</v>
      </c>
      <c r="G71" s="61">
        <f>IF(FT!B71&lt;&gt;"",FT!B71*100,"")</f>
        <v>50.722900000000003</v>
      </c>
      <c r="H71" s="61">
        <f t="shared" si="9"/>
        <v>1</v>
      </c>
      <c r="I71" t="str">
        <f>IF(FT!B71&lt;&gt;"",FT!E71,"")</f>
        <v>1 [28.029184]</v>
      </c>
      <c r="J71">
        <f>IF(FT!B71&lt;&gt;"",FT!C71,"")</f>
        <v>28.029199999999999</v>
      </c>
    </row>
    <row r="72" spans="1:10">
      <c r="A72" s="61">
        <f t="shared" si="10"/>
        <v>70</v>
      </c>
      <c r="B72" s="61">
        <f t="shared" si="8"/>
        <v>1.3507858823529413</v>
      </c>
      <c r="C72" s="61">
        <f>FH!A72*1</f>
        <v>227376</v>
      </c>
      <c r="D72" s="61">
        <f>FH!B72*1</f>
        <v>227376</v>
      </c>
      <c r="E72">
        <f t="shared" si="11"/>
        <v>70</v>
      </c>
      <c r="F72" s="61">
        <f>IF(FT!A72&lt;&gt;"",FT!A72*10,"")</f>
        <v>2.5365900000000003</v>
      </c>
      <c r="G72" s="61">
        <f>IF(FT!B72&lt;&gt;"",FT!B72*100,"")</f>
        <v>51.558099999999996</v>
      </c>
      <c r="H72" s="61">
        <f t="shared" si="9"/>
        <v>1</v>
      </c>
      <c r="I72" t="str">
        <f>IF(FT!B72&lt;&gt;"",FT!E72,"")</f>
        <v>1 [28.435978]</v>
      </c>
      <c r="J72">
        <f>IF(FT!B72&lt;&gt;"",FT!C72,"")</f>
        <v>28.436</v>
      </c>
    </row>
    <row r="73" spans="1:10">
      <c r="A73" s="61">
        <f t="shared" si="10"/>
        <v>71</v>
      </c>
      <c r="B73" s="61">
        <f t="shared" si="8"/>
        <v>1.3700828235294118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2.5155400000000001</v>
      </c>
      <c r="G73" s="61">
        <f>IF(FT!B73&lt;&gt;"",FT!B73*100,"")</f>
        <v>52.373000000000005</v>
      </c>
      <c r="H73" s="61">
        <f t="shared" si="9"/>
        <v>1</v>
      </c>
      <c r="I73" t="str">
        <f>IF(FT!B73&lt;&gt;"",FT!E73,"")</f>
        <v>1 [28.842205]</v>
      </c>
      <c r="J73">
        <f>IF(FT!B73&lt;&gt;"",FT!C73,"")</f>
        <v>28.842199999999998</v>
      </c>
    </row>
    <row r="74" spans="1:10">
      <c r="A74" s="61">
        <f t="shared" si="10"/>
        <v>72</v>
      </c>
      <c r="B74" s="61">
        <f t="shared" si="8"/>
        <v>1.3893797647058823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2.4958200000000001</v>
      </c>
      <c r="G74" s="61">
        <f>IF(FT!B74&lt;&gt;"",FT!B74*100,"")</f>
        <v>53.091500000000003</v>
      </c>
      <c r="H74" s="61">
        <f t="shared" si="9"/>
        <v>1</v>
      </c>
      <c r="I74" t="str">
        <f>IF(FT!B74&lt;&gt;"",FT!E74,"")</f>
        <v>1 [29.250708]</v>
      </c>
      <c r="J74">
        <f>IF(FT!B74&lt;&gt;"",FT!C74,"")</f>
        <v>29.250699999999998</v>
      </c>
    </row>
    <row r="75" spans="1:10">
      <c r="A75" s="61">
        <f t="shared" si="10"/>
        <v>73</v>
      </c>
      <c r="B75" s="61">
        <f t="shared" si="8"/>
        <v>1.4086767058823528</v>
      </c>
      <c r="C75" s="61">
        <f>FH!A75*1</f>
        <v>235163</v>
      </c>
      <c r="D75" s="61">
        <f>FH!B75*1</f>
        <v>235163</v>
      </c>
      <c r="E75">
        <f t="shared" si="11"/>
        <v>73</v>
      </c>
      <c r="F75" s="61">
        <f>IF(FT!A75&lt;&gt;"",FT!A75*10,"")</f>
        <v>2.48109</v>
      </c>
      <c r="G75" s="61">
        <f>IF(FT!B75&lt;&gt;"",FT!B75*100,"")</f>
        <v>53.7408</v>
      </c>
      <c r="H75" s="61">
        <f t="shared" si="9"/>
        <v>1</v>
      </c>
      <c r="I75" t="str">
        <f>IF(FT!B75&lt;&gt;"",FT!E75,"")</f>
        <v>1 [29.654621]</v>
      </c>
      <c r="J75">
        <f>IF(FT!B75&lt;&gt;"",FT!C75,"")</f>
        <v>29.654599999999999</v>
      </c>
    </row>
    <row r="76" spans="1:10">
      <c r="A76" s="61">
        <f t="shared" si="10"/>
        <v>74</v>
      </c>
      <c r="B76" s="61">
        <f t="shared" si="8"/>
        <v>1.4279736470588238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2.47288</v>
      </c>
      <c r="G76" s="61">
        <f>IF(FT!B76&lt;&gt;"",FT!B76*100,"")</f>
        <v>54.275500000000001</v>
      </c>
      <c r="H76" s="61">
        <f t="shared" si="9"/>
        <v>1</v>
      </c>
      <c r="I76" t="str">
        <f>IF(FT!B76&lt;&gt;"",FT!E76,"")</f>
        <v>2 [30.059879]</v>
      </c>
      <c r="J76">
        <f>IF(FT!B76&lt;&gt;"",FT!C76,"")</f>
        <v>30.059899999999999</v>
      </c>
    </row>
    <row r="77" spans="1:10">
      <c r="A77" s="61">
        <f t="shared" si="10"/>
        <v>75</v>
      </c>
      <c r="B77" s="61">
        <f t="shared" si="8"/>
        <v>1.4472705882352943</v>
      </c>
      <c r="C77" s="61">
        <f>FH!A77*1</f>
        <v>221849</v>
      </c>
      <c r="D77" s="61">
        <f>FH!B77*1</f>
        <v>221849</v>
      </c>
      <c r="E77">
        <f t="shared" si="11"/>
        <v>75</v>
      </c>
      <c r="F77" s="61">
        <f>IF(FT!A77&lt;&gt;"",FT!A77*10,"")</f>
        <v>2.4653900000000002</v>
      </c>
      <c r="G77" s="61">
        <f>IF(FT!B77&lt;&gt;"",FT!B77*100,"")</f>
        <v>54.9724</v>
      </c>
      <c r="H77" s="61">
        <f t="shared" si="9"/>
        <v>1</v>
      </c>
      <c r="I77" t="str">
        <f>IF(FT!B77&lt;&gt;"",FT!E77,"")</f>
        <v>2 [30.644980]</v>
      </c>
      <c r="J77">
        <f>IF(FT!B77&lt;&gt;"",FT!C77,"")</f>
        <v>30.645</v>
      </c>
    </row>
    <row r="78" spans="1:10">
      <c r="A78" s="61">
        <f t="shared" si="10"/>
        <v>76</v>
      </c>
      <c r="B78" s="61">
        <f t="shared" si="8"/>
        <v>1.4665675294117648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2.4581900000000001</v>
      </c>
      <c r="G78" s="61">
        <f>IF(FT!B78&lt;&gt;"",FT!B78*100,"")</f>
        <v>55.543100000000003</v>
      </c>
      <c r="H78" s="61">
        <f t="shared" si="9"/>
        <v>1</v>
      </c>
      <c r="I78" t="str">
        <f>IF(FT!B78&lt;&gt;"",FT!E78,"")</f>
        <v>2 [31.014010]</v>
      </c>
      <c r="J78">
        <f>IF(FT!B78&lt;&gt;"",FT!C78,"")</f>
        <v>31.013999999999999</v>
      </c>
    </row>
    <row r="79" spans="1:10">
      <c r="A79" s="61">
        <f t="shared" si="10"/>
        <v>77</v>
      </c>
      <c r="B79" s="61">
        <f t="shared" si="8"/>
        <v>1.4858644705882353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2.4498899999999999</v>
      </c>
      <c r="G79" s="61">
        <f>IF(FT!B79&lt;&gt;"",FT!B79*100,"")</f>
        <v>56.165200000000006</v>
      </c>
      <c r="H79" s="61">
        <f t="shared" si="9"/>
        <v>1</v>
      </c>
      <c r="I79" t="str">
        <f>IF(FT!B79&lt;&gt;"",FT!E79,"")</f>
        <v>2 [31.386993]</v>
      </c>
      <c r="J79">
        <f>IF(FT!B79&lt;&gt;"",FT!C79,"")</f>
        <v>31.387</v>
      </c>
    </row>
    <row r="80" spans="1:10">
      <c r="A80" s="61">
        <f t="shared" si="10"/>
        <v>78</v>
      </c>
      <c r="B80" s="61">
        <f t="shared" si="8"/>
        <v>1.5051614117647061</v>
      </c>
      <c r="C80" s="61">
        <f>FH!A80*1</f>
        <v>221373</v>
      </c>
      <c r="D80" s="61">
        <f>FH!B80*1</f>
        <v>221373</v>
      </c>
      <c r="E80">
        <f t="shared" si="11"/>
        <v>78</v>
      </c>
      <c r="F80" s="61">
        <f>IF(FT!A80&lt;&gt;"",FT!A80*10,"")</f>
        <v>2.4397099999999998</v>
      </c>
      <c r="G80" s="61">
        <f>IF(FT!B80&lt;&gt;"",FT!B80*100,"")</f>
        <v>56.85</v>
      </c>
      <c r="H80" s="61">
        <f t="shared" si="9"/>
        <v>1</v>
      </c>
      <c r="I80" t="str">
        <f>IF(FT!B80&lt;&gt;"",FT!E80,"")</f>
        <v>2 [31.764942]</v>
      </c>
      <c r="J80">
        <f>IF(FT!B80&lt;&gt;"",FT!C80,"")</f>
        <v>31.764900000000001</v>
      </c>
    </row>
    <row r="81" spans="1:10">
      <c r="A81" s="61">
        <f t="shared" si="10"/>
        <v>79</v>
      </c>
      <c r="B81" s="61">
        <f t="shared" si="8"/>
        <v>1.5244583529411766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2.4296699999999998</v>
      </c>
      <c r="G81" s="61">
        <f>IF(FT!B81&lt;&gt;"",FT!B81*100,"")</f>
        <v>57.548600000000008</v>
      </c>
      <c r="H81" s="61">
        <f t="shared" si="9"/>
        <v>1</v>
      </c>
      <c r="I81" t="str">
        <f>IF(FT!B81&lt;&gt;"",FT!E81,"")</f>
        <v>2 [32.152915]</v>
      </c>
      <c r="J81">
        <f>IF(FT!B81&lt;&gt;"",FT!C81,"")</f>
        <v>32.152900000000002</v>
      </c>
    </row>
    <row r="82" spans="1:10">
      <c r="A82" s="61">
        <f t="shared" si="10"/>
        <v>80</v>
      </c>
      <c r="B82" s="61">
        <f t="shared" si="8"/>
        <v>1.5437552941176471</v>
      </c>
      <c r="C82" s="61">
        <f>FH!A82*1</f>
        <v>199498</v>
      </c>
      <c r="D82" s="61">
        <f>FH!B82*1</f>
        <v>199498</v>
      </c>
      <c r="E82">
        <f t="shared" si="11"/>
        <v>80</v>
      </c>
      <c r="F82" s="61">
        <f>IF(FT!A82&lt;&gt;"",FT!A82*10,"")</f>
        <v>2.4220000000000002</v>
      </c>
      <c r="G82" s="61">
        <f>IF(FT!B82&lt;&gt;"",FT!B82*100,"")</f>
        <v>58.171900000000001</v>
      </c>
      <c r="H82" s="61">
        <f t="shared" si="9"/>
        <v>1</v>
      </c>
      <c r="I82" t="str">
        <f>IF(FT!B82&lt;&gt;"",FT!E82,"")</f>
        <v>2 [32.560805]</v>
      </c>
      <c r="J82">
        <f>IF(FT!B82&lt;&gt;"",FT!C82,"")</f>
        <v>32.5608</v>
      </c>
    </row>
    <row r="83" spans="1:10">
      <c r="A83" s="61">
        <f t="shared" si="10"/>
        <v>81</v>
      </c>
      <c r="B83" s="61">
        <f t="shared" si="8"/>
        <v>1.5630522352941176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2.4191699999999998</v>
      </c>
      <c r="G83" s="61">
        <f>IF(FT!B83&lt;&gt;"",FT!B83*100,"")</f>
        <v>58.713700000000003</v>
      </c>
      <c r="H83" s="61">
        <f t="shared" si="9"/>
        <v>1</v>
      </c>
      <c r="I83" t="str">
        <f>IF(FT!B83&lt;&gt;"",FT!E83,"")</f>
        <v>2 [32.970716]</v>
      </c>
      <c r="J83">
        <f>IF(FT!B83&lt;&gt;"",FT!C83,"")</f>
        <v>32.970700000000001</v>
      </c>
    </row>
    <row r="84" spans="1:10">
      <c r="A84" s="61">
        <f t="shared" si="10"/>
        <v>82</v>
      </c>
      <c r="B84" s="61">
        <f t="shared" si="8"/>
        <v>1.5823491764705884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2.4215400000000002</v>
      </c>
      <c r="G84" s="61">
        <f>IF(FT!B84&lt;&gt;"",FT!B84*100,"")</f>
        <v>59.152499999999996</v>
      </c>
      <c r="H84" s="61">
        <f t="shared" si="9"/>
        <v>1</v>
      </c>
      <c r="I84" t="str">
        <f>IF(FT!B84&lt;&gt;"",FT!E84,"")</f>
        <v>2 [33.374582]</v>
      </c>
      <c r="J84">
        <f>IF(FT!B84&lt;&gt;"",FT!C84,"")</f>
        <v>33.374600000000001</v>
      </c>
    </row>
    <row r="85" spans="1:10">
      <c r="A85" s="61">
        <f t="shared" si="10"/>
        <v>83</v>
      </c>
      <c r="B85" s="61">
        <f t="shared" si="8"/>
        <v>1.6016461176470589</v>
      </c>
      <c r="C85" s="61">
        <f>FH!A85*1</f>
        <v>202709</v>
      </c>
      <c r="D85" s="61">
        <f>FH!B85*1</f>
        <v>202709</v>
      </c>
      <c r="E85">
        <f t="shared" si="11"/>
        <v>83</v>
      </c>
      <c r="F85" s="61">
        <f>IF(FT!A85&lt;&gt;"",FT!A85*10,"")</f>
        <v>2.4267099999999999</v>
      </c>
      <c r="G85" s="61">
        <f>IF(FT!B85&lt;&gt;"",FT!B85*100,"")</f>
        <v>59.398099999999999</v>
      </c>
      <c r="H85" s="61">
        <f t="shared" si="9"/>
        <v>1</v>
      </c>
      <c r="I85" t="str">
        <f>IF(FT!B85&lt;&gt;"",FT!E85,"")</f>
        <v>2 [33.779594]</v>
      </c>
      <c r="J85">
        <f>IF(FT!B85&lt;&gt;"",FT!C85,"")</f>
        <v>33.779600000000002</v>
      </c>
    </row>
    <row r="86" spans="1:10">
      <c r="A86" s="61">
        <f t="shared" si="10"/>
        <v>84</v>
      </c>
      <c r="B86" s="61">
        <f t="shared" si="8"/>
        <v>1.6209430588235294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2.43458</v>
      </c>
      <c r="G86" s="61">
        <f>IF(FT!B86&lt;&gt;"",FT!B86*100,"")</f>
        <v>59.5336</v>
      </c>
      <c r="H86" s="61">
        <f t="shared" si="9"/>
        <v>1</v>
      </c>
      <c r="I86" t="str">
        <f>IF(FT!B86&lt;&gt;"",FT!E86,"")</f>
        <v>2 [34.185631]</v>
      </c>
      <c r="J86">
        <f>IF(FT!B86&lt;&gt;"",FT!C86,"")</f>
        <v>34.185600000000001</v>
      </c>
    </row>
    <row r="87" spans="1:10">
      <c r="A87" s="61">
        <f t="shared" si="10"/>
        <v>85</v>
      </c>
      <c r="B87" s="61">
        <f t="shared" si="8"/>
        <v>1.6402399999999999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2.4436100000000001</v>
      </c>
      <c r="G87" s="61">
        <f>IF(FT!B87&lt;&gt;"",FT!B87*100,"")</f>
        <v>59.572199999999995</v>
      </c>
      <c r="H87" s="61">
        <f t="shared" si="9"/>
        <v>1</v>
      </c>
      <c r="I87" t="str">
        <f>IF(FT!B87&lt;&gt;"",FT!E87,"")</f>
        <v>2 [34.591683]</v>
      </c>
      <c r="J87">
        <f>IF(FT!B87&lt;&gt;"",FT!C87,"")</f>
        <v>34.591700000000003</v>
      </c>
    </row>
    <row r="88" spans="1:10">
      <c r="A88" s="61">
        <f t="shared" si="10"/>
        <v>86</v>
      </c>
      <c r="B88" s="61">
        <f t="shared" si="8"/>
        <v>1.6595369411764709</v>
      </c>
      <c r="C88" s="61">
        <f>FH!A88*1</f>
        <v>190182</v>
      </c>
      <c r="D88" s="61">
        <f>FH!B88*1</f>
        <v>190182</v>
      </c>
      <c r="E88">
        <f t="shared" si="11"/>
        <v>86</v>
      </c>
      <c r="F88" s="61">
        <f>IF(FT!A88&lt;&gt;"",FT!A88*10,"")</f>
        <v>2.4534600000000002</v>
      </c>
      <c r="G88" s="61">
        <f>IF(FT!B88&lt;&gt;"",FT!B88*100,"")</f>
        <v>59.500399999999999</v>
      </c>
      <c r="H88" s="61">
        <f t="shared" si="9"/>
        <v>1</v>
      </c>
      <c r="I88" t="str">
        <f>IF(FT!B88&lt;&gt;"",FT!E88,"")</f>
        <v>2 [34.999275]</v>
      </c>
      <c r="J88">
        <f>IF(FT!B88&lt;&gt;"",FT!C88,"")</f>
        <v>34.999299999999998</v>
      </c>
    </row>
    <row r="89" spans="1:10">
      <c r="A89" s="61">
        <f t="shared" si="10"/>
        <v>87</v>
      </c>
      <c r="B89" s="61">
        <f t="shared" si="8"/>
        <v>1.6788338823529414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2.4633699999999998</v>
      </c>
      <c r="G89" s="61">
        <f>IF(FT!B89&lt;&gt;"",FT!B89*100,"")</f>
        <v>59.375199999999992</v>
      </c>
      <c r="H89" s="61">
        <f t="shared" si="9"/>
        <v>1</v>
      </c>
      <c r="I89" t="str">
        <f>IF(FT!B89&lt;&gt;"",FT!E89,"")</f>
        <v>2 [35.407251]</v>
      </c>
      <c r="J89">
        <f>IF(FT!B89&lt;&gt;"",FT!C89,"")</f>
        <v>35.407299999999999</v>
      </c>
    </row>
    <row r="90" spans="1:10">
      <c r="A90" s="61">
        <f t="shared" si="10"/>
        <v>88</v>
      </c>
      <c r="B90" s="61">
        <f t="shared" si="8"/>
        <v>1.6981308235294119</v>
      </c>
      <c r="C90" s="61">
        <f>FH!A90*1</f>
        <v>190959</v>
      </c>
      <c r="D90" s="61">
        <f>FH!B90*1</f>
        <v>190959</v>
      </c>
      <c r="E90">
        <f t="shared" si="11"/>
        <v>88</v>
      </c>
      <c r="F90" s="61">
        <f>IF(FT!A90&lt;&gt;"",FT!A90*10,"")</f>
        <v>2.4730599999999998</v>
      </c>
      <c r="G90" s="61">
        <f>IF(FT!B90&lt;&gt;"",FT!B90*100,"")</f>
        <v>59.179000000000002</v>
      </c>
      <c r="H90" s="61">
        <f t="shared" si="9"/>
        <v>1</v>
      </c>
      <c r="I90" t="str">
        <f>IF(FT!B90&lt;&gt;"",FT!E90,"")</f>
        <v>2 [35.813112]</v>
      </c>
      <c r="J90">
        <f>IF(FT!B90&lt;&gt;"",FT!C90,"")</f>
        <v>35.813099999999999</v>
      </c>
    </row>
    <row r="91" spans="1:10">
      <c r="A91" s="61">
        <f t="shared" si="10"/>
        <v>89</v>
      </c>
      <c r="B91" s="61">
        <f t="shared" si="8"/>
        <v>1.7174277647058824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2.4811199999999998</v>
      </c>
      <c r="G91" s="61">
        <f>IF(FT!B91&lt;&gt;"",FT!B91*100,"")</f>
        <v>58.945800000000006</v>
      </c>
      <c r="H91" s="61">
        <f t="shared" si="9"/>
        <v>1</v>
      </c>
      <c r="I91" t="str">
        <f>IF(FT!B91&lt;&gt;"",FT!E91,"")</f>
        <v>2 [36.215054]</v>
      </c>
      <c r="J91">
        <f>IF(FT!B91&lt;&gt;"",FT!C91,"")</f>
        <v>36.2151</v>
      </c>
    </row>
    <row r="92" spans="1:10">
      <c r="A92" s="61">
        <f t="shared" si="10"/>
        <v>90</v>
      </c>
      <c r="B92" s="61">
        <f t="shared" si="8"/>
        <v>1.7367247058823532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2.4900500000000001</v>
      </c>
      <c r="G92" s="61">
        <f>IF(FT!B92&lt;&gt;"",FT!B92*100,"")</f>
        <v>58.629600000000003</v>
      </c>
      <c r="H92" s="61">
        <f t="shared" si="9"/>
        <v>1</v>
      </c>
      <c r="I92" t="str">
        <f>IF(FT!B92&lt;&gt;"",FT!E92,"")</f>
        <v>2 [36.622581]</v>
      </c>
      <c r="J92">
        <f>IF(FT!B92&lt;&gt;"",FT!C92,"")</f>
        <v>36.622599999999998</v>
      </c>
    </row>
    <row r="93" spans="1:10">
      <c r="A93" s="61">
        <f t="shared" si="10"/>
        <v>91</v>
      </c>
      <c r="B93" s="61">
        <f t="shared" si="8"/>
        <v>1.7560216470588237</v>
      </c>
      <c r="C93" s="61">
        <f>FH!A93*1</f>
        <v>174453</v>
      </c>
      <c r="D93" s="61">
        <f>FH!B93*1</f>
        <v>174453</v>
      </c>
      <c r="E93">
        <f t="shared" si="11"/>
        <v>91</v>
      </c>
      <c r="F93" s="61">
        <f>IF(FT!A93&lt;&gt;"",FT!A93*10,"")</f>
        <v>2.5006499999999998</v>
      </c>
      <c r="G93" s="61">
        <f>IF(FT!B93&lt;&gt;"",FT!B93*100,"")</f>
        <v>58.142700000000005</v>
      </c>
      <c r="H93" s="61">
        <f t="shared" si="9"/>
        <v>1</v>
      </c>
      <c r="I93" t="str">
        <f>IF(FT!B93&lt;&gt;"",FT!E93,"")</f>
        <v>2 [37.026867]</v>
      </c>
      <c r="J93">
        <f>IF(FT!B93&lt;&gt;"",FT!C93,"")</f>
        <v>37.026899999999998</v>
      </c>
    </row>
    <row r="94" spans="1:10">
      <c r="A94" s="61">
        <f t="shared" si="10"/>
        <v>92</v>
      </c>
      <c r="B94" s="61">
        <f t="shared" si="8"/>
        <v>1.7753185882352942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2.5162499999999999</v>
      </c>
      <c r="G94" s="61">
        <f>IF(FT!B94&lt;&gt;"",FT!B94*100,"")</f>
        <v>57.477599999999995</v>
      </c>
      <c r="H94" s="61">
        <f t="shared" si="9"/>
        <v>1</v>
      </c>
      <c r="I94" t="str">
        <f>IF(FT!B94&lt;&gt;"",FT!E94,"")</f>
        <v>2 [37.436791]</v>
      </c>
      <c r="J94">
        <f>IF(FT!B94&lt;&gt;"",FT!C94,"")</f>
        <v>37.436799999999998</v>
      </c>
    </row>
    <row r="95" spans="1:10">
      <c r="A95" s="61">
        <f t="shared" si="10"/>
        <v>93</v>
      </c>
      <c r="B95" s="61">
        <f t="shared" si="8"/>
        <v>1.7946155294117647</v>
      </c>
      <c r="C95" s="61">
        <f>FH!A95*1</f>
        <v>172900</v>
      </c>
      <c r="D95" s="61">
        <f>FH!B95*1</f>
        <v>172900</v>
      </c>
      <c r="E95">
        <f t="shared" si="11"/>
        <v>93</v>
      </c>
      <c r="F95" s="61">
        <f>IF(FT!A95&lt;&gt;"",FT!A95*10,"")</f>
        <v>2.5361899999999999</v>
      </c>
      <c r="G95" s="61">
        <f>IF(FT!B95&lt;&gt;"",FT!B95*100,"")</f>
        <v>56.630499999999998</v>
      </c>
      <c r="H95" s="61">
        <f t="shared" si="9"/>
        <v>1</v>
      </c>
      <c r="I95" t="str">
        <f>IF(FT!B95&lt;&gt;"",FT!E95,"")</f>
        <v>2 [37.844715]</v>
      </c>
      <c r="J95">
        <f>IF(FT!B95&lt;&gt;"",FT!C95,"")</f>
        <v>37.844700000000003</v>
      </c>
    </row>
    <row r="96" spans="1:10">
      <c r="A96" s="61">
        <f t="shared" si="10"/>
        <v>94</v>
      </c>
      <c r="B96" s="61">
        <f t="shared" si="8"/>
        <v>1.8139124705882355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2.5596799999999997</v>
      </c>
      <c r="G96" s="61">
        <f>IF(FT!B96&lt;&gt;"",FT!B96*100,"")</f>
        <v>55.631799999999998</v>
      </c>
      <c r="H96" s="61">
        <f t="shared" si="9"/>
        <v>1</v>
      </c>
      <c r="I96" t="str">
        <f>IF(FT!B96&lt;&gt;"",FT!E96,"")</f>
        <v>2 [38.249607]</v>
      </c>
      <c r="J96">
        <f>IF(FT!B96&lt;&gt;"",FT!C96,"")</f>
        <v>38.249600000000001</v>
      </c>
    </row>
    <row r="97" spans="1:10">
      <c r="A97" s="61">
        <f t="shared" si="10"/>
        <v>95</v>
      </c>
      <c r="B97" s="61">
        <f t="shared" si="8"/>
        <v>1.833209411764706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2.5856400000000002</v>
      </c>
      <c r="G97" s="61">
        <f>IF(FT!B97&lt;&gt;"",FT!B97*100,"")</f>
        <v>54.545000000000002</v>
      </c>
      <c r="H97" s="61">
        <f t="shared" si="9"/>
        <v>1</v>
      </c>
      <c r="I97" t="str">
        <f>IF(FT!B97&lt;&gt;"",FT!E97,"")</f>
        <v>2 [38.652515]</v>
      </c>
      <c r="J97">
        <f>IF(FT!B97&lt;&gt;"",FT!C97,"")</f>
        <v>38.652500000000003</v>
      </c>
    </row>
    <row r="98" spans="1:10">
      <c r="A98" s="61">
        <f t="shared" si="10"/>
        <v>96</v>
      </c>
      <c r="B98" s="61">
        <f t="shared" si="8"/>
        <v>1.8525063529411765</v>
      </c>
      <c r="C98" s="61">
        <f>FH!A98*1</f>
        <v>151812</v>
      </c>
      <c r="D98" s="61">
        <f>FH!B98*1</f>
        <v>151812</v>
      </c>
      <c r="E98">
        <f t="shared" si="11"/>
        <v>96</v>
      </c>
      <c r="F98" s="61">
        <f>IF(FT!A98&lt;&gt;"",FT!A98*10,"")</f>
        <v>2.6140999999999996</v>
      </c>
      <c r="G98" s="61">
        <f>IF(FT!B98&lt;&gt;"",FT!B98*100,"")</f>
        <v>53.374999999999993</v>
      </c>
      <c r="H98" s="61">
        <f t="shared" si="9"/>
        <v>1</v>
      </c>
      <c r="I98" t="str">
        <f>IF(FT!B98&lt;&gt;"",FT!E98,"")</f>
        <v>2 [39.062440]</v>
      </c>
      <c r="J98">
        <f>IF(FT!B98&lt;&gt;"",FT!C98,"")</f>
        <v>39.062399999999997</v>
      </c>
    </row>
    <row r="99" spans="1:10">
      <c r="A99" s="61">
        <f t="shared" si="10"/>
        <v>97</v>
      </c>
      <c r="B99" s="61">
        <f t="shared" si="8"/>
        <v>1.871803294117647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2.6447099999999999</v>
      </c>
      <c r="G99" s="61">
        <f>IF(FT!B99&lt;&gt;"",FT!B99*100,"")</f>
        <v>52.162500000000001</v>
      </c>
      <c r="H99" s="61">
        <f t="shared" si="9"/>
        <v>1</v>
      </c>
      <c r="I99" t="str">
        <f>IF(FT!B99&lt;&gt;"",FT!E99,"")</f>
        <v>2 [39.466359]</v>
      </c>
      <c r="J99">
        <f>IF(FT!B99&lt;&gt;"",FT!C99,"")</f>
        <v>39.4664</v>
      </c>
    </row>
    <row r="100" spans="1:10">
      <c r="A100" s="61">
        <f t="shared" si="10"/>
        <v>98</v>
      </c>
      <c r="B100" s="61">
        <f t="shared" si="8"/>
        <v>1.8911002352941177</v>
      </c>
      <c r="C100" s="61">
        <f>FH!A100*1</f>
        <v>141957</v>
      </c>
      <c r="D100" s="61">
        <f>FH!B100*1</f>
        <v>141957</v>
      </c>
      <c r="E100">
        <f t="shared" si="11"/>
        <v>98</v>
      </c>
      <c r="F100" s="61">
        <f>IF(FT!A100&lt;&gt;"",FT!A100*10,"")</f>
        <v>2.6778499999999998</v>
      </c>
      <c r="G100" s="61">
        <f>IF(FT!B100&lt;&gt;"",FT!B100*100,"")</f>
        <v>50.962700000000005</v>
      </c>
      <c r="H100" s="61">
        <f t="shared" si="9"/>
        <v>1</v>
      </c>
      <c r="I100" t="str">
        <f>IF(FT!B100&lt;&gt;"",FT!E100,"")</f>
        <v>2 [39.871415]</v>
      </c>
      <c r="J100">
        <f>IF(FT!B100&lt;&gt;"",FT!C100,"")</f>
        <v>39.871400000000001</v>
      </c>
    </row>
    <row r="101" spans="1:10">
      <c r="A101" s="61">
        <f t="shared" si="10"/>
        <v>99</v>
      </c>
      <c r="B101" s="61">
        <f t="shared" si="8"/>
        <v>1.9103971764705883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2.7151799999999997</v>
      </c>
      <c r="G101" s="61">
        <f>IF(FT!B101&lt;&gt;"",FT!B101*100,"")</f>
        <v>49.728099999999998</v>
      </c>
      <c r="H101" s="61">
        <f t="shared" si="9"/>
        <v>1</v>
      </c>
      <c r="I101" t="str">
        <f>IF(FT!B101&lt;&gt;"",FT!E101,"")</f>
        <v>2 [40.282189]</v>
      </c>
      <c r="J101">
        <f>IF(FT!B101&lt;&gt;"",FT!C101,"")</f>
        <v>40.282200000000003</v>
      </c>
    </row>
    <row r="102" spans="1:10">
      <c r="A102" s="61">
        <f t="shared" si="10"/>
        <v>100</v>
      </c>
      <c r="B102" s="61">
        <f t="shared" si="8"/>
        <v>1.9296941176470588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2.7549200000000003</v>
      </c>
      <c r="G102" s="61">
        <f>IF(FT!B102&lt;&gt;"",FT!B102*100,"")</f>
        <v>48.521999999999998</v>
      </c>
      <c r="H102" s="61">
        <f t="shared" si="9"/>
        <v>1</v>
      </c>
      <c r="I102" t="str">
        <f>IF(FT!B102&lt;&gt;"",FT!E102,"")</f>
        <v>2 [40.687120]</v>
      </c>
      <c r="J102">
        <f>IF(FT!B102&lt;&gt;"",FT!C102,"")</f>
        <v>40.687100000000001</v>
      </c>
    </row>
    <row r="103" spans="1:10">
      <c r="A103" s="61">
        <f t="shared" si="10"/>
        <v>101</v>
      </c>
      <c r="B103" s="61">
        <f t="shared" si="8"/>
        <v>1.9489910588235293</v>
      </c>
      <c r="C103" s="61">
        <f>FH!A103*1</f>
        <v>129779</v>
      </c>
      <c r="D103" s="61">
        <f>FH!B103*1</f>
        <v>129779</v>
      </c>
      <c r="E103">
        <f t="shared" si="11"/>
        <v>101</v>
      </c>
      <c r="F103" s="61">
        <f>IF(FT!A103&lt;&gt;"",FT!A103*10,"")</f>
        <v>2.7959800000000001</v>
      </c>
      <c r="G103" s="61">
        <f>IF(FT!B103&lt;&gt;"",FT!B103*100,"")</f>
        <v>47.384999999999998</v>
      </c>
      <c r="H103" s="61">
        <f t="shared" si="9"/>
        <v>1</v>
      </c>
      <c r="I103" t="str">
        <f>IF(FT!B103&lt;&gt;"",FT!E103,"")</f>
        <v>2 [41.094993]</v>
      </c>
      <c r="J103">
        <f>IF(FT!B103&lt;&gt;"",FT!C103,"")</f>
        <v>41.094999999999999</v>
      </c>
    </row>
    <row r="104" spans="1:10">
      <c r="A104" s="61">
        <f t="shared" si="10"/>
        <v>102</v>
      </c>
      <c r="B104" s="61">
        <f t="shared" si="8"/>
        <v>1.9682880000000003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2.8368599999999997</v>
      </c>
      <c r="G104" s="61">
        <f>IF(FT!B104&lt;&gt;"",FT!B104*100,"")</f>
        <v>46.268799999999999</v>
      </c>
      <c r="H104" s="61">
        <f t="shared" si="9"/>
        <v>1</v>
      </c>
      <c r="I104" t="str">
        <f>IF(FT!B104&lt;&gt;"",FT!E104,"")</f>
        <v>2 [41.497029]</v>
      </c>
      <c r="J104">
        <f>IF(FT!B104&lt;&gt;"",FT!C104,"")</f>
        <v>41.497</v>
      </c>
    </row>
    <row r="105" spans="1:10">
      <c r="A105" s="61">
        <f t="shared" si="10"/>
        <v>103</v>
      </c>
      <c r="B105" s="61">
        <f t="shared" si="8"/>
        <v>1.9875849411764708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2.8773500000000003</v>
      </c>
      <c r="G105" s="61">
        <f>IF(FT!B105&lt;&gt;"",FT!B105*100,"")</f>
        <v>45.280300000000004</v>
      </c>
      <c r="H105" s="61">
        <f t="shared" si="9"/>
        <v>1</v>
      </c>
      <c r="I105" t="str">
        <f>IF(FT!B105&lt;&gt;"",FT!E105,"")</f>
        <v>2 [41.906826]</v>
      </c>
      <c r="J105">
        <f>IF(FT!B105&lt;&gt;"",FT!C105,"")</f>
        <v>41.906799999999997</v>
      </c>
    </row>
    <row r="106" spans="1:10">
      <c r="A106" s="61">
        <f t="shared" si="10"/>
        <v>104</v>
      </c>
      <c r="B106" s="61">
        <f t="shared" si="8"/>
        <v>2.0068818823529413</v>
      </c>
      <c r="C106" s="61">
        <f>FH!A106*1</f>
        <v>122329</v>
      </c>
      <c r="D106" s="61">
        <f>FH!B106*1</f>
        <v>122329</v>
      </c>
      <c r="E106">
        <f t="shared" si="11"/>
        <v>104</v>
      </c>
      <c r="F106" s="61">
        <f>IF(FT!A106&lt;&gt;"",FT!A106*10,"")</f>
        <v>2.9165600000000005</v>
      </c>
      <c r="G106" s="61">
        <f>IF(FT!B106&lt;&gt;"",FT!B106*100,"")</f>
        <v>44.429699999999997</v>
      </c>
      <c r="H106" s="61">
        <f t="shared" si="9"/>
        <v>1</v>
      </c>
      <c r="I106" t="str">
        <f>IF(FT!B106&lt;&gt;"",FT!E106,"")</f>
        <v>2 [42.307732]</v>
      </c>
      <c r="J106">
        <f>IF(FT!B106&lt;&gt;"",FT!C106,"")</f>
        <v>42.307699999999997</v>
      </c>
    </row>
    <row r="107" spans="1:10">
      <c r="A107" s="61">
        <f t="shared" si="10"/>
        <v>105</v>
      </c>
      <c r="B107" s="61">
        <f t="shared" si="8"/>
        <v>2.0261788235294116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2.95892</v>
      </c>
      <c r="G107" s="61">
        <f>IF(FT!B107&lt;&gt;"",FT!B107*100,"")</f>
        <v>43.554200000000002</v>
      </c>
      <c r="H107" s="61">
        <f t="shared" si="9"/>
        <v>1</v>
      </c>
      <c r="I107" t="str">
        <f>IF(FT!B107&lt;&gt;"",FT!E107,"")</f>
        <v>2 [42.719650]</v>
      </c>
      <c r="J107">
        <f>IF(FT!B107&lt;&gt;"",FT!C107,"")</f>
        <v>42.719700000000003</v>
      </c>
    </row>
    <row r="108" spans="1:10">
      <c r="A108" s="61">
        <f t="shared" si="10"/>
        <v>106</v>
      </c>
      <c r="B108" s="61">
        <f t="shared" si="8"/>
        <v>2.0454757647058823</v>
      </c>
      <c r="C108" s="61">
        <f>FH!A108*1</f>
        <v>115873</v>
      </c>
      <c r="D108" s="61">
        <f>FH!B108*1</f>
        <v>115873</v>
      </c>
      <c r="E108">
        <f t="shared" si="11"/>
        <v>106</v>
      </c>
      <c r="F108" s="61">
        <f>IF(FT!A108&lt;&gt;"",FT!A108*10,"")</f>
        <v>3.00197</v>
      </c>
      <c r="G108" s="61">
        <f>IF(FT!B108&lt;&gt;"",FT!B108*100,"")</f>
        <v>42.732799999999997</v>
      </c>
      <c r="H108" s="61">
        <f t="shared" si="9"/>
        <v>1</v>
      </c>
      <c r="I108" t="str">
        <f>IF(FT!B108&lt;&gt;"",FT!E108,"")</f>
        <v>2 [43.125884]</v>
      </c>
      <c r="J108">
        <f>IF(FT!B108&lt;&gt;"",FT!C108,"")</f>
        <v>43.125900000000001</v>
      </c>
    </row>
    <row r="109" spans="1:10">
      <c r="A109" s="61">
        <f t="shared" si="10"/>
        <v>107</v>
      </c>
      <c r="B109" s="61">
        <f t="shared" si="8"/>
        <v>2.0647727058823531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3.0397600000000002</v>
      </c>
      <c r="G109" s="61">
        <f>IF(FT!B109&lt;&gt;"",FT!B109*100,"")</f>
        <v>42.112899999999996</v>
      </c>
      <c r="H109" s="61">
        <f t="shared" si="9"/>
        <v>1</v>
      </c>
      <c r="I109" t="str">
        <f>IF(FT!B109&lt;&gt;"",FT!E109,"")</f>
        <v>2 [43.528470]</v>
      </c>
      <c r="J109">
        <f>IF(FT!B109&lt;&gt;"",FT!C109,"")</f>
        <v>43.528500000000001</v>
      </c>
    </row>
    <row r="110" spans="1:10">
      <c r="A110" s="61">
        <f t="shared" si="10"/>
        <v>108</v>
      </c>
      <c r="B110" s="61">
        <f t="shared" si="8"/>
        <v>2.0840696470588238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3.07334</v>
      </c>
      <c r="G110" s="61">
        <f>IF(FT!B110&lt;&gt;"",FT!B110*100,"")</f>
        <v>41.6295</v>
      </c>
      <c r="H110" s="61">
        <f t="shared" si="9"/>
        <v>1</v>
      </c>
      <c r="I110" t="str">
        <f>IF(FT!B110&lt;&gt;"",FT!E110,"")</f>
        <v>2 [43.934700]</v>
      </c>
      <c r="J110">
        <f>IF(FT!B110&lt;&gt;"",FT!C110,"")</f>
        <v>43.934699999999999</v>
      </c>
    </row>
    <row r="111" spans="1:10">
      <c r="A111" s="61">
        <f t="shared" si="10"/>
        <v>109</v>
      </c>
      <c r="B111" s="61">
        <f t="shared" si="8"/>
        <v>2.1033665882352941</v>
      </c>
      <c r="C111" s="61">
        <f>FH!A111*1</f>
        <v>113453</v>
      </c>
      <c r="D111" s="61">
        <f>FH!B111*1</f>
        <v>113453</v>
      </c>
      <c r="E111">
        <f t="shared" si="11"/>
        <v>109</v>
      </c>
      <c r="F111" s="61">
        <f>IF(FT!A111&lt;&gt;"",FT!A111*10,"")</f>
        <v>3.1044</v>
      </c>
      <c r="G111" s="61">
        <f>IF(FT!B111&lt;&gt;"",FT!B111*100,"")</f>
        <v>41.242000000000004</v>
      </c>
      <c r="H111" s="61">
        <f t="shared" si="9"/>
        <v>1</v>
      </c>
      <c r="I111" t="str">
        <f>IF(FT!B111&lt;&gt;"",FT!E111,"")</f>
        <v>2 [44.344316]</v>
      </c>
      <c r="J111">
        <f>IF(FT!B111&lt;&gt;"",FT!C111,"")</f>
        <v>44.344299999999997</v>
      </c>
    </row>
    <row r="112" spans="1:10">
      <c r="A112" s="61">
        <f t="shared" si="10"/>
        <v>110</v>
      </c>
      <c r="B112" s="61">
        <f t="shared" si="8"/>
        <v>2.1226635294117648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3.1330400000000003</v>
      </c>
      <c r="G112" s="61">
        <f>IF(FT!B112&lt;&gt;"",FT!B112*100,"")</f>
        <v>40.931800000000003</v>
      </c>
      <c r="H112" s="61">
        <f t="shared" si="9"/>
        <v>1</v>
      </c>
      <c r="I112" t="str">
        <f>IF(FT!B112&lt;&gt;"",FT!E112,"")</f>
        <v>2 [44.749259]</v>
      </c>
      <c r="J112">
        <f>IF(FT!B112&lt;&gt;"",FT!C112,"")</f>
        <v>44.749299999999998</v>
      </c>
    </row>
    <row r="113" spans="1:10">
      <c r="A113" s="61">
        <f t="shared" si="10"/>
        <v>111</v>
      </c>
      <c r="B113" s="61">
        <f t="shared" si="8"/>
        <v>2.1419604705882356</v>
      </c>
      <c r="C113" s="61">
        <f>FH!A113*1</f>
        <v>96712</v>
      </c>
      <c r="D113" s="61">
        <f>FH!B113*1</f>
        <v>96712</v>
      </c>
      <c r="E113">
        <f t="shared" si="11"/>
        <v>111</v>
      </c>
      <c r="F113" s="61">
        <f>IF(FT!A113&lt;&gt;"",FT!A113*10,"")</f>
        <v>3.1585800000000002</v>
      </c>
      <c r="G113" s="61">
        <f>IF(FT!B113&lt;&gt;"",FT!B113*100,"")</f>
        <v>40.748200000000004</v>
      </c>
      <c r="H113" s="61">
        <f t="shared" si="9"/>
        <v>1</v>
      </c>
      <c r="I113" t="str">
        <f>IF(FT!B113&lt;&gt;"",FT!E113,"")</f>
        <v>2 [45.156145]</v>
      </c>
      <c r="J113">
        <f>IF(FT!B113&lt;&gt;"",FT!C113,"")</f>
        <v>45.156100000000002</v>
      </c>
    </row>
    <row r="114" spans="1:10">
      <c r="A114" s="61">
        <f t="shared" si="10"/>
        <v>112</v>
      </c>
      <c r="B114" s="61">
        <f t="shared" si="8"/>
        <v>2.1612574117647059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3.1806000000000001</v>
      </c>
      <c r="G114" s="61">
        <f>IF(FT!B114&lt;&gt;"",FT!B114*100,"")</f>
        <v>40.676099999999998</v>
      </c>
      <c r="H114" s="61">
        <f t="shared" si="9"/>
        <v>1</v>
      </c>
      <c r="I114" t="str">
        <f>IF(FT!B114&lt;&gt;"",FT!E114,"")</f>
        <v>2 [45.559392]</v>
      </c>
      <c r="J114">
        <f>IF(FT!B114&lt;&gt;"",FT!C114,"")</f>
        <v>45.559399999999997</v>
      </c>
    </row>
    <row r="115" spans="1:10">
      <c r="A115" s="61">
        <f t="shared" si="10"/>
        <v>113</v>
      </c>
      <c r="B115" s="61">
        <f t="shared" si="8"/>
        <v>2.1805543529411766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3.1985400000000004</v>
      </c>
      <c r="G115" s="61">
        <f>IF(FT!B115&lt;&gt;"",FT!B115*100,"")</f>
        <v>40.675800000000002</v>
      </c>
      <c r="H115" s="61">
        <f t="shared" si="9"/>
        <v>1</v>
      </c>
      <c r="I115" t="str">
        <f>IF(FT!B115&lt;&gt;"",FT!E115,"")</f>
        <v>2 [45.967989]</v>
      </c>
      <c r="J115">
        <f>IF(FT!B115&lt;&gt;"",FT!C115,"")</f>
        <v>45.968000000000004</v>
      </c>
    </row>
    <row r="116" spans="1:10">
      <c r="A116" s="61">
        <f t="shared" si="10"/>
        <v>114</v>
      </c>
      <c r="B116" s="61">
        <f t="shared" si="8"/>
        <v>2.1998512941176473</v>
      </c>
      <c r="C116" s="61">
        <f>FH!A116*1</f>
        <v>89786</v>
      </c>
      <c r="D116" s="61">
        <f>FH!B116*1</f>
        <v>89786</v>
      </c>
      <c r="E116">
        <f t="shared" si="11"/>
        <v>114</v>
      </c>
      <c r="F116" s="61">
        <f>IF(FT!A116&lt;&gt;"",FT!A116*10,"")</f>
        <v>3.2135799999999999</v>
      </c>
      <c r="G116" s="61">
        <f>IF(FT!B116&lt;&gt;"",FT!B116*100,"")</f>
        <v>40.730400000000003</v>
      </c>
      <c r="H116" s="61">
        <f t="shared" si="9"/>
        <v>1</v>
      </c>
      <c r="I116" t="str">
        <f>IF(FT!B116&lt;&gt;"",FT!E116,"")</f>
        <v>2 [46.376088]</v>
      </c>
      <c r="J116">
        <f>IF(FT!B116&lt;&gt;"",FT!C116,"")</f>
        <v>46.376100000000001</v>
      </c>
    </row>
    <row r="117" spans="1:10">
      <c r="A117" s="61">
        <f t="shared" si="10"/>
        <v>115</v>
      </c>
      <c r="B117" s="61">
        <f t="shared" si="8"/>
        <v>2.2191482352941176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3.2265300000000003</v>
      </c>
      <c r="G117" s="61">
        <f>IF(FT!B117&lt;&gt;"",FT!B117*100,"")</f>
        <v>40.804899999999996</v>
      </c>
      <c r="H117" s="61">
        <f t="shared" si="9"/>
        <v>1</v>
      </c>
      <c r="I117" t="str">
        <f>IF(FT!B117&lt;&gt;"",FT!E117,"")</f>
        <v>2 [46.780779]</v>
      </c>
      <c r="J117">
        <f>IF(FT!B117&lt;&gt;"",FT!C117,"")</f>
        <v>46.780799999999999</v>
      </c>
    </row>
    <row r="118" spans="1:10">
      <c r="A118" s="61">
        <f t="shared" si="10"/>
        <v>116</v>
      </c>
      <c r="B118" s="61">
        <f t="shared" si="8"/>
        <v>2.2384451764705884</v>
      </c>
      <c r="C118" s="61">
        <f>FH!A118*1</f>
        <v>77771</v>
      </c>
      <c r="D118" s="61">
        <f>FH!B118*1</f>
        <v>77771</v>
      </c>
      <c r="E118">
        <f t="shared" si="11"/>
        <v>116</v>
      </c>
      <c r="F118" s="61">
        <f>IF(FT!A118&lt;&gt;"",FT!A118*10,"")</f>
        <v>3.2359100000000001</v>
      </c>
      <c r="G118" s="61">
        <f>IF(FT!B118&lt;&gt;"",FT!B118*100,"")</f>
        <v>40.921500000000002</v>
      </c>
      <c r="H118" s="61">
        <f t="shared" si="9"/>
        <v>1</v>
      </c>
      <c r="I118" t="str">
        <f>IF(FT!B118&lt;&gt;"",FT!E118,"")</f>
        <v>2 [47.190710]</v>
      </c>
      <c r="J118">
        <f>IF(FT!B118&lt;&gt;"",FT!C118,"")</f>
        <v>47.1907</v>
      </c>
    </row>
    <row r="119" spans="1:10">
      <c r="A119" s="61">
        <f t="shared" si="10"/>
        <v>117</v>
      </c>
      <c r="B119" s="61">
        <f t="shared" si="8"/>
        <v>2.2577421176470587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3.2412900000000002</v>
      </c>
      <c r="G119" s="61">
        <f>IF(FT!B119&lt;&gt;"",FT!B119*100,"")</f>
        <v>41.0456</v>
      </c>
      <c r="H119" s="61">
        <f t="shared" si="9"/>
        <v>1</v>
      </c>
      <c r="I119" t="str">
        <f>IF(FT!B119&lt;&gt;"",FT!E119,"")</f>
        <v>2 [47.596048]</v>
      </c>
      <c r="J119">
        <f>IF(FT!B119&lt;&gt;"",FT!C119,"")</f>
        <v>47.595999999999997</v>
      </c>
    </row>
    <row r="120" spans="1:10">
      <c r="A120" s="61">
        <f t="shared" si="10"/>
        <v>118</v>
      </c>
      <c r="B120" s="61">
        <f t="shared" si="8"/>
        <v>2.2770390588235294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3.2434699999999999</v>
      </c>
      <c r="G120" s="61">
        <f>IF(FT!B120&lt;&gt;"",FT!B120*100,"")</f>
        <v>41.156300000000002</v>
      </c>
      <c r="H120" s="61">
        <f t="shared" si="9"/>
        <v>1</v>
      </c>
      <c r="I120" t="str">
        <f>IF(FT!B120&lt;&gt;"",FT!E120,"")</f>
        <v>2 [48.000577]</v>
      </c>
      <c r="J120">
        <f>IF(FT!B120&lt;&gt;"",FT!C120,"")</f>
        <v>48.000599999999999</v>
      </c>
    </row>
    <row r="121" spans="1:10">
      <c r="A121" s="61">
        <f t="shared" si="10"/>
        <v>119</v>
      </c>
      <c r="B121" s="61">
        <f t="shared" si="8"/>
        <v>2.2963360000000002</v>
      </c>
      <c r="C121" s="61">
        <f>FH!A121*1</f>
        <v>72101</v>
      </c>
      <c r="D121" s="61">
        <f>FH!B121*1</f>
        <v>72101</v>
      </c>
      <c r="E121">
        <f t="shared" si="11"/>
        <v>119</v>
      </c>
      <c r="F121" s="61">
        <f>IF(FT!A121&lt;&gt;"",FT!A121*10,"")</f>
        <v>3.2410800000000002</v>
      </c>
      <c r="G121" s="61">
        <f>IF(FT!B121&lt;&gt;"",FT!B121*100,"")</f>
        <v>41.255299999999998</v>
      </c>
      <c r="H121" s="61">
        <f t="shared" si="9"/>
        <v>1</v>
      </c>
      <c r="I121" t="str">
        <f>IF(FT!B121&lt;&gt;"",FT!E121,"")</f>
        <v>2 [48.411794]</v>
      </c>
      <c r="J121">
        <f>IF(FT!B121&lt;&gt;"",FT!C121,"")</f>
        <v>48.411799999999999</v>
      </c>
    </row>
    <row r="122" spans="1:10">
      <c r="A122" s="61">
        <f t="shared" si="10"/>
        <v>120</v>
      </c>
      <c r="B122" s="61">
        <f t="shared" si="8"/>
        <v>2.3156329411764704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3.2359800000000001</v>
      </c>
      <c r="G122" s="61">
        <f>IF(FT!B122&lt;&gt;"",FT!B122*100,"")</f>
        <v>41.376400000000004</v>
      </c>
      <c r="H122" s="61">
        <f t="shared" si="9"/>
        <v>1</v>
      </c>
      <c r="I122" t="str">
        <f>IF(FT!B122&lt;&gt;"",FT!E122,"")</f>
        <v>2 [48.814504]</v>
      </c>
      <c r="J122">
        <f>IF(FT!B122&lt;&gt;"",FT!C122,"")</f>
        <v>48.814500000000002</v>
      </c>
    </row>
    <row r="123" spans="1:10">
      <c r="A123" s="61">
        <f t="shared" si="10"/>
        <v>121</v>
      </c>
      <c r="B123" s="61">
        <f t="shared" si="8"/>
        <v>2.3349298823529412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3.2292800000000002</v>
      </c>
      <c r="G123" s="61">
        <f>IF(FT!B123&lt;&gt;"",FT!B123*100,"")</f>
        <v>41.499900000000004</v>
      </c>
      <c r="H123" s="61">
        <f t="shared" si="9"/>
        <v>1</v>
      </c>
      <c r="I123" t="str">
        <f>IF(FT!B123&lt;&gt;"",FT!E123,"")</f>
        <v>2 [49.221656]</v>
      </c>
      <c r="J123">
        <f>IF(FT!B123&lt;&gt;"",FT!C123,"")</f>
        <v>49.221699999999998</v>
      </c>
    </row>
    <row r="124" spans="1:10">
      <c r="A124" s="61">
        <f t="shared" si="10"/>
        <v>122</v>
      </c>
      <c r="B124" s="61">
        <f t="shared" si="8"/>
        <v>2.3542268235294119</v>
      </c>
      <c r="C124" s="61">
        <f>FH!A124*1</f>
        <v>74106</v>
      </c>
      <c r="D124" s="61">
        <f>FH!B124*1</f>
        <v>74106</v>
      </c>
      <c r="E124">
        <f t="shared" si="11"/>
        <v>122</v>
      </c>
      <c r="F124" s="61">
        <f>IF(FT!A124&lt;&gt;"",FT!A124*10,"")</f>
        <v>3.2189699999999997</v>
      </c>
      <c r="G124" s="61">
        <f>IF(FT!B124&lt;&gt;"",FT!B124*100,"")</f>
        <v>41.668699999999994</v>
      </c>
      <c r="H124" s="61">
        <f t="shared" si="9"/>
        <v>1</v>
      </c>
      <c r="I124" t="str">
        <f>IF(FT!B124&lt;&gt;"",FT!E124,"")</f>
        <v>2 [49.625711]</v>
      </c>
      <c r="J124">
        <f>IF(FT!B124&lt;&gt;"",FT!C124,"")</f>
        <v>49.625700000000002</v>
      </c>
    </row>
    <row r="125" spans="1:10">
      <c r="A125" s="61">
        <f t="shared" si="10"/>
        <v>123</v>
      </c>
      <c r="B125" s="61">
        <f t="shared" si="8"/>
        <v>2.3735237647058827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3.20703</v>
      </c>
      <c r="G125" s="61">
        <f>IF(FT!B125&lt;&gt;"",FT!B125*100,"")</f>
        <v>41.856700000000004</v>
      </c>
      <c r="H125" s="61">
        <f t="shared" si="9"/>
        <v>1</v>
      </c>
      <c r="I125" t="str">
        <f>IF(FT!B125&lt;&gt;"",FT!E125,"")</f>
        <v>2 [50.031403]</v>
      </c>
      <c r="J125">
        <f>IF(FT!B125&lt;&gt;"",FT!C125,"")</f>
        <v>50.031399999999998</v>
      </c>
    </row>
    <row r="126" spans="1:10">
      <c r="A126" s="61">
        <f t="shared" si="10"/>
        <v>124</v>
      </c>
      <c r="B126" s="61">
        <f t="shared" si="8"/>
        <v>2.392820705882353</v>
      </c>
      <c r="C126" s="61">
        <f>FH!A126*1</f>
        <v>59884</v>
      </c>
      <c r="D126" s="61">
        <f>FH!B126*1</f>
        <v>59884</v>
      </c>
      <c r="E126">
        <f t="shared" si="11"/>
        <v>124</v>
      </c>
      <c r="F126" s="61">
        <f>IF(FT!A126&lt;&gt;"",FT!A126*10,"")</f>
        <v>3.2037399999999998</v>
      </c>
      <c r="G126" s="61">
        <f>IF(FT!B126&lt;&gt;"",FT!B126*100,"")</f>
        <v>41.963000000000001</v>
      </c>
      <c r="H126" s="61">
        <f t="shared" si="9"/>
        <v>1</v>
      </c>
      <c r="I126" t="str">
        <f>IF(FT!B126&lt;&gt;"",FT!E126,"")</f>
        <v>2 [50.433034]</v>
      </c>
      <c r="J126">
        <f>IF(FT!B126&lt;&gt;"",FT!C126,"")</f>
        <v>50.433</v>
      </c>
    </row>
    <row r="127" spans="1:10">
      <c r="A127" s="61">
        <f t="shared" si="10"/>
        <v>125</v>
      </c>
      <c r="B127" s="61">
        <f t="shared" si="8"/>
        <v>2.4121176470588237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3.1974200000000002</v>
      </c>
      <c r="G127" s="61">
        <f>IF(FT!B127&lt;&gt;"",FT!B127*100,"")</f>
        <v>42.090299999999999</v>
      </c>
      <c r="H127" s="61">
        <f t="shared" si="9"/>
        <v>1</v>
      </c>
      <c r="I127" t="str">
        <f>IF(FT!B127&lt;&gt;"",FT!E127,"")</f>
        <v>2 [50.840952]</v>
      </c>
      <c r="J127">
        <f>IF(FT!B127&lt;&gt;"",FT!C127,"")</f>
        <v>50.841000000000001</v>
      </c>
    </row>
    <row r="128" spans="1:10">
      <c r="A128" s="61">
        <f t="shared" si="10"/>
        <v>126</v>
      </c>
      <c r="B128" s="61">
        <f t="shared" si="8"/>
        <v>2.4314145882352944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3.1886299999999999</v>
      </c>
      <c r="G128" s="61">
        <f>IF(FT!B128&lt;&gt;"",FT!B128*100,"")</f>
        <v>42.2408</v>
      </c>
      <c r="H128" s="61">
        <f t="shared" si="9"/>
        <v>1</v>
      </c>
      <c r="I128" t="str">
        <f>IF(FT!B128&lt;&gt;"",FT!E128,"")</f>
        <v>2 [51.250918]</v>
      </c>
      <c r="J128">
        <f>IF(FT!B128&lt;&gt;"",FT!C128,"")</f>
        <v>51.250900000000001</v>
      </c>
    </row>
    <row r="129" spans="1:10">
      <c r="A129" s="61">
        <f t="shared" si="10"/>
        <v>127</v>
      </c>
      <c r="B129" s="61">
        <f t="shared" si="8"/>
        <v>2.4507115294117647</v>
      </c>
      <c r="C129" s="61">
        <f>FH!A129*1</f>
        <v>58020</v>
      </c>
      <c r="D129" s="61">
        <f>FH!B129*1</f>
        <v>58020</v>
      </c>
      <c r="E129">
        <f t="shared" si="11"/>
        <v>127</v>
      </c>
      <c r="F129" s="61">
        <f>IF(FT!A129&lt;&gt;"",FT!A129*10,"")</f>
        <v>3.1778599999999999</v>
      </c>
      <c r="G129" s="61">
        <f>IF(FT!B129&lt;&gt;"",FT!B129*100,"")</f>
        <v>42.495699999999999</v>
      </c>
      <c r="H129" s="61">
        <f t="shared" si="9"/>
        <v>1</v>
      </c>
      <c r="I129" t="str">
        <f>IF(FT!B129&lt;&gt;"",FT!E129,"")</f>
        <v>2 [51.654798]</v>
      </c>
      <c r="J129">
        <f>IF(FT!B129&lt;&gt;"",FT!C129,"")</f>
        <v>51.654800000000002</v>
      </c>
    </row>
    <row r="130" spans="1:10">
      <c r="A130" s="61">
        <f t="shared" si="10"/>
        <v>128</v>
      </c>
      <c r="B130" s="61">
        <f t="shared" si="8"/>
        <v>2.4700084705882355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3.1655800000000003</v>
      </c>
      <c r="G130" s="61">
        <f>IF(FT!B130&lt;&gt;"",FT!B130*100,"")</f>
        <v>42.770899999999997</v>
      </c>
      <c r="H130" s="61">
        <f t="shared" si="9"/>
        <v>1</v>
      </c>
      <c r="I130" t="str">
        <f>IF(FT!B130&lt;&gt;"",FT!E130,"")</f>
        <v>2 [52.062921]</v>
      </c>
      <c r="J130">
        <f>IF(FT!B130&lt;&gt;"",FT!C130,"")</f>
        <v>52.062899999999999</v>
      </c>
    </row>
    <row r="131" spans="1:10">
      <c r="A131" s="61">
        <f t="shared" si="10"/>
        <v>129</v>
      </c>
      <c r="B131" s="61">
        <f t="shared" ref="B131:B194" si="12">A131/255*$L$2</f>
        <v>2.4893054117647058</v>
      </c>
      <c r="C131" s="61">
        <f>FH!A131*1</f>
        <v>53579</v>
      </c>
      <c r="D131" s="61">
        <f>FH!B131*1</f>
        <v>53579</v>
      </c>
      <c r="E131">
        <f t="shared" si="11"/>
        <v>129</v>
      </c>
      <c r="F131" s="61">
        <f>IF(FT!A131&lt;&gt;"",FT!A131*10,"")</f>
        <v>3.15286</v>
      </c>
      <c r="G131" s="61">
        <f>IF(FT!B131&lt;&gt;"",FT!B131*100,"")</f>
        <v>43.041699999999999</v>
      </c>
      <c r="H131" s="61">
        <f t="shared" ref="H131:H194" si="13">(IF(F131&lt;&gt;"",1,""))</f>
        <v>1</v>
      </c>
      <c r="I131" t="str">
        <f>IF(FT!B131&lt;&gt;"",FT!E131,"")</f>
        <v>2 [52.468635]</v>
      </c>
      <c r="J131">
        <f>IF(FT!B131&lt;&gt;"",FT!C131,"")</f>
        <v>52.468600000000002</v>
      </c>
    </row>
    <row r="132" spans="1:10">
      <c r="A132" s="61">
        <f t="shared" ref="A132:A195" si="14">A131+1</f>
        <v>130</v>
      </c>
      <c r="B132" s="61">
        <f t="shared" si="12"/>
        <v>2.5086023529411765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3.1344699999999999</v>
      </c>
      <c r="G132" s="61">
        <f>IF(FT!B132&lt;&gt;"",FT!B132*100,"")</f>
        <v>43.467599999999997</v>
      </c>
      <c r="H132" s="61">
        <f t="shared" si="13"/>
        <v>1</v>
      </c>
      <c r="I132" t="str">
        <f>IF(FT!B132&lt;&gt;"",FT!E132,"")</f>
        <v>2 [52.872484]</v>
      </c>
      <c r="J132">
        <f>IF(FT!B132&lt;&gt;"",FT!C132,"")</f>
        <v>52.872500000000002</v>
      </c>
    </row>
    <row r="133" spans="1:10">
      <c r="A133" s="61">
        <f t="shared" si="14"/>
        <v>131</v>
      </c>
      <c r="B133" s="61">
        <f t="shared" si="12"/>
        <v>2.5278992941176468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3.1119699999999999</v>
      </c>
      <c r="G133" s="61">
        <f>IF(FT!B133&lt;&gt;"",FT!B133*100,"")</f>
        <v>44.0366</v>
      </c>
      <c r="H133" s="61">
        <f t="shared" si="13"/>
        <v>1</v>
      </c>
      <c r="I133" t="str">
        <f>IF(FT!B133&lt;&gt;"",FT!E133,"")</f>
        <v>2 [53.284434]</v>
      </c>
      <c r="J133">
        <f>IF(FT!B133&lt;&gt;"",FT!C133,"")</f>
        <v>53.284399999999998</v>
      </c>
    </row>
    <row r="134" spans="1:10">
      <c r="A134" s="61">
        <f t="shared" si="14"/>
        <v>132</v>
      </c>
      <c r="B134" s="61">
        <f t="shared" si="12"/>
        <v>2.547196235294118</v>
      </c>
      <c r="C134" s="61">
        <f>FH!A134*1</f>
        <v>43864</v>
      </c>
      <c r="D134" s="61">
        <f>FH!B134*1</f>
        <v>43864</v>
      </c>
      <c r="E134">
        <f t="shared" si="15"/>
        <v>132</v>
      </c>
      <c r="F134" s="61">
        <f>IF(FT!A134&lt;&gt;"",FT!A134*10,"")</f>
        <v>3.0908200000000003</v>
      </c>
      <c r="G134" s="61">
        <f>IF(FT!B134&lt;&gt;"",FT!B134*100,"")</f>
        <v>44.527999999999999</v>
      </c>
      <c r="H134" s="61">
        <f t="shared" si="13"/>
        <v>1</v>
      </c>
      <c r="I134" t="str">
        <f>IF(FT!B134&lt;&gt;"",FT!E134,"")</f>
        <v>2 [53.685489]</v>
      </c>
      <c r="J134">
        <f>IF(FT!B134&lt;&gt;"",FT!C134,"")</f>
        <v>53.685499999999998</v>
      </c>
    </row>
    <row r="135" spans="1:10">
      <c r="A135" s="61">
        <f t="shared" si="14"/>
        <v>133</v>
      </c>
      <c r="B135" s="61">
        <f t="shared" si="12"/>
        <v>2.5664931764705887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3.0707</v>
      </c>
      <c r="G135" s="61">
        <f>IF(FT!B135&lt;&gt;"",FT!B135*100,"")</f>
        <v>44.996199999999995</v>
      </c>
      <c r="H135" s="61">
        <f t="shared" si="13"/>
        <v>1</v>
      </c>
      <c r="I135" t="str">
        <f>IF(FT!B135&lt;&gt;"",FT!E135,"")</f>
        <v>2 [54.091678]</v>
      </c>
      <c r="J135">
        <f>IF(FT!B135&lt;&gt;"",FT!C135,"")</f>
        <v>54.091700000000003</v>
      </c>
    </row>
    <row r="136" spans="1:10">
      <c r="A136" s="61">
        <f t="shared" si="14"/>
        <v>134</v>
      </c>
      <c r="B136" s="61">
        <f t="shared" si="12"/>
        <v>2.585790117647059</v>
      </c>
      <c r="C136" s="61">
        <f>FH!A136*1</f>
        <v>41574</v>
      </c>
      <c r="D136" s="61">
        <f>FH!B136*1</f>
        <v>41574</v>
      </c>
      <c r="E136">
        <f t="shared" si="15"/>
        <v>134</v>
      </c>
      <c r="F136" s="61">
        <f>IF(FT!A136&lt;&gt;"",FT!A136*10,"")</f>
        <v>3.0496499999999997</v>
      </c>
      <c r="G136" s="61">
        <f>IF(FT!B136&lt;&gt;"",FT!B136*100,"")</f>
        <v>45.438600000000001</v>
      </c>
      <c r="H136" s="61">
        <f t="shared" si="13"/>
        <v>1</v>
      </c>
      <c r="I136" t="str">
        <f>IF(FT!B136&lt;&gt;"",FT!E136,"")</f>
        <v>2 [54.500183]</v>
      </c>
      <c r="J136">
        <f>IF(FT!B136&lt;&gt;"",FT!C136,"")</f>
        <v>54.5002</v>
      </c>
    </row>
    <row r="137" spans="1:10">
      <c r="A137" s="61">
        <f t="shared" si="14"/>
        <v>135</v>
      </c>
      <c r="B137" s="61">
        <f t="shared" si="12"/>
        <v>2.6050870588235298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3.0274000000000001</v>
      </c>
      <c r="G137" s="61">
        <f>IF(FT!B137&lt;&gt;"",FT!B137*100,"")</f>
        <v>45.927599999999998</v>
      </c>
      <c r="H137" s="61">
        <f t="shared" si="13"/>
        <v>1</v>
      </c>
      <c r="I137" t="str">
        <f>IF(FT!B137&lt;&gt;"",FT!E137,"")</f>
        <v>2 [54.907212]</v>
      </c>
      <c r="J137">
        <f>IF(FT!B137&lt;&gt;"",FT!C137,"")</f>
        <v>54.907200000000003</v>
      </c>
    </row>
    <row r="138" spans="1:10">
      <c r="A138" s="61">
        <f t="shared" si="14"/>
        <v>136</v>
      </c>
      <c r="B138" s="61">
        <f t="shared" si="12"/>
        <v>2.6243840000000001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3.0043899999999999</v>
      </c>
      <c r="G138" s="61">
        <f>IF(FT!B138&lt;&gt;"",FT!B138*100,"")</f>
        <v>46.417000000000002</v>
      </c>
      <c r="H138" s="61">
        <f t="shared" si="13"/>
        <v>1</v>
      </c>
      <c r="I138" t="str">
        <f>IF(FT!B138&lt;&gt;"",FT!E138,"")</f>
        <v>2 [55.312062]</v>
      </c>
      <c r="J138">
        <f>IF(FT!B138&lt;&gt;"",FT!C138,"")</f>
        <v>55.312100000000001</v>
      </c>
    </row>
    <row r="139" spans="1:10">
      <c r="A139" s="61">
        <f t="shared" si="14"/>
        <v>137</v>
      </c>
      <c r="B139" s="61">
        <f t="shared" si="12"/>
        <v>2.6436809411764708</v>
      </c>
      <c r="C139" s="61">
        <f>FH!A139*1</f>
        <v>34158</v>
      </c>
      <c r="D139" s="61">
        <f>FH!B139*1</f>
        <v>34158</v>
      </c>
      <c r="E139">
        <f t="shared" si="15"/>
        <v>137</v>
      </c>
      <c r="F139" s="61">
        <f>IF(FT!A139&lt;&gt;"",FT!A139*10,"")</f>
        <v>2.98393</v>
      </c>
      <c r="G139" s="61">
        <f>IF(FT!B139&lt;&gt;"",FT!B139*100,"")</f>
        <v>46.817799999999998</v>
      </c>
      <c r="H139" s="61">
        <f t="shared" si="13"/>
        <v>1</v>
      </c>
      <c r="I139" t="str">
        <f>IF(FT!B139&lt;&gt;"",FT!E139,"")</f>
        <v>2 [55.716876]</v>
      </c>
      <c r="J139">
        <f>IF(FT!B139&lt;&gt;"",FT!C139,"")</f>
        <v>55.716900000000003</v>
      </c>
    </row>
    <row r="140" spans="1:10">
      <c r="A140" s="61">
        <f t="shared" si="14"/>
        <v>138</v>
      </c>
      <c r="B140" s="61">
        <f t="shared" si="12"/>
        <v>2.6629778823529411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2.9678599999999999</v>
      </c>
      <c r="G140" s="61">
        <f>IF(FT!B140&lt;&gt;"",FT!B140*100,"")</f>
        <v>47.115000000000002</v>
      </c>
      <c r="H140" s="61">
        <f t="shared" si="13"/>
        <v>1</v>
      </c>
      <c r="I140" t="str">
        <f>IF(FT!B140&lt;&gt;"",FT!E140,"")</f>
        <v>2 [56.123051]</v>
      </c>
      <c r="J140">
        <f>IF(FT!B140&lt;&gt;"",FT!C140,"")</f>
        <v>56.123100000000001</v>
      </c>
    </row>
    <row r="141" spans="1:10">
      <c r="A141" s="61">
        <f t="shared" si="14"/>
        <v>139</v>
      </c>
      <c r="B141" s="61">
        <f t="shared" si="12"/>
        <v>2.6822748235294118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2.9554900000000002</v>
      </c>
      <c r="G141" s="61">
        <f>IF(FT!B141&lt;&gt;"",FT!B141*100,"")</f>
        <v>47.316800000000001</v>
      </c>
      <c r="H141" s="61">
        <f t="shared" si="13"/>
        <v>1</v>
      </c>
      <c r="I141" t="str">
        <f>IF(FT!B141&lt;&gt;"",FT!E141,"")</f>
        <v>2 [56.532760]</v>
      </c>
      <c r="J141">
        <f>IF(FT!B141&lt;&gt;"",FT!C141,"")</f>
        <v>56.532800000000002</v>
      </c>
    </row>
    <row r="142" spans="1:10">
      <c r="A142" s="61">
        <f t="shared" si="14"/>
        <v>140</v>
      </c>
      <c r="B142" s="61">
        <f t="shared" si="12"/>
        <v>2.7015717647058826</v>
      </c>
      <c r="C142" s="61">
        <f>FH!A142*1</f>
        <v>25891</v>
      </c>
      <c r="D142" s="61">
        <f>FH!B142*1</f>
        <v>25891</v>
      </c>
      <c r="E142">
        <f t="shared" si="15"/>
        <v>140</v>
      </c>
      <c r="F142" s="61">
        <f>IF(FT!A142&lt;&gt;"",FT!A142*10,"")</f>
        <v>2.94373</v>
      </c>
      <c r="G142" s="61">
        <f>IF(FT!B142&lt;&gt;"",FT!B142*100,"")</f>
        <v>47.522799999999997</v>
      </c>
      <c r="H142" s="61">
        <f t="shared" si="13"/>
        <v>1</v>
      </c>
      <c r="I142" t="str">
        <f>IF(FT!B142&lt;&gt;"",FT!E142,"")</f>
        <v>2 [56.937677]</v>
      </c>
      <c r="J142">
        <f>IF(FT!B142&lt;&gt;"",FT!C142,"")</f>
        <v>56.9377</v>
      </c>
    </row>
    <row r="143" spans="1:10">
      <c r="A143" s="61">
        <f t="shared" si="14"/>
        <v>141</v>
      </c>
      <c r="B143" s="61">
        <f t="shared" si="12"/>
        <v>2.7208687058823533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2.9356800000000001</v>
      </c>
      <c r="G143" s="61">
        <f>IF(FT!B143&lt;&gt;"",FT!B143*100,"")</f>
        <v>47.597299999999997</v>
      </c>
      <c r="H143" s="61">
        <f t="shared" si="13"/>
        <v>1</v>
      </c>
      <c r="I143" t="str">
        <f>IF(FT!B143&lt;&gt;"",FT!E143,"")</f>
        <v>2 [57.345756]</v>
      </c>
      <c r="J143">
        <f>IF(FT!B143&lt;&gt;"",FT!C143,"")</f>
        <v>57.345799999999997</v>
      </c>
    </row>
    <row r="144" spans="1:10">
      <c r="A144" s="61">
        <f t="shared" si="14"/>
        <v>142</v>
      </c>
      <c r="B144" s="61">
        <f t="shared" si="12"/>
        <v>2.7401656470588236</v>
      </c>
      <c r="C144" s="61">
        <f>FH!A144*1</f>
        <v>24785</v>
      </c>
      <c r="D144" s="61">
        <f>FH!B144*1</f>
        <v>24785</v>
      </c>
      <c r="E144">
        <f t="shared" si="15"/>
        <v>142</v>
      </c>
      <c r="F144" s="61">
        <f>IF(FT!A144&lt;&gt;"",FT!A144*10,"")</f>
        <v>2.9280900000000001</v>
      </c>
      <c r="G144" s="61">
        <f>IF(FT!B144&lt;&gt;"",FT!B144*100,"")</f>
        <v>47.534399999999998</v>
      </c>
      <c r="H144" s="61">
        <f t="shared" si="13"/>
        <v>1</v>
      </c>
      <c r="I144" t="str">
        <f>IF(FT!B144&lt;&gt;"",FT!E144,"")</f>
        <v>2 [57.747507]</v>
      </c>
      <c r="J144">
        <f>IF(FT!B144&lt;&gt;"",FT!C144,"")</f>
        <v>57.747500000000002</v>
      </c>
    </row>
    <row r="145" spans="1:10">
      <c r="A145" s="61">
        <f t="shared" si="14"/>
        <v>143</v>
      </c>
      <c r="B145" s="61">
        <f t="shared" si="12"/>
        <v>2.7594625882352943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2.9169299999999998</v>
      </c>
      <c r="G145" s="61">
        <f>IF(FT!B145&lt;&gt;"",FT!B145*100,"")</f>
        <v>47.516999999999996</v>
      </c>
      <c r="H145" s="61">
        <f t="shared" si="13"/>
        <v>1</v>
      </c>
      <c r="I145" t="str">
        <f>IF(FT!B145&lt;&gt;"",FT!E145,"")</f>
        <v>2 [58.154453]</v>
      </c>
      <c r="J145">
        <f>IF(FT!B145&lt;&gt;"",FT!C145,"")</f>
        <v>58.154499999999999</v>
      </c>
    </row>
    <row r="146" spans="1:10">
      <c r="A146" s="61">
        <f t="shared" si="14"/>
        <v>144</v>
      </c>
      <c r="B146" s="61">
        <f t="shared" si="12"/>
        <v>2.7787595294117646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2.90944</v>
      </c>
      <c r="G146" s="61">
        <f>IF(FT!B146&lt;&gt;"",FT!B146*100,"")</f>
        <v>47.4923</v>
      </c>
      <c r="H146" s="61">
        <f t="shared" si="13"/>
        <v>1</v>
      </c>
      <c r="I146" t="str">
        <f>IF(FT!B146&lt;&gt;"",FT!E146,"")</f>
        <v>2 [58.564313]</v>
      </c>
      <c r="J146">
        <f>IF(FT!B146&lt;&gt;"",FT!C146,"")</f>
        <v>58.564300000000003</v>
      </c>
    </row>
    <row r="147" spans="1:10">
      <c r="A147" s="61">
        <f t="shared" si="14"/>
        <v>145</v>
      </c>
      <c r="B147" s="61">
        <f t="shared" si="12"/>
        <v>2.7980564705882354</v>
      </c>
      <c r="C147" s="61">
        <f>FH!A147*1</f>
        <v>23052</v>
      </c>
      <c r="D147" s="61">
        <f>FH!B147*1</f>
        <v>23052</v>
      </c>
      <c r="E147">
        <f t="shared" si="15"/>
        <v>145</v>
      </c>
      <c r="F147" s="61">
        <f>IF(FT!A147&lt;&gt;"",FT!A147*10,"")</f>
        <v>2.9033199999999999</v>
      </c>
      <c r="G147" s="61">
        <f>IF(FT!B147&lt;&gt;"",FT!B147*100,"")</f>
        <v>47.408799999999999</v>
      </c>
      <c r="H147" s="61">
        <f t="shared" si="13"/>
        <v>1</v>
      </c>
      <c r="I147" t="str">
        <f>IF(FT!B147&lt;&gt;"",FT!E147,"")</f>
        <v>2 [58.968273]</v>
      </c>
      <c r="J147">
        <f>IF(FT!B147&lt;&gt;"",FT!C147,"")</f>
        <v>58.968299999999999</v>
      </c>
    </row>
    <row r="148" spans="1:10">
      <c r="A148" s="61">
        <f t="shared" si="14"/>
        <v>146</v>
      </c>
      <c r="B148" s="61">
        <f t="shared" si="12"/>
        <v>2.8173534117647057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2.8873500000000001</v>
      </c>
      <c r="G148" s="61">
        <f>IF(FT!B148&lt;&gt;"",FT!B148*100,"")</f>
        <v>47.782899999999998</v>
      </c>
      <c r="H148" s="61">
        <f t="shared" si="13"/>
        <v>1</v>
      </c>
      <c r="I148" t="str">
        <f>IF(FT!B148&lt;&gt;"",FT!E148,"")</f>
        <v>2 [59.375567]</v>
      </c>
      <c r="J148">
        <f>IF(FT!B148&lt;&gt;"",FT!C148,"")</f>
        <v>59.375599999999999</v>
      </c>
    </row>
    <row r="149" spans="1:10">
      <c r="A149" s="61">
        <f t="shared" si="14"/>
        <v>147</v>
      </c>
      <c r="B149" s="61">
        <f t="shared" si="12"/>
        <v>2.8366503529411764</v>
      </c>
      <c r="C149" s="61">
        <f>FH!A149*1</f>
        <v>17594</v>
      </c>
      <c r="D149" s="61">
        <f>FH!B149*1</f>
        <v>17594</v>
      </c>
      <c r="E149">
        <f t="shared" si="15"/>
        <v>147</v>
      </c>
      <c r="F149" s="61">
        <f>IF(FT!A149&lt;&gt;"",FT!A149*10,"")</f>
        <v>2.8934100000000003</v>
      </c>
      <c r="G149" s="61">
        <f>IF(FT!B149&lt;&gt;"",FT!B149*100,"")</f>
        <v>47.750399999999999</v>
      </c>
      <c r="H149" s="61">
        <f t="shared" si="13"/>
        <v>1</v>
      </c>
      <c r="I149" t="str">
        <f>IF(FT!B149&lt;&gt;"",FT!E149,"")</f>
        <v>2 [59.783066]</v>
      </c>
      <c r="J149">
        <f>IF(FT!B149&lt;&gt;"",FT!C149,"")</f>
        <v>59.783099999999997</v>
      </c>
    </row>
    <row r="150" spans="1:10">
      <c r="A150" s="61">
        <f t="shared" si="14"/>
        <v>148</v>
      </c>
      <c r="B150" s="61">
        <f t="shared" si="12"/>
        <v>2.8559472941176476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2.8752442352941179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2.8945411764705886</v>
      </c>
      <c r="C152" s="61">
        <f>FH!A152*1</f>
        <v>15023</v>
      </c>
      <c r="D152" s="61">
        <f>FH!B152*1</f>
        <v>15023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2.9138381176470589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2.9331350588235297</v>
      </c>
      <c r="C154" s="61">
        <f>FH!A154*1</f>
        <v>13928</v>
      </c>
      <c r="D154" s="61">
        <f>FH!B154*1</f>
        <v>13928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2.9524319999999999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2.9717289411764707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2.991025882352941</v>
      </c>
      <c r="C157" s="61">
        <f>FH!A157*1</f>
        <v>8034</v>
      </c>
      <c r="D157" s="61">
        <f>FH!B157*1</f>
        <v>8034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3.0103228235294122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3.0296197647058825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3.0489167058823532</v>
      </c>
      <c r="C160" s="61">
        <f>FH!A160*1</f>
        <v>5024</v>
      </c>
      <c r="D160" s="61">
        <f>FH!B160*1</f>
        <v>5024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3.0682136470588235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3.0875105882352942</v>
      </c>
      <c r="C162" s="61">
        <f>FH!A162*1</f>
        <v>4336</v>
      </c>
      <c r="D162" s="61">
        <f>FH!B162*1</f>
        <v>4336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3.1068075294117645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3.1261044705882353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3.1454014117647056</v>
      </c>
      <c r="C165" s="61">
        <f>FH!A165*1</f>
        <v>2712</v>
      </c>
      <c r="D165" s="61">
        <f>FH!B165*1</f>
        <v>2712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3.1646983529411767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3.1839952941176475</v>
      </c>
      <c r="C167" s="61">
        <f>FH!A167*1</f>
        <v>957</v>
      </c>
      <c r="D167" s="61">
        <f>FH!B167*1</f>
        <v>957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3.2032922352941178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3.2225891764705885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3.2418861176470588</v>
      </c>
      <c r="C170" s="61">
        <f>FH!A170*1</f>
        <v>486</v>
      </c>
      <c r="D170" s="61">
        <f>FH!B170*1</f>
        <v>486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3.2611830588235295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3.2804799999999998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3.2997769411764706</v>
      </c>
      <c r="C173" s="61">
        <f>FH!A173*1</f>
        <v>254</v>
      </c>
      <c r="D173" s="61">
        <f>FH!B173*1</f>
        <v>254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3.3190738823529418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3.3383708235294121</v>
      </c>
      <c r="C175" s="61">
        <f>FH!A175*1</f>
        <v>703</v>
      </c>
      <c r="D175" s="61">
        <f>FH!B175*1</f>
        <v>703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3.3576677647058828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3.3769647058823531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3.3962616470588238</v>
      </c>
      <c r="C178" s="61">
        <f>FH!A178*1</f>
        <v>192</v>
      </c>
      <c r="D178" s="61">
        <f>FH!B178*1</f>
        <v>192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3.4155585882352941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3.4348555294117649</v>
      </c>
      <c r="C180" s="61">
        <f>FH!A180*1</f>
        <v>134</v>
      </c>
      <c r="D180" s="61">
        <f>FH!B180*1</f>
        <v>134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3.4541524705882352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3.4734494117647063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3.4927463529411766</v>
      </c>
      <c r="C183" s="61">
        <f>FH!A183*1</f>
        <v>0</v>
      </c>
      <c r="D183" s="61">
        <f>FH!B183*1</f>
        <v>0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3.5120432941176474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3.5313402352941177</v>
      </c>
      <c r="C185" s="61">
        <f>FH!A185*1</f>
        <v>0</v>
      </c>
      <c r="D185" s="61">
        <f>FH!B185*1</f>
        <v>0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3.5506371764705884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3.5699341176470587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3.5892310588235294</v>
      </c>
      <c r="C188" s="61">
        <f>FH!A188*1</f>
        <v>0</v>
      </c>
      <c r="D188" s="61">
        <f>FH!B188*1</f>
        <v>0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3.6085279999999997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3.6278249411764709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3.6471218823529417</v>
      </c>
      <c r="C191" s="61">
        <f>FH!A191*1</f>
        <v>0</v>
      </c>
      <c r="D191" s="61">
        <f>FH!B191*1</f>
        <v>0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3.666418823529412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3.6857157647058827</v>
      </c>
      <c r="C193" s="61">
        <f>FH!A193*1</f>
        <v>0</v>
      </c>
      <c r="D193" s="61">
        <f>FH!B193*1</f>
        <v>0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3.705012705882353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3.7243096470588237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3.743606588235294</v>
      </c>
      <c r="C196" s="61">
        <f>FH!A196*1</f>
        <v>0</v>
      </c>
      <c r="D196" s="61">
        <f>FH!B196*1</f>
        <v>0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3.7629035294117648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3.7822004705882355</v>
      </c>
      <c r="C198" s="61">
        <f>FH!A198*1</f>
        <v>0</v>
      </c>
      <c r="D198" s="61">
        <f>FH!B198*1</f>
        <v>0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3.8014974117647062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3.8207943529411765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3.8400912941176473</v>
      </c>
      <c r="C201" s="61">
        <f>FH!A201*1</f>
        <v>0</v>
      </c>
      <c r="D201" s="61">
        <f>FH!B201*1</f>
        <v>0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3.8593882352941176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3.8786851764705883</v>
      </c>
      <c r="C203" s="61">
        <f>FH!A203*1</f>
        <v>0</v>
      </c>
      <c r="D203" s="61">
        <f>FH!B203*1</f>
        <v>0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3.8979821176470586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3.9172790588235293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3.9365760000000005</v>
      </c>
      <c r="C206" s="61">
        <f>FH!A206*1</f>
        <v>0</v>
      </c>
      <c r="D206" s="61">
        <f>FH!B206*1</f>
        <v>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3.9558729411764708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3.9751698823529416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3.9944668235294118</v>
      </c>
      <c r="C209" s="61">
        <f>FH!A209*1</f>
        <v>0</v>
      </c>
      <c r="D209" s="61">
        <f>FH!B209*1</f>
        <v>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4.0137637647058826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4.0330607058823533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4.0523576470588232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4.0716545882352939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4.0909515294117647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4.1102484705882354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4.1295454117647061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4.1488423529411769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4.1681392941176476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4.1874362352941175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4.2067331764705882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4.2260301176470589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4.2453270588235297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4.2646240000000004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4.2839209411764712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4.303217882352941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4.3225148235294117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4.3418117647058825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4.3611087058823532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4.3804056470588231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4.3997025882352947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4.4189995294117654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4.4382964705882353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4.457593411764706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4.4768903529411768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4.4961872941176475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4.5154842352941174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4.5347811764705881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4.5540781176470588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4.5733750588235296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4.5926720000000003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4.611968941176471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4.6312658823529409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4.6505628235294116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4.6698597647058824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4.6891567058823531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4.7084536470588239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4.7277505882352946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4.7470475294117653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4.7663444705882352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4.7856414117647059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4.8049383529411767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4.8242352941176474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4.8435322352941172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4.8628291764705889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4.8821261176470587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4.9014230588235295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4.9207200000000002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36.146599999999999</v>
      </c>
      <c r="C5" s="66">
        <v>4.3622800000000002</v>
      </c>
      <c r="D5" s="66">
        <v>12.068300000000001</v>
      </c>
      <c r="E5" s="66">
        <v>20</v>
      </c>
      <c r="F5" s="66">
        <v>24.105399999999999</v>
      </c>
      <c r="G5" s="66">
        <v>50</v>
      </c>
      <c r="H5" s="66">
        <v>42.560299999999998</v>
      </c>
    </row>
    <row r="6" spans="1:8">
      <c r="A6" s="58" t="s">
        <v>303</v>
      </c>
      <c r="B6" s="66">
        <v>26.152999999999999</v>
      </c>
      <c r="C6" s="66">
        <v>3.29027</v>
      </c>
      <c r="D6" s="66">
        <v>12.5809</v>
      </c>
      <c r="E6" s="66">
        <v>20</v>
      </c>
      <c r="F6" s="66">
        <v>17.807099999999998</v>
      </c>
      <c r="G6" s="66">
        <v>40</v>
      </c>
      <c r="H6" s="66">
        <v>34.735999999999997</v>
      </c>
    </row>
    <row r="7" spans="1:8">
      <c r="A7" s="58" t="s">
        <v>304</v>
      </c>
      <c r="B7" s="66">
        <v>19.405899999999999</v>
      </c>
      <c r="C7" s="66">
        <v>9.0010600000000007</v>
      </c>
      <c r="D7" s="66">
        <v>46.383200000000002</v>
      </c>
      <c r="E7" s="66">
        <v>15</v>
      </c>
      <c r="F7" s="66">
        <v>2.37249</v>
      </c>
      <c r="G7" s="66">
        <v>40</v>
      </c>
      <c r="H7" s="66">
        <v>44.511099999999999</v>
      </c>
    </row>
    <row r="8" spans="1:8">
      <c r="A8" s="58" t="s">
        <v>305</v>
      </c>
      <c r="B8" s="66">
        <v>27.755400000000002</v>
      </c>
      <c r="C8" s="66">
        <v>3.0629</v>
      </c>
      <c r="D8" s="66">
        <v>11.035299999999999</v>
      </c>
      <c r="E8" s="66">
        <v>20</v>
      </c>
      <c r="F8" s="66">
        <v>21.6693</v>
      </c>
      <c r="G8" s="66">
        <v>50</v>
      </c>
      <c r="H8" s="66">
        <v>33.534599999999998</v>
      </c>
    </row>
    <row r="9" spans="1:8">
      <c r="A9" s="58" t="s">
        <v>306</v>
      </c>
      <c r="B9" s="66">
        <v>67.9011</v>
      </c>
      <c r="C9" s="66">
        <v>7.6253799999999998</v>
      </c>
      <c r="D9" s="66">
        <v>11.2301</v>
      </c>
      <c r="E9" s="66">
        <v>50</v>
      </c>
      <c r="F9" s="66">
        <v>42.209200000000003</v>
      </c>
      <c r="G9" s="66">
        <v>100</v>
      </c>
      <c r="H9" s="66">
        <v>82.529300000000006</v>
      </c>
    </row>
    <row r="10" spans="1:8">
      <c r="A10" s="58" t="s">
        <v>307</v>
      </c>
      <c r="B10" s="66">
        <v>81.331599999999995</v>
      </c>
      <c r="C10" s="66">
        <v>3.31223</v>
      </c>
      <c r="D10" s="66">
        <v>4.0725100000000003</v>
      </c>
      <c r="E10" s="66">
        <v>40</v>
      </c>
      <c r="F10" s="66">
        <v>68.688299999999998</v>
      </c>
      <c r="G10" s="66">
        <v>100</v>
      </c>
      <c r="H10" s="66">
        <v>85.608599999999996</v>
      </c>
    </row>
    <row r="11" spans="1:8">
      <c r="A11" s="58" t="s">
        <v>308</v>
      </c>
      <c r="B11" s="66">
        <v>19.260899999999999</v>
      </c>
      <c r="C11" s="66">
        <v>3.1722299999999999</v>
      </c>
      <c r="D11" s="66">
        <v>16.469799999999999</v>
      </c>
      <c r="E11" s="66">
        <v>10</v>
      </c>
      <c r="F11" s="66">
        <v>14.2174</v>
      </c>
      <c r="G11" s="66">
        <v>50</v>
      </c>
      <c r="H11" s="66">
        <v>27.943100000000001</v>
      </c>
    </row>
    <row r="12" spans="1:8">
      <c r="A12" s="58" t="s">
        <v>309</v>
      </c>
      <c r="B12" s="66">
        <v>74.453199999999995</v>
      </c>
      <c r="C12" s="66">
        <v>5.0210900000000001</v>
      </c>
      <c r="D12" s="66">
        <v>6.7439499999999999</v>
      </c>
      <c r="E12" s="66">
        <v>50</v>
      </c>
      <c r="F12" s="66">
        <v>58.689900000000002</v>
      </c>
      <c r="G12" s="66">
        <v>100</v>
      </c>
      <c r="H12" s="66">
        <v>83.409899999999993</v>
      </c>
    </row>
    <row r="13" spans="1:8">
      <c r="A13" s="58" t="s">
        <v>310</v>
      </c>
      <c r="B13" s="66">
        <v>20.651599999999998</v>
      </c>
      <c r="C13" s="66">
        <v>4.4656700000000003</v>
      </c>
      <c r="D13" s="66">
        <v>21.623899999999999</v>
      </c>
      <c r="E13" s="66">
        <v>10</v>
      </c>
      <c r="F13" s="66">
        <v>13.961499999999999</v>
      </c>
      <c r="G13" s="66">
        <v>25</v>
      </c>
      <c r="H13" s="66">
        <v>34.211199999999998</v>
      </c>
    </row>
    <row r="14" spans="1:8">
      <c r="A14" s="58" t="s">
        <v>311</v>
      </c>
      <c r="B14" s="66">
        <v>44.656700000000001</v>
      </c>
      <c r="C14" s="66">
        <v>18.443999999999999</v>
      </c>
      <c r="D14" s="66">
        <v>41.301699999999997</v>
      </c>
      <c r="E14" s="66">
        <v>10</v>
      </c>
      <c r="F14" s="66">
        <v>0.58793300000000004</v>
      </c>
      <c r="G14" s="66">
        <v>50</v>
      </c>
      <c r="H14" s="66">
        <v>62.183</v>
      </c>
    </row>
    <row r="15" spans="1:8">
      <c r="A15" s="58" t="s">
        <v>312</v>
      </c>
      <c r="B15" s="66">
        <v>-2.8409E-2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-2.4018600000000001E-2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18.350999999999999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0.55156700000000003</v>
      </c>
      <c r="C18" s="66">
        <v>1.02171E-2</v>
      </c>
      <c r="D18" s="66">
        <v>1.8523700000000001E-2</v>
      </c>
      <c r="E18" s="66">
        <v>0</v>
      </c>
      <c r="F18" s="66">
        <v>0.54135</v>
      </c>
      <c r="G18" s="66">
        <v>0</v>
      </c>
      <c r="H18" s="66">
        <v>0.56178399999999995</v>
      </c>
    </row>
    <row r="19" spans="1:8">
      <c r="A19" s="58" t="s">
        <v>316</v>
      </c>
      <c r="B19" s="66">
        <v>0.58682800000000002</v>
      </c>
      <c r="C19" s="66">
        <v>1.82002E-2</v>
      </c>
      <c r="D19" s="66">
        <v>3.10145E-2</v>
      </c>
      <c r="E19" s="66">
        <v>0</v>
      </c>
      <c r="F19" s="66">
        <v>0.56862699999999999</v>
      </c>
      <c r="G19" s="66">
        <v>0</v>
      </c>
      <c r="H19" s="66">
        <v>0.60502800000000001</v>
      </c>
    </row>
    <row r="20" spans="1:8">
      <c r="A20" s="58" t="s">
        <v>317</v>
      </c>
      <c r="B20" s="66">
        <v>9.8960900000000002E-4</v>
      </c>
      <c r="C20" s="66">
        <v>0.16453000000000001</v>
      </c>
      <c r="D20" s="66">
        <v>166.25800000000001</v>
      </c>
      <c r="E20" s="66">
        <v>0</v>
      </c>
      <c r="F20" s="66">
        <v>0</v>
      </c>
      <c r="G20" s="66">
        <v>0</v>
      </c>
      <c r="H20" s="66">
        <v>1.90951</v>
      </c>
    </row>
    <row r="21" spans="1:8">
      <c r="A21" s="58" t="s">
        <v>318</v>
      </c>
      <c r="B21" s="66">
        <v>0.130995</v>
      </c>
      <c r="C21" s="66">
        <v>1.13923</v>
      </c>
      <c r="D21" s="66">
        <v>8.6967599999999994</v>
      </c>
      <c r="E21" s="66">
        <v>0</v>
      </c>
      <c r="F21" s="66">
        <v>1.01767E-4</v>
      </c>
      <c r="G21" s="66">
        <v>0</v>
      </c>
      <c r="H21" s="66">
        <v>8.5533199999999994</v>
      </c>
    </row>
    <row r="22" spans="1:8">
      <c r="A22" s="58" t="s">
        <v>319</v>
      </c>
      <c r="B22" s="66">
        <v>45.842300000000002</v>
      </c>
      <c r="C22" s="66">
        <v>34.221899999999998</v>
      </c>
      <c r="D22" s="66">
        <v>0.74651400000000001</v>
      </c>
      <c r="E22" s="66">
        <v>0</v>
      </c>
      <c r="F22" s="66">
        <v>18.965699999999998</v>
      </c>
      <c r="G22" s="66">
        <v>0</v>
      </c>
      <c r="H22" s="66">
        <v>204.32300000000001</v>
      </c>
    </row>
    <row r="23" spans="1:8">
      <c r="A23" s="58" t="s">
        <v>320</v>
      </c>
      <c r="B23" s="66">
        <v>21.1523</v>
      </c>
      <c r="C23" s="66">
        <v>8.7921399999999998</v>
      </c>
      <c r="D23" s="66">
        <v>0.41565800000000003</v>
      </c>
      <c r="E23" s="66">
        <v>0</v>
      </c>
      <c r="F23" s="66">
        <v>16.381799999999998</v>
      </c>
      <c r="G23" s="66">
        <v>0</v>
      </c>
      <c r="H23" s="66">
        <v>41.452100000000002</v>
      </c>
    </row>
    <row r="24" spans="1:8">
      <c r="A24" s="58" t="s">
        <v>321</v>
      </c>
      <c r="B24" s="66">
        <v>2.3246899999999999E-3</v>
      </c>
      <c r="C24" s="66">
        <v>0.15449199999999999</v>
      </c>
      <c r="D24" s="66">
        <v>66.457099999999997</v>
      </c>
      <c r="E24" s="66">
        <v>0</v>
      </c>
      <c r="F24" s="196">
        <v>8.1798099999999994E-8</v>
      </c>
      <c r="G24" s="66">
        <v>0</v>
      </c>
      <c r="H24" s="66">
        <v>1.4888600000000001</v>
      </c>
    </row>
    <row r="25" spans="1:8">
      <c r="A25" s="58" t="s">
        <v>322</v>
      </c>
      <c r="B25" s="66">
        <v>0.16744899999999999</v>
      </c>
      <c r="C25" s="66">
        <v>0.92715700000000001</v>
      </c>
      <c r="D25" s="66">
        <v>5.5369400000000004</v>
      </c>
      <c r="E25" s="66">
        <v>0</v>
      </c>
      <c r="F25" s="66">
        <v>1.32138E-2</v>
      </c>
      <c r="G25" s="66">
        <v>0</v>
      </c>
      <c r="H25" s="66">
        <v>4.6386200000000004</v>
      </c>
    </row>
    <row r="26" spans="1:8">
      <c r="A26" s="58" t="s">
        <v>323</v>
      </c>
      <c r="B26" s="66">
        <v>2.92148E-4</v>
      </c>
      <c r="C26" s="66">
        <v>1.1195500000000001E-2</v>
      </c>
      <c r="D26" s="66">
        <v>38.321300000000001</v>
      </c>
      <c r="E26" s="66">
        <v>0</v>
      </c>
      <c r="F26" s="66">
        <v>0</v>
      </c>
      <c r="G26" s="66">
        <v>0</v>
      </c>
      <c r="H26" s="66">
        <v>0.102682</v>
      </c>
    </row>
    <row r="27" spans="1:8">
      <c r="A27" s="58" t="s">
        <v>324</v>
      </c>
      <c r="B27" s="66">
        <v>0</v>
      </c>
      <c r="C27" s="66">
        <v>1.5897999999999999E-3</v>
      </c>
      <c r="D27" s="66">
        <v>0</v>
      </c>
      <c r="E27" s="66">
        <v>0</v>
      </c>
      <c r="F27" s="66">
        <v>-1.34421E-2</v>
      </c>
      <c r="G27" s="66">
        <v>0</v>
      </c>
      <c r="H27" s="66">
        <v>1.3511E-2</v>
      </c>
    </row>
    <row r="28" spans="1:8">
      <c r="A28" s="58" t="s">
        <v>325</v>
      </c>
      <c r="B28" s="66">
        <v>1.4744500000000001E-2</v>
      </c>
      <c r="C28" s="66">
        <v>4.6280700000000001E-2</v>
      </c>
      <c r="D28" s="66">
        <v>3.1388600000000002</v>
      </c>
      <c r="E28" s="66">
        <v>0</v>
      </c>
      <c r="F28" s="196">
        <v>3.9062500000000001E-5</v>
      </c>
      <c r="G28" s="66">
        <v>0</v>
      </c>
      <c r="H28" s="66">
        <v>0.24316099999999999</v>
      </c>
    </row>
    <row r="29" spans="1:8">
      <c r="A29" s="58" t="s">
        <v>326</v>
      </c>
      <c r="B29" s="66">
        <v>69.787400000000005</v>
      </c>
      <c r="C29" s="66">
        <v>14.789899999999999</v>
      </c>
      <c r="D29" s="66">
        <v>0.21192800000000001</v>
      </c>
      <c r="E29" s="66">
        <v>0</v>
      </c>
      <c r="F29" s="66">
        <v>39.5989</v>
      </c>
      <c r="G29" s="66">
        <v>0</v>
      </c>
      <c r="H29" s="66">
        <v>113.34399999999999</v>
      </c>
    </row>
    <row r="30" spans="1:8">
      <c r="A30" s="58" t="s">
        <v>327</v>
      </c>
      <c r="B30" s="66">
        <v>22.938099999999999</v>
      </c>
      <c r="C30" s="66">
        <v>3.4070800000000001</v>
      </c>
      <c r="D30" s="66">
        <v>0.148534</v>
      </c>
      <c r="E30" s="66">
        <v>0</v>
      </c>
      <c r="F30" s="66">
        <v>19.374600000000001</v>
      </c>
      <c r="G30" s="66">
        <v>0</v>
      </c>
      <c r="H30" s="66">
        <v>31.804500000000001</v>
      </c>
    </row>
    <row r="31" spans="1:8">
      <c r="A31" s="58" t="s">
        <v>328</v>
      </c>
      <c r="B31" s="66">
        <v>162.62</v>
      </c>
      <c r="C31" s="66">
        <v>39.203800000000001</v>
      </c>
      <c r="D31" s="66">
        <v>0.24107700000000001</v>
      </c>
      <c r="E31" s="66">
        <v>0</v>
      </c>
      <c r="F31" s="66">
        <v>113.37</v>
      </c>
      <c r="G31" s="66">
        <v>0</v>
      </c>
      <c r="H31" s="66">
        <v>261.61200000000002</v>
      </c>
    </row>
    <row r="32" spans="1:8">
      <c r="A32" s="58" t="s">
        <v>329</v>
      </c>
      <c r="B32" s="66">
        <v>0.19405900000000001</v>
      </c>
      <c r="C32" s="66">
        <v>9.0010599999999996E-2</v>
      </c>
      <c r="D32" s="66">
        <v>0.46383200000000002</v>
      </c>
      <c r="E32" s="66">
        <v>0.15</v>
      </c>
      <c r="F32" s="66">
        <v>2.37249E-2</v>
      </c>
      <c r="G32" s="66">
        <v>0.4</v>
      </c>
      <c r="H32" s="66">
        <v>0.44511099999999998</v>
      </c>
    </row>
    <row r="33" spans="1:8">
      <c r="A33" s="58" t="s">
        <v>330</v>
      </c>
      <c r="B33" s="66">
        <v>0.23865</v>
      </c>
      <c r="C33" s="66">
        <v>6.1143900000000001E-2</v>
      </c>
      <c r="D33" s="66">
        <v>0.25620700000000002</v>
      </c>
      <c r="E33" s="66">
        <v>0</v>
      </c>
      <c r="F33" s="66">
        <v>0.17954300000000001</v>
      </c>
      <c r="G33" s="66">
        <v>0</v>
      </c>
      <c r="H33" s="66">
        <v>0.41798600000000002</v>
      </c>
    </row>
    <row r="34" spans="1:8">
      <c r="A34" s="58" t="s">
        <v>331</v>
      </c>
      <c r="B34" s="66">
        <v>0.20651600000000001</v>
      </c>
      <c r="C34" s="66">
        <v>4.4656700000000001E-2</v>
      </c>
      <c r="D34" s="66">
        <v>0.21623899999999999</v>
      </c>
      <c r="E34" s="66">
        <v>0.1</v>
      </c>
      <c r="F34" s="66">
        <v>0.13961499999999999</v>
      </c>
      <c r="G34" s="66">
        <v>0.25</v>
      </c>
      <c r="H34" s="66">
        <v>0.34211200000000003</v>
      </c>
    </row>
    <row r="35" spans="1:8">
      <c r="A35" s="58" t="s">
        <v>332</v>
      </c>
      <c r="B35" s="66">
        <v>8.2062399999999994E-2</v>
      </c>
      <c r="C35" s="66">
        <v>2.4761700000000001E-2</v>
      </c>
      <c r="D35" s="66">
        <v>0.30174200000000001</v>
      </c>
      <c r="E35" s="66">
        <v>0</v>
      </c>
      <c r="F35" s="66">
        <v>3.6871800000000003E-2</v>
      </c>
      <c r="G35" s="66">
        <v>0</v>
      </c>
      <c r="H35" s="66">
        <v>0.167742</v>
      </c>
    </row>
    <row r="36" spans="1:8">
      <c r="A36" s="58" t="s">
        <v>333</v>
      </c>
      <c r="B36" s="66">
        <v>0.18124699999999999</v>
      </c>
      <c r="C36" s="66">
        <v>0.10273400000000001</v>
      </c>
      <c r="D36" s="66">
        <v>0.56681499999999996</v>
      </c>
      <c r="E36" s="66">
        <v>0</v>
      </c>
      <c r="F36" s="66">
        <v>3.60358E-2</v>
      </c>
      <c r="G36" s="66">
        <v>0</v>
      </c>
      <c r="H36" s="66">
        <v>0.55259499999999995</v>
      </c>
    </row>
    <row r="37" spans="1:8">
      <c r="A37" s="58" t="s">
        <v>334</v>
      </c>
      <c r="B37" s="66">
        <v>0.44656699999999999</v>
      </c>
      <c r="C37" s="66">
        <v>0.18443999999999999</v>
      </c>
      <c r="D37" s="66">
        <v>0.41301700000000002</v>
      </c>
      <c r="E37" s="66">
        <v>0.1</v>
      </c>
      <c r="F37" s="66">
        <v>5.8793300000000003E-3</v>
      </c>
      <c r="G37" s="66">
        <v>0.5</v>
      </c>
      <c r="H37" s="66">
        <v>0.62182999999999999</v>
      </c>
    </row>
    <row r="38" spans="1:8">
      <c r="A38" s="58" t="s">
        <v>335</v>
      </c>
      <c r="B38" s="66">
        <v>-5.6249799999999999</v>
      </c>
      <c r="C38" s="66">
        <v>50.048000000000002</v>
      </c>
      <c r="D38" s="66">
        <v>-8.8974600000000006</v>
      </c>
      <c r="E38" s="66">
        <v>0</v>
      </c>
      <c r="F38" s="66">
        <v>-238.37799999999999</v>
      </c>
      <c r="G38" s="66">
        <v>0</v>
      </c>
      <c r="H38" s="66">
        <v>161.946</v>
      </c>
    </row>
    <row r="39" spans="1:8">
      <c r="A39" s="58" t="s">
        <v>336</v>
      </c>
      <c r="B39" s="66">
        <v>-3.25054</v>
      </c>
      <c r="C39" s="66">
        <v>12.695399999999999</v>
      </c>
      <c r="D39" s="66">
        <v>-3.90564</v>
      </c>
      <c r="E39" s="66">
        <v>0</v>
      </c>
      <c r="F39" s="66">
        <v>-73.350399999999993</v>
      </c>
      <c r="G39" s="66">
        <v>0</v>
      </c>
      <c r="H39" s="66">
        <v>37.585999999999999</v>
      </c>
    </row>
    <row r="40" spans="1:8">
      <c r="A40" s="58" t="s">
        <v>337</v>
      </c>
      <c r="B40" s="66">
        <v>-1.35259</v>
      </c>
      <c r="C40" s="66">
        <v>3.43866</v>
      </c>
      <c r="D40" s="66">
        <v>-2.5422799999999999</v>
      </c>
      <c r="E40" s="66">
        <v>0</v>
      </c>
      <c r="F40" s="66">
        <v>-9.8834800000000005</v>
      </c>
      <c r="G40" s="66">
        <v>0</v>
      </c>
      <c r="H40" s="66">
        <v>3.9113099999999998</v>
      </c>
    </row>
    <row r="41" spans="1:8">
      <c r="A41" s="58" t="s">
        <v>338</v>
      </c>
      <c r="B41" s="66">
        <v>-4.5347400000000003E-2</v>
      </c>
      <c r="C41" s="66">
        <v>0.27040399999999998</v>
      </c>
      <c r="D41" s="66">
        <v>-5.9629399999999997</v>
      </c>
      <c r="E41" s="66">
        <v>0</v>
      </c>
      <c r="F41" s="66">
        <v>-0.73737399999999997</v>
      </c>
      <c r="G41" s="66">
        <v>0</v>
      </c>
      <c r="H41" s="66">
        <v>1</v>
      </c>
    </row>
    <row r="42" spans="1:8">
      <c r="A42" s="58" t="s">
        <v>339</v>
      </c>
      <c r="B42" s="66">
        <v>-6.3881800000000002E-2</v>
      </c>
      <c r="C42" s="66">
        <v>0.10523200000000001</v>
      </c>
      <c r="D42" s="66">
        <v>-1.6472800000000001</v>
      </c>
      <c r="E42" s="66">
        <v>0</v>
      </c>
      <c r="F42" s="66">
        <v>-0.31469200000000003</v>
      </c>
      <c r="G42" s="66">
        <v>0</v>
      </c>
      <c r="H42" s="66">
        <v>0.25366899999999998</v>
      </c>
    </row>
    <row r="43" spans="1:8">
      <c r="A43" s="58" t="s">
        <v>340</v>
      </c>
      <c r="B43" s="66">
        <v>2.0264399999999998E-2</v>
      </c>
      <c r="C43" s="66">
        <v>7.72954E-2</v>
      </c>
      <c r="D43" s="66">
        <v>3.8143500000000001</v>
      </c>
      <c r="E43" s="66">
        <v>0</v>
      </c>
      <c r="F43" s="66">
        <v>-9.4877799999999998E-2</v>
      </c>
      <c r="G43" s="66">
        <v>0</v>
      </c>
      <c r="H43" s="66">
        <v>0.232881</v>
      </c>
    </row>
    <row r="44" spans="1:8">
      <c r="A44" s="58" t="s">
        <v>341</v>
      </c>
      <c r="B44" s="66">
        <v>-25.464400000000001</v>
      </c>
      <c r="C44" s="66">
        <v>21.6526</v>
      </c>
      <c r="D44" s="66">
        <v>-0.85030799999999995</v>
      </c>
      <c r="E44" s="66">
        <v>0</v>
      </c>
      <c r="F44" s="66">
        <v>-80.867000000000004</v>
      </c>
      <c r="G44" s="66">
        <v>0</v>
      </c>
      <c r="H44" s="66">
        <v>13.386900000000001</v>
      </c>
    </row>
    <row r="45" spans="1:8">
      <c r="A45" s="58" t="s">
        <v>342</v>
      </c>
      <c r="B45" s="66">
        <v>49.782699999999998</v>
      </c>
      <c r="C45" s="66">
        <v>6.4051499999999999</v>
      </c>
      <c r="D45" s="66">
        <v>0.128662</v>
      </c>
      <c r="E45" s="66">
        <v>0</v>
      </c>
      <c r="F45" s="66">
        <v>34.082999999999998</v>
      </c>
      <c r="G45" s="66">
        <v>0</v>
      </c>
      <c r="H45" s="66">
        <v>68.671300000000002</v>
      </c>
    </row>
    <row r="46" spans="1:8">
      <c r="A46" s="58" t="s">
        <v>343</v>
      </c>
      <c r="B46" s="66">
        <v>27.532699999999998</v>
      </c>
      <c r="C46" s="66">
        <v>3.14825</v>
      </c>
      <c r="D46" s="66">
        <v>0.114346</v>
      </c>
      <c r="E46" s="66">
        <v>0</v>
      </c>
      <c r="F46" s="66">
        <v>21.184200000000001</v>
      </c>
      <c r="G46" s="66">
        <v>0</v>
      </c>
      <c r="H46" s="66">
        <v>33.696899999999999</v>
      </c>
    </row>
    <row r="47" spans="1:8">
      <c r="A47" s="58" t="s">
        <v>344</v>
      </c>
      <c r="B47" s="66">
        <v>1.01275</v>
      </c>
      <c r="C47" s="66">
        <v>0.72639100000000001</v>
      </c>
      <c r="D47" s="66">
        <v>0.71724600000000005</v>
      </c>
      <c r="E47" s="66">
        <v>0</v>
      </c>
      <c r="F47" s="66">
        <v>0.18856500000000001</v>
      </c>
      <c r="G47" s="66">
        <v>0</v>
      </c>
      <c r="H47" s="66">
        <v>3.9589500000000002</v>
      </c>
    </row>
    <row r="48" spans="1:8">
      <c r="A48" s="58" t="s">
        <v>345</v>
      </c>
      <c r="B48" s="66">
        <v>0.84305699999999995</v>
      </c>
      <c r="C48" s="66">
        <v>0.15118100000000001</v>
      </c>
      <c r="D48" s="66">
        <v>0.17932500000000001</v>
      </c>
      <c r="E48" s="66">
        <v>0</v>
      </c>
      <c r="F48" s="66">
        <v>0.58099000000000001</v>
      </c>
      <c r="G48" s="66">
        <v>0</v>
      </c>
      <c r="H48" s="66">
        <v>1.29393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-6.2771000000000043</v>
      </c>
      <c r="C5" s="66">
        <f>'M2'!C5-'M1'!C5</f>
        <v>1.5724100000000001</v>
      </c>
      <c r="D5" s="66">
        <f>'M2'!D5-'M1'!D5</f>
        <v>6.5296700000000012</v>
      </c>
      <c r="E5" s="66">
        <f>'M2'!E5-'M1'!E5</f>
        <v>0</v>
      </c>
      <c r="F5" s="66">
        <f>'M2'!F5-'M1'!F5</f>
        <v>-5.1073000000000022</v>
      </c>
      <c r="G5" s="66">
        <f>'M2'!G5-'M1'!G5</f>
        <v>0</v>
      </c>
      <c r="H5" s="66">
        <f>'M2'!H5-'M1'!H5</f>
        <v>-1.4769999999999968</v>
      </c>
    </row>
    <row r="6" spans="1:8">
      <c r="A6" s="66" t="s">
        <v>244</v>
      </c>
      <c r="B6" s="66">
        <f>'M2'!B6-'M1'!B6</f>
        <v>-4.2774000000000001</v>
      </c>
      <c r="C6" s="66">
        <f>'M2'!C6-'M1'!C6</f>
        <v>-1.6279999999999999</v>
      </c>
      <c r="D6" s="66">
        <f>'M2'!D6-'M1'!D6</f>
        <v>-4.3507600000000011</v>
      </c>
      <c r="E6" s="66">
        <f>'M2'!E6-'M1'!E6</f>
        <v>0</v>
      </c>
      <c r="F6" s="66">
        <f>'M2'!F6-'M1'!F6</f>
        <v>-3.2894000000000005</v>
      </c>
      <c r="G6" s="66">
        <f>'M2'!G6-'M1'!G6</f>
        <v>0</v>
      </c>
      <c r="H6" s="66">
        <f>'M2'!H6-'M1'!H6</f>
        <v>-5.4127999999999972</v>
      </c>
    </row>
    <row r="7" spans="1:8">
      <c r="A7" s="66" t="s">
        <v>245</v>
      </c>
      <c r="B7" s="66">
        <f>'M2'!B7-'M1'!B7</f>
        <v>-5.622399999999999</v>
      </c>
      <c r="C7" s="66">
        <f>'M2'!C7-'M1'!C7</f>
        <v>1.5259100000000014</v>
      </c>
      <c r="D7" s="66">
        <f>'M2'!D7-'M1'!D7</f>
        <v>19.508099999999999</v>
      </c>
      <c r="E7" s="66">
        <f>'M2'!E7-'M1'!E7</f>
        <v>0</v>
      </c>
      <c r="F7" s="66">
        <f>'M2'!F7-'M1'!F7</f>
        <v>-0.56443999999999983</v>
      </c>
      <c r="G7" s="66">
        <f>'M2'!G7-'M1'!G7</f>
        <v>0</v>
      </c>
      <c r="H7" s="66">
        <f>'M2'!H7-'M1'!H7</f>
        <v>1.707099999999997</v>
      </c>
    </row>
    <row r="8" spans="1:8">
      <c r="A8" s="66" t="s">
        <v>246</v>
      </c>
      <c r="B8" s="66">
        <f>'M2'!B8-'M1'!B8</f>
        <v>-4.6511999999999993</v>
      </c>
      <c r="C8" s="66">
        <f>'M2'!C8-'M1'!C8</f>
        <v>0.86160999999999976</v>
      </c>
      <c r="D8" s="66">
        <f>'M2'!D8-'M1'!D8</f>
        <v>4.7637199999999993</v>
      </c>
      <c r="E8" s="66">
        <f>'M2'!E8-'M1'!E8</f>
        <v>0</v>
      </c>
      <c r="F8" s="66">
        <f>'M2'!F8-'M1'!F8</f>
        <v>-1.7806999999999995</v>
      </c>
      <c r="G8" s="66">
        <f>'M2'!G8-'M1'!G8</f>
        <v>0</v>
      </c>
      <c r="H8" s="66">
        <f>'M2'!H8-'M1'!H8</f>
        <v>1.2125999999999948</v>
      </c>
    </row>
    <row r="9" spans="1:8">
      <c r="A9" s="66" t="s">
        <v>247</v>
      </c>
      <c r="B9" s="66">
        <f>'M2'!B9-'M1'!B9</f>
        <v>2.0148000000000081</v>
      </c>
      <c r="C9" s="66">
        <f>'M2'!C9-'M1'!C9</f>
        <v>-2.7280099999999994</v>
      </c>
      <c r="D9" s="66">
        <f>'M2'!D9-'M1'!D9</f>
        <v>-4.319700000000001</v>
      </c>
      <c r="E9" s="66">
        <f>'M2'!E9-'M1'!E9</f>
        <v>0</v>
      </c>
      <c r="F9" s="66">
        <f>'M2'!F9-'M1'!F9</f>
        <v>15.2072</v>
      </c>
      <c r="G9" s="66">
        <f>'M2'!G9-'M1'!G9</f>
        <v>0</v>
      </c>
      <c r="H9" s="66">
        <f>'M2'!H9-'M1'!H9</f>
        <v>5.9668000000000063</v>
      </c>
    </row>
    <row r="10" spans="1:8">
      <c r="A10" s="66" t="s">
        <v>248</v>
      </c>
      <c r="B10" s="66">
        <f>'M2'!B10-'M1'!B10</f>
        <v>2.7039000000000044</v>
      </c>
      <c r="C10" s="66">
        <f>'M2'!C10-'M1'!C10</f>
        <v>-1.3014700000000001</v>
      </c>
      <c r="D10" s="66">
        <f>'M2'!D10-'M1'!D10</f>
        <v>-1.7074700000000003</v>
      </c>
      <c r="E10" s="66">
        <f>'M2'!E10-'M1'!E10</f>
        <v>0</v>
      </c>
      <c r="F10" s="66">
        <f>'M2'!F10-'M1'!F10</f>
        <v>8.8495999999999952</v>
      </c>
      <c r="G10" s="66">
        <f>'M2'!G10-'M1'!G10</f>
        <v>0</v>
      </c>
      <c r="H10" s="66">
        <f>'M2'!H10-'M1'!H10</f>
        <v>0.45009999999999195</v>
      </c>
    </row>
    <row r="11" spans="1:8">
      <c r="A11" s="66" t="s">
        <v>249</v>
      </c>
      <c r="B11" s="66">
        <f>'M2'!B11-'M1'!B11</f>
        <v>-4.1768000000000001</v>
      </c>
      <c r="C11" s="66">
        <f>'M2'!C11-'M1'!C11</f>
        <v>-0.57664999999999988</v>
      </c>
      <c r="D11" s="66">
        <f>'M2'!D11-'M1'!D11</f>
        <v>-1.8599999999999284E-2</v>
      </c>
      <c r="E11" s="66">
        <f>'M2'!E11-'M1'!E11</f>
        <v>0</v>
      </c>
      <c r="F11" s="66">
        <f>'M2'!F11-'M1'!F11</f>
        <v>-1.3699000000000012</v>
      </c>
      <c r="G11" s="66">
        <f>'M2'!G11-'M1'!G11</f>
        <v>0</v>
      </c>
      <c r="H11" s="66">
        <f>'M2'!H11-'M1'!H11</f>
        <v>-5.6332000000000022</v>
      </c>
    </row>
    <row r="12" spans="1:8">
      <c r="A12" s="66" t="s">
        <v>250</v>
      </c>
      <c r="B12" s="66">
        <f>'M2'!B12-'M1'!B12</f>
        <v>1.7947999999999951</v>
      </c>
      <c r="C12" s="66">
        <f>'M2'!C12-'M1'!C12</f>
        <v>-2.0627699999999995</v>
      </c>
      <c r="D12" s="66">
        <f>'M2'!D12-'M1'!D12</f>
        <v>-2.9132299999999995</v>
      </c>
      <c r="E12" s="66">
        <f>'M2'!E12-'M1'!E12</f>
        <v>0</v>
      </c>
      <c r="F12" s="66">
        <f>'M2'!F12-'M1'!F12</f>
        <v>10.557799999999993</v>
      </c>
      <c r="G12" s="66">
        <f>'M2'!G12-'M1'!G12</f>
        <v>0</v>
      </c>
      <c r="H12" s="66">
        <f>'M2'!H12-'M1'!H12</f>
        <v>4.4898999999999916</v>
      </c>
    </row>
    <row r="13" spans="1:8">
      <c r="A13" s="66" t="s">
        <v>251</v>
      </c>
      <c r="B13" s="66">
        <f>'M2'!B13-'M1'!B13</f>
        <v>-2.6634000000000029</v>
      </c>
      <c r="C13" s="66">
        <f>'M2'!C13-'M1'!C13</f>
        <v>-1.0154399999999999</v>
      </c>
      <c r="D13" s="66">
        <f>'M2'!D13-'M1'!D13</f>
        <v>-2.2838999999999992</v>
      </c>
      <c r="E13" s="66">
        <f>'M2'!E13-'M1'!E13</f>
        <v>0</v>
      </c>
      <c r="F13" s="66">
        <f>'M2'!F13-'M1'!F13</f>
        <v>-1.0914000000000001</v>
      </c>
      <c r="G13" s="66">
        <f>'M2'!G13-'M1'!G13</f>
        <v>0</v>
      </c>
      <c r="H13" s="66">
        <f>'M2'!H13-'M1'!H13</f>
        <v>-1.3256999999999977</v>
      </c>
    </row>
    <row r="14" spans="1:8">
      <c r="A14" s="66" t="s">
        <v>252</v>
      </c>
      <c r="B14" s="66">
        <f>'M2'!B14-'M1'!B14</f>
        <v>-10.154399999999995</v>
      </c>
      <c r="C14" s="66">
        <f>'M2'!C14-'M1'!C14</f>
        <v>-3.0156000000000027</v>
      </c>
      <c r="D14" s="66">
        <f>'M2'!D14-'M1'!D14</f>
        <v>3.3840999999999966</v>
      </c>
      <c r="E14" s="66">
        <f>'M2'!E14-'M1'!E14</f>
        <v>0</v>
      </c>
      <c r="F14" s="66">
        <f>'M2'!F14-'M1'!F14</f>
        <v>2.252707</v>
      </c>
      <c r="G14" s="66">
        <f>'M2'!G14-'M1'!G14</f>
        <v>0</v>
      </c>
      <c r="H14" s="66">
        <f>'M2'!H14-'M1'!H14</f>
        <v>-14.8063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-5.423699999999998E-2</v>
      </c>
      <c r="C18" s="66">
        <f>'M2'!C18-'M1'!C18</f>
        <v>1.02171E-2</v>
      </c>
      <c r="D18" s="66">
        <f>'M2'!D18-'M1'!D18</f>
        <v>1.8523700000000001E-2</v>
      </c>
      <c r="E18" s="66">
        <f>'M2'!E18-'M1'!E18</f>
        <v>0</v>
      </c>
      <c r="F18" s="66">
        <f>'M2'!F18-'M1'!F18</f>
        <v>0.54135</v>
      </c>
      <c r="G18" s="66">
        <f>'M2'!G18-'M1'!G18</f>
        <v>0</v>
      </c>
      <c r="H18" s="66">
        <f>'M2'!H18-'M1'!H18</f>
        <v>0.56178399999999995</v>
      </c>
    </row>
    <row r="19" spans="1:8">
      <c r="A19" s="66" t="s">
        <v>256</v>
      </c>
      <c r="B19" s="66">
        <f>'M2'!B19-'M1'!B19</f>
        <v>-5.5169000000000024E-2</v>
      </c>
      <c r="C19" s="66">
        <f>'M2'!C19-'M1'!C19</f>
        <v>1.82002E-2</v>
      </c>
      <c r="D19" s="66">
        <f>'M2'!D19-'M1'!D19</f>
        <v>3.10145E-2</v>
      </c>
      <c r="E19" s="66">
        <f>'M2'!E19-'M1'!E19</f>
        <v>0</v>
      </c>
      <c r="F19" s="66">
        <f>'M2'!F19-'M1'!F19</f>
        <v>0.56862699999999999</v>
      </c>
      <c r="G19" s="66">
        <f>'M2'!G19-'M1'!G19</f>
        <v>0</v>
      </c>
      <c r="H19" s="66">
        <f>'M2'!H19-'M1'!H19</f>
        <v>0.60502800000000001</v>
      </c>
    </row>
    <row r="20" spans="1:8">
      <c r="A20" s="66" t="s">
        <v>63</v>
      </c>
      <c r="B20" s="66">
        <f>'M2'!B20-'M1'!B20</f>
        <v>1.8407999999999999E-4</v>
      </c>
      <c r="C20" s="66">
        <f>'M2'!C20-'M1'!C20</f>
        <v>-0.1754452</v>
      </c>
      <c r="D20" s="66">
        <f>'M2'!D20-'M1'!D20</f>
        <v>-200.42310000000001</v>
      </c>
      <c r="E20" s="66">
        <f>'M2'!E20-'M1'!E20</f>
        <v>0</v>
      </c>
      <c r="F20" s="66">
        <f>'M2'!F20-'M1'!F20</f>
        <v>0</v>
      </c>
      <c r="G20" s="66">
        <f>'M2'!G20-'M1'!G20</f>
        <v>0</v>
      </c>
      <c r="H20" s="66">
        <f>'M2'!H20-'M1'!H20</f>
        <v>-1.584192</v>
      </c>
    </row>
    <row r="21" spans="1:8">
      <c r="A21" s="66" t="s">
        <v>64</v>
      </c>
      <c r="B21" s="66">
        <f>'M2'!B21-'M1'!B21</f>
        <v>5.2669999999999995E-2</v>
      </c>
      <c r="C21" s="66">
        <f>'M2'!C21-'M1'!C21</f>
        <v>-0.71974999999999989</v>
      </c>
      <c r="D21" s="66">
        <f>'M2'!D21-'M1'!D21</f>
        <v>-8.8968500000000006</v>
      </c>
      <c r="E21" s="66">
        <f>'M2'!E21-'M1'!E21</f>
        <v>0</v>
      </c>
      <c r="F21" s="66">
        <f>'M2'!F21-'M1'!F21</f>
        <v>-3.1798999999999998E-5</v>
      </c>
      <c r="G21" s="66">
        <f>'M2'!G21-'M1'!G21</f>
        <v>0</v>
      </c>
      <c r="H21" s="66">
        <f>'M2'!H21-'M1'!H21</f>
        <v>-4.95688</v>
      </c>
    </row>
    <row r="22" spans="1:8">
      <c r="A22" s="66" t="s">
        <v>65</v>
      </c>
      <c r="B22" s="66">
        <f>'M2'!B22-'M1'!B22</f>
        <v>-2.1955999999999989</v>
      </c>
      <c r="C22" s="66">
        <f>'M2'!C22-'M1'!C22</f>
        <v>-20.574700000000004</v>
      </c>
      <c r="D22" s="66">
        <f>'M2'!D22-'M1'!D22</f>
        <v>-0.42077599999999993</v>
      </c>
      <c r="E22" s="66">
        <f>'M2'!E22-'M1'!E22</f>
        <v>0</v>
      </c>
      <c r="F22" s="66">
        <f>'M2'!F22-'M1'!F22</f>
        <v>5.3266000000000027</v>
      </c>
      <c r="G22" s="66">
        <f>'M2'!G22-'M1'!G22</f>
        <v>0</v>
      </c>
      <c r="H22" s="66">
        <f>'M2'!H22-'M1'!H22</f>
        <v>-79.359000000000009</v>
      </c>
    </row>
    <row r="23" spans="1:8">
      <c r="A23" s="66" t="s">
        <v>66</v>
      </c>
      <c r="B23" s="66">
        <f>'M2'!B23-'M1'!B23</f>
        <v>-19.760899999999996</v>
      </c>
      <c r="C23" s="66">
        <f>'M2'!C23-'M1'!C23</f>
        <v>-5.6070500000000001</v>
      </c>
      <c r="D23" s="66">
        <f>'M2'!D23-'M1'!D23</f>
        <v>-9.0198000000000014E-2</v>
      </c>
      <c r="E23" s="66">
        <f>'M2'!E23-'M1'!E23</f>
        <v>0</v>
      </c>
      <c r="F23" s="66">
        <f>'M2'!F23-'M1'!F23</f>
        <v>-4.1763000000000012</v>
      </c>
      <c r="G23" s="66">
        <f>'M2'!G23-'M1'!G23</f>
        <v>0</v>
      </c>
      <c r="H23" s="66">
        <f>'M2'!H23-'M1'!H23</f>
        <v>-17.844000000000001</v>
      </c>
    </row>
    <row r="24" spans="1:8">
      <c r="A24" s="66" t="s">
        <v>67</v>
      </c>
      <c r="B24" s="66">
        <f>'M2'!B24-'M1'!B24</f>
        <v>-5.8675999999999997E-4</v>
      </c>
      <c r="C24" s="66">
        <f>'M2'!C24-'M1'!C24</f>
        <v>-0.16476959999999999</v>
      </c>
      <c r="D24" s="66">
        <f>'M2'!D24-'M1'!D24</f>
        <v>-58.873799999999989</v>
      </c>
      <c r="E24" s="66">
        <f>'M2'!E24-'M1'!E24</f>
        <v>0</v>
      </c>
      <c r="F24" s="66">
        <f>'M2'!F24-'M1'!F24</f>
        <v>8.4158919E-6</v>
      </c>
      <c r="G24" s="66">
        <f>'M2'!G24-'M1'!G24</f>
        <v>0</v>
      </c>
      <c r="H24" s="66">
        <f>'M2'!H24-'M1'!H24</f>
        <v>-1.211681</v>
      </c>
    </row>
    <row r="25" spans="1:8">
      <c r="A25" s="66" t="s">
        <v>68</v>
      </c>
      <c r="B25" s="66">
        <f>'M2'!B25-'M1'!B25</f>
        <v>2.4325999999999987E-2</v>
      </c>
      <c r="C25" s="66">
        <f>'M2'!C25-'M1'!C25</f>
        <v>-0.63021899999999997</v>
      </c>
      <c r="D25" s="66">
        <f>'M2'!D25-'M1'!D25</f>
        <v>-4.2759400000000003</v>
      </c>
      <c r="E25" s="66">
        <f>'M2'!E25-'M1'!E25</f>
        <v>0</v>
      </c>
      <c r="F25" s="66">
        <f>'M2'!F25-'M1'!F25</f>
        <v>5.181000000000005E-4</v>
      </c>
      <c r="G25" s="66">
        <f>'M2'!G25-'M1'!G25</f>
        <v>0</v>
      </c>
      <c r="H25" s="66">
        <f>'M2'!H25-'M1'!H25</f>
        <v>-2.1844400000000004</v>
      </c>
    </row>
    <row r="26" spans="1:8">
      <c r="A26" s="66" t="s">
        <v>69</v>
      </c>
      <c r="B26" s="66">
        <f>'M2'!B26-'M1'!B26</f>
        <v>7.3857999999999997E-5</v>
      </c>
      <c r="C26" s="66">
        <f>'M2'!C26-'M1'!C26</f>
        <v>-9.1428399999999993E-3</v>
      </c>
      <c r="D26" s="66">
        <f>'M2'!D26-'M1'!D26</f>
        <v>-39.964400000000005</v>
      </c>
      <c r="E26" s="66">
        <f>'M2'!E26-'M1'!E26</f>
        <v>0</v>
      </c>
      <c r="F26" s="66">
        <f>'M2'!F26-'M1'!F26</f>
        <v>0</v>
      </c>
      <c r="G26" s="66">
        <f>'M2'!G26-'M1'!G26</f>
        <v>0</v>
      </c>
      <c r="H26" s="66">
        <f>'M2'!H26-'M1'!H26</f>
        <v>-7.0279800000000003E-2</v>
      </c>
    </row>
    <row r="27" spans="1:8">
      <c r="A27" s="66" t="s">
        <v>70</v>
      </c>
      <c r="B27" s="66">
        <f>'M2'!B27-'M1'!B27</f>
        <v>0</v>
      </c>
      <c r="C27" s="66">
        <f>'M2'!C27-'M1'!C27</f>
        <v>-8.8767000000000013E-4</v>
      </c>
      <c r="D27" s="66">
        <f>'M2'!D27-'M1'!D27</f>
        <v>0</v>
      </c>
      <c r="E27" s="66">
        <f>'M2'!E27-'M1'!E27</f>
        <v>0</v>
      </c>
      <c r="F27" s="66">
        <f>'M2'!F27-'M1'!F27</f>
        <v>6.6931500000000001E-3</v>
      </c>
      <c r="G27" s="66">
        <f>'M2'!G27-'M1'!G27</f>
        <v>0</v>
      </c>
      <c r="H27" s="66">
        <f>'M2'!H27-'M1'!H27</f>
        <v>-8.0094300000000014E-3</v>
      </c>
    </row>
    <row r="28" spans="1:8">
      <c r="A28" s="66" t="s">
        <v>71</v>
      </c>
      <c r="B28" s="66">
        <f>'M2'!B28-'M1'!B28</f>
        <v>6.7007999999999981E-3</v>
      </c>
      <c r="C28" s="66">
        <f>'M2'!C28-'M1'!C28</f>
        <v>-1.44887E-2</v>
      </c>
      <c r="D28" s="66">
        <f>'M2'!D28-'M1'!D28</f>
        <v>-2.5635000000000003</v>
      </c>
      <c r="E28" s="66">
        <f>'M2'!E28-'M1'!E28</f>
        <v>0</v>
      </c>
      <c r="F28" s="66">
        <f>'M2'!F28-'M1'!F28</f>
        <v>-6.8359499999999995E-5</v>
      </c>
      <c r="G28" s="66">
        <f>'M2'!G28-'M1'!G28</f>
        <v>0</v>
      </c>
      <c r="H28" s="66">
        <f>'M2'!H28-'M1'!H28</f>
        <v>-6.0950999999999977E-2</v>
      </c>
    </row>
    <row r="29" spans="1:8">
      <c r="A29" s="66" t="s">
        <v>72</v>
      </c>
      <c r="B29" s="66">
        <f>'M2'!B29-'M1'!B29</f>
        <v>0.75690000000000168</v>
      </c>
      <c r="C29" s="66">
        <f>'M2'!C29-'M1'!C29</f>
        <v>-2.1837</v>
      </c>
      <c r="D29" s="66">
        <f>'M2'!D29-'M1'!D29</f>
        <v>-3.3501000000000003E-2</v>
      </c>
      <c r="E29" s="66">
        <f>'M2'!E29-'M1'!E29</f>
        <v>0</v>
      </c>
      <c r="F29" s="66">
        <f>'M2'!F29-'M1'!F29</f>
        <v>-5.5503</v>
      </c>
      <c r="G29" s="66">
        <f>'M2'!G29-'M1'!G29</f>
        <v>0</v>
      </c>
      <c r="H29" s="66">
        <f>'M2'!H29-'M1'!H29</f>
        <v>-3.7029999999999887</v>
      </c>
    </row>
    <row r="30" spans="1:8">
      <c r="A30" s="66" t="s">
        <v>73</v>
      </c>
      <c r="B30" s="66">
        <f>'M2'!B30-'M1'!B30</f>
        <v>-6.2560000000000002</v>
      </c>
      <c r="C30" s="66">
        <f>'M2'!C30-'M1'!C30</f>
        <v>-1.55522</v>
      </c>
      <c r="D30" s="66">
        <f>'M2'!D30-'M1'!D30</f>
        <v>-4.2116600000000004E-2</v>
      </c>
      <c r="E30" s="66">
        <f>'M2'!E30-'M1'!E30</f>
        <v>0</v>
      </c>
      <c r="F30" s="66">
        <f>'M2'!F30-'M1'!F30</f>
        <v>-2.6025999999999989</v>
      </c>
      <c r="G30" s="66">
        <f>'M2'!G30-'M1'!G30</f>
        <v>0</v>
      </c>
      <c r="H30" s="66">
        <f>'M2'!H30-'M1'!H30</f>
        <v>-6.7726000000000006</v>
      </c>
    </row>
    <row r="31" spans="1:8">
      <c r="A31" s="66" t="s">
        <v>74</v>
      </c>
      <c r="B31" s="66">
        <f>'M2'!B31-'M1'!B31</f>
        <v>-56.245000000000005</v>
      </c>
      <c r="C31" s="66">
        <f>'M2'!C31-'M1'!C31</f>
        <v>-14.204599999999999</v>
      </c>
      <c r="D31" s="66">
        <f>'M2'!D31-'M1'!D31</f>
        <v>-3.0714999999999992E-2</v>
      </c>
      <c r="E31" s="66">
        <f>'M2'!E31-'M1'!E31</f>
        <v>0</v>
      </c>
      <c r="F31" s="66">
        <f>'M2'!F31-'M1'!F31</f>
        <v>-29.850999999999999</v>
      </c>
      <c r="G31" s="66">
        <f>'M2'!G31-'M1'!G31</f>
        <v>0</v>
      </c>
      <c r="H31" s="66">
        <f>'M2'!H31-'M1'!H31</f>
        <v>-71.871000000000009</v>
      </c>
    </row>
    <row r="32" spans="1:8">
      <c r="A32" s="66" t="s">
        <v>75</v>
      </c>
      <c r="B32" s="66">
        <f>'M2'!B32-'M1'!B32</f>
        <v>-5.6223999999999996E-2</v>
      </c>
      <c r="C32" s="66">
        <f>'M2'!C32-'M1'!C32</f>
        <v>1.5259099999999998E-2</v>
      </c>
      <c r="D32" s="66">
        <f>'M2'!D32-'M1'!D32</f>
        <v>0.195081</v>
      </c>
      <c r="E32" s="66">
        <f>'M2'!E32-'M1'!E32</f>
        <v>0</v>
      </c>
      <c r="F32" s="66">
        <f>'M2'!F32-'M1'!F32</f>
        <v>-5.6444000000000008E-3</v>
      </c>
      <c r="G32" s="66">
        <f>'M2'!G32-'M1'!G32</f>
        <v>0</v>
      </c>
      <c r="H32" s="66">
        <f>'M2'!H32-'M1'!H32</f>
        <v>1.7071000000000003E-2</v>
      </c>
    </row>
    <row r="33" spans="1:8">
      <c r="A33" s="66" t="s">
        <v>76</v>
      </c>
      <c r="B33" s="66">
        <f>'M2'!B33-'M1'!B33</f>
        <v>-3.6034999999999984E-2</v>
      </c>
      <c r="C33" s="66">
        <f>'M2'!C33-'M1'!C33</f>
        <v>-5.2041000000000004E-2</v>
      </c>
      <c r="D33" s="66">
        <f>'M2'!D33-'M1'!D33</f>
        <v>-0.17740700000000001</v>
      </c>
      <c r="E33" s="66">
        <f>'M2'!E33-'M1'!E33</f>
        <v>0</v>
      </c>
      <c r="F33" s="66">
        <f>'M2'!F33-'M1'!F33</f>
        <v>-6.2279999999999835E-3</v>
      </c>
      <c r="G33" s="66">
        <f>'M2'!G33-'M1'!G33</f>
        <v>0</v>
      </c>
      <c r="H33" s="66">
        <f>'M2'!H33-'M1'!H33</f>
        <v>-9.3148000000000009E-2</v>
      </c>
    </row>
    <row r="34" spans="1:8">
      <c r="A34" s="66" t="s">
        <v>77</v>
      </c>
      <c r="B34" s="66">
        <f>'M2'!B34-'M1'!B34</f>
        <v>-2.6633999999999991E-2</v>
      </c>
      <c r="C34" s="66">
        <f>'M2'!C34-'M1'!C34</f>
        <v>-1.0154400000000001E-2</v>
      </c>
      <c r="D34" s="66">
        <f>'M2'!D34-'M1'!D34</f>
        <v>-2.2838999999999998E-2</v>
      </c>
      <c r="E34" s="66">
        <f>'M2'!E34-'M1'!E34</f>
        <v>0</v>
      </c>
      <c r="F34" s="66">
        <f>'M2'!F34-'M1'!F34</f>
        <v>-1.0914000000000007E-2</v>
      </c>
      <c r="G34" s="66">
        <f>'M2'!G34-'M1'!G34</f>
        <v>0</v>
      </c>
      <c r="H34" s="66">
        <f>'M2'!H34-'M1'!H34</f>
        <v>-1.3257000000000019E-2</v>
      </c>
    </row>
    <row r="35" spans="1:8">
      <c r="A35" s="66" t="s">
        <v>78</v>
      </c>
      <c r="B35" s="66">
        <f>'M2'!B35-'M1'!B35</f>
        <v>-3.5291000000000072E-3</v>
      </c>
      <c r="C35" s="66">
        <f>'M2'!C35-'M1'!C35</f>
        <v>1.3985000000000004E-3</v>
      </c>
      <c r="D35" s="66">
        <f>'M2'!D35-'M1'!D35</f>
        <v>3.0183999999999989E-2</v>
      </c>
      <c r="E35" s="66">
        <f>'M2'!E35-'M1'!E35</f>
        <v>0</v>
      </c>
      <c r="F35" s="66">
        <f>'M2'!F35-'M1'!F35</f>
        <v>-6.7850999999999953E-3</v>
      </c>
      <c r="G35" s="66">
        <f>'M2'!G35-'M1'!G35</f>
        <v>0</v>
      </c>
      <c r="H35" s="66">
        <f>'M2'!H35-'M1'!H35</f>
        <v>8.0700000000000216E-4</v>
      </c>
    </row>
    <row r="36" spans="1:8">
      <c r="A36" s="66" t="s">
        <v>79</v>
      </c>
      <c r="B36" s="66">
        <f>'M2'!B36-'M1'!B36</f>
        <v>-1.6202999999999995E-2</v>
      </c>
      <c r="C36" s="66">
        <f>'M2'!C36-'M1'!C36</f>
        <v>-1.0121899999999989E-2</v>
      </c>
      <c r="D36" s="66">
        <f>'M2'!D36-'M1'!D36</f>
        <v>-5.2240000000000064E-3</v>
      </c>
      <c r="E36" s="66">
        <f>'M2'!E36-'M1'!E36</f>
        <v>0</v>
      </c>
      <c r="F36" s="66">
        <f>'M2'!F36-'M1'!F36</f>
        <v>-1.8220600000000003E-2</v>
      </c>
      <c r="G36" s="66">
        <f>'M2'!G36-'M1'!G36</f>
        <v>0</v>
      </c>
      <c r="H36" s="66">
        <f>'M2'!H36-'M1'!H36</f>
        <v>-6.8199999999996042E-4</v>
      </c>
    </row>
    <row r="37" spans="1:8">
      <c r="A37" s="66" t="s">
        <v>80</v>
      </c>
      <c r="B37" s="66">
        <f>'M2'!B37-'M1'!B37</f>
        <v>-0.10154399999999997</v>
      </c>
      <c r="C37" s="66">
        <f>'M2'!C37-'M1'!C37</f>
        <v>-3.0155999999999988E-2</v>
      </c>
      <c r="D37" s="66">
        <f>'M2'!D37-'M1'!D37</f>
        <v>3.384100000000001E-2</v>
      </c>
      <c r="E37" s="66">
        <f>'M2'!E37-'M1'!E37</f>
        <v>0</v>
      </c>
      <c r="F37" s="66">
        <f>'M2'!F37-'M1'!F37</f>
        <v>2.2527069999999996E-2</v>
      </c>
      <c r="G37" s="66">
        <f>'M2'!G37-'M1'!G37</f>
        <v>0</v>
      </c>
      <c r="H37" s="66">
        <f>'M2'!H37-'M1'!H37</f>
        <v>-0.148063</v>
      </c>
    </row>
    <row r="38" spans="1:8">
      <c r="A38" s="66" t="s">
        <v>81</v>
      </c>
      <c r="B38" s="66">
        <f>'M2'!B38-'M1'!B38</f>
        <v>17.565170000000002</v>
      </c>
      <c r="C38" s="66">
        <f>'M2'!C38-'M1'!C38</f>
        <v>-14.087900000000005</v>
      </c>
      <c r="D38" s="66">
        <f>'M2'!D38-'M1'!D38</f>
        <v>18.966200000000001</v>
      </c>
      <c r="E38" s="66">
        <f>'M2'!E38-'M1'!E38</f>
        <v>0</v>
      </c>
      <c r="F38" s="66">
        <f>'M2'!F38-'M1'!F38</f>
        <v>148.85769999999997</v>
      </c>
      <c r="G38" s="66">
        <f>'M2'!G38-'M1'!G38</f>
        <v>0</v>
      </c>
      <c r="H38" s="66">
        <f>'M2'!H38-'M1'!H38</f>
        <v>-2.5560000000000116</v>
      </c>
    </row>
    <row r="39" spans="1:8">
      <c r="A39" s="66" t="s">
        <v>82</v>
      </c>
      <c r="B39" s="66">
        <f>'M2'!B39-'M1'!B39</f>
        <v>3.5054699999999999</v>
      </c>
      <c r="C39" s="66">
        <f>'M2'!C39-'M1'!C39</f>
        <v>-4.2743300000000009</v>
      </c>
      <c r="D39" s="66">
        <f>'M2'!D39-'M1'!D39</f>
        <v>-3.1042700000000001</v>
      </c>
      <c r="E39" s="66">
        <f>'M2'!E39-'M1'!E39</f>
        <v>0</v>
      </c>
      <c r="F39" s="66">
        <f>'M2'!F39-'M1'!F39</f>
        <v>59.17349999999999</v>
      </c>
      <c r="G39" s="66">
        <f>'M2'!G39-'M1'!G39</f>
        <v>0</v>
      </c>
      <c r="H39" s="66">
        <f>'M2'!H39-'M1'!H39</f>
        <v>33.136679999999998</v>
      </c>
    </row>
    <row r="40" spans="1:8">
      <c r="A40" s="66" t="s">
        <v>83</v>
      </c>
      <c r="B40" s="66">
        <f>'M2'!B40-'M1'!B40</f>
        <v>4.9800500000000003</v>
      </c>
      <c r="C40" s="66">
        <f>'M2'!C40-'M1'!C40</f>
        <v>-0.87161</v>
      </c>
      <c r="D40" s="66">
        <f>'M2'!D40-'M1'!D40</f>
        <v>-1.3935249999999999</v>
      </c>
      <c r="E40" s="66">
        <f>'M2'!E40-'M1'!E40</f>
        <v>0</v>
      </c>
      <c r="F40" s="66">
        <f>'M2'!F40-'M1'!F40</f>
        <v>6.1822500000000007</v>
      </c>
      <c r="G40" s="66">
        <f>'M2'!G40-'M1'!G40</f>
        <v>0</v>
      </c>
      <c r="H40" s="66">
        <f>'M2'!H40-'M1'!H40</f>
        <v>0.74331000000000014</v>
      </c>
    </row>
    <row r="41" spans="1:8">
      <c r="A41" s="66" t="s">
        <v>84</v>
      </c>
      <c r="B41" s="66">
        <f>'M2'!B41-'M1'!B41</f>
        <v>6.9315219999999997E-2</v>
      </c>
      <c r="C41" s="66">
        <f>'M2'!C41-'M1'!C41</f>
        <v>-1.939200000000002E-2</v>
      </c>
      <c r="D41" s="66">
        <f>'M2'!D41-'M1'!D41</f>
        <v>-35.491540000000001</v>
      </c>
      <c r="E41" s="66">
        <f>'M2'!E41-'M1'!E41</f>
        <v>0</v>
      </c>
      <c r="F41" s="66">
        <f>'M2'!F41-'M1'!F41</f>
        <v>-4.0359999999999951E-2</v>
      </c>
      <c r="G41" s="66">
        <f>'M2'!G41-'M1'!G41</f>
        <v>0</v>
      </c>
      <c r="H41" s="66">
        <f>'M2'!H41-'M1'!H41</f>
        <v>0</v>
      </c>
    </row>
    <row r="42" spans="1:8">
      <c r="A42" s="66" t="s">
        <v>85</v>
      </c>
      <c r="B42" s="66">
        <f>'M2'!B42-'M1'!B42</f>
        <v>6.4224000000000017E-3</v>
      </c>
      <c r="C42" s="66">
        <f>'M2'!C42-'M1'!C42</f>
        <v>3.38064E-2</v>
      </c>
      <c r="D42" s="66">
        <f>'M2'!D42-'M1'!D42</f>
        <v>-0.70177999999999985</v>
      </c>
      <c r="E42" s="66">
        <f>'M2'!E42-'M1'!E42</f>
        <v>0</v>
      </c>
      <c r="F42" s="66">
        <f>'M2'!F42-'M1'!F42</f>
        <v>8.176300000000003E-2</v>
      </c>
      <c r="G42" s="66">
        <f>'M2'!G42-'M1'!G42</f>
        <v>0</v>
      </c>
      <c r="H42" s="66">
        <f>'M2'!H42-'M1'!H42</f>
        <v>9.1025999999999968E-2</v>
      </c>
    </row>
    <row r="43" spans="1:8">
      <c r="A43" s="66" t="s">
        <v>86</v>
      </c>
      <c r="B43" s="66">
        <f>'M2'!B43-'M1'!B43</f>
        <v>-2.7200250000000002E-2</v>
      </c>
      <c r="C43" s="66">
        <f>'M2'!C43-'M1'!C43</f>
        <v>6.8389100000000008E-2</v>
      </c>
      <c r="D43" s="66">
        <f>'M2'!D43-'M1'!D43</f>
        <v>-21.45823</v>
      </c>
      <c r="E43" s="66">
        <f>'M2'!E43-'M1'!E43</f>
        <v>0</v>
      </c>
      <c r="F43" s="66">
        <f>'M2'!F43-'M1'!F43</f>
        <v>-4.7395999999999966E-3</v>
      </c>
      <c r="G43" s="66">
        <f>'M2'!G43-'M1'!G43</f>
        <v>0</v>
      </c>
      <c r="H43" s="66">
        <f>'M2'!H43-'M1'!H43</f>
        <v>4.4050000000000006E-2</v>
      </c>
    </row>
    <row r="44" spans="1:8">
      <c r="A44" s="66" t="s">
        <v>87</v>
      </c>
      <c r="B44" s="66">
        <f>'M2'!B44-'M1'!B44</f>
        <v>21.971600000000002</v>
      </c>
      <c r="C44" s="66">
        <f>'M2'!C44-'M1'!C44</f>
        <v>-13.193599999999998</v>
      </c>
      <c r="D44" s="66">
        <f>'M2'!D44-'M1'!D44</f>
        <v>3.7205000000000044E-2</v>
      </c>
      <c r="E44" s="66">
        <f>'M2'!E44-'M1'!E44</f>
        <v>0</v>
      </c>
      <c r="F44" s="66">
        <f>'M2'!F44-'M1'!F44</f>
        <v>38.557700000000004</v>
      </c>
      <c r="G44" s="66">
        <f>'M2'!G44-'M1'!G44</f>
        <v>0</v>
      </c>
      <c r="H44" s="66">
        <f>'M2'!H44-'M1'!H44</f>
        <v>10.271800000000001</v>
      </c>
    </row>
    <row r="45" spans="1:8">
      <c r="A45" s="66" t="s">
        <v>88</v>
      </c>
      <c r="B45" s="66">
        <f>'M2'!B45-'M1'!B45</f>
        <v>-0.62379999999999569</v>
      </c>
      <c r="C45" s="66">
        <f>'M2'!C45-'M1'!C45</f>
        <v>-1.1886200000000002</v>
      </c>
      <c r="D45" s="66">
        <f>'M2'!D45-'M1'!D45</f>
        <v>-2.2184999999999996E-2</v>
      </c>
      <c r="E45" s="66">
        <f>'M2'!E45-'M1'!E45</f>
        <v>0</v>
      </c>
      <c r="F45" s="66">
        <f>'M2'!F45-'M1'!F45</f>
        <v>4.0607000000000042</v>
      </c>
      <c r="G45" s="66">
        <f>'M2'!G45-'M1'!G45</f>
        <v>0</v>
      </c>
      <c r="H45" s="66">
        <f>'M2'!H45-'M1'!H45</f>
        <v>0.34770000000000323</v>
      </c>
    </row>
    <row r="46" spans="1:8">
      <c r="A46" s="66" t="s">
        <v>89</v>
      </c>
      <c r="B46" s="66">
        <f>'M2'!B46-'M1'!B46</f>
        <v>-3.0452000000000012</v>
      </c>
      <c r="C46" s="66">
        <f>'M2'!C46-'M1'!C46</f>
        <v>2.0929799999999998</v>
      </c>
      <c r="D46" s="66">
        <f>'M2'!D46-'M1'!D46</f>
        <v>9.02781E-2</v>
      </c>
      <c r="E46" s="66">
        <f>'M2'!E46-'M1'!E46</f>
        <v>0</v>
      </c>
      <c r="F46" s="66">
        <f>'M2'!F46-'M1'!F46</f>
        <v>-2.6432000000000002</v>
      </c>
      <c r="G46" s="66">
        <f>'M2'!G46-'M1'!G46</f>
        <v>0</v>
      </c>
      <c r="H46" s="66">
        <f>'M2'!H46-'M1'!H46</f>
        <v>-1.0138999999999996</v>
      </c>
    </row>
    <row r="47" spans="1:8">
      <c r="A47" s="66" t="s">
        <v>90</v>
      </c>
      <c r="B47" s="66">
        <f>'M2'!B47-'M1'!B47</f>
        <v>0.27124499999999996</v>
      </c>
      <c r="C47" s="66">
        <f>'M2'!C47-'M1'!C47</f>
        <v>-0.33658299999999997</v>
      </c>
      <c r="D47" s="66">
        <f>'M2'!D47-'M1'!D47</f>
        <v>-0.5164979999999999</v>
      </c>
      <c r="E47" s="66">
        <f>'M2'!E47-'M1'!E47</f>
        <v>0</v>
      </c>
      <c r="F47" s="66">
        <f>'M2'!F47-'M1'!F47</f>
        <v>0.19908699999999999</v>
      </c>
      <c r="G47" s="66">
        <f>'M2'!G47-'M1'!G47</f>
        <v>0</v>
      </c>
      <c r="H47" s="66">
        <f>'M2'!H47-'M1'!H47</f>
        <v>-1.15415</v>
      </c>
    </row>
    <row r="48" spans="1:8">
      <c r="A48" s="66" t="s">
        <v>91</v>
      </c>
      <c r="B48" s="66">
        <f>'M2'!B48-'M1'!B48</f>
        <v>-1.2716999999999978E-2</v>
      </c>
      <c r="C48" s="66">
        <f>'M2'!C48-'M1'!C48</f>
        <v>-7.1661000000000002E-2</v>
      </c>
      <c r="D48" s="66">
        <f>'M2'!D48-'M1'!D48</f>
        <v>-8.2754999999999995E-2</v>
      </c>
      <c r="E48" s="66">
        <f>'M2'!E48-'M1'!E48</f>
        <v>0</v>
      </c>
      <c r="F48" s="66">
        <f>'M2'!F48-'M1'!F48</f>
        <v>-1.0848999999999998E-2</v>
      </c>
      <c r="G48" s="66">
        <f>'M2'!G48-'M1'!G48</f>
        <v>0</v>
      </c>
      <c r="H48" s="66">
        <f>'M2'!H48-'M1'!H48</f>
        <v>-0.32342199999999999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291</v>
      </c>
      <c r="B1" s="66" t="s">
        <v>293</v>
      </c>
      <c r="C1" s="66" t="s">
        <v>346</v>
      </c>
      <c r="D1" s="66" t="s">
        <v>295</v>
      </c>
      <c r="E1" s="66" t="s">
        <v>296</v>
      </c>
      <c r="F1" s="66" t="s">
        <v>297</v>
      </c>
      <c r="G1" s="66" t="s">
        <v>298</v>
      </c>
      <c r="H1" s="66" t="s">
        <v>299</v>
      </c>
    </row>
    <row r="2" spans="1:8">
      <c r="A2" s="66" t="s">
        <v>292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37.783900000000003</v>
      </c>
      <c r="C5" s="66">
        <v>2.9186299999999998</v>
      </c>
      <c r="D5" s="66">
        <v>7.7245299999999997</v>
      </c>
      <c r="E5" s="66">
        <v>20</v>
      </c>
      <c r="F5" s="66">
        <v>29.212700000000002</v>
      </c>
      <c r="G5" s="66">
        <v>50</v>
      </c>
      <c r="H5" s="66">
        <v>42.560299999999998</v>
      </c>
    </row>
    <row r="6" spans="1:8">
      <c r="A6" s="66" t="s">
        <v>303</v>
      </c>
      <c r="B6" s="66">
        <v>29.9892</v>
      </c>
      <c r="C6" s="66">
        <v>3.5709399999999998</v>
      </c>
      <c r="D6" s="66">
        <v>11.907400000000001</v>
      </c>
      <c r="E6" s="66">
        <v>20</v>
      </c>
      <c r="F6" s="66">
        <v>21.096499999999999</v>
      </c>
      <c r="G6" s="66">
        <v>40</v>
      </c>
      <c r="H6" s="66">
        <v>34.735999999999997</v>
      </c>
    </row>
    <row r="7" spans="1:8">
      <c r="A7" s="66" t="s">
        <v>304</v>
      </c>
      <c r="B7" s="66">
        <v>23.492599999999999</v>
      </c>
      <c r="C7" s="66">
        <v>8.1907099999999993</v>
      </c>
      <c r="D7" s="66">
        <v>34.865099999999998</v>
      </c>
      <c r="E7" s="66">
        <v>15</v>
      </c>
      <c r="F7" s="66">
        <v>2.9369299999999998</v>
      </c>
      <c r="G7" s="66">
        <v>40</v>
      </c>
      <c r="H7" s="66">
        <v>42.804000000000002</v>
      </c>
    </row>
    <row r="8" spans="1:8">
      <c r="A8" s="66" t="s">
        <v>305</v>
      </c>
      <c r="B8" s="66">
        <v>29.9086</v>
      </c>
      <c r="C8" s="66">
        <v>2.19645</v>
      </c>
      <c r="D8" s="66">
        <v>7.3438800000000004</v>
      </c>
      <c r="E8" s="66">
        <v>20</v>
      </c>
      <c r="F8" s="66">
        <v>23.45</v>
      </c>
      <c r="G8" s="66">
        <v>50</v>
      </c>
      <c r="H8" s="66">
        <v>32.322000000000003</v>
      </c>
    </row>
    <row r="9" spans="1:8">
      <c r="A9" s="66" t="s">
        <v>347</v>
      </c>
      <c r="B9" s="66">
        <v>67.052499999999995</v>
      </c>
      <c r="C9" s="66">
        <v>8.5034899999999993</v>
      </c>
      <c r="D9" s="66">
        <v>12.681800000000001</v>
      </c>
      <c r="E9" s="66">
        <v>50</v>
      </c>
      <c r="F9" s="66">
        <v>42.209200000000003</v>
      </c>
      <c r="G9" s="66">
        <v>100</v>
      </c>
      <c r="H9" s="66">
        <v>76.5625</v>
      </c>
    </row>
    <row r="10" spans="1:8">
      <c r="A10" s="66" t="s">
        <v>307</v>
      </c>
      <c r="B10" s="66">
        <v>80.110699999999994</v>
      </c>
      <c r="C10" s="66">
        <v>3.3351600000000001</v>
      </c>
      <c r="D10" s="66">
        <v>4.1631900000000002</v>
      </c>
      <c r="E10" s="66">
        <v>40</v>
      </c>
      <c r="F10" s="66">
        <v>68.688299999999998</v>
      </c>
      <c r="G10" s="66">
        <v>100</v>
      </c>
      <c r="H10" s="66">
        <v>85.158500000000004</v>
      </c>
    </row>
    <row r="11" spans="1:8">
      <c r="A11" s="66" t="s">
        <v>308</v>
      </c>
      <c r="B11" s="66">
        <v>21.0304</v>
      </c>
      <c r="C11" s="66">
        <v>2.8875899999999999</v>
      </c>
      <c r="D11" s="66">
        <v>13.730499999999999</v>
      </c>
      <c r="E11" s="66">
        <v>10</v>
      </c>
      <c r="F11" s="66">
        <v>15.587300000000001</v>
      </c>
      <c r="G11" s="66">
        <v>50</v>
      </c>
      <c r="H11" s="66">
        <v>27.943100000000001</v>
      </c>
    </row>
    <row r="12" spans="1:8">
      <c r="A12" s="66" t="s">
        <v>309</v>
      </c>
      <c r="B12" s="66">
        <v>73.605699999999999</v>
      </c>
      <c r="C12" s="66">
        <v>5.4880699999999996</v>
      </c>
      <c r="D12" s="66">
        <v>7.4560399999999998</v>
      </c>
      <c r="E12" s="66">
        <v>50</v>
      </c>
      <c r="F12" s="66">
        <v>58.689900000000002</v>
      </c>
      <c r="G12" s="66">
        <v>100</v>
      </c>
      <c r="H12" s="66">
        <v>78.92</v>
      </c>
    </row>
    <row r="13" spans="1:8">
      <c r="A13" s="66" t="s">
        <v>310</v>
      </c>
      <c r="B13" s="66">
        <v>22.253900000000002</v>
      </c>
      <c r="C13" s="66">
        <v>4.7459699999999998</v>
      </c>
      <c r="D13" s="66">
        <v>21.326499999999999</v>
      </c>
      <c r="E13" s="66">
        <v>10</v>
      </c>
      <c r="F13" s="66">
        <v>15.052899999999999</v>
      </c>
      <c r="G13" s="66">
        <v>25</v>
      </c>
      <c r="H13" s="66">
        <v>34.211199999999998</v>
      </c>
    </row>
    <row r="14" spans="1:8">
      <c r="A14" s="66" t="s">
        <v>311</v>
      </c>
      <c r="B14" s="66">
        <v>47.459699999999998</v>
      </c>
      <c r="C14" s="66">
        <v>19.994900000000001</v>
      </c>
      <c r="D14" s="66">
        <v>42.130400000000002</v>
      </c>
      <c r="E14" s="66">
        <v>10</v>
      </c>
      <c r="F14" s="66">
        <v>0.58793300000000004</v>
      </c>
      <c r="G14" s="66">
        <v>50</v>
      </c>
      <c r="H14" s="66">
        <v>62.183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0.60580400000000001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316</v>
      </c>
      <c r="B19" s="66">
        <v>0.64199700000000004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317</v>
      </c>
      <c r="B20" s="66">
        <v>9.1626000000000001E-4</v>
      </c>
      <c r="C20" s="66">
        <v>0.22442899999999999</v>
      </c>
      <c r="D20" s="66">
        <v>244.94</v>
      </c>
      <c r="E20" s="66">
        <v>0</v>
      </c>
      <c r="F20" s="66">
        <v>0</v>
      </c>
      <c r="G20" s="66">
        <v>0</v>
      </c>
      <c r="H20" s="66">
        <v>1.90951</v>
      </c>
    </row>
    <row r="21" spans="1:8">
      <c r="A21" s="66" t="s">
        <v>318</v>
      </c>
      <c r="B21" s="66">
        <v>0.107237</v>
      </c>
      <c r="C21" s="66">
        <v>1.4311499999999999</v>
      </c>
      <c r="D21" s="66">
        <v>13.345700000000001</v>
      </c>
      <c r="E21" s="66">
        <v>0</v>
      </c>
      <c r="F21" s="66">
        <v>1.33566E-4</v>
      </c>
      <c r="G21" s="66">
        <v>0</v>
      </c>
      <c r="H21" s="66">
        <v>8.5533199999999994</v>
      </c>
    </row>
    <row r="22" spans="1:8">
      <c r="A22" s="66" t="s">
        <v>319</v>
      </c>
      <c r="B22" s="66">
        <v>46.322600000000001</v>
      </c>
      <c r="C22" s="66">
        <v>42.346400000000003</v>
      </c>
      <c r="D22" s="66">
        <v>0.91416299999999995</v>
      </c>
      <c r="E22" s="66">
        <v>0</v>
      </c>
      <c r="F22" s="66">
        <v>18.965699999999998</v>
      </c>
      <c r="G22" s="66">
        <v>0</v>
      </c>
      <c r="H22" s="66">
        <v>204.32300000000001</v>
      </c>
    </row>
    <row r="23" spans="1:8">
      <c r="A23" s="66" t="s">
        <v>320</v>
      </c>
      <c r="B23" s="66">
        <v>37.949599999999997</v>
      </c>
      <c r="C23" s="66">
        <v>7.6173500000000001</v>
      </c>
      <c r="D23" s="66">
        <v>0.20072300000000001</v>
      </c>
      <c r="E23" s="66">
        <v>0</v>
      </c>
      <c r="F23" s="66">
        <v>20.5581</v>
      </c>
      <c r="G23" s="66">
        <v>0</v>
      </c>
      <c r="H23" s="66">
        <v>41.452100000000002</v>
      </c>
    </row>
    <row r="24" spans="1:8">
      <c r="A24" s="66" t="s">
        <v>348</v>
      </c>
      <c r="B24" s="66">
        <v>2.56982E-3</v>
      </c>
      <c r="C24" s="66">
        <v>0.210309</v>
      </c>
      <c r="D24" s="66">
        <v>81.837999999999994</v>
      </c>
      <c r="E24" s="66">
        <v>0</v>
      </c>
      <c r="F24" s="196">
        <v>8.1798099999999994E-8</v>
      </c>
      <c r="G24" s="66">
        <v>0</v>
      </c>
      <c r="H24" s="66">
        <v>1.4888600000000001</v>
      </c>
    </row>
    <row r="25" spans="1:8">
      <c r="A25" s="66" t="s">
        <v>322</v>
      </c>
      <c r="B25" s="66">
        <v>0.16384000000000001</v>
      </c>
      <c r="C25" s="66">
        <v>1.1744399999999999</v>
      </c>
      <c r="D25" s="66">
        <v>7.1681800000000004</v>
      </c>
      <c r="E25" s="66">
        <v>0</v>
      </c>
      <c r="F25" s="66">
        <v>1.32138E-2</v>
      </c>
      <c r="G25" s="66">
        <v>0</v>
      </c>
      <c r="H25" s="66">
        <v>4.6386200000000004</v>
      </c>
    </row>
    <row r="26" spans="1:8">
      <c r="A26" s="66" t="s">
        <v>323</v>
      </c>
      <c r="B26" s="66">
        <v>2.5932199999999998E-4</v>
      </c>
      <c r="C26" s="66">
        <v>1.46502E-2</v>
      </c>
      <c r="D26" s="66">
        <v>56.494100000000003</v>
      </c>
      <c r="E26" s="66">
        <v>0</v>
      </c>
      <c r="F26" s="66">
        <v>0</v>
      </c>
      <c r="G26" s="66">
        <v>0</v>
      </c>
      <c r="H26" s="66">
        <v>0.102682</v>
      </c>
    </row>
    <row r="27" spans="1:8">
      <c r="A27" s="66" t="s">
        <v>324</v>
      </c>
      <c r="B27" s="66">
        <v>0</v>
      </c>
      <c r="C27" s="66">
        <v>1.9706400000000001E-3</v>
      </c>
      <c r="D27" s="66">
        <v>0</v>
      </c>
      <c r="E27" s="66">
        <v>0</v>
      </c>
      <c r="F27" s="66">
        <v>-1.34421E-2</v>
      </c>
      <c r="G27" s="66">
        <v>0</v>
      </c>
      <c r="H27" s="66">
        <v>1.3511E-2</v>
      </c>
    </row>
    <row r="28" spans="1:8">
      <c r="A28" s="66" t="s">
        <v>325</v>
      </c>
      <c r="B28" s="66">
        <v>1.1241900000000001E-2</v>
      </c>
      <c r="C28" s="66">
        <v>5.2859099999999999E-2</v>
      </c>
      <c r="D28" s="66">
        <v>4.7019900000000003</v>
      </c>
      <c r="E28" s="66">
        <v>0</v>
      </c>
      <c r="F28" s="66">
        <v>1.07422E-4</v>
      </c>
      <c r="G28" s="66">
        <v>0</v>
      </c>
      <c r="H28" s="66">
        <v>0.24316099999999999</v>
      </c>
    </row>
    <row r="29" spans="1:8">
      <c r="A29" s="66" t="s">
        <v>326</v>
      </c>
      <c r="B29" s="66">
        <v>69.559200000000004</v>
      </c>
      <c r="C29" s="66">
        <v>15.7988</v>
      </c>
      <c r="D29" s="66">
        <v>0.227128</v>
      </c>
      <c r="E29" s="66">
        <v>0</v>
      </c>
      <c r="F29" s="66">
        <v>45.1492</v>
      </c>
      <c r="G29" s="66">
        <v>0</v>
      </c>
      <c r="H29" s="66">
        <v>113.34399999999999</v>
      </c>
    </row>
    <row r="30" spans="1:8">
      <c r="A30" s="66" t="s">
        <v>327</v>
      </c>
      <c r="B30" s="66">
        <v>27.977900000000002</v>
      </c>
      <c r="C30" s="66">
        <v>2.86382</v>
      </c>
      <c r="D30" s="66">
        <v>0.10236000000000001</v>
      </c>
      <c r="E30" s="66">
        <v>0</v>
      </c>
      <c r="F30" s="66">
        <v>21.9772</v>
      </c>
      <c r="G30" s="66">
        <v>0</v>
      </c>
      <c r="H30" s="66">
        <v>31.804500000000001</v>
      </c>
    </row>
    <row r="31" spans="1:8">
      <c r="A31" s="66" t="s">
        <v>328</v>
      </c>
      <c r="B31" s="66">
        <v>202.69800000000001</v>
      </c>
      <c r="C31" s="66">
        <v>34.979900000000001</v>
      </c>
      <c r="D31" s="66">
        <v>0.172571</v>
      </c>
      <c r="E31" s="66">
        <v>0</v>
      </c>
      <c r="F31" s="66">
        <v>143.221</v>
      </c>
      <c r="G31" s="66">
        <v>0</v>
      </c>
      <c r="H31" s="66">
        <v>261.61200000000002</v>
      </c>
    </row>
    <row r="32" spans="1:8">
      <c r="A32" s="66" t="s">
        <v>329</v>
      </c>
      <c r="B32" s="66">
        <v>0.234926</v>
      </c>
      <c r="C32" s="66">
        <v>8.1907099999999997E-2</v>
      </c>
      <c r="D32" s="66">
        <v>0.34865099999999999</v>
      </c>
      <c r="E32" s="66">
        <v>0.15</v>
      </c>
      <c r="F32" s="66">
        <v>2.9369300000000001E-2</v>
      </c>
      <c r="G32" s="66">
        <v>0.4</v>
      </c>
      <c r="H32" s="66">
        <v>0.42803999999999998</v>
      </c>
    </row>
    <row r="33" spans="1:8">
      <c r="A33" s="66" t="s">
        <v>330</v>
      </c>
      <c r="B33" s="66">
        <v>0.27141999999999999</v>
      </c>
      <c r="C33" s="66">
        <v>7.7446600000000004E-2</v>
      </c>
      <c r="D33" s="66">
        <v>0.28533900000000001</v>
      </c>
      <c r="E33" s="66">
        <v>0</v>
      </c>
      <c r="F33" s="66">
        <v>0.18577099999999999</v>
      </c>
      <c r="G33" s="66">
        <v>0</v>
      </c>
      <c r="H33" s="66">
        <v>0.41798600000000002</v>
      </c>
    </row>
    <row r="34" spans="1:8">
      <c r="A34" s="66" t="s">
        <v>331</v>
      </c>
      <c r="B34" s="66">
        <v>0.22253899999999999</v>
      </c>
      <c r="C34" s="66">
        <v>4.74597E-2</v>
      </c>
      <c r="D34" s="66">
        <v>0.21326500000000001</v>
      </c>
      <c r="E34" s="66">
        <v>0.1</v>
      </c>
      <c r="F34" s="66">
        <v>0.150529</v>
      </c>
      <c r="G34" s="66">
        <v>0.25</v>
      </c>
      <c r="H34" s="66">
        <v>0.34211200000000003</v>
      </c>
    </row>
    <row r="35" spans="1:8">
      <c r="A35" s="66" t="s">
        <v>332</v>
      </c>
      <c r="B35" s="66">
        <v>8.3343E-2</v>
      </c>
      <c r="C35" s="66">
        <v>2.38658E-2</v>
      </c>
      <c r="D35" s="66">
        <v>0.286356</v>
      </c>
      <c r="E35" s="66">
        <v>0</v>
      </c>
      <c r="F35" s="66">
        <v>4.3656899999999998E-2</v>
      </c>
      <c r="G35" s="66">
        <v>0</v>
      </c>
      <c r="H35" s="66">
        <v>0.166935</v>
      </c>
    </row>
    <row r="36" spans="1:8">
      <c r="A36" s="66" t="s">
        <v>333</v>
      </c>
      <c r="B36" s="66">
        <v>0.18835199999999999</v>
      </c>
      <c r="C36" s="66">
        <v>0.10720399999999999</v>
      </c>
      <c r="D36" s="66">
        <v>0.56916699999999998</v>
      </c>
      <c r="E36" s="66">
        <v>0</v>
      </c>
      <c r="F36" s="66">
        <v>5.4256400000000003E-2</v>
      </c>
      <c r="G36" s="66">
        <v>0</v>
      </c>
      <c r="H36" s="66">
        <v>0.55259499999999995</v>
      </c>
    </row>
    <row r="37" spans="1:8">
      <c r="A37" s="66" t="s">
        <v>334</v>
      </c>
      <c r="B37" s="66">
        <v>0.47459699999999999</v>
      </c>
      <c r="C37" s="66">
        <v>0.19994899999999999</v>
      </c>
      <c r="D37" s="66">
        <v>0.42130400000000001</v>
      </c>
      <c r="E37" s="66">
        <v>0.1</v>
      </c>
      <c r="F37" s="66">
        <v>5.8793300000000003E-3</v>
      </c>
      <c r="G37" s="66">
        <v>0.5</v>
      </c>
      <c r="H37" s="66">
        <v>0.62182999999999999</v>
      </c>
    </row>
    <row r="38" spans="1:8">
      <c r="A38" s="66" t="s">
        <v>335</v>
      </c>
      <c r="B38" s="66">
        <v>-14.8283</v>
      </c>
      <c r="C38" s="66">
        <v>55.712800000000001</v>
      </c>
      <c r="D38" s="66">
        <v>-3.7572000000000001</v>
      </c>
      <c r="E38" s="66">
        <v>0</v>
      </c>
      <c r="F38" s="66">
        <v>-238.37799999999999</v>
      </c>
      <c r="G38" s="66">
        <v>0</v>
      </c>
      <c r="H38" s="66">
        <v>161.946</v>
      </c>
    </row>
    <row r="39" spans="1:8">
      <c r="A39" s="66" t="s">
        <v>336</v>
      </c>
      <c r="B39" s="66">
        <v>-5.1506299999999996</v>
      </c>
      <c r="C39" s="66">
        <v>13.7841</v>
      </c>
      <c r="D39" s="66">
        <v>-2.6762000000000001</v>
      </c>
      <c r="E39" s="66">
        <v>0</v>
      </c>
      <c r="F39" s="66">
        <v>-73.350399999999993</v>
      </c>
      <c r="G39" s="66">
        <v>0</v>
      </c>
      <c r="H39" s="66">
        <v>4.4493200000000002</v>
      </c>
    </row>
    <row r="40" spans="1:8">
      <c r="A40" s="66" t="s">
        <v>337</v>
      </c>
      <c r="B40" s="66">
        <v>-6.1304100000000004</v>
      </c>
      <c r="C40" s="66">
        <v>3.0462899999999999</v>
      </c>
      <c r="D40" s="66">
        <v>-0.496915</v>
      </c>
      <c r="E40" s="66">
        <v>0</v>
      </c>
      <c r="F40" s="66">
        <v>-9.8834800000000005</v>
      </c>
      <c r="G40" s="66">
        <v>0</v>
      </c>
      <c r="H40" s="66">
        <v>3.1655099999999998</v>
      </c>
    </row>
    <row r="41" spans="1:8">
      <c r="A41" s="66" t="s">
        <v>338</v>
      </c>
      <c r="B41" s="66">
        <v>-7.5960899999999998E-2</v>
      </c>
      <c r="C41" s="66">
        <v>0.27973100000000001</v>
      </c>
      <c r="D41" s="66">
        <v>-3.6825600000000001</v>
      </c>
      <c r="E41" s="66">
        <v>0</v>
      </c>
      <c r="F41" s="66">
        <v>-0.69701400000000002</v>
      </c>
      <c r="G41" s="66">
        <v>0</v>
      </c>
      <c r="H41" s="66">
        <v>1</v>
      </c>
    </row>
    <row r="42" spans="1:8">
      <c r="A42" s="66" t="s">
        <v>339</v>
      </c>
      <c r="B42" s="66">
        <v>-6.6215599999999999E-2</v>
      </c>
      <c r="C42" s="66">
        <v>8.40896E-2</v>
      </c>
      <c r="D42" s="66">
        <v>-1.2699400000000001</v>
      </c>
      <c r="E42" s="66">
        <v>0</v>
      </c>
      <c r="F42" s="66">
        <v>-0.31469200000000003</v>
      </c>
      <c r="G42" s="66">
        <v>0</v>
      </c>
      <c r="H42" s="66">
        <v>0.16264300000000001</v>
      </c>
    </row>
    <row r="43" spans="1:8">
      <c r="A43" s="66" t="s">
        <v>340</v>
      </c>
      <c r="B43" s="66">
        <v>2.2093600000000001E-2</v>
      </c>
      <c r="C43" s="66">
        <v>3.3456899999999998E-2</v>
      </c>
      <c r="D43" s="66">
        <v>1.51433</v>
      </c>
      <c r="E43" s="66">
        <v>0</v>
      </c>
      <c r="F43" s="66">
        <v>-9.0138200000000002E-2</v>
      </c>
      <c r="G43" s="66">
        <v>0</v>
      </c>
      <c r="H43" s="66">
        <v>0.18882599999999999</v>
      </c>
    </row>
    <row r="44" spans="1:8">
      <c r="A44" s="66" t="s">
        <v>341</v>
      </c>
      <c r="B44" s="66">
        <v>-44.339300000000001</v>
      </c>
      <c r="C44" s="66">
        <v>24.945799999999998</v>
      </c>
      <c r="D44" s="66">
        <v>-0.562612</v>
      </c>
      <c r="E44" s="66">
        <v>0</v>
      </c>
      <c r="F44" s="66">
        <v>-80.867000000000004</v>
      </c>
      <c r="G44" s="66">
        <v>0</v>
      </c>
      <c r="H44" s="66">
        <v>3.1151</v>
      </c>
    </row>
    <row r="45" spans="1:8">
      <c r="A45" s="66" t="s">
        <v>342</v>
      </c>
      <c r="B45" s="66">
        <v>50.313499999999998</v>
      </c>
      <c r="C45" s="66">
        <v>6.9567100000000002</v>
      </c>
      <c r="D45" s="66">
        <v>0.138267</v>
      </c>
      <c r="E45" s="66">
        <v>0</v>
      </c>
      <c r="F45" s="66">
        <v>34.082999999999998</v>
      </c>
      <c r="G45" s="66">
        <v>0</v>
      </c>
      <c r="H45" s="66">
        <v>68.323599999999999</v>
      </c>
    </row>
    <row r="46" spans="1:8">
      <c r="A46" s="66" t="s">
        <v>343</v>
      </c>
      <c r="B46" s="66">
        <v>28.177600000000002</v>
      </c>
      <c r="C46" s="66">
        <v>1.6279600000000001</v>
      </c>
      <c r="D46" s="66">
        <v>5.7774899999999997E-2</v>
      </c>
      <c r="E46" s="66">
        <v>0</v>
      </c>
      <c r="F46" s="66">
        <v>23.827400000000001</v>
      </c>
      <c r="G46" s="66">
        <v>0</v>
      </c>
      <c r="H46" s="66">
        <v>33.696899999999999</v>
      </c>
    </row>
    <row r="47" spans="1:8">
      <c r="A47" s="66" t="s">
        <v>344</v>
      </c>
      <c r="B47" s="66">
        <v>0.894455</v>
      </c>
      <c r="C47" s="66">
        <v>0.87550099999999997</v>
      </c>
      <c r="D47" s="66">
        <v>0.97880999999999996</v>
      </c>
      <c r="E47" s="66">
        <v>0</v>
      </c>
      <c r="F47" s="66">
        <v>0.18856500000000001</v>
      </c>
      <c r="G47" s="66">
        <v>0</v>
      </c>
      <c r="H47" s="66">
        <v>3.9589500000000002</v>
      </c>
    </row>
    <row r="48" spans="1:8">
      <c r="A48" s="66" t="s">
        <v>345</v>
      </c>
      <c r="B48" s="66">
        <v>0.84663900000000003</v>
      </c>
      <c r="C48" s="66">
        <v>0.17643500000000001</v>
      </c>
      <c r="D48" s="66">
        <v>0.208395</v>
      </c>
      <c r="E48" s="66">
        <v>0</v>
      </c>
      <c r="F48" s="66">
        <v>0.591839</v>
      </c>
      <c r="G48" s="66">
        <v>0</v>
      </c>
      <c r="H48" s="66">
        <v>1.29393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291</v>
      </c>
      <c r="B1" s="66" t="s">
        <v>293</v>
      </c>
      <c r="C1" s="66" t="s">
        <v>346</v>
      </c>
      <c r="D1" s="66" t="s">
        <v>295</v>
      </c>
      <c r="E1" s="66" t="s">
        <v>296</v>
      </c>
      <c r="F1" s="66" t="s">
        <v>297</v>
      </c>
      <c r="G1" s="66" t="s">
        <v>298</v>
      </c>
      <c r="H1" s="66" t="s">
        <v>299</v>
      </c>
    </row>
    <row r="2" spans="1:8">
      <c r="A2" s="66" t="s">
        <v>292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349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31.506799999999998</v>
      </c>
      <c r="C5" s="66">
        <v>4.4910399999999999</v>
      </c>
      <c r="D5" s="66">
        <v>14.254200000000001</v>
      </c>
      <c r="E5" s="66">
        <v>20</v>
      </c>
      <c r="F5" s="66">
        <v>24.105399999999999</v>
      </c>
      <c r="G5" s="66">
        <v>50</v>
      </c>
      <c r="H5" s="66">
        <v>41.083300000000001</v>
      </c>
    </row>
    <row r="6" spans="1:8">
      <c r="A6" s="66" t="s">
        <v>303</v>
      </c>
      <c r="B6" s="66">
        <v>25.7118</v>
      </c>
      <c r="C6" s="66">
        <v>1.9429399999999999</v>
      </c>
      <c r="D6" s="66">
        <v>7.5566399999999998</v>
      </c>
      <c r="E6" s="66">
        <v>20</v>
      </c>
      <c r="F6" s="66">
        <v>17.807099999999998</v>
      </c>
      <c r="G6" s="66">
        <v>40</v>
      </c>
      <c r="H6" s="66">
        <v>29.3232</v>
      </c>
    </row>
    <row r="7" spans="1:8">
      <c r="A7" s="66" t="s">
        <v>304</v>
      </c>
      <c r="B7" s="66">
        <v>17.870200000000001</v>
      </c>
      <c r="C7" s="66">
        <v>9.7166200000000007</v>
      </c>
      <c r="D7" s="66">
        <v>54.373199999999997</v>
      </c>
      <c r="E7" s="66">
        <v>15</v>
      </c>
      <c r="F7" s="66">
        <v>2.37249</v>
      </c>
      <c r="G7" s="66">
        <v>40</v>
      </c>
      <c r="H7" s="66">
        <v>44.511099999999999</v>
      </c>
    </row>
    <row r="8" spans="1:8">
      <c r="A8" s="66" t="s">
        <v>305</v>
      </c>
      <c r="B8" s="66">
        <v>25.257400000000001</v>
      </c>
      <c r="C8" s="66">
        <v>3.0580599999999998</v>
      </c>
      <c r="D8" s="66">
        <v>12.1076</v>
      </c>
      <c r="E8" s="66">
        <v>20</v>
      </c>
      <c r="F8" s="66">
        <v>21.6693</v>
      </c>
      <c r="G8" s="66">
        <v>50</v>
      </c>
      <c r="H8" s="66">
        <v>33.534599999999998</v>
      </c>
    </row>
    <row r="9" spans="1:8">
      <c r="A9" s="66" t="s">
        <v>306</v>
      </c>
      <c r="B9" s="66">
        <v>69.067300000000003</v>
      </c>
      <c r="C9" s="66">
        <v>5.7754799999999999</v>
      </c>
      <c r="D9" s="66">
        <v>8.3620999999999999</v>
      </c>
      <c r="E9" s="66">
        <v>50</v>
      </c>
      <c r="F9" s="66">
        <v>57.416400000000003</v>
      </c>
      <c r="G9" s="66">
        <v>100</v>
      </c>
      <c r="H9" s="66">
        <v>82.529300000000006</v>
      </c>
    </row>
    <row r="10" spans="1:8">
      <c r="A10" s="66" t="s">
        <v>307</v>
      </c>
      <c r="B10" s="66">
        <v>82.814599999999999</v>
      </c>
      <c r="C10" s="66">
        <v>2.03369</v>
      </c>
      <c r="D10" s="66">
        <v>2.4557199999999999</v>
      </c>
      <c r="E10" s="66">
        <v>40</v>
      </c>
      <c r="F10" s="66">
        <v>77.537899999999993</v>
      </c>
      <c r="G10" s="66">
        <v>100</v>
      </c>
      <c r="H10" s="66">
        <v>85.608599999999996</v>
      </c>
    </row>
    <row r="11" spans="1:8">
      <c r="A11" s="66" t="s">
        <v>308</v>
      </c>
      <c r="B11" s="66">
        <v>16.8536</v>
      </c>
      <c r="C11" s="66">
        <v>2.31094</v>
      </c>
      <c r="D11" s="66">
        <v>13.7119</v>
      </c>
      <c r="E11" s="66">
        <v>10</v>
      </c>
      <c r="F11" s="66">
        <v>14.2174</v>
      </c>
      <c r="G11" s="66">
        <v>50</v>
      </c>
      <c r="H11" s="66">
        <v>22.309899999999999</v>
      </c>
    </row>
    <row r="12" spans="1:8">
      <c r="A12" s="66" t="s">
        <v>309</v>
      </c>
      <c r="B12" s="66">
        <v>75.400499999999994</v>
      </c>
      <c r="C12" s="66">
        <v>3.4253</v>
      </c>
      <c r="D12" s="66">
        <v>4.5428100000000002</v>
      </c>
      <c r="E12" s="66">
        <v>50</v>
      </c>
      <c r="F12" s="66">
        <v>69.247699999999995</v>
      </c>
      <c r="G12" s="66">
        <v>100</v>
      </c>
      <c r="H12" s="66">
        <v>83.409899999999993</v>
      </c>
    </row>
    <row r="13" spans="1:8">
      <c r="A13" s="66" t="s">
        <v>310</v>
      </c>
      <c r="B13" s="66">
        <v>19.590499999999999</v>
      </c>
      <c r="C13" s="66">
        <v>3.7305299999999999</v>
      </c>
      <c r="D13" s="66">
        <v>19.0426</v>
      </c>
      <c r="E13" s="66">
        <v>10</v>
      </c>
      <c r="F13" s="66">
        <v>13.961499999999999</v>
      </c>
      <c r="G13" s="66">
        <v>25</v>
      </c>
      <c r="H13" s="66">
        <v>32.8855</v>
      </c>
    </row>
    <row r="14" spans="1:8">
      <c r="A14" s="66" t="s">
        <v>311</v>
      </c>
      <c r="B14" s="66">
        <v>37.305300000000003</v>
      </c>
      <c r="C14" s="66">
        <v>16.979299999999999</v>
      </c>
      <c r="D14" s="66">
        <v>45.514499999999998</v>
      </c>
      <c r="E14" s="66">
        <v>10</v>
      </c>
      <c r="F14" s="66">
        <v>2.8406400000000001</v>
      </c>
      <c r="G14" s="66">
        <v>50</v>
      </c>
      <c r="H14" s="66">
        <v>47.3767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0.55156700000000003</v>
      </c>
      <c r="C18" s="66">
        <v>1.02171E-2</v>
      </c>
      <c r="D18" s="66">
        <v>1.8523700000000001E-2</v>
      </c>
      <c r="E18" s="66">
        <v>0</v>
      </c>
      <c r="F18" s="66">
        <v>0.54135</v>
      </c>
      <c r="G18" s="66">
        <v>0</v>
      </c>
      <c r="H18" s="66">
        <v>0.56178399999999995</v>
      </c>
    </row>
    <row r="19" spans="1:8">
      <c r="A19" s="66" t="s">
        <v>316</v>
      </c>
      <c r="B19" s="66">
        <v>0.58682800000000002</v>
      </c>
      <c r="C19" s="66">
        <v>1.82002E-2</v>
      </c>
      <c r="D19" s="66">
        <v>3.10145E-2</v>
      </c>
      <c r="E19" s="66">
        <v>0</v>
      </c>
      <c r="F19" s="66">
        <v>0.56862699999999999</v>
      </c>
      <c r="G19" s="66">
        <v>0</v>
      </c>
      <c r="H19" s="66">
        <v>0.60502800000000001</v>
      </c>
    </row>
    <row r="20" spans="1:8">
      <c r="A20" s="66" t="s">
        <v>350</v>
      </c>
      <c r="B20" s="66">
        <v>1.10034E-3</v>
      </c>
      <c r="C20" s="66">
        <v>4.8983800000000001E-2</v>
      </c>
      <c r="D20" s="66">
        <v>44.5169</v>
      </c>
      <c r="E20" s="66">
        <v>0</v>
      </c>
      <c r="F20" s="66">
        <v>0</v>
      </c>
      <c r="G20" s="66">
        <v>0</v>
      </c>
      <c r="H20" s="66">
        <v>0.325318</v>
      </c>
    </row>
    <row r="21" spans="1:8">
      <c r="A21" s="66" t="s">
        <v>318</v>
      </c>
      <c r="B21" s="66">
        <v>0.15990699999999999</v>
      </c>
      <c r="C21" s="66">
        <v>0.71140000000000003</v>
      </c>
      <c r="D21" s="66">
        <v>4.4488500000000002</v>
      </c>
      <c r="E21" s="66">
        <v>0</v>
      </c>
      <c r="F21" s="66">
        <v>1.01767E-4</v>
      </c>
      <c r="G21" s="66">
        <v>0</v>
      </c>
      <c r="H21" s="66">
        <v>3.5964399999999999</v>
      </c>
    </row>
    <row r="22" spans="1:8">
      <c r="A22" s="66" t="s">
        <v>319</v>
      </c>
      <c r="B22" s="66">
        <v>44.127000000000002</v>
      </c>
      <c r="C22" s="66">
        <v>21.771699999999999</v>
      </c>
      <c r="D22" s="66">
        <v>0.49338700000000002</v>
      </c>
      <c r="E22" s="66">
        <v>0</v>
      </c>
      <c r="F22" s="66">
        <v>24.292300000000001</v>
      </c>
      <c r="G22" s="66">
        <v>0</v>
      </c>
      <c r="H22" s="66">
        <v>124.964</v>
      </c>
    </row>
    <row r="23" spans="1:8">
      <c r="A23" s="66" t="s">
        <v>320</v>
      </c>
      <c r="B23" s="66">
        <v>18.188700000000001</v>
      </c>
      <c r="C23" s="66">
        <v>2.0103</v>
      </c>
      <c r="D23" s="66">
        <v>0.110525</v>
      </c>
      <c r="E23" s="66">
        <v>0</v>
      </c>
      <c r="F23" s="66">
        <v>16.381799999999998</v>
      </c>
      <c r="G23" s="66">
        <v>0</v>
      </c>
      <c r="H23" s="66">
        <v>23.6081</v>
      </c>
    </row>
    <row r="24" spans="1:8">
      <c r="A24" s="66" t="s">
        <v>321</v>
      </c>
      <c r="B24" s="66">
        <v>1.98306E-3</v>
      </c>
      <c r="C24" s="66">
        <v>4.5539400000000001E-2</v>
      </c>
      <c r="D24" s="66">
        <v>22.964200000000002</v>
      </c>
      <c r="E24" s="66">
        <v>0</v>
      </c>
      <c r="F24" s="196">
        <v>8.4976899999999993E-6</v>
      </c>
      <c r="G24" s="66">
        <v>0</v>
      </c>
      <c r="H24" s="66">
        <v>0.27717900000000001</v>
      </c>
    </row>
    <row r="25" spans="1:8">
      <c r="A25" s="66" t="s">
        <v>322</v>
      </c>
      <c r="B25" s="66">
        <v>0.188166</v>
      </c>
      <c r="C25" s="66">
        <v>0.54422099999999995</v>
      </c>
      <c r="D25" s="66">
        <v>2.8922400000000001</v>
      </c>
      <c r="E25" s="66">
        <v>0</v>
      </c>
      <c r="F25" s="66">
        <v>1.37319E-2</v>
      </c>
      <c r="G25" s="66">
        <v>0</v>
      </c>
      <c r="H25" s="66">
        <v>2.45418</v>
      </c>
    </row>
    <row r="26" spans="1:8">
      <c r="A26" s="66" t="s">
        <v>323</v>
      </c>
      <c r="B26" s="66">
        <v>3.3317999999999998E-4</v>
      </c>
      <c r="C26" s="66">
        <v>5.5073600000000002E-3</v>
      </c>
      <c r="D26" s="66">
        <v>16.529699999999998</v>
      </c>
      <c r="E26" s="66">
        <v>0</v>
      </c>
      <c r="F26" s="66">
        <v>0</v>
      </c>
      <c r="G26" s="66">
        <v>0</v>
      </c>
      <c r="H26" s="66">
        <v>3.2402199999999999E-2</v>
      </c>
    </row>
    <row r="27" spans="1:8">
      <c r="A27" s="66" t="s">
        <v>324</v>
      </c>
      <c r="B27" s="66">
        <v>0</v>
      </c>
      <c r="C27" s="66">
        <v>1.0829699999999999E-3</v>
      </c>
      <c r="D27" s="66">
        <v>0</v>
      </c>
      <c r="E27" s="66">
        <v>0</v>
      </c>
      <c r="F27" s="66">
        <v>-6.7489500000000001E-3</v>
      </c>
      <c r="G27" s="66">
        <v>0</v>
      </c>
      <c r="H27" s="66">
        <v>5.5015699999999999E-3</v>
      </c>
    </row>
    <row r="28" spans="1:8">
      <c r="A28" s="66" t="s">
        <v>325</v>
      </c>
      <c r="B28" s="66">
        <v>1.7942699999999999E-2</v>
      </c>
      <c r="C28" s="66">
        <v>3.8370399999999999E-2</v>
      </c>
      <c r="D28" s="66">
        <v>2.13849</v>
      </c>
      <c r="E28" s="66">
        <v>0</v>
      </c>
      <c r="F28" s="196">
        <v>3.9062500000000001E-5</v>
      </c>
      <c r="G28" s="66">
        <v>0</v>
      </c>
      <c r="H28" s="66">
        <v>0.18221000000000001</v>
      </c>
    </row>
    <row r="29" spans="1:8">
      <c r="A29" s="66" t="s">
        <v>326</v>
      </c>
      <c r="B29" s="66">
        <v>70.316100000000006</v>
      </c>
      <c r="C29" s="66">
        <v>13.6151</v>
      </c>
      <c r="D29" s="66">
        <v>0.19362699999999999</v>
      </c>
      <c r="E29" s="66">
        <v>0</v>
      </c>
      <c r="F29" s="66">
        <v>39.5989</v>
      </c>
      <c r="G29" s="66">
        <v>0</v>
      </c>
      <c r="H29" s="66">
        <v>109.64100000000001</v>
      </c>
    </row>
    <row r="30" spans="1:8">
      <c r="A30" s="66" t="s">
        <v>327</v>
      </c>
      <c r="B30" s="66">
        <v>21.721900000000002</v>
      </c>
      <c r="C30" s="66">
        <v>1.3086</v>
      </c>
      <c r="D30" s="66">
        <v>6.0243400000000003E-2</v>
      </c>
      <c r="E30" s="66">
        <v>0</v>
      </c>
      <c r="F30" s="66">
        <v>19.374600000000001</v>
      </c>
      <c r="G30" s="66">
        <v>0</v>
      </c>
      <c r="H30" s="66">
        <v>25.0319</v>
      </c>
    </row>
    <row r="31" spans="1:8">
      <c r="A31" s="66" t="s">
        <v>328</v>
      </c>
      <c r="B31" s="66">
        <v>146.453</v>
      </c>
      <c r="C31" s="66">
        <v>20.775300000000001</v>
      </c>
      <c r="D31" s="66">
        <v>0.14185600000000001</v>
      </c>
      <c r="E31" s="66">
        <v>0</v>
      </c>
      <c r="F31" s="66">
        <v>113.37</v>
      </c>
      <c r="G31" s="66">
        <v>0</v>
      </c>
      <c r="H31" s="66">
        <v>189.74100000000001</v>
      </c>
    </row>
    <row r="32" spans="1:8">
      <c r="A32" s="66" t="s">
        <v>329</v>
      </c>
      <c r="B32" s="66">
        <v>0.178702</v>
      </c>
      <c r="C32" s="66">
        <v>9.7166199999999994E-2</v>
      </c>
      <c r="D32" s="66">
        <v>0.54373199999999999</v>
      </c>
      <c r="E32" s="66">
        <v>0.15</v>
      </c>
      <c r="F32" s="66">
        <v>2.37249E-2</v>
      </c>
      <c r="G32" s="66">
        <v>0.4</v>
      </c>
      <c r="H32" s="66">
        <v>0.44511099999999998</v>
      </c>
    </row>
    <row r="33" spans="1:8">
      <c r="A33" s="66" t="s">
        <v>330</v>
      </c>
      <c r="B33" s="66">
        <v>0.23538500000000001</v>
      </c>
      <c r="C33" s="66">
        <v>2.54056E-2</v>
      </c>
      <c r="D33" s="66">
        <v>0.107932</v>
      </c>
      <c r="E33" s="66">
        <v>0</v>
      </c>
      <c r="F33" s="66">
        <v>0.17954300000000001</v>
      </c>
      <c r="G33" s="66">
        <v>0</v>
      </c>
      <c r="H33" s="66">
        <v>0.32483800000000002</v>
      </c>
    </row>
    <row r="34" spans="1:8">
      <c r="A34" s="66" t="s">
        <v>331</v>
      </c>
      <c r="B34" s="66">
        <v>0.195905</v>
      </c>
      <c r="C34" s="66">
        <v>3.73053E-2</v>
      </c>
      <c r="D34" s="66">
        <v>0.19042600000000001</v>
      </c>
      <c r="E34" s="66">
        <v>0.1</v>
      </c>
      <c r="F34" s="66">
        <v>0.13961499999999999</v>
      </c>
      <c r="G34" s="66">
        <v>0.25</v>
      </c>
      <c r="H34" s="66">
        <v>0.32885500000000001</v>
      </c>
    </row>
    <row r="35" spans="1:8">
      <c r="A35" s="66" t="s">
        <v>332</v>
      </c>
      <c r="B35" s="66">
        <v>7.9813899999999993E-2</v>
      </c>
      <c r="C35" s="66">
        <v>2.52643E-2</v>
      </c>
      <c r="D35" s="66">
        <v>0.31653999999999999</v>
      </c>
      <c r="E35" s="66">
        <v>0</v>
      </c>
      <c r="F35" s="66">
        <v>3.6871800000000003E-2</v>
      </c>
      <c r="G35" s="66">
        <v>0</v>
      </c>
      <c r="H35" s="66">
        <v>0.167742</v>
      </c>
    </row>
    <row r="36" spans="1:8">
      <c r="A36" s="66" t="s">
        <v>333</v>
      </c>
      <c r="B36" s="66">
        <v>0.172149</v>
      </c>
      <c r="C36" s="66">
        <v>9.7082100000000005E-2</v>
      </c>
      <c r="D36" s="66">
        <v>0.56394299999999997</v>
      </c>
      <c r="E36" s="66">
        <v>0</v>
      </c>
      <c r="F36" s="66">
        <v>3.60358E-2</v>
      </c>
      <c r="G36" s="66">
        <v>0</v>
      </c>
      <c r="H36" s="66">
        <v>0.55191299999999999</v>
      </c>
    </row>
    <row r="37" spans="1:8">
      <c r="A37" s="66" t="s">
        <v>334</v>
      </c>
      <c r="B37" s="66">
        <v>0.37305300000000002</v>
      </c>
      <c r="C37" s="66">
        <v>0.169793</v>
      </c>
      <c r="D37" s="66">
        <v>0.45514500000000002</v>
      </c>
      <c r="E37" s="66">
        <v>0.1</v>
      </c>
      <c r="F37" s="66">
        <v>2.8406399999999998E-2</v>
      </c>
      <c r="G37" s="66">
        <v>0.5</v>
      </c>
      <c r="H37" s="66">
        <v>0.47376699999999999</v>
      </c>
    </row>
    <row r="38" spans="1:8">
      <c r="A38" s="66" t="s">
        <v>335</v>
      </c>
      <c r="B38" s="66">
        <v>2.7368700000000001</v>
      </c>
      <c r="C38" s="66">
        <v>41.624899999999997</v>
      </c>
      <c r="D38" s="66">
        <v>15.209</v>
      </c>
      <c r="E38" s="66">
        <v>0</v>
      </c>
      <c r="F38" s="66">
        <v>-89.520300000000006</v>
      </c>
      <c r="G38" s="66">
        <v>0</v>
      </c>
      <c r="H38" s="66">
        <v>159.38999999999999</v>
      </c>
    </row>
    <row r="39" spans="1:8">
      <c r="A39" s="66" t="s">
        <v>336</v>
      </c>
      <c r="B39" s="66">
        <v>-1.64516</v>
      </c>
      <c r="C39" s="66">
        <v>9.5097699999999996</v>
      </c>
      <c r="D39" s="66">
        <v>-5.7804700000000002</v>
      </c>
      <c r="E39" s="66">
        <v>0</v>
      </c>
      <c r="F39" s="66">
        <v>-14.1769</v>
      </c>
      <c r="G39" s="66">
        <v>0</v>
      </c>
      <c r="H39" s="66">
        <v>37.585999999999999</v>
      </c>
    </row>
    <row r="40" spans="1:8">
      <c r="A40" s="66" t="s">
        <v>337</v>
      </c>
      <c r="B40" s="66">
        <v>-1.15036</v>
      </c>
      <c r="C40" s="66">
        <v>2.1746799999999999</v>
      </c>
      <c r="D40" s="66">
        <v>-1.8904399999999999</v>
      </c>
      <c r="E40" s="66">
        <v>0</v>
      </c>
      <c r="F40" s="66">
        <v>-3.7012299999999998</v>
      </c>
      <c r="G40" s="66">
        <v>0</v>
      </c>
      <c r="H40" s="66">
        <v>3.90882</v>
      </c>
    </row>
    <row r="41" spans="1:8">
      <c r="A41" s="66" t="s">
        <v>338</v>
      </c>
      <c r="B41" s="66">
        <v>-6.6456800000000002E-3</v>
      </c>
      <c r="C41" s="66">
        <v>0.26033899999999999</v>
      </c>
      <c r="D41" s="66">
        <v>-39.174100000000003</v>
      </c>
      <c r="E41" s="66">
        <v>0</v>
      </c>
      <c r="F41" s="66">
        <v>-0.73737399999999997</v>
      </c>
      <c r="G41" s="66">
        <v>0</v>
      </c>
      <c r="H41" s="66">
        <v>1</v>
      </c>
    </row>
    <row r="42" spans="1:8">
      <c r="A42" s="66" t="s">
        <v>339</v>
      </c>
      <c r="B42" s="66">
        <v>-5.9793199999999998E-2</v>
      </c>
      <c r="C42" s="66">
        <v>0.117896</v>
      </c>
      <c r="D42" s="66">
        <v>-1.9717199999999999</v>
      </c>
      <c r="E42" s="66">
        <v>0</v>
      </c>
      <c r="F42" s="66">
        <v>-0.232929</v>
      </c>
      <c r="G42" s="66">
        <v>0</v>
      </c>
      <c r="H42" s="66">
        <v>0.25366899999999998</v>
      </c>
    </row>
    <row r="43" spans="1:8">
      <c r="A43" s="66" t="s">
        <v>340</v>
      </c>
      <c r="B43" s="66">
        <v>-5.1066499999999999E-3</v>
      </c>
      <c r="C43" s="66">
        <v>0.10184600000000001</v>
      </c>
      <c r="D43" s="66">
        <v>-19.943899999999999</v>
      </c>
      <c r="E43" s="66">
        <v>0</v>
      </c>
      <c r="F43" s="66">
        <v>-9.4877799999999998E-2</v>
      </c>
      <c r="G43" s="66">
        <v>0</v>
      </c>
      <c r="H43" s="66">
        <v>0.232876</v>
      </c>
    </row>
    <row r="44" spans="1:8">
      <c r="A44" s="66" t="s">
        <v>341</v>
      </c>
      <c r="B44" s="66">
        <v>-22.367699999999999</v>
      </c>
      <c r="C44" s="66">
        <v>11.7522</v>
      </c>
      <c r="D44" s="66">
        <v>-0.52540699999999996</v>
      </c>
      <c r="E44" s="66">
        <v>0</v>
      </c>
      <c r="F44" s="66">
        <v>-42.3093</v>
      </c>
      <c r="G44" s="66">
        <v>0</v>
      </c>
      <c r="H44" s="66">
        <v>13.386900000000001</v>
      </c>
    </row>
    <row r="45" spans="1:8">
      <c r="A45" s="66" t="s">
        <v>342</v>
      </c>
      <c r="B45" s="66">
        <v>49.689700000000002</v>
      </c>
      <c r="C45" s="66">
        <v>5.7680899999999999</v>
      </c>
      <c r="D45" s="66">
        <v>0.116082</v>
      </c>
      <c r="E45" s="66">
        <v>0</v>
      </c>
      <c r="F45" s="66">
        <v>38.143700000000003</v>
      </c>
      <c r="G45" s="66">
        <v>0</v>
      </c>
      <c r="H45" s="66">
        <v>68.671300000000002</v>
      </c>
    </row>
    <row r="46" spans="1:8">
      <c r="A46" s="66" t="s">
        <v>343</v>
      </c>
      <c r="B46" s="66">
        <v>25.132400000000001</v>
      </c>
      <c r="C46" s="66">
        <v>3.7209400000000001</v>
      </c>
      <c r="D46" s="66">
        <v>0.14805299999999999</v>
      </c>
      <c r="E46" s="66">
        <v>0</v>
      </c>
      <c r="F46" s="66">
        <v>21.184200000000001</v>
      </c>
      <c r="G46" s="66">
        <v>0</v>
      </c>
      <c r="H46" s="66">
        <v>32.683</v>
      </c>
    </row>
    <row r="47" spans="1:8">
      <c r="A47" s="66" t="s">
        <v>344</v>
      </c>
      <c r="B47" s="66">
        <v>1.1657</v>
      </c>
      <c r="C47" s="66">
        <v>0.53891800000000001</v>
      </c>
      <c r="D47" s="66">
        <v>0.462312</v>
      </c>
      <c r="E47" s="66">
        <v>0</v>
      </c>
      <c r="F47" s="66">
        <v>0.387652</v>
      </c>
      <c r="G47" s="66">
        <v>0</v>
      </c>
      <c r="H47" s="66">
        <v>2.8048000000000002</v>
      </c>
    </row>
    <row r="48" spans="1:8">
      <c r="A48" s="66" t="s">
        <v>345</v>
      </c>
      <c r="B48" s="66">
        <v>0.83392200000000005</v>
      </c>
      <c r="C48" s="66">
        <v>0.10477400000000001</v>
      </c>
      <c r="D48" s="66">
        <v>0.12564</v>
      </c>
      <c r="E48" s="66">
        <v>0</v>
      </c>
      <c r="F48" s="66">
        <v>0.58099000000000001</v>
      </c>
      <c r="G48" s="66">
        <v>0</v>
      </c>
      <c r="H48" s="66">
        <v>0.97050800000000004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351</v>
      </c>
      <c r="B1" s="60" t="s">
        <v>352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77.342324289636949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1.4924702822686366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0.55478774594457403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1553</v>
      </c>
      <c r="B8" s="66">
        <v>1553</v>
      </c>
      <c r="D8">
        <f t="shared" si="0"/>
        <v>6.6039300400147979E-3</v>
      </c>
      <c r="E8">
        <f t="shared" si="0"/>
        <v>6.6039300400147979E-3</v>
      </c>
      <c r="G8">
        <f t="shared" ca="1" si="1"/>
        <v>6</v>
      </c>
      <c r="H8">
        <f t="shared" ca="1" si="2"/>
        <v>3.9623580240088788E-2</v>
      </c>
      <c r="I8">
        <f t="shared" ca="1" si="3"/>
        <v>33.612202583013115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3845</v>
      </c>
      <c r="B10" s="66">
        <v>3845</v>
      </c>
      <c r="D10">
        <f t="shared" si="0"/>
        <v>1.6350361238800321E-2</v>
      </c>
      <c r="E10">
        <f t="shared" si="0"/>
        <v>1.6350361238800321E-2</v>
      </c>
      <c r="G10">
        <f t="shared" ca="1" si="1"/>
        <v>8</v>
      </c>
      <c r="H10">
        <f t="shared" ca="1" si="2"/>
        <v>0.13080288991040256</v>
      </c>
      <c r="I10">
        <f t="shared" ca="1" si="3"/>
        <v>78.618389249941004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11574</v>
      </c>
      <c r="B13" s="66">
        <v>11574</v>
      </c>
      <c r="D13">
        <f t="shared" si="0"/>
        <v>4.9216926132087106E-2</v>
      </c>
      <c r="E13">
        <f t="shared" si="0"/>
        <v>4.9216926132087106E-2</v>
      </c>
      <c r="G13">
        <f t="shared" ca="1" si="1"/>
        <v>11</v>
      </c>
      <c r="H13">
        <f t="shared" ca="1" si="2"/>
        <v>0.54138618745295819</v>
      </c>
      <c r="I13">
        <f t="shared" ca="1" si="3"/>
        <v>216.61865346657322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15021</v>
      </c>
      <c r="B15" s="66">
        <v>15021</v>
      </c>
      <c r="D15">
        <f t="shared" si="0"/>
        <v>6.3874844256962188E-2</v>
      </c>
      <c r="E15">
        <f t="shared" si="0"/>
        <v>6.3874844256962188E-2</v>
      </c>
      <c r="G15">
        <f t="shared" ca="1" si="1"/>
        <v>13</v>
      </c>
      <c r="H15">
        <f t="shared" ca="1" si="2"/>
        <v>0.83037297534050847</v>
      </c>
      <c r="I15">
        <f t="shared" ca="1" si="3"/>
        <v>264.43768387665966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18831</v>
      </c>
      <c r="B18" s="66">
        <v>18831</v>
      </c>
      <c r="D18">
        <f t="shared" si="0"/>
        <v>8.0076372558608291E-2</v>
      </c>
      <c r="E18">
        <f t="shared" si="0"/>
        <v>8.0076372558608291E-2</v>
      </c>
      <c r="G18">
        <f t="shared" ca="1" si="1"/>
        <v>16</v>
      </c>
      <c r="H18">
        <f t="shared" ca="1" si="2"/>
        <v>1.2812219609377327</v>
      </c>
      <c r="I18">
        <f t="shared" ca="1" si="3"/>
        <v>301.31784077095716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30213</v>
      </c>
      <c r="B21" s="66">
        <v>30213</v>
      </c>
      <c r="D21">
        <f t="shared" si="0"/>
        <v>0.12847684372116361</v>
      </c>
      <c r="E21">
        <f t="shared" si="0"/>
        <v>0.12847684372116361</v>
      </c>
      <c r="G21">
        <f t="shared" ca="1" si="1"/>
        <v>19</v>
      </c>
      <c r="H21">
        <f t="shared" ca="1" si="2"/>
        <v>2.4410600307021086</v>
      </c>
      <c r="I21">
        <f t="shared" ca="1" si="3"/>
        <v>437.31292428938218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35885</v>
      </c>
      <c r="B23" s="66">
        <v>35885</v>
      </c>
      <c r="D23">
        <f t="shared" si="0"/>
        <v>0.15259628427941471</v>
      </c>
      <c r="E23">
        <f t="shared" si="0"/>
        <v>0.15259628427941471</v>
      </c>
      <c r="G23">
        <f t="shared" ca="1" si="1"/>
        <v>21</v>
      </c>
      <c r="H23">
        <f t="shared" ca="1" si="2"/>
        <v>3.204521969867709</v>
      </c>
      <c r="I23">
        <f t="shared" ca="1" si="3"/>
        <v>484.41042007322091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44735</v>
      </c>
      <c r="B26" s="66">
        <v>44735</v>
      </c>
      <c r="D26">
        <f t="shared" si="0"/>
        <v>0.19022975553126981</v>
      </c>
      <c r="E26">
        <f t="shared" si="0"/>
        <v>0.19022975553126981</v>
      </c>
      <c r="G26">
        <f t="shared" ca="1" si="1"/>
        <v>24</v>
      </c>
      <c r="H26">
        <f t="shared" ca="1" si="2"/>
        <v>4.5655141327504758</v>
      </c>
      <c r="I26">
        <f t="shared" ca="1" si="3"/>
        <v>541.28042372469793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47440</v>
      </c>
      <c r="B28" s="66">
        <v>47440</v>
      </c>
      <c r="D28">
        <f t="shared" si="0"/>
        <v>0.20173241538847522</v>
      </c>
      <c r="E28">
        <f t="shared" si="0"/>
        <v>0.20173241538847522</v>
      </c>
      <c r="G28">
        <f t="shared" ca="1" si="1"/>
        <v>26</v>
      </c>
      <c r="H28">
        <f t="shared" ca="1" si="2"/>
        <v>5.2450428001003555</v>
      </c>
      <c r="I28">
        <f t="shared" ca="1" si="3"/>
        <v>531.7735590150188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52312</v>
      </c>
      <c r="B31" s="66">
        <v>52312</v>
      </c>
      <c r="D31">
        <f t="shared" si="0"/>
        <v>0.22244996024034394</v>
      </c>
      <c r="E31">
        <f t="shared" si="0"/>
        <v>0.22244996024034394</v>
      </c>
      <c r="G31">
        <f t="shared" ca="1" si="1"/>
        <v>29</v>
      </c>
      <c r="H31">
        <f t="shared" ca="1" si="2"/>
        <v>6.4510488469699743</v>
      </c>
      <c r="I31">
        <f t="shared" ca="1" si="3"/>
        <v>519.86117876026412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57789</v>
      </c>
      <c r="B33" s="66">
        <v>57789</v>
      </c>
      <c r="D33">
        <f t="shared" si="0"/>
        <v>0.24574018872016432</v>
      </c>
      <c r="E33">
        <f t="shared" si="0"/>
        <v>0.24574018872016432</v>
      </c>
      <c r="G33">
        <f t="shared" ca="1" si="1"/>
        <v>31</v>
      </c>
      <c r="H33">
        <f t="shared" ca="1" si="2"/>
        <v>7.6179458503250936</v>
      </c>
      <c r="I33">
        <f t="shared" ca="1" si="3"/>
        <v>527.75433749136278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69802</v>
      </c>
      <c r="B36" s="66">
        <v>69802</v>
      </c>
      <c r="D36">
        <f t="shared" si="0"/>
        <v>0.29682390512112877</v>
      </c>
      <c r="E36">
        <f t="shared" si="0"/>
        <v>0.29682390512112877</v>
      </c>
      <c r="G36">
        <f t="shared" ca="1" si="1"/>
        <v>34</v>
      </c>
      <c r="H36">
        <f t="shared" ca="1" si="2"/>
        <v>10.092012774118379</v>
      </c>
      <c r="I36">
        <f t="shared" ca="1" si="3"/>
        <v>557.60064694338723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72840</v>
      </c>
      <c r="B39" s="66">
        <v>72840</v>
      </c>
      <c r="D39">
        <f t="shared" si="0"/>
        <v>0.30974260406611587</v>
      </c>
      <c r="E39">
        <f t="shared" si="0"/>
        <v>0.30974260406611587</v>
      </c>
      <c r="G39">
        <f t="shared" ca="1" si="1"/>
        <v>37</v>
      </c>
      <c r="H39">
        <f t="shared" ca="1" si="2"/>
        <v>11.460476350446287</v>
      </c>
      <c r="I39">
        <f t="shared" ca="1" si="3"/>
        <v>504.10705733016022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80572</v>
      </c>
      <c r="B41" s="66">
        <v>80572</v>
      </c>
      <c r="D41">
        <f t="shared" si="0"/>
        <v>0.34262192606830155</v>
      </c>
      <c r="E41">
        <f t="shared" si="0"/>
        <v>0.34262192606830155</v>
      </c>
      <c r="G41">
        <f t="shared" ca="1" si="1"/>
        <v>39</v>
      </c>
      <c r="H41">
        <f t="shared" ca="1" si="2"/>
        <v>13.362255116663761</v>
      </c>
      <c r="I41">
        <f t="shared" ca="1" si="3"/>
        <v>503.70008507460614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102779</v>
      </c>
      <c r="B44" s="66">
        <v>102779</v>
      </c>
      <c r="D44">
        <f t="shared" si="0"/>
        <v>0.4370542985078435</v>
      </c>
      <c r="E44">
        <f t="shared" si="0"/>
        <v>0.4370542985078435</v>
      </c>
      <c r="G44">
        <f t="shared" ca="1" si="1"/>
        <v>42</v>
      </c>
      <c r="H44">
        <f t="shared" ca="1" si="2"/>
        <v>18.356280537329425</v>
      </c>
      <c r="I44">
        <f t="shared" ca="1" si="3"/>
        <v>545.91573344071526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140396</v>
      </c>
      <c r="B46" s="66">
        <v>140396</v>
      </c>
      <c r="D46">
        <f t="shared" si="0"/>
        <v>0.59701568699157603</v>
      </c>
      <c r="E46">
        <f t="shared" si="0"/>
        <v>0.59701568699157603</v>
      </c>
      <c r="G46">
        <f t="shared" ca="1" si="1"/>
        <v>44</v>
      </c>
      <c r="H46">
        <f t="shared" ca="1" si="2"/>
        <v>26.268690227629346</v>
      </c>
      <c r="I46">
        <f t="shared" ca="1" si="3"/>
        <v>663.70866104872766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154869</v>
      </c>
      <c r="B49" s="66">
        <v>154869</v>
      </c>
      <c r="D49">
        <f t="shared" si="0"/>
        <v>0.65856023268966635</v>
      </c>
      <c r="E49">
        <f t="shared" si="0"/>
        <v>0.65856023268966635</v>
      </c>
      <c r="G49">
        <f t="shared" ca="1" si="1"/>
        <v>47</v>
      </c>
      <c r="H49">
        <f t="shared" ca="1" si="2"/>
        <v>30.952330936414317</v>
      </c>
      <c r="I49">
        <f t="shared" ca="1" si="3"/>
        <v>606.30785323728367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183487</v>
      </c>
      <c r="B51" s="66">
        <v>183487</v>
      </c>
      <c r="D51">
        <f t="shared" si="0"/>
        <v>0.78025454684623008</v>
      </c>
      <c r="E51">
        <f t="shared" si="0"/>
        <v>0.78025454684623008</v>
      </c>
      <c r="G51">
        <f t="shared" ca="1" si="1"/>
        <v>49</v>
      </c>
      <c r="H51">
        <f t="shared" ca="1" si="2"/>
        <v>38.232472795465277</v>
      </c>
      <c r="I51">
        <f t="shared" ca="1" si="3"/>
        <v>626.76860424895301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176179</v>
      </c>
      <c r="B54" s="66">
        <v>176179</v>
      </c>
      <c r="D54">
        <f t="shared" si="0"/>
        <v>0.74917822956842706</v>
      </c>
      <c r="E54">
        <f t="shared" si="0"/>
        <v>0.74917822956842706</v>
      </c>
      <c r="G54">
        <f t="shared" ca="1" si="1"/>
        <v>52</v>
      </c>
      <c r="H54">
        <f t="shared" ca="1" si="2"/>
        <v>38.957267937558207</v>
      </c>
      <c r="I54">
        <f t="shared" ca="1" si="3"/>
        <v>481.14728188222392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183032</v>
      </c>
      <c r="B57" s="66">
        <v>183032</v>
      </c>
      <c r="D57">
        <f t="shared" si="0"/>
        <v>0.77831971866322514</v>
      </c>
      <c r="E57">
        <f t="shared" si="0"/>
        <v>0.77831971866322514</v>
      </c>
      <c r="G57">
        <f t="shared" ca="1" si="1"/>
        <v>55</v>
      </c>
      <c r="H57">
        <f t="shared" ca="1" si="2"/>
        <v>42.807584526477385</v>
      </c>
      <c r="I57">
        <f t="shared" ca="1" si="3"/>
        <v>388.52121271600271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181851</v>
      </c>
      <c r="B59" s="66">
        <v>181851</v>
      </c>
      <c r="D59">
        <f t="shared" si="0"/>
        <v>0.77329767012667805</v>
      </c>
      <c r="E59">
        <f t="shared" si="0"/>
        <v>0.77329767012667805</v>
      </c>
      <c r="G59">
        <f t="shared" ca="1" si="1"/>
        <v>57</v>
      </c>
      <c r="H59">
        <f t="shared" ca="1" si="2"/>
        <v>44.077967197220651</v>
      </c>
      <c r="I59">
        <f t="shared" ca="1" si="3"/>
        <v>319.99843067317943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193762</v>
      </c>
      <c r="B62" s="66">
        <v>193762</v>
      </c>
      <c r="D62">
        <f t="shared" si="0"/>
        <v>0.82394764482507876</v>
      </c>
      <c r="E62">
        <f t="shared" si="0"/>
        <v>0.82394764482507876</v>
      </c>
      <c r="G62">
        <f t="shared" ca="1" si="1"/>
        <v>60</v>
      </c>
      <c r="H62">
        <f t="shared" ca="1" si="2"/>
        <v>49.436858689504724</v>
      </c>
      <c r="I62">
        <f t="shared" ca="1" si="3"/>
        <v>247.80737235187601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191836</v>
      </c>
      <c r="B64" s="66">
        <v>191836</v>
      </c>
      <c r="D64">
        <f t="shared" si="0"/>
        <v>0.81575758091196315</v>
      </c>
      <c r="E64">
        <f t="shared" si="0"/>
        <v>0.81575758091196315</v>
      </c>
      <c r="G64">
        <f t="shared" ca="1" si="1"/>
        <v>62</v>
      </c>
      <c r="H64">
        <f t="shared" ca="1" si="2"/>
        <v>50.576970016541715</v>
      </c>
      <c r="I64">
        <f t="shared" ca="1" si="3"/>
        <v>192.01866003926608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207236</v>
      </c>
      <c r="B67" s="66">
        <v>207236</v>
      </c>
      <c r="D67">
        <f t="shared" ref="D67:E130" si="4">IFERROR( A67/MAX(A$2:A$257), 0 )</f>
        <v>0.88124407325982401</v>
      </c>
      <c r="E67">
        <f t="shared" si="4"/>
        <v>0.88124407325982401</v>
      </c>
      <c r="G67">
        <f t="shared" ref="G67:G130" ca="1" si="5">CELL("row",D67)-2</f>
        <v>65</v>
      </c>
      <c r="H67">
        <f t="shared" ref="H67:H130" ca="1" si="6">D67*G67</f>
        <v>57.280864761888559</v>
      </c>
      <c r="I67">
        <f t="shared" ref="I67:I130" ca="1" si="7">D67*((G67-$L$1)^2)</f>
        <v>134.24252597925621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197570</v>
      </c>
      <c r="B69" s="66">
        <v>197570</v>
      </c>
      <c r="D69">
        <f t="shared" si="4"/>
        <v>0.84014066838745893</v>
      </c>
      <c r="E69">
        <f t="shared" si="4"/>
        <v>0.84014066838745893</v>
      </c>
      <c r="G69">
        <f t="shared" ca="1" si="5"/>
        <v>67</v>
      </c>
      <c r="H69">
        <f t="shared" ca="1" si="6"/>
        <v>56.289424781959745</v>
      </c>
      <c r="I69">
        <f t="shared" ca="1" si="7"/>
        <v>89.86453064530852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227376</v>
      </c>
      <c r="B72" s="66">
        <v>227376</v>
      </c>
      <c r="D72">
        <f t="shared" si="4"/>
        <v>0.96688679766800045</v>
      </c>
      <c r="E72">
        <f t="shared" si="4"/>
        <v>0.96688679766800045</v>
      </c>
      <c r="G72">
        <f t="shared" ca="1" si="5"/>
        <v>70</v>
      </c>
      <c r="H72">
        <f t="shared" ca="1" si="6"/>
        <v>67.682075836760035</v>
      </c>
      <c r="I72">
        <f t="shared" ca="1" si="7"/>
        <v>52.124602310346631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235163</v>
      </c>
      <c r="B75" s="66">
        <v>235163</v>
      </c>
      <c r="D75">
        <f t="shared" si="4"/>
        <v>1</v>
      </c>
      <c r="E75">
        <f t="shared" si="4"/>
        <v>1</v>
      </c>
      <c r="G75">
        <f t="shared" ca="1" si="5"/>
        <v>73</v>
      </c>
      <c r="H75">
        <f t="shared" ca="1" si="6"/>
        <v>73</v>
      </c>
      <c r="I75">
        <f t="shared" ca="1" si="7"/>
        <v>18.855780236371032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221849</v>
      </c>
      <c r="B77" s="66">
        <v>221849</v>
      </c>
      <c r="D77">
        <f t="shared" si="4"/>
        <v>0.94338395070653125</v>
      </c>
      <c r="E77">
        <f t="shared" si="4"/>
        <v>0.94338395070653125</v>
      </c>
      <c r="G77">
        <f t="shared" ca="1" si="5"/>
        <v>75</v>
      </c>
      <c r="H77">
        <f t="shared" ca="1" si="6"/>
        <v>70.753796302989841</v>
      </c>
      <c r="I77">
        <f t="shared" ca="1" si="7"/>
        <v>5.1758600814414137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221373</v>
      </c>
      <c r="B80" s="66">
        <v>221373</v>
      </c>
      <c r="D80">
        <f t="shared" si="4"/>
        <v>0.94135982276123364</v>
      </c>
      <c r="E80">
        <f t="shared" si="4"/>
        <v>0.94135982276123364</v>
      </c>
      <c r="G80">
        <f t="shared" ca="1" si="5"/>
        <v>78</v>
      </c>
      <c r="H80">
        <f t="shared" ca="1" si="6"/>
        <v>73.426066175376221</v>
      </c>
      <c r="I80">
        <f t="shared" ca="1" si="7"/>
        <v>0.407173273721469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199498</v>
      </c>
      <c r="B82" s="66">
        <v>199498</v>
      </c>
      <c r="D82">
        <f t="shared" si="4"/>
        <v>0.84833923703984049</v>
      </c>
      <c r="E82">
        <f t="shared" si="4"/>
        <v>0.84833923703984049</v>
      </c>
      <c r="G82">
        <f t="shared" ca="1" si="5"/>
        <v>80</v>
      </c>
      <c r="H82">
        <f t="shared" ca="1" si="6"/>
        <v>67.867138963187244</v>
      </c>
      <c r="I82">
        <f t="shared" ca="1" si="7"/>
        <v>5.9920237865636183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202709</v>
      </c>
      <c r="B85" s="66">
        <v>202709</v>
      </c>
      <c r="D85">
        <f t="shared" si="4"/>
        <v>0.86199359593133273</v>
      </c>
      <c r="E85">
        <f t="shared" si="4"/>
        <v>0.86199359593133273</v>
      </c>
      <c r="G85">
        <f t="shared" ca="1" si="5"/>
        <v>83</v>
      </c>
      <c r="H85">
        <f t="shared" ca="1" si="6"/>
        <v>71.545468462300619</v>
      </c>
      <c r="I85">
        <f t="shared" ca="1" si="7"/>
        <v>27.591806820691225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190182</v>
      </c>
      <c r="B88" s="66">
        <v>190182</v>
      </c>
      <c r="D88">
        <f t="shared" si="4"/>
        <v>0.80872416153901761</v>
      </c>
      <c r="E88">
        <f t="shared" si="4"/>
        <v>0.80872416153901761</v>
      </c>
      <c r="G88">
        <f t="shared" ca="1" si="5"/>
        <v>86</v>
      </c>
      <c r="H88">
        <f t="shared" ca="1" si="6"/>
        <v>69.55027789235551</v>
      </c>
      <c r="I88">
        <f t="shared" ca="1" si="7"/>
        <v>60.618201534971178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190959</v>
      </c>
      <c r="B90" s="66">
        <v>190959</v>
      </c>
      <c r="D90">
        <f t="shared" si="4"/>
        <v>0.81202825274384149</v>
      </c>
      <c r="E90">
        <f t="shared" si="4"/>
        <v>0.81202825274384149</v>
      </c>
      <c r="G90">
        <f t="shared" ca="1" si="5"/>
        <v>88</v>
      </c>
      <c r="H90">
        <f t="shared" ca="1" si="6"/>
        <v>71.458486241458047</v>
      </c>
      <c r="I90">
        <f t="shared" ca="1" si="7"/>
        <v>92.235082973995546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174453</v>
      </c>
      <c r="B93" s="66">
        <v>174453</v>
      </c>
      <c r="D93">
        <f t="shared" si="4"/>
        <v>0.74183863958190699</v>
      </c>
      <c r="E93">
        <f t="shared" si="4"/>
        <v>0.74183863958190699</v>
      </c>
      <c r="G93">
        <f t="shared" ca="1" si="5"/>
        <v>91</v>
      </c>
      <c r="H93">
        <f t="shared" ca="1" si="6"/>
        <v>67.507316201953529</v>
      </c>
      <c r="I93">
        <f t="shared" ca="1" si="7"/>
        <v>138.37672361202394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172900</v>
      </c>
      <c r="B95" s="66">
        <v>172900</v>
      </c>
      <c r="D95">
        <f t="shared" si="4"/>
        <v>0.73523470954189218</v>
      </c>
      <c r="E95">
        <f t="shared" si="4"/>
        <v>0.73523470954189218</v>
      </c>
      <c r="G95">
        <f t="shared" ca="1" si="5"/>
        <v>93</v>
      </c>
      <c r="H95">
        <f t="shared" ca="1" si="6"/>
        <v>68.37682798739597</v>
      </c>
      <c r="I95">
        <f t="shared" ca="1" si="7"/>
        <v>180.25220640891388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151812</v>
      </c>
      <c r="B98" s="66">
        <v>151812</v>
      </c>
      <c r="D98">
        <f t="shared" si="4"/>
        <v>0.64556073872165265</v>
      </c>
      <c r="E98">
        <f t="shared" si="4"/>
        <v>0.64556073872165265</v>
      </c>
      <c r="G98">
        <f t="shared" ca="1" si="5"/>
        <v>96</v>
      </c>
      <c r="H98">
        <f t="shared" ca="1" si="6"/>
        <v>61.973830917278654</v>
      </c>
      <c r="I98">
        <f t="shared" ca="1" si="7"/>
        <v>224.72541469771687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141957</v>
      </c>
      <c r="B100" s="66">
        <v>141957</v>
      </c>
      <c r="D100">
        <f t="shared" si="4"/>
        <v>0.60365363598865462</v>
      </c>
      <c r="E100">
        <f t="shared" si="4"/>
        <v>0.60365363598865462</v>
      </c>
      <c r="G100">
        <f t="shared" ca="1" si="5"/>
        <v>98</v>
      </c>
      <c r="H100">
        <f t="shared" ca="1" si="6"/>
        <v>59.158056326888151</v>
      </c>
      <c r="I100">
        <f t="shared" ca="1" si="7"/>
        <v>257.60289048793771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129779</v>
      </c>
      <c r="B103" s="66">
        <v>129779</v>
      </c>
      <c r="D103">
        <f t="shared" si="4"/>
        <v>0.55186827859824883</v>
      </c>
      <c r="E103">
        <f t="shared" si="4"/>
        <v>0.55186827859824883</v>
      </c>
      <c r="G103">
        <f t="shared" ca="1" si="5"/>
        <v>101</v>
      </c>
      <c r="H103">
        <f t="shared" ca="1" si="6"/>
        <v>55.73869613842313</v>
      </c>
      <c r="I103">
        <f t="shared" ca="1" si="7"/>
        <v>308.87273967481087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122329</v>
      </c>
      <c r="B106" s="66">
        <v>122329</v>
      </c>
      <c r="D106">
        <f t="shared" si="4"/>
        <v>0.52018812483256294</v>
      </c>
      <c r="E106">
        <f t="shared" si="4"/>
        <v>0.52018812483256294</v>
      </c>
      <c r="G106">
        <f t="shared" ca="1" si="5"/>
        <v>104</v>
      </c>
      <c r="H106">
        <f t="shared" ca="1" si="6"/>
        <v>54.099564982586543</v>
      </c>
      <c r="I106">
        <f t="shared" ca="1" si="7"/>
        <v>369.66215808975534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115873</v>
      </c>
      <c r="B108" s="66">
        <v>115873</v>
      </c>
      <c r="D108">
        <f t="shared" si="4"/>
        <v>0.49273482648205713</v>
      </c>
      <c r="E108">
        <f t="shared" si="4"/>
        <v>0.49273482648205713</v>
      </c>
      <c r="G108">
        <f t="shared" ca="1" si="5"/>
        <v>106</v>
      </c>
      <c r="H108">
        <f t="shared" ca="1" si="6"/>
        <v>52.229891607098054</v>
      </c>
      <c r="I108">
        <f t="shared" ca="1" si="7"/>
        <v>404.66457488662877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113453</v>
      </c>
      <c r="B111" s="66">
        <v>113453</v>
      </c>
      <c r="D111">
        <f t="shared" si="4"/>
        <v>0.4824440919702504</v>
      </c>
      <c r="E111">
        <f t="shared" si="4"/>
        <v>0.4824440919702504</v>
      </c>
      <c r="G111">
        <f t="shared" ca="1" si="5"/>
        <v>109</v>
      </c>
      <c r="H111">
        <f t="shared" ca="1" si="6"/>
        <v>52.586406024757295</v>
      </c>
      <c r="I111">
        <f t="shared" ca="1" si="7"/>
        <v>483.50953664326443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96712</v>
      </c>
      <c r="B113" s="66">
        <v>96712</v>
      </c>
      <c r="D113">
        <f t="shared" si="4"/>
        <v>0.41125517194456612</v>
      </c>
      <c r="E113">
        <f t="shared" si="4"/>
        <v>0.41125517194456612</v>
      </c>
      <c r="G113">
        <f t="shared" ca="1" si="5"/>
        <v>111</v>
      </c>
      <c r="H113">
        <f t="shared" ca="1" si="6"/>
        <v>45.649324085846843</v>
      </c>
      <c r="I113">
        <f t="shared" ca="1" si="7"/>
        <v>465.88595293080931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89786</v>
      </c>
      <c r="B116" s="66">
        <v>89786</v>
      </c>
      <c r="D116">
        <f t="shared" si="4"/>
        <v>0.38180325986656066</v>
      </c>
      <c r="E116">
        <f t="shared" si="4"/>
        <v>0.38180325986656066</v>
      </c>
      <c r="G116">
        <f t="shared" ca="1" si="5"/>
        <v>114</v>
      </c>
      <c r="H116">
        <f t="shared" ca="1" si="6"/>
        <v>43.525571624787915</v>
      </c>
      <c r="I116">
        <f t="shared" ca="1" si="7"/>
        <v>513.06156552440939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77771</v>
      </c>
      <c r="B118" s="66">
        <v>77771</v>
      </c>
      <c r="D118">
        <f t="shared" si="4"/>
        <v>0.33071103872633023</v>
      </c>
      <c r="E118">
        <f t="shared" si="4"/>
        <v>0.33071103872633023</v>
      </c>
      <c r="G118">
        <f t="shared" ca="1" si="5"/>
        <v>116</v>
      </c>
      <c r="H118">
        <f t="shared" ca="1" si="6"/>
        <v>38.362480492254306</v>
      </c>
      <c r="I118">
        <f t="shared" ca="1" si="7"/>
        <v>494.2198317100831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72101</v>
      </c>
      <c r="B121" s="66">
        <v>72101</v>
      </c>
      <c r="D121">
        <f t="shared" si="4"/>
        <v>0.30660010290734513</v>
      </c>
      <c r="E121">
        <f t="shared" si="4"/>
        <v>0.30660010290734513</v>
      </c>
      <c r="G121">
        <f t="shared" ca="1" si="5"/>
        <v>119</v>
      </c>
      <c r="H121">
        <f t="shared" ca="1" si="6"/>
        <v>36.485412245974068</v>
      </c>
      <c r="I121">
        <f t="shared" ca="1" si="7"/>
        <v>532.06215109931463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74106</v>
      </c>
      <c r="B124" s="66">
        <v>74106</v>
      </c>
      <c r="D124">
        <f t="shared" si="4"/>
        <v>0.31512610402146596</v>
      </c>
      <c r="E124">
        <f t="shared" si="4"/>
        <v>0.31512610402146596</v>
      </c>
      <c r="G124">
        <f t="shared" ca="1" si="5"/>
        <v>122</v>
      </c>
      <c r="H124">
        <f t="shared" ca="1" si="6"/>
        <v>38.445384690618845</v>
      </c>
      <c r="I124">
        <f t="shared" ca="1" si="7"/>
        <v>628.45851021218732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59884</v>
      </c>
      <c r="B126" s="66">
        <v>59884</v>
      </c>
      <c r="D126">
        <f t="shared" si="4"/>
        <v>0.25464890310125315</v>
      </c>
      <c r="E126">
        <f t="shared" si="4"/>
        <v>0.25464890310125315</v>
      </c>
      <c r="G126">
        <f t="shared" ca="1" si="5"/>
        <v>124</v>
      </c>
      <c r="H126">
        <f t="shared" ca="1" si="6"/>
        <v>31.576463984555392</v>
      </c>
      <c r="I126">
        <f t="shared" ca="1" si="7"/>
        <v>554.35505275953994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58020</v>
      </c>
      <c r="B129" s="66">
        <v>58020</v>
      </c>
      <c r="D129">
        <f t="shared" si="4"/>
        <v>0.24672248610538222</v>
      </c>
      <c r="E129">
        <f t="shared" si="4"/>
        <v>0.24672248610538222</v>
      </c>
      <c r="G129">
        <f t="shared" ca="1" si="5"/>
        <v>127</v>
      </c>
      <c r="H129">
        <f t="shared" ca="1" si="6"/>
        <v>31.333755735383541</v>
      </c>
      <c r="I129">
        <f t="shared" ca="1" si="7"/>
        <v>608.38921768544708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53579</v>
      </c>
      <c r="B131" s="66">
        <v>53579</v>
      </c>
      <c r="D131">
        <f t="shared" ref="D131:E194" si="8">IFERROR( A131/MAX(A$2:A$257), 0 )</f>
        <v>0.22783771256532703</v>
      </c>
      <c r="E131">
        <f t="shared" si="8"/>
        <v>0.22783771256532703</v>
      </c>
      <c r="G131">
        <f t="shared" ref="G131:G194" ca="1" si="9">CELL("row",D131)-2</f>
        <v>129</v>
      </c>
      <c r="H131">
        <f t="shared" ref="H131:H194" ca="1" si="10">D131*G131</f>
        <v>29.391064920927189</v>
      </c>
      <c r="I131">
        <f t="shared" ref="I131:I194" ca="1" si="11">D131*((G131-$L$1)^2)</f>
        <v>607.98845830536789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43864</v>
      </c>
      <c r="B134" s="66">
        <v>43864</v>
      </c>
      <c r="D134">
        <f t="shared" si="8"/>
        <v>0.18652594158094599</v>
      </c>
      <c r="E134">
        <f t="shared" si="8"/>
        <v>0.18652594158094599</v>
      </c>
      <c r="G134">
        <f t="shared" ca="1" si="9"/>
        <v>132</v>
      </c>
      <c r="H134">
        <f t="shared" ca="1" si="10"/>
        <v>24.621424288684871</v>
      </c>
      <c r="I134">
        <f t="shared" ca="1" si="11"/>
        <v>557.23907184673283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41574</v>
      </c>
      <c r="B136" s="66">
        <v>41574</v>
      </c>
      <c r="D136">
        <f t="shared" si="8"/>
        <v>0.17678801512142642</v>
      </c>
      <c r="E136">
        <f t="shared" si="8"/>
        <v>0.17678801512142642</v>
      </c>
      <c r="G136">
        <f t="shared" ca="1" si="9"/>
        <v>134</v>
      </c>
      <c r="H136">
        <f t="shared" ca="1" si="10"/>
        <v>23.689594026271141</v>
      </c>
      <c r="I136">
        <f t="shared" ca="1" si="11"/>
        <v>567.50583138260765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34158</v>
      </c>
      <c r="B139" s="66">
        <v>34158</v>
      </c>
      <c r="D139">
        <f t="shared" si="8"/>
        <v>0.14525244192326173</v>
      </c>
      <c r="E139">
        <f t="shared" si="8"/>
        <v>0.14525244192326173</v>
      </c>
      <c r="G139">
        <f t="shared" ca="1" si="9"/>
        <v>137</v>
      </c>
      <c r="H139">
        <f t="shared" ca="1" si="10"/>
        <v>19.899584543486856</v>
      </c>
      <c r="I139">
        <f t="shared" ca="1" si="11"/>
        <v>516.95899978474654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25891</v>
      </c>
      <c r="B142" s="66">
        <v>25891</v>
      </c>
      <c r="D142">
        <f t="shared" si="8"/>
        <v>0.11009810216743281</v>
      </c>
      <c r="E142">
        <f t="shared" si="8"/>
        <v>0.11009810216743281</v>
      </c>
      <c r="G142">
        <f t="shared" ca="1" si="9"/>
        <v>140</v>
      </c>
      <c r="H142">
        <f t="shared" ca="1" si="10"/>
        <v>15.413734303440593</v>
      </c>
      <c r="I142">
        <f t="shared" ca="1" si="11"/>
        <v>432.24342336838362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24785</v>
      </c>
      <c r="B144" s="66">
        <v>24785</v>
      </c>
      <c r="D144">
        <f t="shared" si="8"/>
        <v>0.10539498135335916</v>
      </c>
      <c r="E144">
        <f t="shared" si="8"/>
        <v>0.10539498135335916</v>
      </c>
      <c r="G144">
        <f t="shared" ca="1" si="9"/>
        <v>142</v>
      </c>
      <c r="H144">
        <f t="shared" ca="1" si="10"/>
        <v>14.966087352177</v>
      </c>
      <c r="I144">
        <f t="shared" ca="1" si="11"/>
        <v>440.61584294971789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23052</v>
      </c>
      <c r="B147" s="66">
        <v>23052</v>
      </c>
      <c r="D147">
        <f t="shared" si="8"/>
        <v>9.8025624779408321E-2</v>
      </c>
      <c r="E147">
        <f t="shared" si="8"/>
        <v>9.8025624779408321E-2</v>
      </c>
      <c r="G147">
        <f t="shared" ca="1" si="9"/>
        <v>145</v>
      </c>
      <c r="H147">
        <f t="shared" ca="1" si="10"/>
        <v>14.213715593014207</v>
      </c>
      <c r="I147">
        <f t="shared" ca="1" si="11"/>
        <v>448.71828508077567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17594</v>
      </c>
      <c r="B149" s="66">
        <v>17594</v>
      </c>
      <c r="D149">
        <f t="shared" si="8"/>
        <v>7.4816191322614523E-2</v>
      </c>
      <c r="E149">
        <f t="shared" si="8"/>
        <v>7.4816191322614523E-2</v>
      </c>
      <c r="G149">
        <f t="shared" ca="1" si="9"/>
        <v>147</v>
      </c>
      <c r="H149">
        <f t="shared" ca="1" si="10"/>
        <v>10.997980124424334</v>
      </c>
      <c r="I149">
        <f t="shared" ca="1" si="11"/>
        <v>363.02250894826813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15023</v>
      </c>
      <c r="B152" s="66">
        <v>15023</v>
      </c>
      <c r="D152">
        <f t="shared" si="8"/>
        <v>6.3883348996228148E-2</v>
      </c>
      <c r="E152">
        <f t="shared" si="8"/>
        <v>6.3883348996228148E-2</v>
      </c>
      <c r="G152">
        <f t="shared" ca="1" si="9"/>
        <v>150</v>
      </c>
      <c r="H152">
        <f t="shared" ca="1" si="10"/>
        <v>9.5825023494342219</v>
      </c>
      <c r="I152">
        <f t="shared" ca="1" si="11"/>
        <v>337.2490050084229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13928</v>
      </c>
      <c r="B154" s="66">
        <v>13928</v>
      </c>
      <c r="D154">
        <f t="shared" si="8"/>
        <v>5.9227004248117263E-2</v>
      </c>
      <c r="E154">
        <f t="shared" si="8"/>
        <v>5.9227004248117263E-2</v>
      </c>
      <c r="G154">
        <f t="shared" ca="1" si="9"/>
        <v>152</v>
      </c>
      <c r="H154">
        <f t="shared" ca="1" si="10"/>
        <v>9.0025046457138238</v>
      </c>
      <c r="I154">
        <f t="shared" ca="1" si="11"/>
        <v>330.11761314311411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8034</v>
      </c>
      <c r="B157" s="66">
        <v>8034</v>
      </c>
      <c r="D157">
        <f t="shared" si="8"/>
        <v>3.4163537631345067E-2</v>
      </c>
      <c r="E157">
        <f t="shared" si="8"/>
        <v>3.4163537631345067E-2</v>
      </c>
      <c r="G157">
        <f t="shared" ca="1" si="9"/>
        <v>155</v>
      </c>
      <c r="H157">
        <f t="shared" ca="1" si="10"/>
        <v>5.2953483328584854</v>
      </c>
      <c r="I157">
        <f t="shared" ca="1" si="11"/>
        <v>206.03054506948928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5024</v>
      </c>
      <c r="B160" s="66">
        <v>5024</v>
      </c>
      <c r="D160">
        <f t="shared" si="8"/>
        <v>2.1363905036081356E-2</v>
      </c>
      <c r="E160">
        <f t="shared" si="8"/>
        <v>2.1363905036081356E-2</v>
      </c>
      <c r="G160">
        <f t="shared" ca="1" si="9"/>
        <v>158</v>
      </c>
      <c r="H160">
        <f t="shared" ca="1" si="10"/>
        <v>3.3754969957008543</v>
      </c>
      <c r="I160">
        <f t="shared" ca="1" si="11"/>
        <v>138.98631634489439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4336</v>
      </c>
      <c r="B162" s="66">
        <v>4336</v>
      </c>
      <c r="D162">
        <f t="shared" si="8"/>
        <v>1.8438274728592507E-2</v>
      </c>
      <c r="E162">
        <f t="shared" si="8"/>
        <v>1.8438274728592507E-2</v>
      </c>
      <c r="G162">
        <f t="shared" ca="1" si="9"/>
        <v>160</v>
      </c>
      <c r="H162">
        <f t="shared" ca="1" si="10"/>
        <v>2.9501239565748012</v>
      </c>
      <c r="I162">
        <f t="shared" ca="1" si="11"/>
        <v>125.97566500788072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2712</v>
      </c>
      <c r="B165" s="66">
        <v>2712</v>
      </c>
      <c r="D165">
        <f t="shared" si="8"/>
        <v>1.1532426444636274E-2</v>
      </c>
      <c r="E165">
        <f t="shared" si="8"/>
        <v>1.1532426444636274E-2</v>
      </c>
      <c r="G165">
        <f t="shared" ca="1" si="9"/>
        <v>163</v>
      </c>
      <c r="H165">
        <f t="shared" ca="1" si="10"/>
        <v>1.8797855104757126</v>
      </c>
      <c r="I165">
        <f t="shared" ca="1" si="11"/>
        <v>84.616150715766793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957</v>
      </c>
      <c r="B167" s="66">
        <v>957</v>
      </c>
      <c r="D167">
        <f t="shared" si="8"/>
        <v>4.0695177387599238E-3</v>
      </c>
      <c r="E167">
        <f t="shared" si="8"/>
        <v>4.0695177387599238E-3</v>
      </c>
      <c r="G167">
        <f t="shared" ca="1" si="9"/>
        <v>165</v>
      </c>
      <c r="H167">
        <f t="shared" ca="1" si="10"/>
        <v>0.67147042689538738</v>
      </c>
      <c r="I167">
        <f t="shared" ca="1" si="11"/>
        <v>31.269637579774948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486</v>
      </c>
      <c r="B170" s="66">
        <v>486</v>
      </c>
      <c r="D170">
        <f t="shared" si="8"/>
        <v>2.0666516416272969E-3</v>
      </c>
      <c r="E170">
        <f t="shared" si="8"/>
        <v>2.0666516416272969E-3</v>
      </c>
      <c r="G170">
        <f t="shared" ca="1" si="9"/>
        <v>168</v>
      </c>
      <c r="H170">
        <f t="shared" ca="1" si="10"/>
        <v>0.34719747579338589</v>
      </c>
      <c r="I170">
        <f t="shared" ca="1" si="11"/>
        <v>16.985425786751321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254</v>
      </c>
      <c r="B173" s="66">
        <v>254</v>
      </c>
      <c r="D173">
        <f t="shared" si="8"/>
        <v>1.0801018867764062E-3</v>
      </c>
      <c r="E173">
        <f t="shared" si="8"/>
        <v>1.0801018867764062E-3</v>
      </c>
      <c r="G173">
        <f t="shared" ca="1" si="9"/>
        <v>171</v>
      </c>
      <c r="H173">
        <f t="shared" ca="1" si="10"/>
        <v>0.18469742263876546</v>
      </c>
      <c r="I173">
        <f t="shared" ca="1" si="11"/>
        <v>9.4743947633971004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703</v>
      </c>
      <c r="B175" s="66">
        <v>703</v>
      </c>
      <c r="D175">
        <f t="shared" si="8"/>
        <v>2.9894158519835176E-3</v>
      </c>
      <c r="E175">
        <f t="shared" si="8"/>
        <v>2.9894158519835176E-3</v>
      </c>
      <c r="G175">
        <f t="shared" ca="1" si="9"/>
        <v>173</v>
      </c>
      <c r="H175">
        <f t="shared" ca="1" si="10"/>
        <v>0.51716894239314859</v>
      </c>
      <c r="I175">
        <f t="shared" ca="1" si="11"/>
        <v>27.35432367499655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192</v>
      </c>
      <c r="B178" s="66">
        <v>192</v>
      </c>
      <c r="D178">
        <f t="shared" si="8"/>
        <v>8.1645496953177158E-4</v>
      </c>
      <c r="E178">
        <f t="shared" si="8"/>
        <v>8.1645496953177158E-4</v>
      </c>
      <c r="G178">
        <f t="shared" ca="1" si="9"/>
        <v>176</v>
      </c>
      <c r="H178">
        <f t="shared" ca="1" si="10"/>
        <v>0.14369607463759179</v>
      </c>
      <c r="I178">
        <f t="shared" ca="1" si="11"/>
        <v>7.9468313446488716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134</v>
      </c>
      <c r="B180" s="66">
        <v>134</v>
      </c>
      <c r="D180">
        <f t="shared" si="8"/>
        <v>5.698175308190489E-4</v>
      </c>
      <c r="E180">
        <f t="shared" si="8"/>
        <v>5.698175308190489E-4</v>
      </c>
      <c r="G180">
        <f t="shared" ca="1" si="9"/>
        <v>178</v>
      </c>
      <c r="H180">
        <f t="shared" ca="1" si="10"/>
        <v>0.10142752048579071</v>
      </c>
      <c r="I180">
        <f t="shared" ca="1" si="11"/>
        <v>5.7733728054213032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0</v>
      </c>
      <c r="B183" s="66">
        <v>0</v>
      </c>
      <c r="D183">
        <f t="shared" si="8"/>
        <v>0</v>
      </c>
      <c r="E183">
        <f t="shared" si="8"/>
        <v>0</v>
      </c>
      <c r="G183">
        <f t="shared" ca="1" si="9"/>
        <v>181</v>
      </c>
      <c r="H183">
        <f t="shared" ca="1" si="10"/>
        <v>0</v>
      </c>
      <c r="I183">
        <f t="shared" ca="1" si="11"/>
        <v>0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0</v>
      </c>
      <c r="B185" s="66">
        <v>0</v>
      </c>
      <c r="D185">
        <f t="shared" si="8"/>
        <v>0</v>
      </c>
      <c r="E185">
        <f t="shared" si="8"/>
        <v>0</v>
      </c>
      <c r="G185">
        <f t="shared" ca="1" si="9"/>
        <v>183</v>
      </c>
      <c r="H185">
        <f t="shared" ca="1" si="10"/>
        <v>0</v>
      </c>
      <c r="I185">
        <f t="shared" ca="1" si="11"/>
        <v>0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0</v>
      </c>
      <c r="B188" s="66">
        <v>0</v>
      </c>
      <c r="D188">
        <f t="shared" si="8"/>
        <v>0</v>
      </c>
      <c r="E188">
        <f t="shared" si="8"/>
        <v>0</v>
      </c>
      <c r="G188">
        <f t="shared" ca="1" si="9"/>
        <v>186</v>
      </c>
      <c r="H188">
        <f t="shared" ca="1" si="10"/>
        <v>0</v>
      </c>
      <c r="I188">
        <f t="shared" ca="1" si="11"/>
        <v>0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0</v>
      </c>
      <c r="B191" s="66">
        <v>0</v>
      </c>
      <c r="D191">
        <f t="shared" si="8"/>
        <v>0</v>
      </c>
      <c r="E191">
        <f t="shared" si="8"/>
        <v>0</v>
      </c>
      <c r="G191">
        <f t="shared" ca="1" si="9"/>
        <v>189</v>
      </c>
      <c r="H191">
        <f t="shared" ca="1" si="10"/>
        <v>0</v>
      </c>
      <c r="I191">
        <f t="shared" ca="1" si="11"/>
        <v>0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0</v>
      </c>
      <c r="B193" s="66">
        <v>0</v>
      </c>
      <c r="D193">
        <f t="shared" si="8"/>
        <v>0</v>
      </c>
      <c r="E193">
        <f t="shared" si="8"/>
        <v>0</v>
      </c>
      <c r="G193">
        <f t="shared" ca="1" si="9"/>
        <v>191</v>
      </c>
      <c r="H193">
        <f t="shared" ca="1" si="10"/>
        <v>0</v>
      </c>
      <c r="I193">
        <f t="shared" ca="1" si="11"/>
        <v>0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0</v>
      </c>
      <c r="B196" s="66">
        <v>0</v>
      </c>
      <c r="D196">
        <f t="shared" si="12"/>
        <v>0</v>
      </c>
      <c r="E196">
        <f t="shared" si="12"/>
        <v>0</v>
      </c>
      <c r="G196">
        <f t="shared" ca="1" si="13"/>
        <v>194</v>
      </c>
      <c r="H196">
        <f t="shared" ca="1" si="14"/>
        <v>0</v>
      </c>
      <c r="I196">
        <f t="shared" ca="1" si="15"/>
        <v>0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0</v>
      </c>
      <c r="B198" s="66">
        <v>0</v>
      </c>
      <c r="D198">
        <f t="shared" si="12"/>
        <v>0</v>
      </c>
      <c r="E198">
        <f t="shared" si="12"/>
        <v>0</v>
      </c>
      <c r="G198">
        <f t="shared" ca="1" si="13"/>
        <v>196</v>
      </c>
      <c r="H198">
        <f t="shared" ca="1" si="14"/>
        <v>0</v>
      </c>
      <c r="I198">
        <f t="shared" ca="1" si="15"/>
        <v>0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0</v>
      </c>
      <c r="B201" s="66">
        <v>0</v>
      </c>
      <c r="D201">
        <f t="shared" si="12"/>
        <v>0</v>
      </c>
      <c r="E201">
        <f t="shared" si="12"/>
        <v>0</v>
      </c>
      <c r="G201">
        <f t="shared" ca="1" si="13"/>
        <v>199</v>
      </c>
      <c r="H201">
        <f t="shared" ca="1" si="14"/>
        <v>0</v>
      </c>
      <c r="I201">
        <f t="shared" ca="1" si="15"/>
        <v>0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0</v>
      </c>
      <c r="B203" s="66">
        <v>0</v>
      </c>
      <c r="D203">
        <f t="shared" si="12"/>
        <v>0</v>
      </c>
      <c r="E203">
        <f t="shared" si="12"/>
        <v>0</v>
      </c>
      <c r="G203">
        <f t="shared" ca="1" si="13"/>
        <v>201</v>
      </c>
      <c r="H203">
        <f t="shared" ca="1" si="14"/>
        <v>0</v>
      </c>
      <c r="I203">
        <f t="shared" ca="1" si="15"/>
        <v>0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0</v>
      </c>
      <c r="B206" s="66">
        <v>0</v>
      </c>
      <c r="D206">
        <f t="shared" si="12"/>
        <v>0</v>
      </c>
      <c r="E206">
        <f t="shared" si="12"/>
        <v>0</v>
      </c>
      <c r="G206">
        <f t="shared" ca="1" si="13"/>
        <v>204</v>
      </c>
      <c r="H206">
        <f t="shared" ca="1" si="14"/>
        <v>0</v>
      </c>
      <c r="I206">
        <f t="shared" ca="1" si="15"/>
        <v>0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0</v>
      </c>
      <c r="B209" s="66">
        <v>0</v>
      </c>
      <c r="D209">
        <f t="shared" si="12"/>
        <v>0</v>
      </c>
      <c r="E209">
        <f t="shared" si="12"/>
        <v>0</v>
      </c>
      <c r="G209">
        <f t="shared" ca="1" si="13"/>
        <v>207</v>
      </c>
      <c r="H209">
        <f t="shared" ca="1" si="14"/>
        <v>0</v>
      </c>
      <c r="I209">
        <f t="shared" ca="1" si="15"/>
        <v>0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351</v>
      </c>
      <c r="B1" s="66" t="s">
        <v>352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82.228550486989604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1.5867595017738805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0.55754993224945415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1088</v>
      </c>
      <c r="B8" s="66">
        <v>1088</v>
      </c>
      <c r="D8">
        <f t="shared" si="0"/>
        <v>0.84791994638153279</v>
      </c>
      <c r="E8">
        <f t="shared" si="1"/>
        <v>0.84791994638153279</v>
      </c>
      <c r="G8">
        <f t="shared" ca="1" si="2"/>
        <v>6</v>
      </c>
      <c r="H8">
        <f t="shared" ca="1" si="3"/>
        <v>5.0875196782891967</v>
      </c>
      <c r="I8">
        <f t="shared" ca="1" si="4"/>
        <v>4927.0863642081958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418</v>
      </c>
      <c r="B10" s="66">
        <v>418</v>
      </c>
      <c r="D10">
        <f t="shared" si="0"/>
        <v>0.3257633617531992</v>
      </c>
      <c r="E10">
        <f t="shared" si="1"/>
        <v>0.3257633617531992</v>
      </c>
      <c r="G10">
        <f t="shared" ca="1" si="2"/>
        <v>8</v>
      </c>
      <c r="H10">
        <f t="shared" ca="1" si="3"/>
        <v>2.6061068940255936</v>
      </c>
      <c r="I10">
        <f t="shared" ca="1" si="4"/>
        <v>1794.916284811492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1289</v>
      </c>
      <c r="B13" s="66">
        <v>1289</v>
      </c>
      <c r="D13">
        <f t="shared" si="0"/>
        <v>1.0045669217700328</v>
      </c>
      <c r="E13">
        <f t="shared" si="1"/>
        <v>1.0045669217700328</v>
      </c>
      <c r="G13">
        <f t="shared" ca="1" si="2"/>
        <v>11</v>
      </c>
      <c r="H13">
        <f t="shared" ca="1" si="3"/>
        <v>11.050236139470361</v>
      </c>
      <c r="I13">
        <f t="shared" ca="1" si="4"/>
        <v>5096.6767113266369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2702</v>
      </c>
      <c r="B15" s="66">
        <v>2702</v>
      </c>
      <c r="D15">
        <f t="shared" si="0"/>
        <v>2.1057717786056083</v>
      </c>
      <c r="E15">
        <f t="shared" si="1"/>
        <v>2.1057717786056083</v>
      </c>
      <c r="G15">
        <f t="shared" ca="1" si="2"/>
        <v>13</v>
      </c>
      <c r="H15">
        <f t="shared" ca="1" si="3"/>
        <v>27.375033121872907</v>
      </c>
      <c r="I15">
        <f t="shared" ca="1" si="4"/>
        <v>10092.10540645227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8527</v>
      </c>
      <c r="B18" s="66">
        <v>8527</v>
      </c>
      <c r="D18">
        <f t="shared" si="0"/>
        <v>6.6454167121280605</v>
      </c>
      <c r="E18">
        <f t="shared" si="1"/>
        <v>6.6454167121280605</v>
      </c>
      <c r="G18">
        <f t="shared" ca="1" si="2"/>
        <v>16</v>
      </c>
      <c r="H18">
        <f t="shared" ca="1" si="3"/>
        <v>106.32666739404897</v>
      </c>
      <c r="I18">
        <f t="shared" ca="1" si="4"/>
        <v>29148.265669338591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16093</v>
      </c>
      <c r="B21" s="66">
        <v>16093</v>
      </c>
      <c r="D21">
        <f t="shared" si="0"/>
        <v>12.541889427498168</v>
      </c>
      <c r="E21">
        <f t="shared" si="1"/>
        <v>12.541889427498168</v>
      </c>
      <c r="G21">
        <f t="shared" ca="1" si="2"/>
        <v>19</v>
      </c>
      <c r="H21">
        <f t="shared" ca="1" si="3"/>
        <v>238.29589912246519</v>
      </c>
      <c r="I21">
        <f t="shared" ca="1" si="4"/>
        <v>50140.587589401366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20469</v>
      </c>
      <c r="B23" s="66">
        <v>20469</v>
      </c>
      <c r="D23">
        <f t="shared" si="0"/>
        <v>15.952273329488598</v>
      </c>
      <c r="E23">
        <f t="shared" si="1"/>
        <v>15.952273329488598</v>
      </c>
      <c r="G23">
        <f t="shared" ca="1" si="2"/>
        <v>21</v>
      </c>
      <c r="H23">
        <f t="shared" ca="1" si="3"/>
        <v>334.99773991926054</v>
      </c>
      <c r="I23">
        <f t="shared" ca="1" si="4"/>
        <v>59804.042111452174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19590</v>
      </c>
      <c r="B26" s="66">
        <v>19590</v>
      </c>
      <c r="D26">
        <f t="shared" si="0"/>
        <v>15.267235063983666</v>
      </c>
      <c r="E26">
        <f t="shared" si="1"/>
        <v>15.267235063983666</v>
      </c>
      <c r="G26">
        <f t="shared" ca="1" si="2"/>
        <v>24</v>
      </c>
      <c r="H26">
        <f t="shared" ca="1" si="3"/>
        <v>366.41364153560801</v>
      </c>
      <c r="I26">
        <f t="shared" ca="1" si="4"/>
        <v>51764.538989255605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25124</v>
      </c>
      <c r="B28" s="66">
        <v>25124</v>
      </c>
      <c r="D28">
        <f t="shared" si="0"/>
        <v>19.580092585376498</v>
      </c>
      <c r="E28">
        <f t="shared" si="1"/>
        <v>19.580092585376498</v>
      </c>
      <c r="G28">
        <f t="shared" ca="1" si="2"/>
        <v>26</v>
      </c>
      <c r="H28">
        <f t="shared" ca="1" si="3"/>
        <v>509.08240721978893</v>
      </c>
      <c r="I28">
        <f t="shared" ca="1" si="4"/>
        <v>61905.397566159649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28246</v>
      </c>
      <c r="B31" s="66">
        <v>28246</v>
      </c>
      <c r="D31">
        <f t="shared" si="0"/>
        <v>22.01318640210733</v>
      </c>
      <c r="E31">
        <f t="shared" si="1"/>
        <v>22.01318640210733</v>
      </c>
      <c r="G31">
        <f t="shared" ca="1" si="2"/>
        <v>29</v>
      </c>
      <c r="H31">
        <f t="shared" ca="1" si="3"/>
        <v>638.38240566111256</v>
      </c>
      <c r="I31">
        <f t="shared" ca="1" si="4"/>
        <v>62369.489663541586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28910</v>
      </c>
      <c r="B33" s="66">
        <v>28910</v>
      </c>
      <c r="D33">
        <f t="shared" si="0"/>
        <v>22.530666957619591</v>
      </c>
      <c r="E33">
        <f t="shared" si="1"/>
        <v>22.530666957619591</v>
      </c>
      <c r="G33">
        <f t="shared" ca="1" si="2"/>
        <v>31</v>
      </c>
      <c r="H33">
        <f t="shared" ca="1" si="3"/>
        <v>698.45067568620732</v>
      </c>
      <c r="I33">
        <f t="shared" ca="1" si="4"/>
        <v>59128.679933829058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33493</v>
      </c>
      <c r="B36" s="66">
        <v>33493</v>
      </c>
      <c r="D36">
        <f t="shared" si="0"/>
        <v>26.102373864114593</v>
      </c>
      <c r="E36">
        <f t="shared" si="1"/>
        <v>26.102373864114593</v>
      </c>
      <c r="G36">
        <f t="shared" ca="1" si="2"/>
        <v>34</v>
      </c>
      <c r="H36">
        <f t="shared" ca="1" si="3"/>
        <v>887.48071137989621</v>
      </c>
      <c r="I36">
        <f t="shared" ca="1" si="4"/>
        <v>60713.941033694675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28664</v>
      </c>
      <c r="B39" s="66">
        <v>28664</v>
      </c>
      <c r="D39">
        <f t="shared" si="0"/>
        <v>22.33894976386053</v>
      </c>
      <c r="E39">
        <f t="shared" si="1"/>
        <v>22.33894976386053</v>
      </c>
      <c r="G39">
        <f t="shared" ca="1" si="2"/>
        <v>37</v>
      </c>
      <c r="H39">
        <f t="shared" ca="1" si="3"/>
        <v>826.54114126283957</v>
      </c>
      <c r="I39">
        <f t="shared" ca="1" si="4"/>
        <v>45697.04216038395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29556</v>
      </c>
      <c r="B41" s="66">
        <v>29556</v>
      </c>
      <c r="D41">
        <f t="shared" si="0"/>
        <v>23.034119425783626</v>
      </c>
      <c r="E41">
        <f t="shared" si="1"/>
        <v>23.034119425783626</v>
      </c>
      <c r="G41">
        <f t="shared" ca="1" si="2"/>
        <v>39</v>
      </c>
      <c r="H41">
        <f t="shared" ca="1" si="3"/>
        <v>898.33065760556144</v>
      </c>
      <c r="I41">
        <f t="shared" ca="1" si="4"/>
        <v>43044.033505234598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30193</v>
      </c>
      <c r="B44" s="66">
        <v>30193</v>
      </c>
      <c r="D44">
        <f t="shared" si="0"/>
        <v>23.530557850273549</v>
      </c>
      <c r="E44">
        <f t="shared" si="1"/>
        <v>23.530557850273549</v>
      </c>
      <c r="G44">
        <f t="shared" ca="1" si="2"/>
        <v>42</v>
      </c>
      <c r="H44">
        <f t="shared" ca="1" si="3"/>
        <v>988.28342971148902</v>
      </c>
      <c r="I44">
        <f t="shared" ca="1" si="4"/>
        <v>38080.355323242213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53152</v>
      </c>
      <c r="B46" s="66">
        <v>53152</v>
      </c>
      <c r="D46">
        <f t="shared" si="0"/>
        <v>41.423383262933115</v>
      </c>
      <c r="E46">
        <f t="shared" si="1"/>
        <v>41.423383262933115</v>
      </c>
      <c r="G46">
        <f t="shared" ca="1" si="2"/>
        <v>44</v>
      </c>
      <c r="H46">
        <f t="shared" ca="1" si="3"/>
        <v>1822.6288635690571</v>
      </c>
      <c r="I46">
        <f t="shared" ca="1" si="4"/>
        <v>60537.046611297053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68544</v>
      </c>
      <c r="B49" s="66">
        <v>68544</v>
      </c>
      <c r="D49">
        <f t="shared" si="0"/>
        <v>53.418956622036568</v>
      </c>
      <c r="E49">
        <f t="shared" si="1"/>
        <v>53.418956622036568</v>
      </c>
      <c r="G49">
        <f t="shared" ca="1" si="2"/>
        <v>47</v>
      </c>
      <c r="H49">
        <f t="shared" ca="1" si="3"/>
        <v>2510.6909612357185</v>
      </c>
      <c r="I49">
        <f t="shared" ca="1" si="4"/>
        <v>66295.637217091629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88096</v>
      </c>
      <c r="B51" s="66">
        <v>88096</v>
      </c>
      <c r="D51">
        <f t="shared" si="0"/>
        <v>68.656576834951764</v>
      </c>
      <c r="E51">
        <f t="shared" si="1"/>
        <v>68.656576834951764</v>
      </c>
      <c r="G51">
        <f t="shared" ca="1" si="2"/>
        <v>49</v>
      </c>
      <c r="H51">
        <f t="shared" ca="1" si="3"/>
        <v>3364.1722649126364</v>
      </c>
      <c r="I51">
        <f t="shared" ca="1" si="4"/>
        <v>75806.237080537961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86236</v>
      </c>
      <c r="B54" s="66">
        <v>86236</v>
      </c>
      <c r="D54">
        <f t="shared" si="0"/>
        <v>67.207007808968626</v>
      </c>
      <c r="E54">
        <f t="shared" si="1"/>
        <v>67.207007808968626</v>
      </c>
      <c r="G54">
        <f t="shared" ca="1" si="2"/>
        <v>52</v>
      </c>
      <c r="H54">
        <f t="shared" ca="1" si="3"/>
        <v>3494.7644060663688</v>
      </c>
      <c r="I54">
        <f t="shared" ca="1" si="4"/>
        <v>61411.429269805114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80782</v>
      </c>
      <c r="B57" s="66">
        <v>80782</v>
      </c>
      <c r="D57">
        <f t="shared" si="0"/>
        <v>62.956497342456785</v>
      </c>
      <c r="E57">
        <f t="shared" si="1"/>
        <v>62.956497342456785</v>
      </c>
      <c r="G57">
        <f t="shared" ca="1" si="2"/>
        <v>55</v>
      </c>
      <c r="H57">
        <f t="shared" ca="1" si="3"/>
        <v>3462.6073538351234</v>
      </c>
      <c r="I57">
        <f t="shared" ca="1" si="4"/>
        <v>46675.566974603062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82254</v>
      </c>
      <c r="B59" s="66">
        <v>82254</v>
      </c>
      <c r="D59">
        <f t="shared" si="0"/>
        <v>64.103683152267095</v>
      </c>
      <c r="E59">
        <f t="shared" si="1"/>
        <v>64.103683152267095</v>
      </c>
      <c r="G59">
        <f t="shared" ca="1" si="2"/>
        <v>57</v>
      </c>
      <c r="H59">
        <f t="shared" ca="1" si="3"/>
        <v>3653.9099396792244</v>
      </c>
      <c r="I59">
        <f t="shared" ca="1" si="4"/>
        <v>40800.6968470106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83825</v>
      </c>
      <c r="B62" s="66">
        <v>83825</v>
      </c>
      <c r="D62">
        <f t="shared" si="0"/>
        <v>65.328023442492636</v>
      </c>
      <c r="E62">
        <f t="shared" si="1"/>
        <v>65.328023442492636</v>
      </c>
      <c r="G62">
        <f t="shared" ca="1" si="2"/>
        <v>60</v>
      </c>
      <c r="H62">
        <f t="shared" ca="1" si="3"/>
        <v>3919.6814065495582</v>
      </c>
      <c r="I62">
        <f t="shared" ca="1" si="4"/>
        <v>32279.128845870702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81209</v>
      </c>
      <c r="B64" s="66">
        <v>81209</v>
      </c>
      <c r="D64">
        <f t="shared" si="0"/>
        <v>63.2892747478841</v>
      </c>
      <c r="E64">
        <f t="shared" si="1"/>
        <v>63.2892747478841</v>
      </c>
      <c r="G64">
        <f t="shared" ca="1" si="2"/>
        <v>62</v>
      </c>
      <c r="H64">
        <f t="shared" ca="1" si="3"/>
        <v>3923.9350343688143</v>
      </c>
      <c r="I64">
        <f t="shared" ca="1" si="4"/>
        <v>25897.607617589554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94304</v>
      </c>
      <c r="B67" s="66">
        <v>94304</v>
      </c>
      <c r="D67">
        <f t="shared" ref="D67:D130" si="5">IFERROR( 100*A67/MAX(A$2:A$257), 0 )</f>
        <v>73.494708293716982</v>
      </c>
      <c r="E67">
        <f t="shared" ref="E67:E130" si="6">IFERROR( 100*B67/MAX(B$2:B$257), 0 )</f>
        <v>73.494708293716982</v>
      </c>
      <c r="G67">
        <f t="shared" ref="G67:G130" ca="1" si="7">CELL("row",D67)-2</f>
        <v>65</v>
      </c>
      <c r="H67">
        <f t="shared" ref="H67:H130" ca="1" si="8">D67*G67</f>
        <v>4777.1560390916038</v>
      </c>
      <c r="I67">
        <f t="shared" ref="I67:I130" ca="1" si="9">D67*((G67-$L$1)^2)</f>
        <v>21814.916263502684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92699</v>
      </c>
      <c r="B69" s="66">
        <v>92699</v>
      </c>
      <c r="D69">
        <f t="shared" si="5"/>
        <v>72.24387050516701</v>
      </c>
      <c r="E69">
        <f t="shared" si="6"/>
        <v>72.24387050516701</v>
      </c>
      <c r="G69">
        <f t="shared" ca="1" si="7"/>
        <v>67</v>
      </c>
      <c r="H69">
        <f t="shared" ca="1" si="8"/>
        <v>4840.3393238461895</v>
      </c>
      <c r="I69">
        <f t="shared" ca="1" si="9"/>
        <v>16753.985699304223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113461</v>
      </c>
      <c r="B72" s="66">
        <v>113461</v>
      </c>
      <c r="D72">
        <f t="shared" si="5"/>
        <v>88.424489923157253</v>
      </c>
      <c r="E72">
        <f t="shared" si="6"/>
        <v>88.424489923157253</v>
      </c>
      <c r="G72">
        <f t="shared" ca="1" si="7"/>
        <v>70</v>
      </c>
      <c r="H72">
        <f t="shared" ca="1" si="8"/>
        <v>6189.7142946210079</v>
      </c>
      <c r="I72">
        <f t="shared" ca="1" si="9"/>
        <v>13222.772476522745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115780</v>
      </c>
      <c r="B75" s="66">
        <v>115780</v>
      </c>
      <c r="D75">
        <f t="shared" si="5"/>
        <v>90.231775176520102</v>
      </c>
      <c r="E75">
        <f t="shared" si="6"/>
        <v>90.231775176520102</v>
      </c>
      <c r="G75">
        <f t="shared" ca="1" si="7"/>
        <v>73</v>
      </c>
      <c r="H75">
        <f t="shared" ca="1" si="8"/>
        <v>6586.9195878859673</v>
      </c>
      <c r="I75">
        <f t="shared" ca="1" si="9"/>
        <v>7684.6923662626541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110465</v>
      </c>
      <c r="B77" s="66">
        <v>110465</v>
      </c>
      <c r="D77">
        <f t="shared" si="5"/>
        <v>86.089592717863994</v>
      </c>
      <c r="E77">
        <f t="shared" si="6"/>
        <v>86.089592717863994</v>
      </c>
      <c r="G77">
        <f t="shared" ca="1" si="7"/>
        <v>75</v>
      </c>
      <c r="H77">
        <f t="shared" ca="1" si="8"/>
        <v>6456.7194538397998</v>
      </c>
      <c r="I77">
        <f t="shared" ca="1" si="9"/>
        <v>4498.3484178046174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110736</v>
      </c>
      <c r="B80" s="66">
        <v>110736</v>
      </c>
      <c r="D80">
        <f t="shared" si="5"/>
        <v>86.300793366273368</v>
      </c>
      <c r="E80">
        <f t="shared" si="6"/>
        <v>86.300793366273368</v>
      </c>
      <c r="G80">
        <f t="shared" ca="1" si="7"/>
        <v>78</v>
      </c>
      <c r="H80">
        <f t="shared" ca="1" si="8"/>
        <v>6731.4618825693224</v>
      </c>
      <c r="I80">
        <f t="shared" ca="1" si="9"/>
        <v>1543.1133506701321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112133</v>
      </c>
      <c r="B82" s="66">
        <v>112133</v>
      </c>
      <c r="D82">
        <f t="shared" si="5"/>
        <v>87.389528812132738</v>
      </c>
      <c r="E82">
        <f t="shared" si="6"/>
        <v>87.389528812132738</v>
      </c>
      <c r="G82">
        <f t="shared" ca="1" si="7"/>
        <v>80</v>
      </c>
      <c r="H82">
        <f t="shared" ca="1" si="8"/>
        <v>6991.1623049706195</v>
      </c>
      <c r="I82">
        <f t="shared" ca="1" si="9"/>
        <v>434.01461316786697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122991</v>
      </c>
      <c r="B85" s="66">
        <v>122991</v>
      </c>
      <c r="D85">
        <f t="shared" si="5"/>
        <v>95.851582835855794</v>
      </c>
      <c r="E85">
        <f t="shared" si="6"/>
        <v>95.851582835855794</v>
      </c>
      <c r="G85">
        <f t="shared" ca="1" si="7"/>
        <v>83</v>
      </c>
      <c r="H85">
        <f t="shared" ca="1" si="8"/>
        <v>7955.6813753760307</v>
      </c>
      <c r="I85">
        <f t="shared" ca="1" si="9"/>
        <v>57.04456955522312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123929</v>
      </c>
      <c r="B88" s="66">
        <v>123929</v>
      </c>
      <c r="D88">
        <f t="shared" si="5"/>
        <v>96.582602054335453</v>
      </c>
      <c r="E88">
        <f t="shared" si="6"/>
        <v>96.582602054335453</v>
      </c>
      <c r="G88">
        <f t="shared" ca="1" si="7"/>
        <v>86</v>
      </c>
      <c r="H88">
        <f t="shared" ca="1" si="8"/>
        <v>8306.1037766728496</v>
      </c>
      <c r="I88">
        <f t="shared" ca="1" si="9"/>
        <v>1373.7746506130547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128314</v>
      </c>
      <c r="B90" s="66">
        <v>128314</v>
      </c>
      <c r="D90">
        <f t="shared" si="5"/>
        <v>100</v>
      </c>
      <c r="E90">
        <f t="shared" si="6"/>
        <v>100</v>
      </c>
      <c r="G90">
        <f t="shared" ca="1" si="7"/>
        <v>88</v>
      </c>
      <c r="H90">
        <f t="shared" ca="1" si="8"/>
        <v>8800</v>
      </c>
      <c r="I90">
        <f t="shared" ca="1" si="9"/>
        <v>3330.962948122793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123180</v>
      </c>
      <c r="B93" s="66">
        <v>123180</v>
      </c>
      <c r="D93">
        <f t="shared" si="5"/>
        <v>95.998877753012138</v>
      </c>
      <c r="E93">
        <f t="shared" si="6"/>
        <v>95.998877753012138</v>
      </c>
      <c r="G93">
        <f t="shared" ca="1" si="7"/>
        <v>91</v>
      </c>
      <c r="H93">
        <f t="shared" ca="1" si="8"/>
        <v>8735.8978755241042</v>
      </c>
      <c r="I93">
        <f t="shared" ca="1" si="9"/>
        <v>7385.9930058866366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124040</v>
      </c>
      <c r="B95" s="66">
        <v>124040</v>
      </c>
      <c r="D95">
        <f t="shared" si="5"/>
        <v>96.669108592982838</v>
      </c>
      <c r="E95">
        <f t="shared" si="6"/>
        <v>96.669108592982838</v>
      </c>
      <c r="G95">
        <f t="shared" ca="1" si="7"/>
        <v>93</v>
      </c>
      <c r="H95">
        <f t="shared" ca="1" si="8"/>
        <v>8990.2270991474034</v>
      </c>
      <c r="I95">
        <f t="shared" ca="1" si="9"/>
        <v>11215.948701458614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107386</v>
      </c>
      <c r="B98" s="66">
        <v>107386</v>
      </c>
      <c r="D98">
        <f t="shared" si="5"/>
        <v>83.690010443131698</v>
      </c>
      <c r="E98">
        <f t="shared" si="6"/>
        <v>83.690010443131698</v>
      </c>
      <c r="G98">
        <f t="shared" ca="1" si="7"/>
        <v>96</v>
      </c>
      <c r="H98">
        <f t="shared" ca="1" si="8"/>
        <v>8034.2410025406425</v>
      </c>
      <c r="I98">
        <f t="shared" ca="1" si="9"/>
        <v>15872.0466277548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100353</v>
      </c>
      <c r="B100" s="66">
        <v>100353</v>
      </c>
      <c r="D100">
        <f t="shared" si="5"/>
        <v>78.208924980906218</v>
      </c>
      <c r="E100">
        <f t="shared" si="6"/>
        <v>78.208924980906218</v>
      </c>
      <c r="G100">
        <f t="shared" ca="1" si="7"/>
        <v>98</v>
      </c>
      <c r="H100">
        <f t="shared" ca="1" si="8"/>
        <v>7664.4746481288093</v>
      </c>
      <c r="I100">
        <f t="shared" ca="1" si="9"/>
        <v>19453.580051212117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90234</v>
      </c>
      <c r="B103" s="66">
        <v>90234</v>
      </c>
      <c r="D103">
        <f t="shared" si="5"/>
        <v>70.322801876646352</v>
      </c>
      <c r="E103">
        <f t="shared" si="6"/>
        <v>70.322801876646352</v>
      </c>
      <c r="G103">
        <f t="shared" ca="1" si="7"/>
        <v>101</v>
      </c>
      <c r="H103">
        <f t="shared" ca="1" si="8"/>
        <v>7102.6029895412812</v>
      </c>
      <c r="I103">
        <f t="shared" ca="1" si="9"/>
        <v>24779.45700850305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83148</v>
      </c>
      <c r="B106" s="66">
        <v>83148</v>
      </c>
      <c r="D106">
        <f t="shared" si="5"/>
        <v>64.800411490562212</v>
      </c>
      <c r="E106">
        <f t="shared" si="6"/>
        <v>64.800411490562212</v>
      </c>
      <c r="G106">
        <f t="shared" ca="1" si="7"/>
        <v>104</v>
      </c>
      <c r="H106">
        <f t="shared" ca="1" si="8"/>
        <v>6739.2427950184701</v>
      </c>
      <c r="I106">
        <f t="shared" ca="1" si="9"/>
        <v>30715.136745448173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75619</v>
      </c>
      <c r="B108" s="66">
        <v>75619</v>
      </c>
      <c r="D108">
        <f t="shared" si="5"/>
        <v>58.932774288074569</v>
      </c>
      <c r="E108">
        <f t="shared" si="6"/>
        <v>58.932774288074569</v>
      </c>
      <c r="G108">
        <f t="shared" ca="1" si="7"/>
        <v>106</v>
      </c>
      <c r="H108">
        <f t="shared" ca="1" si="8"/>
        <v>6246.8740745359046</v>
      </c>
      <c r="I108">
        <f t="shared" ca="1" si="9"/>
        <v>33301.838877922106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73104</v>
      </c>
      <c r="B111" s="66">
        <v>73104</v>
      </c>
      <c r="D111">
        <f t="shared" si="5"/>
        <v>56.972738750253285</v>
      </c>
      <c r="E111">
        <f t="shared" si="6"/>
        <v>56.972738750253285</v>
      </c>
      <c r="G111">
        <f t="shared" ca="1" si="7"/>
        <v>109</v>
      </c>
      <c r="H111">
        <f t="shared" ca="1" si="8"/>
        <v>6210.0285237776079</v>
      </c>
      <c r="I111">
        <f t="shared" ca="1" si="9"/>
        <v>40832.960590394185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64283</v>
      </c>
      <c r="B113" s="66">
        <v>64283</v>
      </c>
      <c r="D113">
        <f t="shared" si="5"/>
        <v>50.098196611437565</v>
      </c>
      <c r="E113">
        <f t="shared" si="6"/>
        <v>50.098196611437565</v>
      </c>
      <c r="G113">
        <f t="shared" ca="1" si="7"/>
        <v>111</v>
      </c>
      <c r="H113">
        <f t="shared" ca="1" si="8"/>
        <v>5560.8998238695694</v>
      </c>
      <c r="I113">
        <f t="shared" ca="1" si="9"/>
        <v>41471.102146301062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55519</v>
      </c>
      <c r="B116" s="66">
        <v>55519</v>
      </c>
      <c r="D116">
        <f t="shared" si="5"/>
        <v>43.268076749224555</v>
      </c>
      <c r="E116">
        <f t="shared" si="6"/>
        <v>43.268076749224555</v>
      </c>
      <c r="G116">
        <f t="shared" ca="1" si="7"/>
        <v>114</v>
      </c>
      <c r="H116">
        <f t="shared" ca="1" si="8"/>
        <v>4932.5607494115993</v>
      </c>
      <c r="I116">
        <f t="shared" ca="1" si="9"/>
        <v>43675.878552484646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49408</v>
      </c>
      <c r="B118" s="66">
        <v>49408</v>
      </c>
      <c r="D118">
        <f t="shared" si="5"/>
        <v>38.505541094502547</v>
      </c>
      <c r="E118">
        <f t="shared" si="6"/>
        <v>38.505541094502547</v>
      </c>
      <c r="G118">
        <f t="shared" ca="1" si="7"/>
        <v>116</v>
      </c>
      <c r="H118">
        <f t="shared" ca="1" si="8"/>
        <v>4466.6427669622954</v>
      </c>
      <c r="I118">
        <f t="shared" ca="1" si="9"/>
        <v>43915.985563213908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46549</v>
      </c>
      <c r="B121" s="66">
        <v>46549</v>
      </c>
      <c r="D121">
        <f t="shared" si="5"/>
        <v>36.277413220692985</v>
      </c>
      <c r="E121">
        <f t="shared" si="6"/>
        <v>36.277413220692985</v>
      </c>
      <c r="G121">
        <f t="shared" ca="1" si="7"/>
        <v>119</v>
      </c>
      <c r="H121">
        <f t="shared" ca="1" si="8"/>
        <v>4317.0121732624648</v>
      </c>
      <c r="I121">
        <f t="shared" ca="1" si="9"/>
        <v>49052.123347687055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46202</v>
      </c>
      <c r="B124" s="66">
        <v>46202</v>
      </c>
      <c r="D124">
        <f t="shared" si="5"/>
        <v>36.006982870146672</v>
      </c>
      <c r="E124">
        <f t="shared" si="6"/>
        <v>36.006982870146672</v>
      </c>
      <c r="G124">
        <f t="shared" ca="1" si="7"/>
        <v>122</v>
      </c>
      <c r="H124">
        <f t="shared" ca="1" si="8"/>
        <v>4392.8519101578941</v>
      </c>
      <c r="I124">
        <f t="shared" ca="1" si="9"/>
        <v>56954.700351091007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38699</v>
      </c>
      <c r="B126" s="66">
        <v>38699</v>
      </c>
      <c r="D126">
        <f t="shared" si="5"/>
        <v>30.159608460495349</v>
      </c>
      <c r="E126">
        <f t="shared" si="6"/>
        <v>30.159608460495349</v>
      </c>
      <c r="G126">
        <f t="shared" ca="1" si="7"/>
        <v>124</v>
      </c>
      <c r="H126">
        <f t="shared" ca="1" si="8"/>
        <v>3739.7914491014235</v>
      </c>
      <c r="I126">
        <f t="shared" ca="1" si="9"/>
        <v>52624.1132923775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36534</v>
      </c>
      <c r="B129" s="66">
        <v>36534</v>
      </c>
      <c r="D129">
        <f t="shared" si="5"/>
        <v>28.47234128777842</v>
      </c>
      <c r="E129">
        <f t="shared" si="6"/>
        <v>28.47234128777842</v>
      </c>
      <c r="G129">
        <f t="shared" ca="1" si="7"/>
        <v>127</v>
      </c>
      <c r="H129">
        <f t="shared" ca="1" si="8"/>
        <v>3615.9873435478594</v>
      </c>
      <c r="I129">
        <f t="shared" ca="1" si="9"/>
        <v>57072.315297719877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32601</v>
      </c>
      <c r="B131" s="66">
        <v>32601</v>
      </c>
      <c r="D131">
        <f t="shared" ref="D131:D194" si="10">IFERROR( 100*A131/MAX(A$2:A$257), 0 )</f>
        <v>25.407204202191497</v>
      </c>
      <c r="E131">
        <f t="shared" ref="E131:E194" si="11">IFERROR( 100*B131/MAX(B$2:B$257), 0 )</f>
        <v>25.407204202191497</v>
      </c>
      <c r="G131">
        <f t="shared" ref="G131:G194" ca="1" si="12">CELL("row",D131)-2</f>
        <v>129</v>
      </c>
      <c r="H131">
        <f t="shared" ref="H131:H194" ca="1" si="13">D131*G131</f>
        <v>3277.5293420827034</v>
      </c>
      <c r="I131">
        <f t="shared" ref="I131:I194" ca="1" si="14">D131*((G131-$L$1)^2)</f>
        <v>55579.999320227696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28638</v>
      </c>
      <c r="B134" s="66">
        <v>28638</v>
      </c>
      <c r="D134">
        <f t="shared" si="10"/>
        <v>22.318686971024206</v>
      </c>
      <c r="E134">
        <f t="shared" si="11"/>
        <v>22.318686971024206</v>
      </c>
      <c r="G134">
        <f t="shared" ca="1" si="12"/>
        <v>132</v>
      </c>
      <c r="H134">
        <f t="shared" ca="1" si="13"/>
        <v>2946.0666801751954</v>
      </c>
      <c r="I134">
        <f t="shared" ca="1" si="14"/>
        <v>55287.788573810714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27989</v>
      </c>
      <c r="B136" s="66">
        <v>27989</v>
      </c>
      <c r="D136">
        <f t="shared" si="10"/>
        <v>21.812896488302133</v>
      </c>
      <c r="E136">
        <f t="shared" si="11"/>
        <v>21.812896488302133</v>
      </c>
      <c r="G136">
        <f t="shared" ca="1" si="12"/>
        <v>134</v>
      </c>
      <c r="H136">
        <f t="shared" ca="1" si="13"/>
        <v>2922.928129432486</v>
      </c>
      <c r="I136">
        <f t="shared" ca="1" si="14"/>
        <v>58464.735304142727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24327</v>
      </c>
      <c r="B139" s="66">
        <v>24327</v>
      </c>
      <c r="D139">
        <f t="shared" si="10"/>
        <v>18.958960051124585</v>
      </c>
      <c r="E139">
        <f t="shared" si="11"/>
        <v>18.958960051124585</v>
      </c>
      <c r="G139">
        <f t="shared" ca="1" si="12"/>
        <v>137</v>
      </c>
      <c r="H139">
        <f t="shared" ca="1" si="13"/>
        <v>2597.3775270040683</v>
      </c>
      <c r="I139">
        <f t="shared" ca="1" si="14"/>
        <v>56875.205731318652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18931</v>
      </c>
      <c r="B142" s="66">
        <v>18931</v>
      </c>
      <c r="D142">
        <f t="shared" si="10"/>
        <v>14.753651199401467</v>
      </c>
      <c r="E142">
        <f t="shared" si="11"/>
        <v>14.753651199401467</v>
      </c>
      <c r="G142">
        <f t="shared" ca="1" si="12"/>
        <v>140</v>
      </c>
      <c r="H142">
        <f t="shared" ca="1" si="13"/>
        <v>2065.5111679162055</v>
      </c>
      <c r="I142">
        <f t="shared" ca="1" si="14"/>
        <v>49240.906613239633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16222</v>
      </c>
      <c r="B144" s="66">
        <v>16222</v>
      </c>
      <c r="D144">
        <f t="shared" si="10"/>
        <v>12.642424053493773</v>
      </c>
      <c r="E144">
        <f t="shared" si="11"/>
        <v>12.642424053493773</v>
      </c>
      <c r="G144">
        <f t="shared" ca="1" si="12"/>
        <v>142</v>
      </c>
      <c r="H144">
        <f t="shared" ca="1" si="13"/>
        <v>1795.2242155961158</v>
      </c>
      <c r="I144">
        <f t="shared" ca="1" si="14"/>
        <v>45166.655112809494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15723</v>
      </c>
      <c r="B147" s="66">
        <v>15723</v>
      </c>
      <c r="D147">
        <f t="shared" si="10"/>
        <v>12.253534298673566</v>
      </c>
      <c r="E147">
        <f t="shared" si="11"/>
        <v>12.253534298673566</v>
      </c>
      <c r="G147">
        <f t="shared" ca="1" si="12"/>
        <v>145</v>
      </c>
      <c r="H147">
        <f t="shared" ca="1" si="13"/>
        <v>1776.7624733076671</v>
      </c>
      <c r="I147">
        <f t="shared" ca="1" si="14"/>
        <v>48282.048243638623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13616</v>
      </c>
      <c r="B149" s="66">
        <v>13616</v>
      </c>
      <c r="D149">
        <f t="shared" si="10"/>
        <v>10.611468740745359</v>
      </c>
      <c r="E149">
        <f t="shared" si="11"/>
        <v>10.611468740745359</v>
      </c>
      <c r="G149">
        <f t="shared" ca="1" si="12"/>
        <v>147</v>
      </c>
      <c r="H149">
        <f t="shared" ca="1" si="13"/>
        <v>1559.8859048895677</v>
      </c>
      <c r="I149">
        <f t="shared" ca="1" si="14"/>
        <v>44518.726397880237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11925</v>
      </c>
      <c r="B152" s="66">
        <v>11925</v>
      </c>
      <c r="D152">
        <f t="shared" si="10"/>
        <v>9.2936078681983254</v>
      </c>
      <c r="E152">
        <f t="shared" si="11"/>
        <v>9.2936078681983254</v>
      </c>
      <c r="G152">
        <f t="shared" ca="1" si="12"/>
        <v>150</v>
      </c>
      <c r="H152">
        <f t="shared" ca="1" si="13"/>
        <v>1394.0411802297488</v>
      </c>
      <c r="I152">
        <f t="shared" ca="1" si="14"/>
        <v>42685.2562670107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11548</v>
      </c>
      <c r="B154" s="66">
        <v>11548</v>
      </c>
      <c r="D154">
        <f t="shared" si="10"/>
        <v>8.9997973720716367</v>
      </c>
      <c r="E154">
        <f t="shared" si="11"/>
        <v>8.9997973720716367</v>
      </c>
      <c r="G154">
        <f t="shared" ca="1" si="12"/>
        <v>152</v>
      </c>
      <c r="H154">
        <f t="shared" ca="1" si="13"/>
        <v>1367.9692005548889</v>
      </c>
      <c r="I154">
        <f t="shared" ca="1" si="14"/>
        <v>43811.510100385349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7011</v>
      </c>
      <c r="B157" s="66">
        <v>7011</v>
      </c>
      <c r="D157">
        <f t="shared" si="10"/>
        <v>5.4639400221332046</v>
      </c>
      <c r="E157">
        <f t="shared" si="11"/>
        <v>5.4639400221332046</v>
      </c>
      <c r="G157">
        <f t="shared" ca="1" si="12"/>
        <v>155</v>
      </c>
      <c r="H157">
        <f t="shared" ca="1" si="13"/>
        <v>846.91070343064666</v>
      </c>
      <c r="I157">
        <f t="shared" ca="1" si="14"/>
        <v>28935.299010301933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4546</v>
      </c>
      <c r="B160" s="66">
        <v>4546</v>
      </c>
      <c r="D160">
        <f t="shared" si="10"/>
        <v>3.5428713936125442</v>
      </c>
      <c r="E160">
        <f t="shared" si="11"/>
        <v>3.5428713936125442</v>
      </c>
      <c r="G160">
        <f t="shared" ca="1" si="12"/>
        <v>158</v>
      </c>
      <c r="H160">
        <f t="shared" ca="1" si="13"/>
        <v>559.77368019078199</v>
      </c>
      <c r="I160">
        <f t="shared" ca="1" si="14"/>
        <v>20340.732035227644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3597</v>
      </c>
      <c r="B162" s="66">
        <v>3597</v>
      </c>
      <c r="D162">
        <f t="shared" si="10"/>
        <v>2.8032794550867401</v>
      </c>
      <c r="E162">
        <f t="shared" si="11"/>
        <v>2.8032794550867401</v>
      </c>
      <c r="G162">
        <f t="shared" ca="1" si="12"/>
        <v>160</v>
      </c>
      <c r="H162">
        <f t="shared" ca="1" si="13"/>
        <v>448.52471281387841</v>
      </c>
      <c r="I162">
        <f t="shared" ca="1" si="14"/>
        <v>16955.350856959445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2074</v>
      </c>
      <c r="B165" s="66">
        <v>2074</v>
      </c>
      <c r="D165">
        <f t="shared" si="10"/>
        <v>1.6163473977897969</v>
      </c>
      <c r="E165">
        <f t="shared" si="11"/>
        <v>1.6163473977897969</v>
      </c>
      <c r="G165">
        <f t="shared" ca="1" si="12"/>
        <v>163</v>
      </c>
      <c r="H165">
        <f t="shared" ca="1" si="13"/>
        <v>263.46462583973687</v>
      </c>
      <c r="I165">
        <f t="shared" ca="1" si="14"/>
        <v>10545.094155775365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957</v>
      </c>
      <c r="B167" s="66">
        <v>957</v>
      </c>
      <c r="D167">
        <f t="shared" si="10"/>
        <v>0.74582664401390342</v>
      </c>
      <c r="E167">
        <f t="shared" si="11"/>
        <v>0.74582664401390342</v>
      </c>
      <c r="G167">
        <f t="shared" ca="1" si="12"/>
        <v>165</v>
      </c>
      <c r="H167">
        <f t="shared" ca="1" si="13"/>
        <v>123.06139626229407</v>
      </c>
      <c r="I167">
        <f t="shared" ca="1" si="14"/>
        <v>5109.7425080209341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486</v>
      </c>
      <c r="B170" s="66">
        <v>486</v>
      </c>
      <c r="D170">
        <f t="shared" si="10"/>
        <v>0.37875835840204497</v>
      </c>
      <c r="E170">
        <f t="shared" si="11"/>
        <v>0.37875835840204497</v>
      </c>
      <c r="G170">
        <f t="shared" ca="1" si="12"/>
        <v>168</v>
      </c>
      <c r="H170">
        <f t="shared" ca="1" si="13"/>
        <v>63.631404211543554</v>
      </c>
      <c r="I170">
        <f t="shared" ca="1" si="14"/>
        <v>2786.4273532580737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254</v>
      </c>
      <c r="B173" s="66">
        <v>254</v>
      </c>
      <c r="D173">
        <f t="shared" si="10"/>
        <v>0.19795189924715931</v>
      </c>
      <c r="E173">
        <f t="shared" si="11"/>
        <v>0.19795189924715931</v>
      </c>
      <c r="G173">
        <f t="shared" ca="1" si="12"/>
        <v>171</v>
      </c>
      <c r="H173">
        <f t="shared" ca="1" si="13"/>
        <v>33.849774771264244</v>
      </c>
      <c r="I173">
        <f t="shared" ca="1" si="14"/>
        <v>1559.9342574892858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703</v>
      </c>
      <c r="B175" s="66">
        <v>703</v>
      </c>
      <c r="D175">
        <f t="shared" si="10"/>
        <v>0.54787474476674403</v>
      </c>
      <c r="E175">
        <f t="shared" si="11"/>
        <v>0.54787474476674403</v>
      </c>
      <c r="G175">
        <f t="shared" ca="1" si="12"/>
        <v>173</v>
      </c>
      <c r="H175">
        <f t="shared" ca="1" si="13"/>
        <v>94.782330844646722</v>
      </c>
      <c r="I175">
        <f t="shared" ca="1" si="14"/>
        <v>4514.1898785987296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192</v>
      </c>
      <c r="B178" s="66">
        <v>192</v>
      </c>
      <c r="D178">
        <f t="shared" si="10"/>
        <v>0.14963293171438813</v>
      </c>
      <c r="E178">
        <f t="shared" si="11"/>
        <v>0.14963293171438813</v>
      </c>
      <c r="G178">
        <f t="shared" ca="1" si="12"/>
        <v>176</v>
      </c>
      <c r="H178">
        <f t="shared" ca="1" si="13"/>
        <v>26.335395981732312</v>
      </c>
      <c r="I178">
        <f t="shared" ca="1" si="14"/>
        <v>1315.7350490235228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134</v>
      </c>
      <c r="B180" s="66">
        <v>134</v>
      </c>
      <c r="D180">
        <f t="shared" si="10"/>
        <v>0.10443131692566672</v>
      </c>
      <c r="E180">
        <f t="shared" si="11"/>
        <v>0.10443131692566672</v>
      </c>
      <c r="G180">
        <f t="shared" ca="1" si="12"/>
        <v>178</v>
      </c>
      <c r="H180">
        <f t="shared" ca="1" si="13"/>
        <v>18.588774412768675</v>
      </c>
      <c r="I180">
        <f t="shared" ca="1" si="14"/>
        <v>957.86184874939238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351</v>
      </c>
      <c r="B1" s="66" t="s">
        <v>352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71.29330858705255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1.3757427820803185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0.52886989400970641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505</v>
      </c>
      <c r="B8" s="66">
        <v>505</v>
      </c>
      <c r="D8">
        <f t="shared" si="0"/>
        <v>0.41749338624338622</v>
      </c>
      <c r="E8">
        <f t="shared" si="1"/>
        <v>0.41749338624338622</v>
      </c>
      <c r="G8">
        <f t="shared" ca="1" si="2"/>
        <v>6</v>
      </c>
      <c r="H8">
        <f t="shared" ca="1" si="3"/>
        <v>2.5049603174603172</v>
      </c>
      <c r="I8">
        <f t="shared" ca="1" si="4"/>
        <v>1779.8645451829161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3427</v>
      </c>
      <c r="B10" s="66">
        <v>3427</v>
      </c>
      <c r="D10">
        <f t="shared" si="0"/>
        <v>2.8331679894179893</v>
      </c>
      <c r="E10">
        <f t="shared" si="1"/>
        <v>2.8331679894179893</v>
      </c>
      <c r="G10">
        <f t="shared" ca="1" si="2"/>
        <v>8</v>
      </c>
      <c r="H10">
        <f t="shared" ca="1" si="3"/>
        <v>22.665343915343914</v>
      </c>
      <c r="I10">
        <f t="shared" ca="1" si="4"/>
        <v>11349.792542218182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10371</v>
      </c>
      <c r="B13" s="66">
        <v>10371</v>
      </c>
      <c r="D13">
        <f t="shared" si="0"/>
        <v>8.5739087301587293</v>
      </c>
      <c r="E13">
        <f t="shared" si="1"/>
        <v>8.5739087301587293</v>
      </c>
      <c r="G13">
        <f t="shared" ca="1" si="2"/>
        <v>11</v>
      </c>
      <c r="H13">
        <f t="shared" ca="1" si="3"/>
        <v>94.312996031746025</v>
      </c>
      <c r="I13">
        <f t="shared" ca="1" si="4"/>
        <v>31168.585167934878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12419</v>
      </c>
      <c r="B15" s="66">
        <v>12419</v>
      </c>
      <c r="D15">
        <f t="shared" si="0"/>
        <v>10.267030423280424</v>
      </c>
      <c r="E15">
        <f t="shared" si="1"/>
        <v>10.267030423280424</v>
      </c>
      <c r="G15">
        <f t="shared" ca="1" si="2"/>
        <v>13</v>
      </c>
      <c r="H15">
        <f t="shared" ca="1" si="3"/>
        <v>133.47139550264552</v>
      </c>
      <c r="I15">
        <f t="shared" ca="1" si="4"/>
        <v>34888.496965450264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10507</v>
      </c>
      <c r="B18" s="66">
        <v>10507</v>
      </c>
      <c r="D18">
        <f t="shared" si="0"/>
        <v>8.6863425925925934</v>
      </c>
      <c r="E18">
        <f t="shared" si="1"/>
        <v>8.6863425925925934</v>
      </c>
      <c r="G18">
        <f t="shared" ca="1" si="2"/>
        <v>16</v>
      </c>
      <c r="H18">
        <f t="shared" ca="1" si="3"/>
        <v>138.9814814814815</v>
      </c>
      <c r="I18">
        <f t="shared" ca="1" si="4"/>
        <v>26557.189303987456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14436</v>
      </c>
      <c r="B21" s="66">
        <v>14436</v>
      </c>
      <c r="D21">
        <f t="shared" si="0"/>
        <v>11.93452380952381</v>
      </c>
      <c r="E21">
        <f t="shared" si="1"/>
        <v>11.93452380952381</v>
      </c>
      <c r="G21">
        <f t="shared" ca="1" si="2"/>
        <v>19</v>
      </c>
      <c r="H21">
        <f t="shared" ca="1" si="3"/>
        <v>226.75595238095241</v>
      </c>
      <c r="I21">
        <f t="shared" ca="1" si="4"/>
        <v>32636.030932001857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15839</v>
      </c>
      <c r="B23" s="66">
        <v>15839</v>
      </c>
      <c r="D23">
        <f t="shared" si="0"/>
        <v>13.094411375661375</v>
      </c>
      <c r="E23">
        <f t="shared" si="1"/>
        <v>13.094411375661375</v>
      </c>
      <c r="G23">
        <f t="shared" ca="1" si="2"/>
        <v>21</v>
      </c>
      <c r="H23">
        <f t="shared" ca="1" si="3"/>
        <v>274.98263888888886</v>
      </c>
      <c r="I23">
        <f t="shared" ca="1" si="4"/>
        <v>33121.225280299324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25522</v>
      </c>
      <c r="B26" s="66">
        <v>25522</v>
      </c>
      <c r="D26">
        <f t="shared" si="0"/>
        <v>21.099537037037038</v>
      </c>
      <c r="E26">
        <f t="shared" si="1"/>
        <v>21.099537037037038</v>
      </c>
      <c r="G26">
        <f t="shared" ca="1" si="2"/>
        <v>24</v>
      </c>
      <c r="H26">
        <f t="shared" ca="1" si="3"/>
        <v>506.38888888888891</v>
      </c>
      <c r="I26">
        <f t="shared" ca="1" si="4"/>
        <v>47192.427993655736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22740</v>
      </c>
      <c r="B28" s="66">
        <v>22740</v>
      </c>
      <c r="D28">
        <f t="shared" si="0"/>
        <v>18.799603174603174</v>
      </c>
      <c r="E28">
        <f t="shared" si="1"/>
        <v>18.799603174603174</v>
      </c>
      <c r="G28">
        <f t="shared" ca="1" si="2"/>
        <v>26</v>
      </c>
      <c r="H28">
        <f t="shared" ca="1" si="3"/>
        <v>488.78968253968253</v>
      </c>
      <c r="I28">
        <f t="shared" ca="1" si="4"/>
        <v>38567.081411050895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24562</v>
      </c>
      <c r="B31" s="66">
        <v>24562</v>
      </c>
      <c r="D31">
        <f t="shared" si="0"/>
        <v>20.305886243386244</v>
      </c>
      <c r="E31">
        <f t="shared" si="1"/>
        <v>20.305886243386244</v>
      </c>
      <c r="G31">
        <f t="shared" ca="1" si="2"/>
        <v>29</v>
      </c>
      <c r="H31">
        <f t="shared" ca="1" si="3"/>
        <v>588.87070105820112</v>
      </c>
      <c r="I31">
        <f t="shared" ca="1" si="4"/>
        <v>36321.625074692754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29223</v>
      </c>
      <c r="B33" s="66">
        <v>29223</v>
      </c>
      <c r="D33">
        <f t="shared" si="0"/>
        <v>24.15922619047619</v>
      </c>
      <c r="E33">
        <f t="shared" si="1"/>
        <v>24.15922619047619</v>
      </c>
      <c r="G33">
        <f t="shared" ca="1" si="2"/>
        <v>31</v>
      </c>
      <c r="H33">
        <f t="shared" ca="1" si="3"/>
        <v>748.93601190476193</v>
      </c>
      <c r="I33">
        <f t="shared" ca="1" si="4"/>
        <v>39223.729001090142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37269</v>
      </c>
      <c r="B36" s="66">
        <v>37269</v>
      </c>
      <c r="D36">
        <f t="shared" si="0"/>
        <v>30.811011904761905</v>
      </c>
      <c r="E36">
        <f t="shared" si="1"/>
        <v>30.811011904761905</v>
      </c>
      <c r="G36">
        <f t="shared" ca="1" si="2"/>
        <v>34</v>
      </c>
      <c r="H36">
        <f t="shared" ca="1" si="3"/>
        <v>1047.5744047619048</v>
      </c>
      <c r="I36">
        <f t="shared" ca="1" si="4"/>
        <v>42851.673909922298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44884</v>
      </c>
      <c r="B39" s="66">
        <v>44884</v>
      </c>
      <c r="D39">
        <f t="shared" si="0"/>
        <v>37.106481481481481</v>
      </c>
      <c r="E39">
        <f t="shared" si="1"/>
        <v>37.106481481481481</v>
      </c>
      <c r="G39">
        <f t="shared" ca="1" si="2"/>
        <v>37</v>
      </c>
      <c r="H39">
        <f t="shared" ca="1" si="3"/>
        <v>1372.9398148148148</v>
      </c>
      <c r="I39">
        <f t="shared" ca="1" si="4"/>
        <v>43638.373036954625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52410</v>
      </c>
      <c r="B41" s="66">
        <v>52410</v>
      </c>
      <c r="D41">
        <f t="shared" si="0"/>
        <v>43.328373015873019</v>
      </c>
      <c r="E41">
        <f t="shared" si="1"/>
        <v>43.328373015873019</v>
      </c>
      <c r="G41">
        <f t="shared" ca="1" si="2"/>
        <v>39</v>
      </c>
      <c r="H41">
        <f t="shared" ca="1" si="3"/>
        <v>1689.8065476190477</v>
      </c>
      <c r="I41">
        <f t="shared" ca="1" si="4"/>
        <v>45185.330872620485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74160</v>
      </c>
      <c r="B44" s="66">
        <v>74160</v>
      </c>
      <c r="D44">
        <f t="shared" si="0"/>
        <v>61.30952380952381</v>
      </c>
      <c r="E44">
        <f t="shared" si="1"/>
        <v>61.30952380952381</v>
      </c>
      <c r="G44">
        <f t="shared" ca="1" si="2"/>
        <v>42</v>
      </c>
      <c r="H44">
        <f t="shared" ca="1" si="3"/>
        <v>2575</v>
      </c>
      <c r="I44">
        <f t="shared" ca="1" si="4"/>
        <v>52609.575346165191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88914</v>
      </c>
      <c r="B46" s="66">
        <v>88914</v>
      </c>
      <c r="D46">
        <f t="shared" si="0"/>
        <v>73.506944444444443</v>
      </c>
      <c r="E46">
        <f t="shared" si="1"/>
        <v>73.506944444444443</v>
      </c>
      <c r="G46">
        <f t="shared" ca="1" si="2"/>
        <v>44</v>
      </c>
      <c r="H46">
        <f t="shared" ca="1" si="3"/>
        <v>3234.3055555555557</v>
      </c>
      <c r="I46">
        <f t="shared" ca="1" si="4"/>
        <v>54757.138069813816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88795</v>
      </c>
      <c r="B49" s="66">
        <v>88795</v>
      </c>
      <c r="D49">
        <f t="shared" si="0"/>
        <v>73.40856481481481</v>
      </c>
      <c r="E49">
        <f t="shared" si="1"/>
        <v>73.40856481481481</v>
      </c>
      <c r="G49">
        <f t="shared" ca="1" si="2"/>
        <v>47</v>
      </c>
      <c r="H49">
        <f t="shared" ca="1" si="3"/>
        <v>3450.2025462962961</v>
      </c>
      <c r="I49">
        <f t="shared" ca="1" si="4"/>
        <v>43323.154063145717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97726</v>
      </c>
      <c r="B51" s="66">
        <v>97726</v>
      </c>
      <c r="D51">
        <f t="shared" si="0"/>
        <v>80.791997354497354</v>
      </c>
      <c r="E51">
        <f t="shared" si="1"/>
        <v>80.791997354497354</v>
      </c>
      <c r="G51">
        <f t="shared" ca="1" si="2"/>
        <v>49</v>
      </c>
      <c r="H51">
        <f t="shared" ca="1" si="3"/>
        <v>3958.8078703703704</v>
      </c>
      <c r="I51">
        <f t="shared" ca="1" si="4"/>
        <v>40152.944659155444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91407</v>
      </c>
      <c r="B54" s="66">
        <v>91407</v>
      </c>
      <c r="D54">
        <f t="shared" si="0"/>
        <v>75.567956349206355</v>
      </c>
      <c r="E54">
        <f t="shared" si="1"/>
        <v>75.567956349206355</v>
      </c>
      <c r="G54">
        <f t="shared" ca="1" si="2"/>
        <v>52</v>
      </c>
      <c r="H54">
        <f t="shared" ca="1" si="3"/>
        <v>3929.5337301587306</v>
      </c>
      <c r="I54">
        <f t="shared" ca="1" si="4"/>
        <v>28128.793106972709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103689</v>
      </c>
      <c r="B57" s="66">
        <v>103689</v>
      </c>
      <c r="D57">
        <f t="shared" si="0"/>
        <v>85.72172619047619</v>
      </c>
      <c r="E57">
        <f t="shared" si="1"/>
        <v>85.72172619047619</v>
      </c>
      <c r="G57">
        <f t="shared" ca="1" si="2"/>
        <v>55</v>
      </c>
      <c r="H57">
        <f t="shared" ca="1" si="3"/>
        <v>4714.6949404761908</v>
      </c>
      <c r="I57">
        <f t="shared" ca="1" si="4"/>
        <v>22756.709927065145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100649</v>
      </c>
      <c r="B59" s="66">
        <v>100649</v>
      </c>
      <c r="D59">
        <f t="shared" si="0"/>
        <v>83.208498677248684</v>
      </c>
      <c r="E59">
        <f t="shared" si="1"/>
        <v>83.208498677248684</v>
      </c>
      <c r="G59">
        <f t="shared" ca="1" si="2"/>
        <v>57</v>
      </c>
      <c r="H59">
        <f t="shared" ca="1" si="3"/>
        <v>4742.8844246031749</v>
      </c>
      <c r="I59">
        <f t="shared" ca="1" si="4"/>
        <v>16999.385642805653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111164</v>
      </c>
      <c r="B62" s="66">
        <v>111164</v>
      </c>
      <c r="D62">
        <f t="shared" si="0"/>
        <v>91.901455026455025</v>
      </c>
      <c r="E62">
        <f t="shared" si="1"/>
        <v>91.901455026455025</v>
      </c>
      <c r="G62">
        <f t="shared" ca="1" si="2"/>
        <v>60</v>
      </c>
      <c r="H62">
        <f t="shared" ca="1" si="3"/>
        <v>5514.0873015873012</v>
      </c>
      <c r="I62">
        <f t="shared" ca="1" si="4"/>
        <v>11721.003023971547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112282</v>
      </c>
      <c r="B64" s="66">
        <v>112282</v>
      </c>
      <c r="D64">
        <f t="shared" si="0"/>
        <v>92.82572751322752</v>
      </c>
      <c r="E64">
        <f t="shared" si="1"/>
        <v>92.82572751322752</v>
      </c>
      <c r="G64">
        <f t="shared" ca="1" si="2"/>
        <v>62</v>
      </c>
      <c r="H64">
        <f t="shared" ca="1" si="3"/>
        <v>5755.1951058201066</v>
      </c>
      <c r="I64">
        <f t="shared" ca="1" si="4"/>
        <v>8016.9482127778147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114625</v>
      </c>
      <c r="B67" s="66">
        <v>114625</v>
      </c>
      <c r="D67">
        <f t="shared" ref="D67:D130" si="5">IFERROR(100*A67/MAX(A$2:A$257), 0 )</f>
        <v>94.762731481481481</v>
      </c>
      <c r="E67">
        <f t="shared" ref="E67:E130" si="6">IFERROR(100*B67/MAX(B$2:B$257), 0 )</f>
        <v>94.762731481481481</v>
      </c>
      <c r="G67">
        <f t="shared" ref="G67:G130" ca="1" si="7">CELL("row",D67)-2</f>
        <v>65</v>
      </c>
      <c r="H67">
        <f t="shared" ref="H67:H130" ca="1" si="8">D67*G67</f>
        <v>6159.5775462962965</v>
      </c>
      <c r="I67">
        <f t="shared" ref="I67:I130" ca="1" si="9">D67*((G67-$L$1)^2)</f>
        <v>3753.1474387405142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106492</v>
      </c>
      <c r="B69" s="66">
        <v>106492</v>
      </c>
      <c r="D69">
        <f t="shared" si="5"/>
        <v>88.039021164021165</v>
      </c>
      <c r="E69">
        <f t="shared" si="6"/>
        <v>88.039021164021165</v>
      </c>
      <c r="G69">
        <f t="shared" ca="1" si="7"/>
        <v>67</v>
      </c>
      <c r="H69">
        <f t="shared" ca="1" si="8"/>
        <v>5898.6144179894181</v>
      </c>
      <c r="I69">
        <f t="shared" ca="1" si="9"/>
        <v>1622.7791364341201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115280</v>
      </c>
      <c r="B72" s="66">
        <v>115280</v>
      </c>
      <c r="D72">
        <f t="shared" si="5"/>
        <v>95.304232804232811</v>
      </c>
      <c r="E72">
        <f t="shared" si="6"/>
        <v>95.304232804232811</v>
      </c>
      <c r="G72">
        <f t="shared" ca="1" si="7"/>
        <v>70</v>
      </c>
      <c r="H72">
        <f t="shared" ca="1" si="8"/>
        <v>6671.2962962962965</v>
      </c>
      <c r="I72">
        <f t="shared" ca="1" si="9"/>
        <v>159.4103487458008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120960</v>
      </c>
      <c r="B75" s="66">
        <v>120960</v>
      </c>
      <c r="D75">
        <f t="shared" si="5"/>
        <v>100</v>
      </c>
      <c r="E75">
        <f t="shared" si="6"/>
        <v>100</v>
      </c>
      <c r="G75">
        <f t="shared" ca="1" si="7"/>
        <v>73</v>
      </c>
      <c r="H75">
        <f t="shared" ca="1" si="8"/>
        <v>7300</v>
      </c>
      <c r="I75">
        <f t="shared" ca="1" si="9"/>
        <v>291.27955790285625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112490</v>
      </c>
      <c r="B77" s="66">
        <v>112490</v>
      </c>
      <c r="D77">
        <f t="shared" si="5"/>
        <v>92.99768518518519</v>
      </c>
      <c r="E77">
        <f t="shared" si="6"/>
        <v>92.99768518518519</v>
      </c>
      <c r="G77">
        <f t="shared" ca="1" si="7"/>
        <v>75</v>
      </c>
      <c r="H77">
        <f t="shared" ca="1" si="8"/>
        <v>6974.8263888888896</v>
      </c>
      <c r="I77">
        <f t="shared" ca="1" si="9"/>
        <v>1277.7473899262216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112098</v>
      </c>
      <c r="B80" s="66">
        <v>112098</v>
      </c>
      <c r="D80">
        <f t="shared" si="5"/>
        <v>92.673611111111114</v>
      </c>
      <c r="E80">
        <f t="shared" si="6"/>
        <v>92.673611111111114</v>
      </c>
      <c r="G80">
        <f t="shared" ca="1" si="7"/>
        <v>78</v>
      </c>
      <c r="H80">
        <f t="shared" ca="1" si="8"/>
        <v>7228.541666666667</v>
      </c>
      <c r="I80">
        <f t="shared" ca="1" si="9"/>
        <v>4168.4321254164815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89108</v>
      </c>
      <c r="B82" s="66">
        <v>89108</v>
      </c>
      <c r="D82">
        <f t="shared" si="5"/>
        <v>73.667328042328037</v>
      </c>
      <c r="E82">
        <f t="shared" si="6"/>
        <v>73.667328042328037</v>
      </c>
      <c r="G82">
        <f t="shared" ca="1" si="7"/>
        <v>80</v>
      </c>
      <c r="H82">
        <f t="shared" ca="1" si="8"/>
        <v>5893.3862433862432</v>
      </c>
      <c r="I82">
        <f t="shared" ca="1" si="9"/>
        <v>5584.460488099352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80690</v>
      </c>
      <c r="B85" s="66">
        <v>80690</v>
      </c>
      <c r="D85">
        <f t="shared" si="5"/>
        <v>66.708002645502646</v>
      </c>
      <c r="E85">
        <f t="shared" si="6"/>
        <v>66.708002645502646</v>
      </c>
      <c r="G85">
        <f t="shared" ca="1" si="7"/>
        <v>83</v>
      </c>
      <c r="H85">
        <f t="shared" ca="1" si="8"/>
        <v>5536.7642195767194</v>
      </c>
      <c r="I85">
        <f t="shared" ca="1" si="9"/>
        <v>9142.1065455410135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66795</v>
      </c>
      <c r="B88" s="66">
        <v>66795</v>
      </c>
      <c r="D88">
        <f t="shared" si="5"/>
        <v>55.220734126984127</v>
      </c>
      <c r="E88">
        <f t="shared" si="6"/>
        <v>55.220734126984127</v>
      </c>
      <c r="G88">
        <f t="shared" ca="1" si="7"/>
        <v>86</v>
      </c>
      <c r="H88">
        <f t="shared" ca="1" si="8"/>
        <v>4748.9831349206352</v>
      </c>
      <c r="I88">
        <f t="shared" ca="1" si="9"/>
        <v>11943.514349226736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63359</v>
      </c>
      <c r="B90" s="66">
        <v>63359</v>
      </c>
      <c r="D90">
        <f t="shared" si="5"/>
        <v>52.380125661375658</v>
      </c>
      <c r="E90">
        <f t="shared" si="6"/>
        <v>52.380125661375658</v>
      </c>
      <c r="G90">
        <f t="shared" ca="1" si="7"/>
        <v>88</v>
      </c>
      <c r="H90">
        <f t="shared" ca="1" si="8"/>
        <v>4609.451058201058</v>
      </c>
      <c r="I90">
        <f t="shared" ca="1" si="9"/>
        <v>14620.002192526283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51852</v>
      </c>
      <c r="B93" s="66">
        <v>51852</v>
      </c>
      <c r="D93">
        <f t="shared" si="5"/>
        <v>42.867063492063494</v>
      </c>
      <c r="E93">
        <f t="shared" si="6"/>
        <v>42.867063492063494</v>
      </c>
      <c r="G93">
        <f t="shared" ca="1" si="7"/>
        <v>91</v>
      </c>
      <c r="H93">
        <f t="shared" ca="1" si="8"/>
        <v>3900.9027777777778</v>
      </c>
      <c r="I93">
        <f t="shared" ca="1" si="9"/>
        <v>16647.582134220596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49507</v>
      </c>
      <c r="B95" s="66">
        <v>49507</v>
      </c>
      <c r="D95">
        <f t="shared" si="5"/>
        <v>40.928406084656082</v>
      </c>
      <c r="E95">
        <f t="shared" si="6"/>
        <v>40.928406084656082</v>
      </c>
      <c r="G95">
        <f t="shared" ca="1" si="7"/>
        <v>93</v>
      </c>
      <c r="H95">
        <f t="shared" ca="1" si="8"/>
        <v>3806.3417658730154</v>
      </c>
      <c r="I95">
        <f t="shared" ca="1" si="9"/>
        <v>19284.664882574853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44790</v>
      </c>
      <c r="B98" s="66">
        <v>44790</v>
      </c>
      <c r="D98">
        <f t="shared" si="5"/>
        <v>37.028769841269842</v>
      </c>
      <c r="E98">
        <f t="shared" si="6"/>
        <v>37.028769841269842</v>
      </c>
      <c r="G98">
        <f t="shared" ca="1" si="7"/>
        <v>96</v>
      </c>
      <c r="H98">
        <f t="shared" ca="1" si="8"/>
        <v>3554.7619047619046</v>
      </c>
      <c r="I98">
        <f t="shared" ca="1" si="9"/>
        <v>22603.123925046992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42175</v>
      </c>
      <c r="B100" s="66">
        <v>42175</v>
      </c>
      <c r="D100">
        <f t="shared" si="5"/>
        <v>34.866898148148145</v>
      </c>
      <c r="E100">
        <f t="shared" si="6"/>
        <v>34.866898148148145</v>
      </c>
      <c r="G100">
        <f t="shared" ca="1" si="7"/>
        <v>98</v>
      </c>
      <c r="H100">
        <f t="shared" ca="1" si="8"/>
        <v>3416.9560185185182</v>
      </c>
      <c r="I100">
        <f t="shared" ca="1" si="9"/>
        <v>24868.723272650845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40142</v>
      </c>
      <c r="B103" s="66">
        <v>40142</v>
      </c>
      <c r="D103">
        <f t="shared" si="5"/>
        <v>33.186177248677247</v>
      </c>
      <c r="E103">
        <f t="shared" si="6"/>
        <v>33.186177248677247</v>
      </c>
      <c r="G103">
        <f t="shared" ca="1" si="7"/>
        <v>101</v>
      </c>
      <c r="H103">
        <f t="shared" ca="1" si="8"/>
        <v>3351.8039021164018</v>
      </c>
      <c r="I103">
        <f t="shared" ca="1" si="9"/>
        <v>29286.387082714456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39583</v>
      </c>
      <c r="B106" s="66">
        <v>39583</v>
      </c>
      <c r="D106">
        <f t="shared" si="5"/>
        <v>32.724041005291006</v>
      </c>
      <c r="E106">
        <f t="shared" si="6"/>
        <v>32.724041005291006</v>
      </c>
      <c r="G106">
        <f t="shared" ca="1" si="7"/>
        <v>104</v>
      </c>
      <c r="H106">
        <f t="shared" ca="1" si="8"/>
        <v>3403.3002645502647</v>
      </c>
      <c r="I106">
        <f t="shared" ca="1" si="9"/>
        <v>35005.811914454382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40608</v>
      </c>
      <c r="B108" s="66">
        <v>40608</v>
      </c>
      <c r="D108">
        <f t="shared" si="5"/>
        <v>33.571428571428569</v>
      </c>
      <c r="E108">
        <f t="shared" si="6"/>
        <v>33.571428571428569</v>
      </c>
      <c r="G108">
        <f t="shared" ca="1" si="7"/>
        <v>106</v>
      </c>
      <c r="H108">
        <f t="shared" ca="1" si="8"/>
        <v>3558.5714285714284</v>
      </c>
      <c r="I108">
        <f t="shared" ca="1" si="9"/>
        <v>40438.612967983805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40890</v>
      </c>
      <c r="B111" s="66">
        <v>40890</v>
      </c>
      <c r="D111">
        <f t="shared" si="5"/>
        <v>33.804563492063494</v>
      </c>
      <c r="E111">
        <f t="shared" si="6"/>
        <v>33.804563492063494</v>
      </c>
      <c r="G111">
        <f t="shared" ca="1" si="7"/>
        <v>109</v>
      </c>
      <c r="H111">
        <f t="shared" ca="1" si="8"/>
        <v>3684.6974206349209</v>
      </c>
      <c r="I111">
        <f t="shared" ca="1" si="9"/>
        <v>48063.145061389558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32837</v>
      </c>
      <c r="B113" s="66">
        <v>32837</v>
      </c>
      <c r="D113">
        <f t="shared" si="5"/>
        <v>27.14699074074074</v>
      </c>
      <c r="E113">
        <f t="shared" si="6"/>
        <v>27.14699074074074</v>
      </c>
      <c r="G113">
        <f t="shared" ca="1" si="7"/>
        <v>111</v>
      </c>
      <c r="H113">
        <f t="shared" ca="1" si="8"/>
        <v>3013.3159722222222</v>
      </c>
      <c r="I113">
        <f t="shared" ca="1" si="9"/>
        <v>42800.524999071735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34619</v>
      </c>
      <c r="B116" s="66">
        <v>34619</v>
      </c>
      <c r="D116">
        <f t="shared" si="5"/>
        <v>28.620205026455025</v>
      </c>
      <c r="E116">
        <f t="shared" si="6"/>
        <v>28.620205026455025</v>
      </c>
      <c r="G116">
        <f t="shared" ca="1" si="7"/>
        <v>114</v>
      </c>
      <c r="H116">
        <f t="shared" ca="1" si="8"/>
        <v>3262.7033730158728</v>
      </c>
      <c r="I116">
        <f t="shared" ca="1" si="9"/>
        <v>52199.289824889434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28720</v>
      </c>
      <c r="B118" s="66">
        <v>28720</v>
      </c>
      <c r="D118">
        <f t="shared" si="5"/>
        <v>23.743386243386244</v>
      </c>
      <c r="E118">
        <f t="shared" si="6"/>
        <v>23.743386243386244</v>
      </c>
      <c r="G118">
        <f t="shared" ca="1" si="7"/>
        <v>116</v>
      </c>
      <c r="H118">
        <f t="shared" ca="1" si="8"/>
        <v>2754.2328042328045</v>
      </c>
      <c r="I118">
        <f t="shared" ca="1" si="9"/>
        <v>47455.627268267912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25708</v>
      </c>
      <c r="B121" s="66">
        <v>25708</v>
      </c>
      <c r="D121">
        <f t="shared" si="5"/>
        <v>21.25330687830688</v>
      </c>
      <c r="E121">
        <f t="shared" si="6"/>
        <v>21.25330687830688</v>
      </c>
      <c r="G121">
        <f t="shared" ca="1" si="7"/>
        <v>119</v>
      </c>
      <c r="H121">
        <f t="shared" ca="1" si="8"/>
        <v>2529.1435185185187</v>
      </c>
      <c r="I121">
        <f t="shared" ca="1" si="9"/>
        <v>48371.004836639011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28061</v>
      </c>
      <c r="B124" s="66">
        <v>28061</v>
      </c>
      <c r="D124">
        <f t="shared" si="5"/>
        <v>23.198578042328041</v>
      </c>
      <c r="E124">
        <f t="shared" si="6"/>
        <v>23.198578042328041</v>
      </c>
      <c r="G124">
        <f t="shared" ca="1" si="7"/>
        <v>122</v>
      </c>
      <c r="H124">
        <f t="shared" ca="1" si="8"/>
        <v>2830.2265211640211</v>
      </c>
      <c r="I124">
        <f t="shared" ca="1" si="9"/>
        <v>59647.454361059463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21564</v>
      </c>
      <c r="B126" s="66">
        <v>21564</v>
      </c>
      <c r="D126">
        <f t="shared" si="5"/>
        <v>17.827380952380953</v>
      </c>
      <c r="E126">
        <f t="shared" si="6"/>
        <v>17.827380952380953</v>
      </c>
      <c r="G126">
        <f t="shared" ca="1" si="7"/>
        <v>124</v>
      </c>
      <c r="H126">
        <f t="shared" ca="1" si="8"/>
        <v>2210.5952380952381</v>
      </c>
      <c r="I126">
        <f t="shared" ca="1" si="9"/>
        <v>49524.380848217304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21720</v>
      </c>
      <c r="B129" s="66">
        <v>21720</v>
      </c>
      <c r="D129">
        <f t="shared" si="5"/>
        <v>17.956349206349206</v>
      </c>
      <c r="E129">
        <f t="shared" si="6"/>
        <v>17.956349206349206</v>
      </c>
      <c r="G129">
        <f t="shared" ca="1" si="7"/>
        <v>127</v>
      </c>
      <c r="H129">
        <f t="shared" ca="1" si="8"/>
        <v>2280.4563492063489</v>
      </c>
      <c r="I129">
        <f t="shared" ca="1" si="9"/>
        <v>55722.77973612112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21201</v>
      </c>
      <c r="B131" s="66">
        <v>21201</v>
      </c>
      <c r="D131">
        <f t="shared" ref="D131:D194" si="10">IFERROR(100*A131/MAX(A$2:A$257), 0 )</f>
        <v>17.527281746031747</v>
      </c>
      <c r="E131">
        <f t="shared" ref="E131:E194" si="11">IFERROR(100*B131/MAX(B$2:B$257), 0 )</f>
        <v>17.527281746031747</v>
      </c>
      <c r="G131">
        <f t="shared" ref="G131:G194" ca="1" si="12">CELL("row",D131)-2</f>
        <v>129</v>
      </c>
      <c r="H131">
        <f t="shared" ref="H131:H194" ca="1" si="13">D131*G131</f>
        <v>2261.0193452380954</v>
      </c>
      <c r="I131">
        <f t="shared" ref="I131:I194" ca="1" si="14">D131*((G131-$L$1)^2)</f>
        <v>58366.939004143234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15294</v>
      </c>
      <c r="B134" s="66">
        <v>15294</v>
      </c>
      <c r="D134">
        <f t="shared" si="10"/>
        <v>12.643849206349206</v>
      </c>
      <c r="E134">
        <f t="shared" si="11"/>
        <v>12.643849206349206</v>
      </c>
      <c r="G134">
        <f t="shared" ca="1" si="12"/>
        <v>132</v>
      </c>
      <c r="H134">
        <f t="shared" ca="1" si="13"/>
        <v>1668.9880952380952</v>
      </c>
      <c r="I134">
        <f t="shared" ca="1" si="14"/>
        <v>46596.407601687017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13808</v>
      </c>
      <c r="B136" s="66">
        <v>13808</v>
      </c>
      <c r="D136">
        <f t="shared" si="10"/>
        <v>11.415343915343914</v>
      </c>
      <c r="E136">
        <f t="shared" si="11"/>
        <v>11.415343915343914</v>
      </c>
      <c r="G136">
        <f t="shared" ca="1" si="12"/>
        <v>134</v>
      </c>
      <c r="H136">
        <f t="shared" ca="1" si="13"/>
        <v>1529.6560846560844</v>
      </c>
      <c r="I136">
        <f t="shared" ca="1" si="14"/>
        <v>44886.606543495858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9982</v>
      </c>
      <c r="B139" s="66">
        <v>9982</v>
      </c>
      <c r="D139">
        <f t="shared" si="10"/>
        <v>8.2523148148148149</v>
      </c>
      <c r="E139">
        <f t="shared" si="11"/>
        <v>8.2523148148148149</v>
      </c>
      <c r="G139">
        <f t="shared" ca="1" si="12"/>
        <v>137</v>
      </c>
      <c r="H139">
        <f t="shared" ca="1" si="13"/>
        <v>1130.5671296296296</v>
      </c>
      <c r="I139">
        <f t="shared" ca="1" si="14"/>
        <v>35628.290606007904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6960</v>
      </c>
      <c r="B142" s="66">
        <v>6960</v>
      </c>
      <c r="D142">
        <f t="shared" si="10"/>
        <v>5.753968253968254</v>
      </c>
      <c r="E142">
        <f t="shared" si="11"/>
        <v>5.753968253968254</v>
      </c>
      <c r="G142">
        <f t="shared" ca="1" si="12"/>
        <v>140</v>
      </c>
      <c r="H142">
        <f t="shared" ca="1" si="13"/>
        <v>805.55555555555554</v>
      </c>
      <c r="I142">
        <f t="shared" ca="1" si="14"/>
        <v>27162.23688541778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8614</v>
      </c>
      <c r="B144" s="66">
        <v>8614</v>
      </c>
      <c r="D144">
        <f t="shared" si="10"/>
        <v>7.1213624338624335</v>
      </c>
      <c r="E144">
        <f t="shared" si="11"/>
        <v>7.1213624338624335</v>
      </c>
      <c r="G144">
        <f t="shared" ca="1" si="12"/>
        <v>142</v>
      </c>
      <c r="H144">
        <f t="shared" ca="1" si="13"/>
        <v>1011.2334656084655</v>
      </c>
      <c r="I144">
        <f t="shared" ca="1" si="14"/>
        <v>35602.797220414679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7381</v>
      </c>
      <c r="B147" s="66">
        <v>7381</v>
      </c>
      <c r="D147">
        <f t="shared" si="10"/>
        <v>6.1020171957671954</v>
      </c>
      <c r="E147">
        <f t="shared" si="11"/>
        <v>6.1020171957671954</v>
      </c>
      <c r="G147">
        <f t="shared" ca="1" si="12"/>
        <v>145</v>
      </c>
      <c r="H147">
        <f t="shared" ca="1" si="13"/>
        <v>884.79249338624334</v>
      </c>
      <c r="I147">
        <f t="shared" ca="1" si="14"/>
        <v>33150.284561921115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3978</v>
      </c>
      <c r="B149" s="66">
        <v>3978</v>
      </c>
      <c r="D149">
        <f t="shared" si="10"/>
        <v>3.2886904761904763</v>
      </c>
      <c r="E149">
        <f t="shared" si="11"/>
        <v>3.2886904761904763</v>
      </c>
      <c r="G149">
        <f t="shared" ca="1" si="12"/>
        <v>147</v>
      </c>
      <c r="H149">
        <f t="shared" ca="1" si="13"/>
        <v>483.4375</v>
      </c>
      <c r="I149">
        <f t="shared" ca="1" si="14"/>
        <v>18849.139740441227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3098</v>
      </c>
      <c r="B152" s="66">
        <v>3098</v>
      </c>
      <c r="D152">
        <f t="shared" si="10"/>
        <v>2.5611772486772488</v>
      </c>
      <c r="E152">
        <f t="shared" si="11"/>
        <v>2.5611772486772488</v>
      </c>
      <c r="G152">
        <f t="shared" ca="1" si="12"/>
        <v>150</v>
      </c>
      <c r="H152">
        <f t="shared" ca="1" si="13"/>
        <v>384.17658730158735</v>
      </c>
      <c r="I152">
        <f t="shared" ca="1" si="14"/>
        <v>15865.835532646955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2380</v>
      </c>
      <c r="B154" s="66">
        <v>2380</v>
      </c>
      <c r="D154">
        <f t="shared" si="10"/>
        <v>1.9675925925925926</v>
      </c>
      <c r="E154">
        <f t="shared" si="11"/>
        <v>1.9675925925925926</v>
      </c>
      <c r="G154">
        <f t="shared" ca="1" si="12"/>
        <v>152</v>
      </c>
      <c r="H154">
        <f t="shared" ca="1" si="13"/>
        <v>299.07407407407408</v>
      </c>
      <c r="I154">
        <f t="shared" ca="1" si="14"/>
        <v>12816.052159724577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1023</v>
      </c>
      <c r="B157" s="66">
        <v>1023</v>
      </c>
      <c r="D157">
        <f t="shared" si="10"/>
        <v>0.84573412698412698</v>
      </c>
      <c r="E157">
        <f t="shared" si="11"/>
        <v>0.84573412698412698</v>
      </c>
      <c r="G157">
        <f t="shared" ca="1" si="12"/>
        <v>155</v>
      </c>
      <c r="H157">
        <f t="shared" ca="1" si="13"/>
        <v>131.08878968253967</v>
      </c>
      <c r="I157">
        <f t="shared" ca="1" si="14"/>
        <v>5925.8984967016913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478</v>
      </c>
      <c r="B160" s="66">
        <v>478</v>
      </c>
      <c r="D160">
        <f t="shared" si="10"/>
        <v>0.39517195767195767</v>
      </c>
      <c r="E160">
        <f t="shared" si="11"/>
        <v>0.39517195767195767</v>
      </c>
      <c r="G160">
        <f t="shared" ca="1" si="12"/>
        <v>158</v>
      </c>
      <c r="H160">
        <f t="shared" ca="1" si="13"/>
        <v>62.43716931216931</v>
      </c>
      <c r="I160">
        <f t="shared" ca="1" si="14"/>
        <v>2970.9226690665391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739</v>
      </c>
      <c r="B162" s="66">
        <v>739</v>
      </c>
      <c r="D162">
        <f t="shared" si="10"/>
        <v>0.61094576719576721</v>
      </c>
      <c r="E162">
        <f t="shared" si="11"/>
        <v>0.61094576719576721</v>
      </c>
      <c r="G162">
        <f t="shared" ca="1" si="12"/>
        <v>160</v>
      </c>
      <c r="H162">
        <f t="shared" ca="1" si="13"/>
        <v>97.75132275132276</v>
      </c>
      <c r="I162">
        <f t="shared" ca="1" si="14"/>
        <v>4807.4571577035076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638</v>
      </c>
      <c r="B165" s="66">
        <v>638</v>
      </c>
      <c r="D165">
        <f t="shared" si="10"/>
        <v>0.52744708994709</v>
      </c>
      <c r="E165">
        <f t="shared" si="11"/>
        <v>0.52744708994709</v>
      </c>
      <c r="G165">
        <f t="shared" ca="1" si="12"/>
        <v>163</v>
      </c>
      <c r="H165">
        <f t="shared" ca="1" si="13"/>
        <v>85.973875661375672</v>
      </c>
      <c r="I165">
        <f t="shared" ca="1" si="14"/>
        <v>4435.891869578626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0</v>
      </c>
      <c r="B167" s="66">
        <v>0</v>
      </c>
      <c r="D167">
        <f t="shared" si="10"/>
        <v>0</v>
      </c>
      <c r="E167">
        <f t="shared" si="11"/>
        <v>0</v>
      </c>
      <c r="G167">
        <f t="shared" ca="1" si="12"/>
        <v>165</v>
      </c>
      <c r="H167">
        <f t="shared" ca="1" si="13"/>
        <v>0</v>
      </c>
      <c r="I167">
        <f t="shared" ca="1" si="14"/>
        <v>0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0</v>
      </c>
      <c r="B170" s="66">
        <v>0</v>
      </c>
      <c r="D170">
        <f t="shared" si="10"/>
        <v>0</v>
      </c>
      <c r="E170">
        <f t="shared" si="11"/>
        <v>0</v>
      </c>
      <c r="G170">
        <f t="shared" ca="1" si="12"/>
        <v>168</v>
      </c>
      <c r="H170">
        <f t="shared" ca="1" si="13"/>
        <v>0</v>
      </c>
      <c r="I170">
        <f t="shared" ca="1" si="14"/>
        <v>0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0</v>
      </c>
      <c r="B173" s="66">
        <v>0</v>
      </c>
      <c r="D173">
        <f t="shared" si="10"/>
        <v>0</v>
      </c>
      <c r="E173">
        <f t="shared" si="11"/>
        <v>0</v>
      </c>
      <c r="G173">
        <f t="shared" ca="1" si="12"/>
        <v>171</v>
      </c>
      <c r="H173">
        <f t="shared" ca="1" si="13"/>
        <v>0</v>
      </c>
      <c r="I173">
        <f t="shared" ca="1" si="14"/>
        <v>0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0</v>
      </c>
      <c r="B175" s="66">
        <v>0</v>
      </c>
      <c r="D175">
        <f t="shared" si="10"/>
        <v>0</v>
      </c>
      <c r="E175">
        <f t="shared" si="11"/>
        <v>0</v>
      </c>
      <c r="G175">
        <f t="shared" ca="1" si="12"/>
        <v>173</v>
      </c>
      <c r="H175">
        <f t="shared" ca="1" si="13"/>
        <v>0</v>
      </c>
      <c r="I175">
        <f t="shared" ca="1" si="14"/>
        <v>0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0</v>
      </c>
      <c r="B178" s="66">
        <v>0</v>
      </c>
      <c r="D178">
        <f t="shared" si="10"/>
        <v>0</v>
      </c>
      <c r="E178">
        <f t="shared" si="11"/>
        <v>0</v>
      </c>
      <c r="G178">
        <f t="shared" ca="1" si="12"/>
        <v>176</v>
      </c>
      <c r="H178">
        <f t="shared" ca="1" si="13"/>
        <v>0</v>
      </c>
      <c r="I178">
        <f t="shared" ca="1" si="14"/>
        <v>0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0</v>
      </c>
      <c r="B180" s="66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353</v>
      </c>
      <c r="B1" s="68" t="s">
        <v>354</v>
      </c>
      <c r="C1" s="32" t="s">
        <v>355</v>
      </c>
      <c r="D1" s="32" t="s">
        <v>356</v>
      </c>
      <c r="E1" s="32" t="s">
        <v>357</v>
      </c>
    </row>
    <row r="2" spans="1:5">
      <c r="A2" s="68">
        <v>0.336621</v>
      </c>
      <c r="B2" s="68">
        <v>0.46235599999999999</v>
      </c>
      <c r="C2" s="68">
        <v>0</v>
      </c>
      <c r="D2" s="68">
        <v>1</v>
      </c>
      <c r="E2" s="68" t="s">
        <v>358</v>
      </c>
    </row>
    <row r="3" spans="1:5">
      <c r="A3" s="68">
        <v>0.33807799999999999</v>
      </c>
      <c r="B3" s="68">
        <v>0.46169900000000003</v>
      </c>
      <c r="C3" s="68">
        <v>0.40481400000000001</v>
      </c>
      <c r="D3" s="89">
        <v>1</v>
      </c>
      <c r="E3" s="68" t="s">
        <v>359</v>
      </c>
    </row>
    <row r="4" spans="1:5">
      <c r="A4" s="68">
        <v>0.33957500000000002</v>
      </c>
      <c r="B4" s="68">
        <v>0.46013799999999999</v>
      </c>
      <c r="C4" s="68">
        <v>0.81277500000000003</v>
      </c>
      <c r="D4" s="89">
        <v>1</v>
      </c>
      <c r="E4" s="68" t="s">
        <v>360</v>
      </c>
    </row>
    <row r="5" spans="1:5">
      <c r="A5" s="89">
        <v>0.34131299999999998</v>
      </c>
      <c r="B5" s="89">
        <v>0.458513</v>
      </c>
      <c r="C5" s="89">
        <v>1.2186300000000001</v>
      </c>
      <c r="D5" s="89">
        <v>1</v>
      </c>
      <c r="E5" s="68" t="s">
        <v>361</v>
      </c>
    </row>
    <row r="6" spans="1:5">
      <c r="A6" s="68">
        <v>0.34339599999999998</v>
      </c>
      <c r="B6" s="68">
        <v>0.45669399999999999</v>
      </c>
      <c r="C6" s="68">
        <v>1.62154</v>
      </c>
      <c r="D6" s="68">
        <v>1</v>
      </c>
      <c r="E6" s="68" t="s">
        <v>362</v>
      </c>
    </row>
    <row r="7" spans="1:5">
      <c r="A7" s="68">
        <v>0.34604000000000001</v>
      </c>
      <c r="B7" s="68">
        <v>0.454295</v>
      </c>
      <c r="C7" s="68">
        <v>2.0285099999999998</v>
      </c>
      <c r="D7" s="68">
        <v>1</v>
      </c>
      <c r="E7" s="68" t="s">
        <v>363</v>
      </c>
    </row>
    <row r="8" spans="1:5">
      <c r="A8" s="68">
        <v>0.34887499999999999</v>
      </c>
      <c r="B8" s="68">
        <v>0.4516</v>
      </c>
      <c r="C8" s="68">
        <v>2.4394100000000001</v>
      </c>
      <c r="D8" s="68">
        <v>1</v>
      </c>
      <c r="E8" s="68" t="s">
        <v>364</v>
      </c>
    </row>
    <row r="9" spans="1:5">
      <c r="A9" s="68">
        <v>0.35147899999999999</v>
      </c>
      <c r="B9" s="68">
        <v>0.44835799999999998</v>
      </c>
      <c r="C9" s="68">
        <v>2.84538</v>
      </c>
      <c r="D9" s="68">
        <v>1</v>
      </c>
      <c r="E9" s="68" t="s">
        <v>365</v>
      </c>
    </row>
    <row r="10" spans="1:5">
      <c r="A10" s="68">
        <v>0.35395700000000002</v>
      </c>
      <c r="B10" s="68">
        <v>0.444135</v>
      </c>
      <c r="C10" s="68">
        <v>3.2481800000000001</v>
      </c>
      <c r="D10" s="68">
        <v>1</v>
      </c>
      <c r="E10" s="68" t="s">
        <v>366</v>
      </c>
    </row>
    <row r="11" spans="1:5">
      <c r="A11" s="68">
        <v>0.356402</v>
      </c>
      <c r="B11" s="68">
        <v>0.43987399999999999</v>
      </c>
      <c r="C11" s="68">
        <v>3.65415</v>
      </c>
      <c r="D11" s="68">
        <v>1</v>
      </c>
      <c r="E11" s="68" t="s">
        <v>367</v>
      </c>
    </row>
    <row r="12" spans="1:5">
      <c r="A12" s="68">
        <v>0.35846299999999998</v>
      </c>
      <c r="B12" s="68">
        <v>0.43680000000000002</v>
      </c>
      <c r="C12" s="68">
        <v>4.06013</v>
      </c>
      <c r="D12" s="68">
        <v>1</v>
      </c>
      <c r="E12" s="68" t="s">
        <v>368</v>
      </c>
    </row>
    <row r="13" spans="1:5">
      <c r="A13" s="68">
        <v>0.35979</v>
      </c>
      <c r="B13" s="68">
        <v>0.43430400000000002</v>
      </c>
      <c r="C13" s="68">
        <v>4.4669499999999998</v>
      </c>
      <c r="D13" s="68">
        <v>1</v>
      </c>
      <c r="E13" s="68" t="s">
        <v>369</v>
      </c>
    </row>
    <row r="14" spans="1:5">
      <c r="A14" s="68">
        <v>0.36047800000000002</v>
      </c>
      <c r="B14" s="68">
        <v>0.43215799999999999</v>
      </c>
      <c r="C14" s="68">
        <v>4.8754600000000003</v>
      </c>
      <c r="D14" s="68">
        <v>1</v>
      </c>
      <c r="E14" s="68" t="s">
        <v>370</v>
      </c>
    </row>
    <row r="15" spans="1:5">
      <c r="A15" s="68">
        <v>0.3609</v>
      </c>
      <c r="B15" s="68">
        <v>0.43026900000000001</v>
      </c>
      <c r="C15" s="68">
        <v>5.2828299999999997</v>
      </c>
      <c r="D15" s="68">
        <v>1</v>
      </c>
      <c r="E15" s="68" t="s">
        <v>371</v>
      </c>
    </row>
    <row r="16" spans="1:5">
      <c r="A16" s="68">
        <v>0.36111900000000002</v>
      </c>
      <c r="B16" s="68">
        <v>0.42848199999999997</v>
      </c>
      <c r="C16" s="68">
        <v>5.6847000000000003</v>
      </c>
      <c r="D16" s="68">
        <v>1</v>
      </c>
      <c r="E16" s="68" t="s">
        <v>372</v>
      </c>
    </row>
    <row r="17" spans="1:5">
      <c r="A17" s="68">
        <v>0.360877</v>
      </c>
      <c r="B17" s="68">
        <v>0.42613200000000001</v>
      </c>
      <c r="C17" s="68">
        <v>6.0922200000000002</v>
      </c>
      <c r="D17" s="68">
        <v>1</v>
      </c>
      <c r="E17" s="68" t="s">
        <v>373</v>
      </c>
    </row>
    <row r="18" spans="1:5">
      <c r="A18" s="68">
        <v>0.36063800000000001</v>
      </c>
      <c r="B18" s="68">
        <v>0.42427599999999999</v>
      </c>
      <c r="C18" s="68">
        <v>6.4985099999999996</v>
      </c>
      <c r="D18" s="68">
        <v>1</v>
      </c>
      <c r="E18" s="68" t="s">
        <v>374</v>
      </c>
    </row>
    <row r="19" spans="1:5">
      <c r="A19" s="68">
        <v>0.36002800000000001</v>
      </c>
      <c r="B19" s="68">
        <v>0.42220800000000003</v>
      </c>
      <c r="C19" s="68">
        <v>6.90259</v>
      </c>
      <c r="D19" s="68">
        <v>1</v>
      </c>
      <c r="E19" s="68" t="s">
        <v>375</v>
      </c>
    </row>
    <row r="20" spans="1:5">
      <c r="A20" s="68">
        <v>0.358929</v>
      </c>
      <c r="B20" s="68">
        <v>0.42032000000000003</v>
      </c>
      <c r="C20" s="68">
        <v>7.3123399999999998</v>
      </c>
      <c r="D20" s="68">
        <v>1</v>
      </c>
      <c r="E20" s="68" t="s">
        <v>376</v>
      </c>
    </row>
    <row r="21" spans="1:5">
      <c r="A21" s="68">
        <v>0.357317</v>
      </c>
      <c r="B21" s="68">
        <v>0.41838900000000001</v>
      </c>
      <c r="C21" s="68">
        <v>7.7172599999999996</v>
      </c>
      <c r="D21" s="68">
        <v>1</v>
      </c>
      <c r="E21" s="68" t="s">
        <v>377</v>
      </c>
    </row>
    <row r="22" spans="1:5">
      <c r="A22" s="68">
        <v>0.35552800000000001</v>
      </c>
      <c r="B22" s="68">
        <v>0.41655999999999999</v>
      </c>
      <c r="C22" s="68">
        <v>8.1221599999999992</v>
      </c>
      <c r="D22" s="68">
        <v>1</v>
      </c>
      <c r="E22" s="68" t="s">
        <v>378</v>
      </c>
    </row>
    <row r="23" spans="1:5">
      <c r="A23" s="68">
        <v>0.35331899999999999</v>
      </c>
      <c r="B23" s="68">
        <v>0.41490300000000002</v>
      </c>
      <c r="C23" s="68">
        <v>8.5256699999999999</v>
      </c>
      <c r="D23" s="68">
        <v>1</v>
      </c>
      <c r="E23" s="68" t="s">
        <v>379</v>
      </c>
    </row>
    <row r="24" spans="1:5">
      <c r="A24" s="68">
        <v>0.35074300000000003</v>
      </c>
      <c r="B24" s="68">
        <v>0.41293099999999999</v>
      </c>
      <c r="C24" s="68">
        <v>8.9319400000000009</v>
      </c>
      <c r="D24" s="68">
        <v>1</v>
      </c>
      <c r="E24" s="68" t="s">
        <v>380</v>
      </c>
    </row>
    <row r="25" spans="1:5">
      <c r="A25" s="68">
        <v>0.347939</v>
      </c>
      <c r="B25" s="68">
        <v>0.41101399999999999</v>
      </c>
      <c r="C25" s="68">
        <v>9.3420199999999998</v>
      </c>
      <c r="D25" s="68">
        <v>1</v>
      </c>
      <c r="E25" s="68" t="s">
        <v>381</v>
      </c>
    </row>
    <row r="26" spans="1:5">
      <c r="A26" s="68">
        <v>0.34470299999999998</v>
      </c>
      <c r="B26" s="68">
        <v>0.40986299999999998</v>
      </c>
      <c r="C26" s="68">
        <v>9.7498299999999993</v>
      </c>
      <c r="D26" s="68">
        <v>1</v>
      </c>
      <c r="E26" s="68" t="s">
        <v>382</v>
      </c>
    </row>
    <row r="27" spans="1:5">
      <c r="A27" s="68">
        <v>0.34129300000000001</v>
      </c>
      <c r="B27" s="68">
        <v>0.409271</v>
      </c>
      <c r="C27" s="68">
        <v>10.153700000000001</v>
      </c>
      <c r="D27" s="68">
        <v>1</v>
      </c>
      <c r="E27" s="68" t="s">
        <v>383</v>
      </c>
    </row>
    <row r="28" spans="1:5">
      <c r="A28" s="68">
        <v>0.33812799999999998</v>
      </c>
      <c r="B28" s="68">
        <v>0.40926699999999999</v>
      </c>
      <c r="C28" s="68">
        <v>10.559799999999999</v>
      </c>
      <c r="D28" s="68">
        <v>1</v>
      </c>
      <c r="E28" s="68" t="s">
        <v>384</v>
      </c>
    </row>
    <row r="29" spans="1:5">
      <c r="A29" s="68">
        <v>0.33535399999999999</v>
      </c>
      <c r="B29" s="68">
        <v>0.41033500000000001</v>
      </c>
      <c r="C29" s="68">
        <v>10.970499999999999</v>
      </c>
      <c r="D29" s="68">
        <v>1</v>
      </c>
      <c r="E29" s="68" t="s">
        <v>385</v>
      </c>
    </row>
    <row r="30" spans="1:5">
      <c r="A30" s="68">
        <v>0.33238400000000001</v>
      </c>
      <c r="B30" s="68">
        <v>0.41170899999999999</v>
      </c>
      <c r="C30" s="68">
        <v>11.3705</v>
      </c>
      <c r="D30" s="68">
        <v>1</v>
      </c>
      <c r="E30" s="68" t="s">
        <v>386</v>
      </c>
    </row>
    <row r="31" spans="1:5">
      <c r="A31" s="68">
        <v>0.32911899999999999</v>
      </c>
      <c r="B31" s="68">
        <v>0.41417700000000002</v>
      </c>
      <c r="C31" s="68">
        <v>11.7804</v>
      </c>
      <c r="D31" s="68">
        <v>1</v>
      </c>
      <c r="E31" s="68" t="s">
        <v>387</v>
      </c>
    </row>
    <row r="32" spans="1:5">
      <c r="A32" s="68">
        <v>0.325461</v>
      </c>
      <c r="B32" s="68">
        <v>0.41750900000000002</v>
      </c>
      <c r="C32" s="68">
        <v>12.1844</v>
      </c>
      <c r="D32" s="68">
        <v>1</v>
      </c>
      <c r="E32" s="68" t="s">
        <v>388</v>
      </c>
    </row>
    <row r="33" spans="1:5">
      <c r="A33" s="68">
        <v>0.32127299999999998</v>
      </c>
      <c r="B33" s="68">
        <v>0.42217300000000002</v>
      </c>
      <c r="C33" s="68">
        <v>12.5954</v>
      </c>
      <c r="D33" s="68">
        <v>1</v>
      </c>
      <c r="E33" s="68" t="s">
        <v>389</v>
      </c>
    </row>
    <row r="34" spans="1:5">
      <c r="A34" s="68">
        <v>0.31717299999999998</v>
      </c>
      <c r="B34" s="68">
        <v>0.42805900000000002</v>
      </c>
      <c r="C34" s="68">
        <v>12.9992</v>
      </c>
      <c r="D34" s="68">
        <v>1</v>
      </c>
      <c r="E34" s="68" t="s">
        <v>390</v>
      </c>
    </row>
    <row r="35" spans="1:5">
      <c r="A35" s="68">
        <v>0.31331900000000001</v>
      </c>
      <c r="B35" s="68">
        <v>0.43521199999999999</v>
      </c>
      <c r="C35" s="68">
        <v>13.4062</v>
      </c>
      <c r="D35" s="68">
        <v>1</v>
      </c>
      <c r="E35" s="68" t="s">
        <v>391</v>
      </c>
    </row>
    <row r="36" spans="1:5">
      <c r="A36" s="68">
        <v>0.30960900000000002</v>
      </c>
      <c r="B36" s="68">
        <v>0.44299500000000003</v>
      </c>
      <c r="C36" s="68">
        <v>13.81</v>
      </c>
      <c r="D36" s="68">
        <v>1</v>
      </c>
      <c r="E36" s="68" t="s">
        <v>392</v>
      </c>
    </row>
    <row r="37" spans="1:5">
      <c r="A37" s="68">
        <v>0.30635899999999999</v>
      </c>
      <c r="B37" s="68">
        <v>0.44965699999999997</v>
      </c>
      <c r="C37" s="68">
        <v>14.215999999999999</v>
      </c>
      <c r="D37" s="68">
        <v>1</v>
      </c>
      <c r="E37" s="68" t="s">
        <v>393</v>
      </c>
    </row>
    <row r="38" spans="1:5">
      <c r="A38" s="68">
        <v>0.30393599999999998</v>
      </c>
      <c r="B38" s="68">
        <v>0.454876</v>
      </c>
      <c r="C38" s="68">
        <v>14.623900000000001</v>
      </c>
      <c r="D38" s="68">
        <v>1</v>
      </c>
      <c r="E38" s="68" t="s">
        <v>394</v>
      </c>
    </row>
    <row r="39" spans="1:5">
      <c r="A39" s="68">
        <v>0.302172</v>
      </c>
      <c r="B39" s="68">
        <v>0.45812199999999997</v>
      </c>
      <c r="C39" s="68">
        <v>15.0288</v>
      </c>
      <c r="D39" s="68">
        <v>1</v>
      </c>
      <c r="E39" s="68" t="s">
        <v>395</v>
      </c>
    </row>
    <row r="40" spans="1:5">
      <c r="A40" s="68">
        <v>0.30059900000000001</v>
      </c>
      <c r="B40" s="68">
        <v>0.46071600000000001</v>
      </c>
      <c r="C40" s="68">
        <v>15.4367</v>
      </c>
      <c r="D40" s="68">
        <v>1</v>
      </c>
      <c r="E40" s="68" t="s">
        <v>396</v>
      </c>
    </row>
    <row r="41" spans="1:5">
      <c r="A41" s="68">
        <v>0.29924299999999998</v>
      </c>
      <c r="B41" s="68">
        <v>0.46308199999999999</v>
      </c>
      <c r="C41" s="68">
        <v>15.845599999999999</v>
      </c>
      <c r="D41" s="68">
        <v>1</v>
      </c>
      <c r="E41" s="68" t="s">
        <v>397</v>
      </c>
    </row>
    <row r="42" spans="1:5">
      <c r="A42" s="68">
        <v>0.298541</v>
      </c>
      <c r="B42" s="68">
        <v>0.46463700000000002</v>
      </c>
      <c r="C42" s="68">
        <v>16.247499999999999</v>
      </c>
      <c r="D42" s="68">
        <v>1</v>
      </c>
      <c r="E42" s="68" t="s">
        <v>398</v>
      </c>
    </row>
    <row r="43" spans="1:5">
      <c r="A43" s="68">
        <v>0.29775800000000002</v>
      </c>
      <c r="B43" s="68">
        <v>0.466478</v>
      </c>
      <c r="C43" s="68">
        <v>16.6524</v>
      </c>
      <c r="D43" s="68">
        <v>1</v>
      </c>
      <c r="E43" s="68" t="s">
        <v>399</v>
      </c>
    </row>
    <row r="44" spans="1:5">
      <c r="A44" s="68">
        <v>0.297315</v>
      </c>
      <c r="B44" s="68">
        <v>0.468277</v>
      </c>
      <c r="C44" s="68">
        <v>17.0623</v>
      </c>
      <c r="D44" s="68">
        <v>1</v>
      </c>
      <c r="E44" s="68" t="s">
        <v>400</v>
      </c>
    </row>
    <row r="45" spans="1:5">
      <c r="A45" s="68">
        <v>0.29705300000000001</v>
      </c>
      <c r="B45" s="68">
        <v>0.46903600000000001</v>
      </c>
      <c r="C45" s="68">
        <v>17.467400000000001</v>
      </c>
      <c r="D45" s="68">
        <v>1</v>
      </c>
      <c r="E45" s="68" t="s">
        <v>401</v>
      </c>
    </row>
    <row r="46" spans="1:5">
      <c r="A46" s="68">
        <v>0.29682999999999998</v>
      </c>
      <c r="B46" s="68">
        <v>0.46889199999999998</v>
      </c>
      <c r="C46" s="68">
        <v>17.871200000000002</v>
      </c>
      <c r="D46" s="68">
        <v>1</v>
      </c>
      <c r="E46" s="68" t="s">
        <v>402</v>
      </c>
    </row>
    <row r="47" spans="1:5">
      <c r="A47" s="68">
        <v>0.29630600000000001</v>
      </c>
      <c r="B47" s="68">
        <v>0.468864</v>
      </c>
      <c r="C47" s="68">
        <v>18.277100000000001</v>
      </c>
      <c r="D47" s="68">
        <v>1</v>
      </c>
      <c r="E47" s="68" t="s">
        <v>403</v>
      </c>
    </row>
    <row r="48" spans="1:5">
      <c r="A48" s="68">
        <v>0.29575299999999999</v>
      </c>
      <c r="B48" s="68">
        <v>0.46847299999999997</v>
      </c>
      <c r="C48" s="68">
        <v>18.687999999999999</v>
      </c>
      <c r="D48" s="68">
        <v>1</v>
      </c>
      <c r="E48" s="68" t="s">
        <v>404</v>
      </c>
    </row>
    <row r="49" spans="1:5">
      <c r="A49" s="68">
        <v>0.29523100000000002</v>
      </c>
      <c r="B49" s="68">
        <v>0.468727</v>
      </c>
      <c r="C49" s="68">
        <v>19.094899999999999</v>
      </c>
      <c r="D49" s="68">
        <v>1</v>
      </c>
      <c r="E49" s="68" t="s">
        <v>405</v>
      </c>
    </row>
    <row r="50" spans="1:5">
      <c r="A50" s="68">
        <v>0.2944</v>
      </c>
      <c r="B50" s="68">
        <v>0.468885</v>
      </c>
      <c r="C50" s="68">
        <v>19.4968</v>
      </c>
      <c r="D50" s="68">
        <v>1</v>
      </c>
      <c r="E50" s="68" t="s">
        <v>406</v>
      </c>
    </row>
    <row r="51" spans="1:5">
      <c r="A51" s="68">
        <v>0.29316900000000001</v>
      </c>
      <c r="B51" s="68">
        <v>0.46863900000000003</v>
      </c>
      <c r="C51" s="68">
        <v>19.901900000000001</v>
      </c>
      <c r="D51" s="68">
        <v>1</v>
      </c>
      <c r="E51" s="68" t="s">
        <v>407</v>
      </c>
    </row>
    <row r="52" spans="1:5">
      <c r="A52" s="68">
        <v>0.29256799999999999</v>
      </c>
      <c r="B52" s="68">
        <v>0.46786299999999997</v>
      </c>
      <c r="C52" s="68">
        <v>20.3127</v>
      </c>
      <c r="D52" s="68">
        <v>1</v>
      </c>
      <c r="E52" s="68" t="s">
        <v>408</v>
      </c>
    </row>
    <row r="53" spans="1:5">
      <c r="A53" s="68">
        <v>0.29135</v>
      </c>
      <c r="B53" s="68">
        <v>0.46703899999999998</v>
      </c>
      <c r="C53" s="68">
        <v>20.721499999999999</v>
      </c>
      <c r="D53" s="68">
        <v>1</v>
      </c>
      <c r="E53" s="68" t="s">
        <v>409</v>
      </c>
    </row>
    <row r="54" spans="1:5">
      <c r="A54" s="68">
        <v>0.29013499999999998</v>
      </c>
      <c r="B54" s="68">
        <v>0.46628599999999998</v>
      </c>
      <c r="C54" s="68">
        <v>21.1234</v>
      </c>
      <c r="D54" s="68">
        <v>1</v>
      </c>
      <c r="E54" s="68" t="s">
        <v>410</v>
      </c>
    </row>
    <row r="55" spans="1:5">
      <c r="A55" s="68">
        <v>0.289136</v>
      </c>
      <c r="B55" s="68">
        <v>0.465339</v>
      </c>
      <c r="C55" s="68">
        <v>21.529399999999999</v>
      </c>
      <c r="D55" s="68">
        <v>1</v>
      </c>
      <c r="E55" s="68" t="s">
        <v>411</v>
      </c>
    </row>
    <row r="56" spans="1:5">
      <c r="A56" s="68">
        <v>0.28811700000000001</v>
      </c>
      <c r="B56" s="68">
        <v>0.46421299999999999</v>
      </c>
      <c r="C56" s="68">
        <v>21.935500000000001</v>
      </c>
      <c r="D56" s="68">
        <v>1</v>
      </c>
      <c r="E56" s="68" t="s">
        <v>412</v>
      </c>
    </row>
    <row r="57" spans="1:5">
      <c r="A57" s="68">
        <v>0.28717300000000001</v>
      </c>
      <c r="B57" s="68">
        <v>0.463391</v>
      </c>
      <c r="C57" s="68">
        <v>22.339200000000002</v>
      </c>
      <c r="D57" s="68">
        <v>1</v>
      </c>
      <c r="E57" s="68" t="s">
        <v>413</v>
      </c>
    </row>
    <row r="58" spans="1:5">
      <c r="A58" s="68">
        <v>0.28618199999999999</v>
      </c>
      <c r="B58" s="68">
        <v>0.46223999999999998</v>
      </c>
      <c r="C58" s="68">
        <v>22.751200000000001</v>
      </c>
      <c r="D58" s="68">
        <v>1</v>
      </c>
      <c r="E58" s="68" t="s">
        <v>414</v>
      </c>
    </row>
    <row r="59" spans="1:5">
      <c r="A59" s="68">
        <v>0.28497</v>
      </c>
      <c r="B59" s="68">
        <v>0.46063199999999999</v>
      </c>
      <c r="C59" s="68">
        <v>23.155000000000001</v>
      </c>
      <c r="D59" s="68">
        <v>1</v>
      </c>
      <c r="E59" s="68" t="s">
        <v>415</v>
      </c>
    </row>
    <row r="60" spans="1:5">
      <c r="A60" s="68">
        <v>0.28367599999999998</v>
      </c>
      <c r="B60" s="68">
        <v>0.45929199999999998</v>
      </c>
      <c r="C60" s="68">
        <v>23.556899999999999</v>
      </c>
      <c r="D60" s="68">
        <v>1</v>
      </c>
      <c r="E60" s="68" t="s">
        <v>416</v>
      </c>
    </row>
    <row r="61" spans="1:5">
      <c r="A61" s="68">
        <v>0.28223999999999999</v>
      </c>
      <c r="B61" s="68">
        <v>0.458536</v>
      </c>
      <c r="C61" s="68">
        <v>23.969899999999999</v>
      </c>
      <c r="D61" s="68">
        <v>1</v>
      </c>
      <c r="E61" s="68" t="s">
        <v>417</v>
      </c>
    </row>
    <row r="62" spans="1:5">
      <c r="A62" s="68">
        <v>0.280696</v>
      </c>
      <c r="B62" s="68">
        <v>0.45854800000000001</v>
      </c>
      <c r="C62" s="68">
        <v>24.375900000000001</v>
      </c>
      <c r="D62" s="68">
        <v>1</v>
      </c>
      <c r="E62" s="68" t="s">
        <v>418</v>
      </c>
    </row>
    <row r="63" spans="1:5">
      <c r="A63" s="68">
        <v>0.27871899999999999</v>
      </c>
      <c r="B63" s="68">
        <v>0.459642</v>
      </c>
      <c r="C63" s="68">
        <v>24.781700000000001</v>
      </c>
      <c r="D63" s="68">
        <v>1</v>
      </c>
      <c r="E63" s="68" t="s">
        <v>419</v>
      </c>
    </row>
    <row r="64" spans="1:5">
      <c r="A64" s="68">
        <v>0.276453</v>
      </c>
      <c r="B64" s="68">
        <v>0.46189999999999998</v>
      </c>
      <c r="C64" s="68">
        <v>25.1846</v>
      </c>
      <c r="D64" s="68">
        <v>1</v>
      </c>
      <c r="E64" s="68" t="s">
        <v>420</v>
      </c>
    </row>
    <row r="65" spans="1:5">
      <c r="A65" s="68">
        <v>0.27400099999999999</v>
      </c>
      <c r="B65" s="68">
        <v>0.46513700000000002</v>
      </c>
      <c r="C65" s="68">
        <v>25.592600000000001</v>
      </c>
      <c r="D65" s="68">
        <v>1</v>
      </c>
      <c r="E65" s="68" t="s">
        <v>421</v>
      </c>
    </row>
    <row r="66" spans="1:5">
      <c r="A66" s="68">
        <v>0.27151700000000001</v>
      </c>
      <c r="B66" s="68">
        <v>0.46919899999999998</v>
      </c>
      <c r="C66" s="68">
        <v>25.999600000000001</v>
      </c>
      <c r="D66" s="68">
        <v>1</v>
      </c>
      <c r="E66" s="68" t="s">
        <v>422</v>
      </c>
    </row>
    <row r="67" spans="1:5">
      <c r="A67" s="68">
        <v>0.26870100000000002</v>
      </c>
      <c r="B67" s="68">
        <v>0.47498000000000001</v>
      </c>
      <c r="C67" s="68">
        <v>26.407299999999999</v>
      </c>
      <c r="D67" s="68">
        <v>1</v>
      </c>
      <c r="E67" s="68" t="s">
        <v>423</v>
      </c>
    </row>
    <row r="68" spans="1:5">
      <c r="A68" s="68">
        <v>0.26569500000000001</v>
      </c>
      <c r="B68" s="68">
        <v>0.48161399999999999</v>
      </c>
      <c r="C68" s="68">
        <v>26.815300000000001</v>
      </c>
      <c r="D68" s="68">
        <v>1</v>
      </c>
      <c r="E68" s="68" t="s">
        <v>424</v>
      </c>
    </row>
    <row r="69" spans="1:5">
      <c r="A69" s="68">
        <v>0.26230700000000001</v>
      </c>
      <c r="B69" s="68">
        <v>0.48953799999999997</v>
      </c>
      <c r="C69" s="68">
        <v>27.215199999999999</v>
      </c>
      <c r="D69" s="68">
        <v>1</v>
      </c>
      <c r="E69" s="68" t="s">
        <v>425</v>
      </c>
    </row>
    <row r="70" spans="1:5">
      <c r="A70" s="68">
        <v>0.25896200000000003</v>
      </c>
      <c r="B70" s="68">
        <v>0.498311</v>
      </c>
      <c r="C70" s="68">
        <v>27.623100000000001</v>
      </c>
      <c r="D70" s="68">
        <v>1</v>
      </c>
      <c r="E70" s="68" t="s">
        <v>426</v>
      </c>
    </row>
    <row r="71" spans="1:5">
      <c r="A71" s="68">
        <v>0.25608900000000001</v>
      </c>
      <c r="B71" s="68">
        <v>0.50722900000000004</v>
      </c>
      <c r="C71" s="68">
        <v>28.029199999999999</v>
      </c>
      <c r="D71" s="68">
        <v>1</v>
      </c>
      <c r="E71" s="68" t="s">
        <v>427</v>
      </c>
    </row>
    <row r="72" spans="1:5">
      <c r="A72" s="68">
        <v>0.25365900000000002</v>
      </c>
      <c r="B72" s="68">
        <v>0.51558099999999996</v>
      </c>
      <c r="C72" s="68">
        <v>28.436</v>
      </c>
      <c r="D72" s="68">
        <v>1</v>
      </c>
      <c r="E72" s="68" t="s">
        <v>428</v>
      </c>
    </row>
    <row r="73" spans="1:5">
      <c r="A73" s="68">
        <v>0.251554</v>
      </c>
      <c r="B73" s="68">
        <v>0.52373000000000003</v>
      </c>
      <c r="C73" s="68">
        <v>28.842199999999998</v>
      </c>
      <c r="D73" s="68">
        <v>1</v>
      </c>
      <c r="E73" s="68" t="s">
        <v>429</v>
      </c>
    </row>
    <row r="74" spans="1:5">
      <c r="A74" s="68">
        <v>0.249582</v>
      </c>
      <c r="B74" s="68">
        <v>0.53091500000000003</v>
      </c>
      <c r="C74" s="68">
        <v>29.250699999999998</v>
      </c>
      <c r="D74" s="68">
        <v>1</v>
      </c>
      <c r="E74" s="68" t="s">
        <v>430</v>
      </c>
    </row>
    <row r="75" spans="1:5">
      <c r="A75" s="68">
        <v>0.248109</v>
      </c>
      <c r="B75" s="68">
        <v>0.537408</v>
      </c>
      <c r="C75" s="68">
        <v>29.654599999999999</v>
      </c>
      <c r="D75" s="68">
        <v>1</v>
      </c>
      <c r="E75" s="68" t="s">
        <v>431</v>
      </c>
    </row>
    <row r="76" spans="1:5">
      <c r="A76" s="68">
        <v>0.24728800000000001</v>
      </c>
      <c r="B76" s="68">
        <v>0.54275499999999999</v>
      </c>
      <c r="C76" s="68">
        <v>30.059899999999999</v>
      </c>
      <c r="D76" s="68">
        <v>2</v>
      </c>
      <c r="E76" s="68" t="s">
        <v>432</v>
      </c>
    </row>
    <row r="77" spans="1:5">
      <c r="A77" s="68">
        <v>0.24653900000000001</v>
      </c>
      <c r="B77" s="68">
        <v>0.54972399999999999</v>
      </c>
      <c r="C77" s="68">
        <v>30.645</v>
      </c>
      <c r="D77" s="68">
        <v>2</v>
      </c>
      <c r="E77" s="68" t="s">
        <v>433</v>
      </c>
    </row>
    <row r="78" spans="1:5">
      <c r="A78" s="68">
        <v>0.24581900000000001</v>
      </c>
      <c r="B78" s="68">
        <v>0.55543100000000001</v>
      </c>
      <c r="C78" s="68">
        <v>31.013999999999999</v>
      </c>
      <c r="D78" s="68">
        <v>2</v>
      </c>
      <c r="E78" s="68" t="s">
        <v>434</v>
      </c>
    </row>
    <row r="79" spans="1:5">
      <c r="A79" s="68">
        <v>0.24498900000000001</v>
      </c>
      <c r="B79" s="68">
        <v>0.56165200000000004</v>
      </c>
      <c r="C79" s="68">
        <v>31.387</v>
      </c>
      <c r="D79" s="68">
        <v>2</v>
      </c>
      <c r="E79" s="68" t="s">
        <v>435</v>
      </c>
    </row>
    <row r="80" spans="1:5">
      <c r="A80" s="68">
        <v>0.24397099999999999</v>
      </c>
      <c r="B80" s="68">
        <v>0.56850000000000001</v>
      </c>
      <c r="C80" s="68">
        <v>31.764900000000001</v>
      </c>
      <c r="D80" s="68">
        <v>2</v>
      </c>
      <c r="E80" s="68" t="s">
        <v>436</v>
      </c>
    </row>
    <row r="81" spans="1:5">
      <c r="A81" s="68">
        <v>0.24296699999999999</v>
      </c>
      <c r="B81" s="68">
        <v>0.57548600000000005</v>
      </c>
      <c r="C81" s="68">
        <v>32.152900000000002</v>
      </c>
      <c r="D81" s="68">
        <v>2</v>
      </c>
      <c r="E81" s="68" t="s">
        <v>437</v>
      </c>
    </row>
    <row r="82" spans="1:5">
      <c r="A82" s="68">
        <v>0.2422</v>
      </c>
      <c r="B82" s="68">
        <v>0.58171899999999999</v>
      </c>
      <c r="C82" s="68">
        <v>32.5608</v>
      </c>
      <c r="D82" s="68">
        <v>2</v>
      </c>
      <c r="E82" s="68" t="s">
        <v>438</v>
      </c>
    </row>
    <row r="83" spans="1:5">
      <c r="A83" s="68">
        <v>0.24191699999999999</v>
      </c>
      <c r="B83" s="68">
        <v>0.58713700000000002</v>
      </c>
      <c r="C83" s="68">
        <v>32.970700000000001</v>
      </c>
      <c r="D83" s="68">
        <v>2</v>
      </c>
      <c r="E83" s="68" t="s">
        <v>439</v>
      </c>
    </row>
    <row r="84" spans="1:5">
      <c r="A84" s="68">
        <v>0.24215400000000001</v>
      </c>
      <c r="B84" s="68">
        <v>0.59152499999999997</v>
      </c>
      <c r="C84" s="68">
        <v>33.374600000000001</v>
      </c>
      <c r="D84" s="68">
        <v>2</v>
      </c>
      <c r="E84" s="68" t="s">
        <v>440</v>
      </c>
    </row>
    <row r="85" spans="1:5">
      <c r="A85" s="68">
        <v>0.242671</v>
      </c>
      <c r="B85" s="68">
        <v>0.59398099999999998</v>
      </c>
      <c r="C85" s="68">
        <v>33.779600000000002</v>
      </c>
      <c r="D85" s="68">
        <v>2</v>
      </c>
      <c r="E85" s="68" t="s">
        <v>441</v>
      </c>
    </row>
    <row r="86" spans="1:5">
      <c r="A86" s="68">
        <v>0.24345800000000001</v>
      </c>
      <c r="B86" s="68">
        <v>0.59533599999999998</v>
      </c>
      <c r="C86" s="68">
        <v>34.185600000000001</v>
      </c>
      <c r="D86" s="68">
        <v>2</v>
      </c>
      <c r="E86" s="68" t="s">
        <v>442</v>
      </c>
    </row>
    <row r="87" spans="1:5">
      <c r="A87" s="68">
        <v>0.24436099999999999</v>
      </c>
      <c r="B87" s="68">
        <v>0.59572199999999997</v>
      </c>
      <c r="C87" s="68">
        <v>34.591700000000003</v>
      </c>
      <c r="D87" s="68">
        <v>2</v>
      </c>
      <c r="E87" s="68" t="s">
        <v>443</v>
      </c>
    </row>
    <row r="88" spans="1:5">
      <c r="A88" s="68">
        <v>0.24534600000000001</v>
      </c>
      <c r="B88" s="68">
        <v>0.59500399999999998</v>
      </c>
      <c r="C88" s="68">
        <v>34.999299999999998</v>
      </c>
      <c r="D88" s="68">
        <v>2</v>
      </c>
      <c r="E88" s="68" t="s">
        <v>444</v>
      </c>
    </row>
    <row r="89" spans="1:5">
      <c r="A89" s="68">
        <v>0.246337</v>
      </c>
      <c r="B89" s="68">
        <v>0.59375199999999995</v>
      </c>
      <c r="C89" s="68">
        <v>35.407299999999999</v>
      </c>
      <c r="D89" s="68">
        <v>2</v>
      </c>
      <c r="E89" s="68" t="s">
        <v>445</v>
      </c>
    </row>
    <row r="90" spans="1:5">
      <c r="A90" s="68">
        <v>0.247306</v>
      </c>
      <c r="B90" s="68">
        <v>0.59179000000000004</v>
      </c>
      <c r="C90" s="68">
        <v>35.813099999999999</v>
      </c>
      <c r="D90" s="68">
        <v>2</v>
      </c>
      <c r="E90" s="68" t="s">
        <v>446</v>
      </c>
    </row>
    <row r="91" spans="1:5">
      <c r="A91" s="68">
        <v>0.248112</v>
      </c>
      <c r="B91" s="68">
        <v>0.58945800000000004</v>
      </c>
      <c r="C91" s="68">
        <v>36.2151</v>
      </c>
      <c r="D91" s="68">
        <v>2</v>
      </c>
      <c r="E91" s="68" t="s">
        <v>447</v>
      </c>
    </row>
    <row r="92" spans="1:5">
      <c r="A92" s="68">
        <v>0.249005</v>
      </c>
      <c r="B92" s="68">
        <v>0.58629600000000004</v>
      </c>
      <c r="C92" s="68">
        <v>36.622599999999998</v>
      </c>
      <c r="D92" s="68">
        <v>2</v>
      </c>
      <c r="E92" s="68" t="s">
        <v>448</v>
      </c>
    </row>
    <row r="93" spans="1:5">
      <c r="A93" s="68">
        <v>0.25006499999999998</v>
      </c>
      <c r="B93" s="68">
        <v>0.58142700000000003</v>
      </c>
      <c r="C93" s="68">
        <v>37.026899999999998</v>
      </c>
      <c r="D93" s="68">
        <v>2</v>
      </c>
      <c r="E93" s="68" t="s">
        <v>449</v>
      </c>
    </row>
    <row r="94" spans="1:5">
      <c r="A94" s="68">
        <v>0.25162499999999999</v>
      </c>
      <c r="B94" s="68">
        <v>0.57477599999999995</v>
      </c>
      <c r="C94" s="68">
        <v>37.436799999999998</v>
      </c>
      <c r="D94" s="68">
        <v>2</v>
      </c>
      <c r="E94" s="68" t="s">
        <v>450</v>
      </c>
    </row>
    <row r="95" spans="1:5">
      <c r="A95" s="68">
        <v>0.25361899999999998</v>
      </c>
      <c r="B95" s="68">
        <v>0.56630499999999995</v>
      </c>
      <c r="C95" s="68">
        <v>37.844700000000003</v>
      </c>
      <c r="D95" s="68">
        <v>2</v>
      </c>
      <c r="E95" s="68" t="s">
        <v>451</v>
      </c>
    </row>
    <row r="96" spans="1:5">
      <c r="A96" s="68">
        <v>0.25596799999999997</v>
      </c>
      <c r="B96" s="68">
        <v>0.55631799999999998</v>
      </c>
      <c r="C96" s="68">
        <v>38.249600000000001</v>
      </c>
      <c r="D96" s="68">
        <v>2</v>
      </c>
      <c r="E96" s="68" t="s">
        <v>452</v>
      </c>
    </row>
    <row r="97" spans="1:5">
      <c r="A97" s="68">
        <v>0.25856400000000002</v>
      </c>
      <c r="B97" s="68">
        <v>0.54544999999999999</v>
      </c>
      <c r="C97" s="68">
        <v>38.652500000000003</v>
      </c>
      <c r="D97" s="68">
        <v>2</v>
      </c>
      <c r="E97" s="68" t="s">
        <v>453</v>
      </c>
    </row>
    <row r="98" spans="1:5">
      <c r="A98" s="68">
        <v>0.26140999999999998</v>
      </c>
      <c r="B98" s="68">
        <v>0.53374999999999995</v>
      </c>
      <c r="C98" s="68">
        <v>39.062399999999997</v>
      </c>
      <c r="D98" s="68">
        <v>2</v>
      </c>
      <c r="E98" s="68" t="s">
        <v>454</v>
      </c>
    </row>
    <row r="99" spans="1:5">
      <c r="A99" s="68">
        <v>0.26447100000000001</v>
      </c>
      <c r="B99" s="68">
        <v>0.52162500000000001</v>
      </c>
      <c r="C99" s="68">
        <v>39.4664</v>
      </c>
      <c r="D99" s="68">
        <v>2</v>
      </c>
      <c r="E99" s="68" t="s">
        <v>455</v>
      </c>
    </row>
    <row r="100" spans="1:5">
      <c r="A100" s="68">
        <v>0.267785</v>
      </c>
      <c r="B100" s="68">
        <v>0.50962700000000005</v>
      </c>
      <c r="C100" s="68">
        <v>39.871400000000001</v>
      </c>
      <c r="D100" s="68">
        <v>2</v>
      </c>
      <c r="E100" s="68" t="s">
        <v>456</v>
      </c>
    </row>
    <row r="101" spans="1:5">
      <c r="A101" s="68">
        <v>0.27151799999999998</v>
      </c>
      <c r="B101" s="68">
        <v>0.49728099999999997</v>
      </c>
      <c r="C101" s="68">
        <v>40.282200000000003</v>
      </c>
      <c r="D101" s="68">
        <v>2</v>
      </c>
      <c r="E101" s="68" t="s">
        <v>457</v>
      </c>
    </row>
    <row r="102" spans="1:5">
      <c r="A102" s="68">
        <v>0.27549200000000001</v>
      </c>
      <c r="B102" s="68">
        <v>0.48521999999999998</v>
      </c>
      <c r="C102" s="68">
        <v>40.687100000000001</v>
      </c>
      <c r="D102" s="68">
        <v>2</v>
      </c>
      <c r="E102" s="68" t="s">
        <v>458</v>
      </c>
    </row>
    <row r="103" spans="1:5">
      <c r="A103" s="68">
        <v>0.27959800000000001</v>
      </c>
      <c r="B103" s="68">
        <v>0.47384999999999999</v>
      </c>
      <c r="C103" s="68">
        <v>41.094999999999999</v>
      </c>
      <c r="D103" s="68">
        <v>2</v>
      </c>
      <c r="E103" s="68" t="s">
        <v>459</v>
      </c>
    </row>
    <row r="104" spans="1:5">
      <c r="A104" s="68">
        <v>0.28368599999999999</v>
      </c>
      <c r="B104" s="68">
        <v>0.46268799999999999</v>
      </c>
      <c r="C104" s="68">
        <v>41.497</v>
      </c>
      <c r="D104" s="68">
        <v>2</v>
      </c>
      <c r="E104" s="68" t="s">
        <v>460</v>
      </c>
    </row>
    <row r="105" spans="1:5">
      <c r="A105" s="68">
        <v>0.28773500000000002</v>
      </c>
      <c r="B105" s="68">
        <v>0.45280300000000001</v>
      </c>
      <c r="C105" s="68">
        <v>41.906799999999997</v>
      </c>
      <c r="D105" s="68">
        <v>2</v>
      </c>
      <c r="E105" s="68" t="s">
        <v>461</v>
      </c>
    </row>
    <row r="106" spans="1:5">
      <c r="A106" s="68">
        <v>0.29165600000000003</v>
      </c>
      <c r="B106" s="68">
        <v>0.444297</v>
      </c>
      <c r="C106" s="68">
        <v>42.307699999999997</v>
      </c>
      <c r="D106" s="68">
        <v>2</v>
      </c>
      <c r="E106" s="68" t="s">
        <v>462</v>
      </c>
    </row>
    <row r="107" spans="1:5">
      <c r="A107" s="68">
        <v>0.29589199999999999</v>
      </c>
      <c r="B107" s="68">
        <v>0.43554199999999998</v>
      </c>
      <c r="C107" s="68">
        <v>42.719700000000003</v>
      </c>
      <c r="D107" s="68">
        <v>2</v>
      </c>
      <c r="E107" s="68" t="s">
        <v>463</v>
      </c>
    </row>
    <row r="108" spans="1:5">
      <c r="A108" s="68">
        <v>0.30019699999999999</v>
      </c>
      <c r="B108" s="68">
        <v>0.42732799999999999</v>
      </c>
      <c r="C108" s="68">
        <v>43.125900000000001</v>
      </c>
      <c r="D108" s="68">
        <v>2</v>
      </c>
      <c r="E108" s="68" t="s">
        <v>464</v>
      </c>
    </row>
    <row r="109" spans="1:5">
      <c r="A109" s="68">
        <v>0.30397600000000002</v>
      </c>
      <c r="B109" s="68">
        <v>0.42112899999999998</v>
      </c>
      <c r="C109" s="68">
        <v>43.528500000000001</v>
      </c>
      <c r="D109" s="68">
        <v>2</v>
      </c>
      <c r="E109" s="68" t="s">
        <v>465</v>
      </c>
    </row>
    <row r="110" spans="1:5">
      <c r="A110" s="68">
        <v>0.307334</v>
      </c>
      <c r="B110" s="68">
        <v>0.41629500000000003</v>
      </c>
      <c r="C110" s="68">
        <v>43.934699999999999</v>
      </c>
      <c r="D110" s="68">
        <v>2</v>
      </c>
      <c r="E110" s="68" t="s">
        <v>466</v>
      </c>
    </row>
    <row r="111" spans="1:5">
      <c r="A111" s="68">
        <v>0.31043999999999999</v>
      </c>
      <c r="B111" s="68">
        <v>0.41242000000000001</v>
      </c>
      <c r="C111" s="68">
        <v>44.344299999999997</v>
      </c>
      <c r="D111" s="68">
        <v>2</v>
      </c>
      <c r="E111" s="68" t="s">
        <v>467</v>
      </c>
    </row>
    <row r="112" spans="1:5">
      <c r="A112" s="68">
        <v>0.31330400000000003</v>
      </c>
      <c r="B112" s="68">
        <v>0.40931800000000002</v>
      </c>
      <c r="C112" s="68">
        <v>44.749299999999998</v>
      </c>
      <c r="D112" s="68">
        <v>2</v>
      </c>
      <c r="E112" s="68" t="s">
        <v>468</v>
      </c>
    </row>
    <row r="113" spans="1:5">
      <c r="A113" s="68">
        <v>0.31585800000000003</v>
      </c>
      <c r="B113" s="68">
        <v>0.40748200000000001</v>
      </c>
      <c r="C113" s="68">
        <v>45.156100000000002</v>
      </c>
      <c r="D113" s="68">
        <v>2</v>
      </c>
      <c r="E113" s="68" t="s">
        <v>469</v>
      </c>
    </row>
    <row r="114" spans="1:5">
      <c r="A114" s="68">
        <v>0.31806000000000001</v>
      </c>
      <c r="B114" s="68">
        <v>0.40676099999999998</v>
      </c>
      <c r="C114" s="68">
        <v>45.559399999999997</v>
      </c>
      <c r="D114" s="68">
        <v>2</v>
      </c>
      <c r="E114" s="68" t="s">
        <v>470</v>
      </c>
    </row>
    <row r="115" spans="1:5">
      <c r="A115" s="68">
        <v>0.31985400000000003</v>
      </c>
      <c r="B115" s="68">
        <v>0.40675800000000001</v>
      </c>
      <c r="C115" s="68">
        <v>45.968000000000004</v>
      </c>
      <c r="D115" s="68">
        <v>2</v>
      </c>
      <c r="E115" s="68" t="s">
        <v>471</v>
      </c>
    </row>
    <row r="116" spans="1:5">
      <c r="A116" s="68">
        <v>0.32135799999999998</v>
      </c>
      <c r="B116" s="68">
        <v>0.407304</v>
      </c>
      <c r="C116" s="68">
        <v>46.376100000000001</v>
      </c>
      <c r="D116" s="68">
        <v>2</v>
      </c>
      <c r="E116" s="68" t="s">
        <v>472</v>
      </c>
    </row>
    <row r="117" spans="1:5">
      <c r="A117" s="68">
        <v>0.32265300000000002</v>
      </c>
      <c r="B117" s="68">
        <v>0.408049</v>
      </c>
      <c r="C117" s="68">
        <v>46.780799999999999</v>
      </c>
      <c r="D117" s="68">
        <v>2</v>
      </c>
      <c r="E117" s="68" t="s">
        <v>473</v>
      </c>
    </row>
    <row r="118" spans="1:5">
      <c r="A118" s="68">
        <v>0.32359100000000002</v>
      </c>
      <c r="B118" s="68">
        <v>0.409215</v>
      </c>
      <c r="C118" s="68">
        <v>47.1907</v>
      </c>
      <c r="D118" s="68">
        <v>2</v>
      </c>
      <c r="E118" s="68" t="s">
        <v>474</v>
      </c>
    </row>
    <row r="119" spans="1:5">
      <c r="A119" s="68">
        <v>0.324129</v>
      </c>
      <c r="B119" s="68">
        <v>0.41045599999999999</v>
      </c>
      <c r="C119" s="68">
        <v>47.595999999999997</v>
      </c>
      <c r="D119" s="68">
        <v>2</v>
      </c>
      <c r="E119" s="68" t="s">
        <v>475</v>
      </c>
    </row>
    <row r="120" spans="1:5">
      <c r="A120" s="68">
        <v>0.324347</v>
      </c>
      <c r="B120" s="68">
        <v>0.41156300000000001</v>
      </c>
      <c r="C120" s="68">
        <v>48.000599999999999</v>
      </c>
      <c r="D120" s="68">
        <v>2</v>
      </c>
      <c r="E120" s="68" t="s">
        <v>476</v>
      </c>
    </row>
    <row r="121" spans="1:5">
      <c r="A121" s="68">
        <v>0.32410800000000001</v>
      </c>
      <c r="B121" s="68">
        <v>0.412553</v>
      </c>
      <c r="C121" s="68">
        <v>48.411799999999999</v>
      </c>
      <c r="D121" s="68">
        <v>2</v>
      </c>
      <c r="E121" s="68" t="s">
        <v>477</v>
      </c>
    </row>
    <row r="122" spans="1:5">
      <c r="A122" s="68">
        <v>0.323598</v>
      </c>
      <c r="B122" s="68">
        <v>0.41376400000000002</v>
      </c>
      <c r="C122" s="68">
        <v>48.814500000000002</v>
      </c>
      <c r="D122" s="68">
        <v>2</v>
      </c>
      <c r="E122" s="68" t="s">
        <v>478</v>
      </c>
    </row>
    <row r="123" spans="1:5">
      <c r="A123" s="68">
        <v>0.32292799999999999</v>
      </c>
      <c r="B123" s="68">
        <v>0.41499900000000001</v>
      </c>
      <c r="C123" s="68">
        <v>49.221699999999998</v>
      </c>
      <c r="D123" s="68">
        <v>2</v>
      </c>
      <c r="E123" s="68" t="s">
        <v>479</v>
      </c>
    </row>
    <row r="124" spans="1:5">
      <c r="A124" s="68">
        <v>0.32189699999999999</v>
      </c>
      <c r="B124" s="68">
        <v>0.41668699999999997</v>
      </c>
      <c r="C124" s="68">
        <v>49.625700000000002</v>
      </c>
      <c r="D124" s="68">
        <v>2</v>
      </c>
      <c r="E124" s="68" t="s">
        <v>480</v>
      </c>
    </row>
    <row r="125" spans="1:5">
      <c r="A125" s="68">
        <v>0.32070300000000002</v>
      </c>
      <c r="B125" s="68">
        <v>0.41856700000000002</v>
      </c>
      <c r="C125" s="68">
        <v>50.031399999999998</v>
      </c>
      <c r="D125" s="68">
        <v>2</v>
      </c>
      <c r="E125" s="68" t="s">
        <v>481</v>
      </c>
    </row>
    <row r="126" spans="1:5">
      <c r="A126" s="68">
        <v>0.32037399999999999</v>
      </c>
      <c r="B126" s="68">
        <v>0.41963</v>
      </c>
      <c r="C126" s="68">
        <v>50.433</v>
      </c>
      <c r="D126" s="68">
        <v>2</v>
      </c>
      <c r="E126" s="68" t="s">
        <v>482</v>
      </c>
    </row>
    <row r="127" spans="1:5">
      <c r="A127" s="68">
        <v>0.31974200000000003</v>
      </c>
      <c r="B127" s="68">
        <v>0.42090300000000003</v>
      </c>
      <c r="C127" s="68">
        <v>50.841000000000001</v>
      </c>
      <c r="D127" s="68">
        <v>2</v>
      </c>
      <c r="E127" s="68" t="s">
        <v>483</v>
      </c>
    </row>
    <row r="128" spans="1:5">
      <c r="A128" s="68">
        <v>0.31886300000000001</v>
      </c>
      <c r="B128" s="68">
        <v>0.42240800000000001</v>
      </c>
      <c r="C128" s="68">
        <v>51.250900000000001</v>
      </c>
      <c r="D128" s="68">
        <v>2</v>
      </c>
      <c r="E128" s="68" t="s">
        <v>484</v>
      </c>
    </row>
    <row r="129" spans="1:5">
      <c r="A129" s="68">
        <v>0.31778600000000001</v>
      </c>
      <c r="B129" s="68">
        <v>0.42495699999999997</v>
      </c>
      <c r="C129" s="68">
        <v>51.654800000000002</v>
      </c>
      <c r="D129" s="68">
        <v>2</v>
      </c>
      <c r="E129" s="68" t="s">
        <v>485</v>
      </c>
    </row>
    <row r="130" spans="1:5">
      <c r="A130" s="68">
        <v>0.31655800000000001</v>
      </c>
      <c r="B130" s="68">
        <v>0.42770900000000001</v>
      </c>
      <c r="C130" s="68">
        <v>52.062899999999999</v>
      </c>
      <c r="D130" s="68">
        <v>2</v>
      </c>
      <c r="E130" s="68" t="s">
        <v>486</v>
      </c>
    </row>
    <row r="131" spans="1:5">
      <c r="A131" s="68">
        <v>0.31528600000000001</v>
      </c>
      <c r="B131" s="68">
        <v>0.43041699999999999</v>
      </c>
      <c r="C131" s="68">
        <v>52.468600000000002</v>
      </c>
      <c r="D131" s="68">
        <v>2</v>
      </c>
      <c r="E131" s="68" t="s">
        <v>487</v>
      </c>
    </row>
    <row r="132" spans="1:5">
      <c r="A132" s="68">
        <v>0.31344699999999998</v>
      </c>
      <c r="B132" s="68">
        <v>0.43467600000000001</v>
      </c>
      <c r="C132" s="68">
        <v>52.872500000000002</v>
      </c>
      <c r="D132" s="68">
        <v>2</v>
      </c>
      <c r="E132" s="68" t="s">
        <v>488</v>
      </c>
    </row>
    <row r="133" spans="1:5">
      <c r="A133" s="68">
        <v>0.311197</v>
      </c>
      <c r="B133" s="68">
        <v>0.44036599999999998</v>
      </c>
      <c r="C133" s="68">
        <v>53.284399999999998</v>
      </c>
      <c r="D133" s="68">
        <v>2</v>
      </c>
      <c r="E133" s="68" t="s">
        <v>489</v>
      </c>
    </row>
    <row r="134" spans="1:5">
      <c r="A134" s="68">
        <v>0.30908200000000002</v>
      </c>
      <c r="B134" s="68">
        <v>0.44528000000000001</v>
      </c>
      <c r="C134" s="68">
        <v>53.685499999999998</v>
      </c>
      <c r="D134" s="68">
        <v>2</v>
      </c>
      <c r="E134" s="68" t="s">
        <v>490</v>
      </c>
    </row>
    <row r="135" spans="1:5">
      <c r="A135" s="68">
        <v>0.30707000000000001</v>
      </c>
      <c r="B135" s="68">
        <v>0.44996199999999997</v>
      </c>
      <c r="C135" s="68">
        <v>54.091700000000003</v>
      </c>
      <c r="D135" s="68">
        <v>2</v>
      </c>
      <c r="E135" s="68" t="s">
        <v>491</v>
      </c>
    </row>
    <row r="136" spans="1:5">
      <c r="A136" s="68">
        <v>0.30496499999999999</v>
      </c>
      <c r="B136" s="68">
        <v>0.45438600000000001</v>
      </c>
      <c r="C136" s="68">
        <v>54.5002</v>
      </c>
      <c r="D136" s="68">
        <v>2</v>
      </c>
      <c r="E136" s="68" t="s">
        <v>492</v>
      </c>
    </row>
    <row r="137" spans="1:5">
      <c r="A137" s="68">
        <v>0.30274000000000001</v>
      </c>
      <c r="B137" s="68">
        <v>0.45927600000000002</v>
      </c>
      <c r="C137" s="68">
        <v>54.907200000000003</v>
      </c>
      <c r="D137" s="68">
        <v>2</v>
      </c>
      <c r="E137" s="68" t="s">
        <v>493</v>
      </c>
    </row>
    <row r="138" spans="1:5">
      <c r="A138" s="68">
        <v>0.30043900000000001</v>
      </c>
      <c r="B138" s="68">
        <v>0.46417000000000003</v>
      </c>
      <c r="C138" s="68">
        <v>55.312100000000001</v>
      </c>
      <c r="D138" s="68">
        <v>2</v>
      </c>
      <c r="E138" s="68" t="s">
        <v>494</v>
      </c>
    </row>
    <row r="139" spans="1:5">
      <c r="A139" s="68">
        <v>0.29839300000000002</v>
      </c>
      <c r="B139" s="68">
        <v>0.46817799999999998</v>
      </c>
      <c r="C139" s="68">
        <v>55.716900000000003</v>
      </c>
      <c r="D139" s="68">
        <v>2</v>
      </c>
      <c r="E139" s="68" t="s">
        <v>495</v>
      </c>
    </row>
    <row r="140" spans="1:5">
      <c r="A140" s="68">
        <v>0.29678599999999999</v>
      </c>
      <c r="B140" s="68">
        <v>0.47115000000000001</v>
      </c>
      <c r="C140" s="68">
        <v>56.123100000000001</v>
      </c>
      <c r="D140" s="68">
        <v>2</v>
      </c>
      <c r="E140" s="68" t="s">
        <v>496</v>
      </c>
    </row>
    <row r="141" spans="1:5">
      <c r="A141" s="68">
        <v>0.29554900000000001</v>
      </c>
      <c r="B141" s="68">
        <v>0.47316799999999998</v>
      </c>
      <c r="C141" s="68">
        <v>56.532800000000002</v>
      </c>
      <c r="D141" s="68">
        <v>2</v>
      </c>
      <c r="E141" s="68" t="s">
        <v>497</v>
      </c>
    </row>
    <row r="142" spans="1:5">
      <c r="A142" s="68">
        <v>0.294373</v>
      </c>
      <c r="B142" s="68">
        <v>0.47522799999999998</v>
      </c>
      <c r="C142" s="68">
        <v>56.9377</v>
      </c>
      <c r="D142" s="68">
        <v>2</v>
      </c>
      <c r="E142" s="68" t="s">
        <v>498</v>
      </c>
    </row>
    <row r="143" spans="1:5">
      <c r="A143" s="68">
        <v>0.293568</v>
      </c>
      <c r="B143" s="68">
        <v>0.47597299999999998</v>
      </c>
      <c r="C143" s="68">
        <v>57.345799999999997</v>
      </c>
      <c r="D143" s="68">
        <v>2</v>
      </c>
      <c r="E143" s="68" t="s">
        <v>499</v>
      </c>
    </row>
    <row r="144" spans="1:5">
      <c r="A144" s="68">
        <v>0.29280899999999999</v>
      </c>
      <c r="B144" s="68">
        <v>0.47534399999999999</v>
      </c>
      <c r="C144" s="68">
        <v>57.747500000000002</v>
      </c>
      <c r="D144" s="68">
        <v>2</v>
      </c>
      <c r="E144" s="68" t="s">
        <v>500</v>
      </c>
    </row>
    <row r="145" spans="1:5">
      <c r="A145" s="68">
        <v>0.29169299999999998</v>
      </c>
      <c r="B145" s="68">
        <v>0.47516999999999998</v>
      </c>
      <c r="C145" s="68">
        <v>58.154499999999999</v>
      </c>
      <c r="D145" s="68">
        <v>2</v>
      </c>
      <c r="E145" s="68" t="s">
        <v>501</v>
      </c>
    </row>
    <row r="146" spans="1:5">
      <c r="A146" s="68">
        <v>0.29094399999999998</v>
      </c>
      <c r="B146" s="68">
        <v>0.47492299999999998</v>
      </c>
      <c r="C146" s="68">
        <v>58.564300000000003</v>
      </c>
      <c r="D146" s="68">
        <v>2</v>
      </c>
      <c r="E146" s="68" t="s">
        <v>502</v>
      </c>
    </row>
    <row r="147" spans="1:5">
      <c r="A147" s="68">
        <v>0.29033199999999998</v>
      </c>
      <c r="B147" s="68">
        <v>0.47408800000000001</v>
      </c>
      <c r="C147" s="68">
        <v>58.968299999999999</v>
      </c>
      <c r="D147" s="68">
        <v>2</v>
      </c>
      <c r="E147" s="68" t="s">
        <v>503</v>
      </c>
    </row>
    <row r="148" spans="1:5">
      <c r="A148" s="68">
        <v>0.28873500000000002</v>
      </c>
      <c r="B148" s="68">
        <v>0.477829</v>
      </c>
      <c r="C148" s="68">
        <v>59.375599999999999</v>
      </c>
      <c r="D148" s="68">
        <v>2</v>
      </c>
      <c r="E148" s="68" t="s">
        <v>504</v>
      </c>
    </row>
    <row r="149" spans="1:5">
      <c r="A149" s="68">
        <v>0.28934100000000001</v>
      </c>
      <c r="B149" s="68">
        <v>0.47750399999999998</v>
      </c>
      <c r="C149" s="68">
        <v>59.783099999999997</v>
      </c>
      <c r="D149" s="68">
        <v>2</v>
      </c>
      <c r="E149" s="68" t="s">
        <v>505</v>
      </c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355</v>
      </c>
      <c r="B1" s="66" t="s">
        <v>506</v>
      </c>
      <c r="C1" s="66" t="s">
        <v>508</v>
      </c>
      <c r="D1" s="66" t="s">
        <v>509</v>
      </c>
      <c r="E1" s="66" t="s">
        <v>510</v>
      </c>
      <c r="F1" s="66" t="s">
        <v>511</v>
      </c>
      <c r="G1" s="66" t="s">
        <v>294</v>
      </c>
      <c r="H1" s="66" t="s">
        <v>512</v>
      </c>
      <c r="I1" s="66" t="s">
        <v>513</v>
      </c>
      <c r="J1" s="66" t="s">
        <v>514</v>
      </c>
      <c r="K1" s="66" t="s">
        <v>515</v>
      </c>
      <c r="L1" s="66" t="s">
        <v>516</v>
      </c>
      <c r="M1" s="66" t="s">
        <v>517</v>
      </c>
      <c r="N1" s="66"/>
    </row>
    <row r="2" spans="1:14">
      <c r="A2" s="75">
        <v>43608.368738425925</v>
      </c>
      <c r="B2" s="66" t="s">
        <v>507</v>
      </c>
      <c r="C2" s="66"/>
      <c r="D2" s="66"/>
      <c r="E2" s="66">
        <v>4.9207200000000002</v>
      </c>
      <c r="F2" s="66">
        <v>1.3756999999999999</v>
      </c>
      <c r="G2" s="66">
        <v>0.52891100000000002</v>
      </c>
      <c r="H2" s="66">
        <v>0</v>
      </c>
      <c r="I2" s="66">
        <v>120960</v>
      </c>
      <c r="J2" s="66">
        <v>73</v>
      </c>
      <c r="K2" s="66">
        <v>73</v>
      </c>
      <c r="L2" s="66">
        <v>0</v>
      </c>
      <c r="M2" s="66" t="s">
        <v>518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2019-05-23T00:51:35Z</cp:lastPrinted>
  <dcterms:created xsi:type="dcterms:W3CDTF">2010-10-29T12:53:05Z</dcterms:created>
  <dcterms:modified xsi:type="dcterms:W3CDTF">2019-05-23T00:51:52Z</dcterms:modified>
</cp:coreProperties>
</file>