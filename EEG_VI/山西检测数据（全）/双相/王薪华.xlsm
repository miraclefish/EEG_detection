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R2" i="16" s="1" a="1"/>
  <c r="R2" i="16" s="1"/>
  <c r="S12" i="11"/>
  <c r="J2" i="16" s="1" a="1"/>
  <c r="J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<sst xmlns="http://schemas.openxmlformats.org/spreadsheetml/2006/main" count="701" uniqueCount="519">
  <si>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</si>
  <si>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</si>
  <si>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</si>
  <si>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</si>
  <si>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</si>
  <si>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</si>
  <si>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</si>
  <si>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</si>
  <si>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</si>
  <si>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</si>
  <si>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</si>
  <si>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</si>
  <si>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</si>
  <si>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</si>
  <si>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</si>
  <si>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</si>
  <si>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</si>
  <si>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</si>
  <si>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</si>
  <si>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</si>
  <si>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</si>
  <si>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</si>
  <si>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</si>
  <si>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</si>
  <si>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</si>
  <si>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</si>
  <si>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</si>
  <si>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</si>
  <si>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</si>
  <si>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</si>
  <si>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</si>
  <si>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</si>
  <si>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</si>
  <si>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</si>
  <si>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</si>
  <si>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</si>
  <si>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</si>
  <si>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</si>
  <si>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</si>
  <si>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</si>
  <si>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</si>
  <si>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</si>
  <si>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</si>
  <si>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</si>
  <si>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</si>
  <si>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</si>
  <si>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</si>
  <si>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</si>
  <si>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</si>
  <si>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</si>
  <si>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</si>
  <si>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</si>
  <si>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</si>
  <si>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</si>
  <si>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</si>
  <si>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</si>
  <si>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</si>
  <si>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</si>
  <si>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</si>
  <si>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</si>
  <si>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</si>
  <si>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</si>
  <si>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</si>
  <si>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</si>
  <si>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</si>
  <si>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</si>
  <si>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</si>
  <si>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</si>
  <si>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</si>
  <si>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</si>
  <si>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</si>
  <si>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</si>
  <si>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</si>
  <si>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</si>
  <si>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</si>
  <si>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</si>
  <si>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</si>
  <si>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</si>
  <si>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</si>
  <si>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</si>
  <si>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</si>
  <si>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</si>
  <si>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</si>
  <si>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</si>
  <si>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</si>
  <si>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</si>
  <si>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</si>
  <si>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</si>
  <si>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</si>
  <si>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</si>
  <si>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</si>
  <si>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</si>
  <si>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</si>
  <si>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</si>
  <si>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</si>
  <si>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</si>
  <si>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</si>
  <si>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</si>
  <si>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</si>
  <si>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</si>
  <si>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</si>
  <si>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</si>
  <si>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</si>
  <si>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</si>
  <si>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</si>
  <si>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</si>
  <si>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</si>
  <si>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</si>
  <si>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</si>
  <si>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</si>
  <si>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</si>
  <si>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</si>
  <si>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</si>
  <si>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</si>
  <si>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</si>
  <si>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</si>
  <si>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</si>
  <si>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</si>
  <si>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</si>
  <si>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</si>
  <si>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</si>
  <si>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</si>
  <si>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</si>
  <si>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</si>
  <si>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</si>
  <si>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</si>
  <si>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</si>
  <si>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</si>
  <si>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</si>
  <si>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</si>
  <si>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</si>
  <si>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</si>
  <si>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</si>
  <si>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</si>
  <si>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</si>
  <si>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</si>
  <si>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</si>
  <si>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</si>
  <si>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</si>
  <si>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</si>
  <si>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</si>
  <si>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</si>
  <si>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</si>
  <si>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</si>
  <si>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</si>
  <si>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</si>
  <si>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</si>
  <si>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</si>
  <si>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</si>
  <si>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</si>
  <si>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</si>
  <si>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</si>
  <si>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</si>
  <si>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</si>
  <si>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</si>
  <si>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</si>
  <si>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</si>
  <si>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</si>
  <si>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</si>
  <si>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</si>
  <si>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</si>
  <si>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</si>
  <si>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</si>
  <si>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</si>
  <si>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</si>
  <si>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</si>
  <si>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</si>
  <si>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</si>
  <si>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</si>
  <si>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</si>
  <si>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</si>
  <si>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</si>
  <si>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</si>
  <si>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</si>
  <si>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</si>
  <si>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</si>
  <si>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</si>
  <si>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</si>
  <si>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</si>
  <si>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</si>
  <si>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</si>
  <si>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</si>
  <si>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</si>
  <si>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</si>
  <si>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</si>
  <si>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</si>
  <si>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</si>
  <si>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</si>
  <si>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</si>
  <si>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</si>
  <si>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</si>
  <si>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</si>
  <si>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</si>
  <si>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</si>
  <si>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</si>
  <si>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</si>
  <si>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</si>
  <si>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</si>
  <si>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</si>
  <si>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</si>
  <si>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</si>
  <si>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</si>
  <si>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</si>
  <si>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</si>
  <si>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</si>
  <si>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</si>
  <si>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</si>
  <si>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</si>
  <si>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</si>
  <si>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</si>
  <si>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</si>
  <si>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</si>
  <si>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</si>
  <si>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</si>
  <si>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</si>
  <si>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</si>
  <si>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</si>
  <si>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</si>
  <si>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</si>
  <si>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</si>
  <si>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</si>
  <si>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</si>
  <si>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</si>
  <si>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</si>
  <si>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</si>
  <si>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</si>
  <si>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</si>
  <si>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</si>
  <si>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</si>
  <si>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</si>
  <si>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</si>
  <si>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</si>
  <si>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</si>
  <si>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</si>
  <si>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</si>
  <si>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</si>
  <si>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</si>
  <si>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</si>
  <si>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</si>
  <si>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</si>
  <si>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</si>
  <si>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</si>
  <si>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</si>
  <si>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</si>
  <si>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</si>
  <si>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</si>
  <si>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</si>
  <si>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</si>
  <si>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</si>
  <si>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</si>
  <si>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</si>
  <si>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</si>
  <si>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</si>
  <si>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</si>
  <si>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</si>
  <si>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</si>
  <si>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</si>
  <si>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</si>
  <si>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</si>
  <si>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</si>
  <si>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</si>
  <si>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</si>
  <si>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</si>
  <si>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</si>
  <si>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</si>
  <si>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</si>
  <si>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</si>
  <si>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</si>
  <si>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</si>
  <si>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</si>
  <si>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</si>
  <si>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</si>
  <si>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</si>
  <si>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</si>
  <si>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</si>
  <si>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</si>
  <si>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</si>
  <si>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</si>
  <si>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</si>
  <si>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</si>
  <si>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</si>
  <si>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</si>
  <si>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</si>
  <si>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</si>
  <si>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</si>
  <si>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</si>
  <si>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</si>
  <si>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</si>
  <si>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</si>
  <si>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</si>
  <si>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</si>
  <si>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</si>
  <si>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</si>
  <si>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</si>
  <si>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</si>
  <si>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</si>
  <si>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</si>
  <si>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</si>
  <si>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</si>
  <si>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</si>
  <si>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</si>
  <si>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</si>
  <si>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</si>
  <si>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</si>
  <si>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</si>
  <si>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</si>
  <si>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</si>
  <si>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</si>
  <si>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</si>
  <si>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</si>
  <si>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</si>
  <si>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</si>
  <si>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</si>
  <si>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</si>
  <si>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</si>
  <si>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</si>
  <si>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</si>
  <si>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</si>
  <si>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</si>
  <si>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</si>
  <si>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</si>
  <si>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</si>
  <si>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</si>
  <si>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</si>
  <si>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</si>
  <si>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</si>
  <si>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</si>
  <si>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</si>
  <si>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</si>
  <si>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</si>
  <si>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</si>
  <si>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</si>
  <si>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</si>
  <si>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</si>
  <si>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</si>
  <si>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</si>
  <si>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</si>
  <si>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</si>
  <si>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</si>
  <si>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</si>
  <si>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</si>
  <si>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</si>
  <si>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</si>
  <si>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</si>
  <si>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</si>
  <si>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</si>
  <si>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CMax</t>
    <phoneticPr fontId="29" type="noConversion"/>
  </si>
  <si>
    <t>Vi</t>
    <phoneticPr fontId="29" type="noConversion"/>
  </si>
  <si>
    <t>BMin</t>
    <phoneticPr fontId="29" type="noConversion"/>
  </si>
  <si>
    <t>BMax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</si>
  <si>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</si>
  <si>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</si>
  <si>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</si>
  <si>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</si>
  <si>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</si>
  <si>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</si>
  <si>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</si>
  <si>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</si>
  <si>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[0.398917]</t>
  </si>
  <si>
    <t>1 [0.803963]</t>
  </si>
  <si>
    <t>1 [1.212712]</t>
  </si>
  <si>
    <t>1 [1.620597]</t>
  </si>
  <si>
    <t>1 [2.024994]</t>
  </si>
  <si>
    <t>1 [2.430486]</t>
  </si>
  <si>
    <t>1 [2.836829]</t>
  </si>
  <si>
    <t>1 [3.240054]</t>
  </si>
  <si>
    <t>1 [3.651256]</t>
  </si>
  <si>
    <t>1 [4.056237]</t>
  </si>
  <si>
    <t>1 [4.460044]</t>
  </si>
  <si>
    <t>1 [4.864913]</t>
  </si>
  <si>
    <t>1 [5.272919]</t>
  </si>
  <si>
    <t>1 [5.679775]</t>
  </si>
  <si>
    <t>1 [6.087140]</t>
  </si>
  <si>
    <t>1 [6.487150]</t>
  </si>
  <si>
    <t>1 [6.893499]</t>
  </si>
  <si>
    <t>1 [7.304439]</t>
  </si>
  <si>
    <t>1 [7.709820]</t>
  </si>
  <si>
    <t>1 [8.115449]</t>
  </si>
  <si>
    <t>1 [8.524500]</t>
  </si>
  <si>
    <t>1 [8.926903]</t>
  </si>
  <si>
    <t>1 [9.335933]</t>
  </si>
  <si>
    <t>1 [9.739919]</t>
  </si>
  <si>
    <t>1 [10.147013]</t>
  </si>
  <si>
    <t>1 [10.558097]</t>
  </si>
  <si>
    <t>1 [10.959791]</t>
  </si>
  <si>
    <t>1 [11.365506]</t>
  </si>
  <si>
    <t>1 [11.773427]</t>
  </si>
  <si>
    <t>1 [12.179547]</t>
  </si>
  <si>
    <t>1 [12.589284]</t>
  </si>
  <si>
    <t>1 [12.988166]</t>
  </si>
  <si>
    <t>1 [13.395100]</t>
  </si>
  <si>
    <t>1 [13.804029]</t>
  </si>
  <si>
    <t>1 [14.205993]</t>
  </si>
  <si>
    <t>1 [14.613219]</t>
  </si>
  <si>
    <t>1 [15.025922]</t>
  </si>
  <si>
    <t>1 [15.431789]</t>
  </si>
  <si>
    <t>1 [15.836729]</t>
  </si>
  <si>
    <t>1 [16.240691]</t>
  </si>
  <si>
    <t>1 [16.647382]</t>
  </si>
  <si>
    <t>1 [17.053266]</t>
  </si>
  <si>
    <t>1 [17.461511]</t>
  </si>
  <si>
    <t>1 [17.868478]</t>
  </si>
  <si>
    <t>1 [18.275226]</t>
  </si>
  <si>
    <t>1 [18.681998]</t>
  </si>
  <si>
    <t>1 [19.084863]</t>
  </si>
  <si>
    <t>1 [19.494016]</t>
  </si>
  <si>
    <t>1 [19.897705]</t>
  </si>
  <si>
    <t>1 [20.304596]</t>
  </si>
  <si>
    <t>1 [20.711615]</t>
  </si>
  <si>
    <t>1 [21.117431]</t>
  </si>
  <si>
    <t>1 [21.521722]</t>
  </si>
  <si>
    <t>1 [21.927343]</t>
  </si>
  <si>
    <t>1 [22.337259]</t>
  </si>
  <si>
    <t>1 [22.738179]</t>
  </si>
  <si>
    <t>1 [23.147058]</t>
  </si>
  <si>
    <t>1 [23.559051]</t>
  </si>
  <si>
    <t>1 [23.962811]</t>
  </si>
  <si>
    <t>1 [24.365492]</t>
  </si>
  <si>
    <t>1 [24.775704]</t>
  </si>
  <si>
    <t>1 [25.177634]</t>
  </si>
  <si>
    <t>1 [25.588290]</t>
  </si>
  <si>
    <t>1 [25.992494]</t>
  </si>
  <si>
    <t>1 [26.396314]</t>
  </si>
  <si>
    <t>1 [26.804841]</t>
  </si>
  <si>
    <t>1 [27.212247]</t>
  </si>
  <si>
    <t>1 [27.620053]</t>
  </si>
  <si>
    <t>1 [28.022136]</t>
  </si>
  <si>
    <t>1 [28.429893]</t>
  </si>
  <si>
    <t>1 [28.834864]</t>
  </si>
  <si>
    <t>1 [29.246641]</t>
  </si>
  <si>
    <t>1 [29.650636]</t>
  </si>
  <si>
    <t>2 [30.057760]</t>
  </si>
  <si>
    <t>2 [30.634018]</t>
  </si>
  <si>
    <t>2 [31.006992]</t>
  </si>
  <si>
    <t>2 [31.384004]</t>
  </si>
  <si>
    <t>2 [31.759763]</t>
  </si>
  <si>
    <t>2 [32.131059]</t>
  </si>
  <si>
    <t>2 [32.539942]</t>
  </si>
  <si>
    <t>2 [32.947880]</t>
  </si>
  <si>
    <t>2 [33.352714]</t>
  </si>
  <si>
    <t>2 [33.756652]</t>
  </si>
  <si>
    <t>2 [34.160559]</t>
  </si>
  <si>
    <t>2 [34.566578]</t>
  </si>
  <si>
    <t>2 [34.978442]</t>
  </si>
  <si>
    <t>2 [35.385348]</t>
  </si>
  <si>
    <t>2 [35.789208]</t>
  </si>
  <si>
    <t>2 [36.198099]</t>
  </si>
  <si>
    <t>2 [36.599035]</t>
  </si>
  <si>
    <t>2 [37.005989]</t>
  </si>
  <si>
    <t>2 [37.415914]</t>
  </si>
  <si>
    <t>2 [37.817747]</t>
  </si>
  <si>
    <t>2 [38.227664]</t>
  </si>
  <si>
    <t>2 [38.631037]</t>
  </si>
  <si>
    <t>2 [39.039464]</t>
  </si>
  <si>
    <t>2 [39.446521]</t>
  </si>
  <si>
    <t>2 [39.848435]</t>
  </si>
  <si>
    <t>2 [40.258579]</t>
  </si>
  <si>
    <t>2 [40.663200]</t>
  </si>
  <si>
    <t>2 [41.073103]</t>
  </si>
  <si>
    <t>2 [41.475334]</t>
  </si>
  <si>
    <t>2 [41.878086]</t>
  </si>
  <si>
    <t>2 [42.289968]</t>
  </si>
  <si>
    <t>2 [42.695743]</t>
  </si>
  <si>
    <t>2 [43.100626]</t>
  </si>
  <si>
    <t>2 [43.506614]</t>
  </si>
  <si>
    <t>2 [43.913502]</t>
  </si>
  <si>
    <t>2 [44.314549]</t>
  </si>
  <si>
    <t>2 [44.727325]</t>
  </si>
  <si>
    <t>2 [45.129989]</t>
  </si>
  <si>
    <t>2 [45.539189]</t>
  </si>
  <si>
    <t>2 [45.945051]</t>
  </si>
  <si>
    <t>2 [46.353026]</t>
  </si>
  <si>
    <t>2 [46.754167]</t>
  </si>
  <si>
    <t>2 [47.164776]</t>
  </si>
  <si>
    <t>2 [47.570773]</t>
  </si>
  <si>
    <t>2 [47.975629]</t>
  </si>
  <si>
    <t>2 [48.380554]</t>
  </si>
  <si>
    <t>2 [48.792029]</t>
  </si>
  <si>
    <t>2 [49.196377]</t>
  </si>
  <si>
    <t>2 [49.602281]</t>
  </si>
  <si>
    <t>2 [50.009204]</t>
  </si>
  <si>
    <t>2 [50.409140]</t>
  </si>
  <si>
    <t>2 [50.820786]</t>
  </si>
  <si>
    <t>2 [51.227970]</t>
  </si>
  <si>
    <t>2 [51.634830]</t>
  </si>
  <si>
    <t>2 [52.040906]</t>
  </si>
  <si>
    <t>2 [52.442689]</t>
  </si>
  <si>
    <t>2 [52.847624]</t>
  </si>
  <si>
    <t>2 [53.259589]</t>
  </si>
  <si>
    <t>2 [53.664373]</t>
  </si>
  <si>
    <t>2 [54.070400]</t>
  </si>
  <si>
    <t>2 [54.472439]</t>
  </si>
  <si>
    <t>2 [54.883181]</t>
  </si>
  <si>
    <t>2 [55.287110]</t>
  </si>
  <si>
    <t>2 [55.694016]</t>
  </si>
  <si>
    <t>2 [56.101035]</t>
  </si>
  <si>
    <t>2 [56.504865]</t>
  </si>
  <si>
    <t>2 [56.916713]</t>
  </si>
  <si>
    <t>2 [57.319723]</t>
  </si>
  <si>
    <t>2 [57.721727]</t>
  </si>
  <si>
    <t>2 [58.132867]</t>
  </si>
  <si>
    <t>2 [58.540367]</t>
  </si>
  <si>
    <t>2 [58.951329]</t>
  </si>
  <si>
    <t>2 [59.349396]</t>
  </si>
  <si>
    <t>2 [59.756132]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</si>
  <si>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</si>
  <si>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</si>
  <si>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</si>
  <si>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</si>
  <si>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</si>
  <si>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</si>
  <si>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</si>
  <si>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</si>
  <si>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</si>
  <si>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</si>
  <si>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</si>
  <si>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</si>
  <si>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</si>
  <si>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王薪华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</si>
</sst>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33.108499999999999</c:v>
                </c:pt>
                <c:pt idx="1">
                  <c:v>27.137</c:v>
                </c:pt>
                <c:pt idx="2">
                  <c:v>17.635899999999999</c:v>
                </c:pt>
                <c:pt idx="3">
                  <c:v>25.524699999999999</c:v>
                </c:pt>
                <c:pt idx="4">
                  <c:v>68.658600000000007</c:v>
                </c:pt>
                <c:pt idx="5">
                  <c:v>66.237700000000004</c:v>
                </c:pt>
                <c:pt idx="6">
                  <c:v>20.232199999999999</c:v>
                </c:pt>
                <c:pt idx="7">
                  <c:v>67.077200000000005</c:v>
                </c:pt>
                <c:pt idx="8">
                  <c:v>20.1097</c:v>
                </c:pt>
                <c:pt idx="9">
                  <c:v>43.300899999999999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0.49113504098949462</c:v>
                </c:pt>
                <c:pt idx="1">
                  <c:v>0.22855560933884134</c:v>
                </c:pt>
                <c:pt idx="2">
                  <c:v>0.2803093496716641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9813</c:v>
                </c:pt>
                <c:pt idx="7">
                  <c:v>0</c:v>
                </c:pt>
                <c:pt idx="8">
                  <c:v>13220</c:v>
                </c:pt>
                <c:pt idx="9">
                  <c:v>0</c:v>
                </c:pt>
                <c:pt idx="10">
                  <c:v>0</c:v>
                </c:pt>
                <c:pt idx="11">
                  <c:v>19165</c:v>
                </c:pt>
                <c:pt idx="12">
                  <c:v>0</c:v>
                </c:pt>
                <c:pt idx="13">
                  <c:v>23637</c:v>
                </c:pt>
                <c:pt idx="14">
                  <c:v>0</c:v>
                </c:pt>
                <c:pt idx="15">
                  <c:v>0</c:v>
                </c:pt>
                <c:pt idx="16">
                  <c:v>26739</c:v>
                </c:pt>
                <c:pt idx="17">
                  <c:v>0</c:v>
                </c:pt>
                <c:pt idx="18">
                  <c:v>0</c:v>
                </c:pt>
                <c:pt idx="19">
                  <c:v>31697</c:v>
                </c:pt>
                <c:pt idx="20">
                  <c:v>0</c:v>
                </c:pt>
                <c:pt idx="21">
                  <c:v>34947</c:v>
                </c:pt>
                <c:pt idx="22">
                  <c:v>0</c:v>
                </c:pt>
                <c:pt idx="23">
                  <c:v>0</c:v>
                </c:pt>
                <c:pt idx="24">
                  <c:v>36104</c:v>
                </c:pt>
                <c:pt idx="25">
                  <c:v>0</c:v>
                </c:pt>
                <c:pt idx="26">
                  <c:v>44254</c:v>
                </c:pt>
                <c:pt idx="27">
                  <c:v>0</c:v>
                </c:pt>
                <c:pt idx="28">
                  <c:v>0</c:v>
                </c:pt>
                <c:pt idx="29">
                  <c:v>49221</c:v>
                </c:pt>
                <c:pt idx="30">
                  <c:v>0</c:v>
                </c:pt>
                <c:pt idx="31">
                  <c:v>51412</c:v>
                </c:pt>
                <c:pt idx="32">
                  <c:v>0</c:v>
                </c:pt>
                <c:pt idx="33">
                  <c:v>0</c:v>
                </c:pt>
                <c:pt idx="34">
                  <c:v>65707</c:v>
                </c:pt>
                <c:pt idx="35">
                  <c:v>0</c:v>
                </c:pt>
                <c:pt idx="36">
                  <c:v>0</c:v>
                </c:pt>
                <c:pt idx="37">
                  <c:v>63342</c:v>
                </c:pt>
                <c:pt idx="38">
                  <c:v>0</c:v>
                </c:pt>
                <c:pt idx="39">
                  <c:v>73684</c:v>
                </c:pt>
                <c:pt idx="40">
                  <c:v>0</c:v>
                </c:pt>
                <c:pt idx="41">
                  <c:v>0</c:v>
                </c:pt>
                <c:pt idx="42">
                  <c:v>88201</c:v>
                </c:pt>
                <c:pt idx="43">
                  <c:v>0</c:v>
                </c:pt>
                <c:pt idx="44">
                  <c:v>105670</c:v>
                </c:pt>
                <c:pt idx="45">
                  <c:v>0</c:v>
                </c:pt>
                <c:pt idx="46">
                  <c:v>0</c:v>
                </c:pt>
                <c:pt idx="47">
                  <c:v>110789</c:v>
                </c:pt>
                <c:pt idx="48">
                  <c:v>0</c:v>
                </c:pt>
                <c:pt idx="49">
                  <c:v>125499</c:v>
                </c:pt>
                <c:pt idx="50">
                  <c:v>0</c:v>
                </c:pt>
                <c:pt idx="51">
                  <c:v>0</c:v>
                </c:pt>
                <c:pt idx="52">
                  <c:v>144660</c:v>
                </c:pt>
                <c:pt idx="53">
                  <c:v>0</c:v>
                </c:pt>
                <c:pt idx="54">
                  <c:v>0</c:v>
                </c:pt>
                <c:pt idx="55">
                  <c:v>155232</c:v>
                </c:pt>
                <c:pt idx="56">
                  <c:v>0</c:v>
                </c:pt>
                <c:pt idx="57">
                  <c:v>170150</c:v>
                </c:pt>
                <c:pt idx="58">
                  <c:v>0</c:v>
                </c:pt>
                <c:pt idx="59">
                  <c:v>0</c:v>
                </c:pt>
                <c:pt idx="60">
                  <c:v>167187</c:v>
                </c:pt>
                <c:pt idx="61">
                  <c:v>0</c:v>
                </c:pt>
                <c:pt idx="62">
                  <c:v>179709</c:v>
                </c:pt>
                <c:pt idx="63">
                  <c:v>0</c:v>
                </c:pt>
                <c:pt idx="64">
                  <c:v>0</c:v>
                </c:pt>
                <c:pt idx="65">
                  <c:v>194678</c:v>
                </c:pt>
                <c:pt idx="66">
                  <c:v>0</c:v>
                </c:pt>
                <c:pt idx="67">
                  <c:v>194433</c:v>
                </c:pt>
                <c:pt idx="68">
                  <c:v>0</c:v>
                </c:pt>
                <c:pt idx="69">
                  <c:v>0</c:v>
                </c:pt>
                <c:pt idx="70">
                  <c:v>195918</c:v>
                </c:pt>
                <c:pt idx="71">
                  <c:v>0</c:v>
                </c:pt>
                <c:pt idx="72">
                  <c:v>0</c:v>
                </c:pt>
                <c:pt idx="73">
                  <c:v>209623</c:v>
                </c:pt>
                <c:pt idx="74">
                  <c:v>0</c:v>
                </c:pt>
                <c:pt idx="75">
                  <c:v>211378</c:v>
                </c:pt>
                <c:pt idx="76">
                  <c:v>0</c:v>
                </c:pt>
                <c:pt idx="77">
                  <c:v>0</c:v>
                </c:pt>
                <c:pt idx="78">
                  <c:v>210439</c:v>
                </c:pt>
                <c:pt idx="79">
                  <c:v>0</c:v>
                </c:pt>
                <c:pt idx="80">
                  <c:v>201539</c:v>
                </c:pt>
                <c:pt idx="81">
                  <c:v>0</c:v>
                </c:pt>
                <c:pt idx="82">
                  <c:v>0</c:v>
                </c:pt>
                <c:pt idx="83">
                  <c:v>207929</c:v>
                </c:pt>
                <c:pt idx="84">
                  <c:v>0</c:v>
                </c:pt>
                <c:pt idx="85">
                  <c:v>0</c:v>
                </c:pt>
                <c:pt idx="86">
                  <c:v>208516</c:v>
                </c:pt>
                <c:pt idx="87">
                  <c:v>0</c:v>
                </c:pt>
                <c:pt idx="88">
                  <c:v>184756</c:v>
                </c:pt>
                <c:pt idx="89">
                  <c:v>0</c:v>
                </c:pt>
                <c:pt idx="90">
                  <c:v>0</c:v>
                </c:pt>
                <c:pt idx="91">
                  <c:v>177492</c:v>
                </c:pt>
                <c:pt idx="92">
                  <c:v>0</c:v>
                </c:pt>
                <c:pt idx="93">
                  <c:v>176324</c:v>
                </c:pt>
                <c:pt idx="94">
                  <c:v>0</c:v>
                </c:pt>
                <c:pt idx="95">
                  <c:v>0</c:v>
                </c:pt>
                <c:pt idx="96">
                  <c:v>172926</c:v>
                </c:pt>
                <c:pt idx="97">
                  <c:v>0</c:v>
                </c:pt>
                <c:pt idx="98">
                  <c:v>161807</c:v>
                </c:pt>
                <c:pt idx="99">
                  <c:v>0</c:v>
                </c:pt>
                <c:pt idx="100">
                  <c:v>0</c:v>
                </c:pt>
                <c:pt idx="101">
                  <c:v>134818</c:v>
                </c:pt>
                <c:pt idx="102">
                  <c:v>0</c:v>
                </c:pt>
                <c:pt idx="103">
                  <c:v>0</c:v>
                </c:pt>
                <c:pt idx="104">
                  <c:v>119573</c:v>
                </c:pt>
                <c:pt idx="105">
                  <c:v>0</c:v>
                </c:pt>
                <c:pt idx="106">
                  <c:v>99473</c:v>
                </c:pt>
                <c:pt idx="107">
                  <c:v>0</c:v>
                </c:pt>
                <c:pt idx="108">
                  <c:v>0</c:v>
                </c:pt>
                <c:pt idx="109">
                  <c:v>96829</c:v>
                </c:pt>
                <c:pt idx="110">
                  <c:v>0</c:v>
                </c:pt>
                <c:pt idx="111">
                  <c:v>79324</c:v>
                </c:pt>
                <c:pt idx="112">
                  <c:v>0</c:v>
                </c:pt>
                <c:pt idx="113">
                  <c:v>0</c:v>
                </c:pt>
                <c:pt idx="114">
                  <c:v>66151</c:v>
                </c:pt>
                <c:pt idx="115">
                  <c:v>0</c:v>
                </c:pt>
                <c:pt idx="116">
                  <c:v>58290</c:v>
                </c:pt>
                <c:pt idx="117">
                  <c:v>0</c:v>
                </c:pt>
                <c:pt idx="118">
                  <c:v>0</c:v>
                </c:pt>
                <c:pt idx="119">
                  <c:v>48882</c:v>
                </c:pt>
                <c:pt idx="120">
                  <c:v>0</c:v>
                </c:pt>
                <c:pt idx="121">
                  <c:v>0</c:v>
                </c:pt>
                <c:pt idx="122">
                  <c:v>40443</c:v>
                </c:pt>
                <c:pt idx="123">
                  <c:v>0</c:v>
                </c:pt>
                <c:pt idx="124">
                  <c:v>36391</c:v>
                </c:pt>
                <c:pt idx="125">
                  <c:v>0</c:v>
                </c:pt>
                <c:pt idx="126">
                  <c:v>0</c:v>
                </c:pt>
                <c:pt idx="127">
                  <c:v>32094</c:v>
                </c:pt>
                <c:pt idx="128">
                  <c:v>0</c:v>
                </c:pt>
                <c:pt idx="129">
                  <c:v>26948</c:v>
                </c:pt>
                <c:pt idx="130">
                  <c:v>0</c:v>
                </c:pt>
                <c:pt idx="131">
                  <c:v>0</c:v>
                </c:pt>
                <c:pt idx="132">
                  <c:v>20711</c:v>
                </c:pt>
                <c:pt idx="133">
                  <c:v>0</c:v>
                </c:pt>
                <c:pt idx="134">
                  <c:v>16629</c:v>
                </c:pt>
                <c:pt idx="135">
                  <c:v>0</c:v>
                </c:pt>
                <c:pt idx="136">
                  <c:v>0</c:v>
                </c:pt>
                <c:pt idx="137">
                  <c:v>10809</c:v>
                </c:pt>
                <c:pt idx="138">
                  <c:v>0</c:v>
                </c:pt>
                <c:pt idx="139">
                  <c:v>0</c:v>
                </c:pt>
                <c:pt idx="140">
                  <c:v>10092</c:v>
                </c:pt>
                <c:pt idx="141">
                  <c:v>0</c:v>
                </c:pt>
                <c:pt idx="142">
                  <c:v>6628</c:v>
                </c:pt>
                <c:pt idx="143">
                  <c:v>0</c:v>
                </c:pt>
                <c:pt idx="144">
                  <c:v>0</c:v>
                </c:pt>
                <c:pt idx="145">
                  <c:v>8309</c:v>
                </c:pt>
                <c:pt idx="146">
                  <c:v>0</c:v>
                </c:pt>
                <c:pt idx="147">
                  <c:v>5724</c:v>
                </c:pt>
                <c:pt idx="148">
                  <c:v>0</c:v>
                </c:pt>
                <c:pt idx="149">
                  <c:v>0</c:v>
                </c:pt>
                <c:pt idx="150">
                  <c:v>5303</c:v>
                </c:pt>
                <c:pt idx="151">
                  <c:v>0</c:v>
                </c:pt>
                <c:pt idx="152">
                  <c:v>3082</c:v>
                </c:pt>
                <c:pt idx="153">
                  <c:v>0</c:v>
                </c:pt>
                <c:pt idx="154">
                  <c:v>0</c:v>
                </c:pt>
                <c:pt idx="155">
                  <c:v>1929</c:v>
                </c:pt>
                <c:pt idx="156">
                  <c:v>0</c:v>
                </c:pt>
                <c:pt idx="157">
                  <c:v>0</c:v>
                </c:pt>
                <c:pt idx="158">
                  <c:v>1583</c:v>
                </c:pt>
                <c:pt idx="159">
                  <c:v>0</c:v>
                </c:pt>
                <c:pt idx="160">
                  <c:v>1073</c:v>
                </c:pt>
                <c:pt idx="161">
                  <c:v>0</c:v>
                </c:pt>
                <c:pt idx="162">
                  <c:v>0</c:v>
                </c:pt>
                <c:pt idx="163">
                  <c:v>652</c:v>
                </c:pt>
                <c:pt idx="164">
                  <c:v>0</c:v>
                </c:pt>
                <c:pt idx="165">
                  <c:v>431</c:v>
                </c:pt>
                <c:pt idx="166">
                  <c:v>0</c:v>
                </c:pt>
                <c:pt idx="167">
                  <c:v>0</c:v>
                </c:pt>
                <c:pt idx="168">
                  <c:v>60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1.7691100000000002</c:v>
                </c:pt>
                <c:pt idx="1">
                  <c:v>1.82169</c:v>
                </c:pt>
                <c:pt idx="2">
                  <c:v>1.8757699999999999</c:v>
                </c:pt>
                <c:pt idx="3">
                  <c:v>1.931</c:v>
                </c:pt>
                <c:pt idx="4">
                  <c:v>1.98912</c:v>
                </c:pt>
                <c:pt idx="5">
                  <c:v>2.0479600000000002</c:v>
                </c:pt>
                <c:pt idx="6">
                  <c:v>2.1060300000000001</c:v>
                </c:pt>
                <c:pt idx="7">
                  <c:v>2.1633200000000001</c:v>
                </c:pt>
                <c:pt idx="8">
                  <c:v>2.2230300000000001</c:v>
                </c:pt>
                <c:pt idx="9">
                  <c:v>2.2854299999999999</c:v>
                </c:pt>
                <c:pt idx="10">
                  <c:v>2.3502999999999998</c:v>
                </c:pt>
                <c:pt idx="11">
                  <c:v>2.4194299999999997</c:v>
                </c:pt>
                <c:pt idx="12">
                  <c:v>2.4883299999999999</c:v>
                </c:pt>
                <c:pt idx="13">
                  <c:v>2.5549400000000002</c:v>
                </c:pt>
                <c:pt idx="14">
                  <c:v>2.61958</c:v>
                </c:pt>
                <c:pt idx="15">
                  <c:v>2.6836799999999998</c:v>
                </c:pt>
                <c:pt idx="16">
                  <c:v>2.7478200000000004</c:v>
                </c:pt>
                <c:pt idx="17">
                  <c:v>2.8029199999999999</c:v>
                </c:pt>
                <c:pt idx="18">
                  <c:v>2.8581699999999999</c:v>
                </c:pt>
                <c:pt idx="19">
                  <c:v>2.9102899999999998</c:v>
                </c:pt>
                <c:pt idx="20">
                  <c:v>2.9582199999999998</c:v>
                </c:pt>
                <c:pt idx="21">
                  <c:v>3.00305</c:v>
                </c:pt>
                <c:pt idx="22">
                  <c:v>3.04271</c:v>
                </c:pt>
                <c:pt idx="23">
                  <c:v>3.0790699999999998</c:v>
                </c:pt>
                <c:pt idx="24">
                  <c:v>3.1038900000000003</c:v>
                </c:pt>
                <c:pt idx="25">
                  <c:v>3.1217499999999996</c:v>
                </c:pt>
                <c:pt idx="26">
                  <c:v>3.1333799999999998</c:v>
                </c:pt>
                <c:pt idx="27">
                  <c:v>3.1426100000000003</c:v>
                </c:pt>
                <c:pt idx="28">
                  <c:v>3.1520100000000002</c:v>
                </c:pt>
                <c:pt idx="29">
                  <c:v>3.1583600000000001</c:v>
                </c:pt>
                <c:pt idx="30">
                  <c:v>3.1629200000000002</c:v>
                </c:pt>
                <c:pt idx="31">
                  <c:v>3.1650800000000001</c:v>
                </c:pt>
                <c:pt idx="32">
                  <c:v>3.1654399999999998</c:v>
                </c:pt>
                <c:pt idx="33">
                  <c:v>3.1616</c:v>
                </c:pt>
                <c:pt idx="34">
                  <c:v>3.1561899999999996</c:v>
                </c:pt>
                <c:pt idx="35">
                  <c:v>3.1492599999999999</c:v>
                </c:pt>
                <c:pt idx="36">
                  <c:v>3.13733</c:v>
                </c:pt>
                <c:pt idx="37">
                  <c:v>3.1227800000000001</c:v>
                </c:pt>
                <c:pt idx="38">
                  <c:v>3.1067400000000003</c:v>
                </c:pt>
                <c:pt idx="39">
                  <c:v>3.0869400000000002</c:v>
                </c:pt>
                <c:pt idx="40">
                  <c:v>3.0634000000000001</c:v>
                </c:pt>
                <c:pt idx="41">
                  <c:v>3.04061</c:v>
                </c:pt>
                <c:pt idx="42">
                  <c:v>3.0282</c:v>
                </c:pt>
                <c:pt idx="43">
                  <c:v>3.0144599999999997</c:v>
                </c:pt>
                <c:pt idx="44">
                  <c:v>3.0016500000000002</c:v>
                </c:pt>
                <c:pt idx="45">
                  <c:v>2.9921100000000003</c:v>
                </c:pt>
                <c:pt idx="46">
                  <c:v>2.9830399999999999</c:v>
                </c:pt>
                <c:pt idx="47">
                  <c:v>2.9731299999999998</c:v>
                </c:pt>
                <c:pt idx="48">
                  <c:v>2.9651399999999999</c:v>
                </c:pt>
                <c:pt idx="49">
                  <c:v>2.9559800000000003</c:v>
                </c:pt>
                <c:pt idx="50">
                  <c:v>2.94895</c:v>
                </c:pt>
                <c:pt idx="51">
                  <c:v>2.9438599999999999</c:v>
                </c:pt>
                <c:pt idx="52">
                  <c:v>2.9404599999999999</c:v>
                </c:pt>
                <c:pt idx="53">
                  <c:v>2.9363999999999999</c:v>
                </c:pt>
                <c:pt idx="54">
                  <c:v>2.93371</c:v>
                </c:pt>
                <c:pt idx="55">
                  <c:v>2.93248</c:v>
                </c:pt>
                <c:pt idx="56">
                  <c:v>2.9323199999999998</c:v>
                </c:pt>
                <c:pt idx="57">
                  <c:v>2.9346100000000002</c:v>
                </c:pt>
                <c:pt idx="58">
                  <c:v>2.9430000000000001</c:v>
                </c:pt>
                <c:pt idx="59">
                  <c:v>2.9523000000000001</c:v>
                </c:pt>
                <c:pt idx="60">
                  <c:v>2.9565900000000003</c:v>
                </c:pt>
                <c:pt idx="61">
                  <c:v>2.9671799999999999</c:v>
                </c:pt>
                <c:pt idx="62">
                  <c:v>2.9796899999999997</c:v>
                </c:pt>
                <c:pt idx="63">
                  <c:v>2.9941599999999999</c:v>
                </c:pt>
                <c:pt idx="64">
                  <c:v>3.0114900000000002</c:v>
                </c:pt>
                <c:pt idx="65">
                  <c:v>3.0298000000000003</c:v>
                </c:pt>
                <c:pt idx="66">
                  <c:v>3.0465599999999999</c:v>
                </c:pt>
                <c:pt idx="67">
                  <c:v>3.0587499999999999</c:v>
                </c:pt>
                <c:pt idx="68">
                  <c:v>3.07606</c:v>
                </c:pt>
                <c:pt idx="69">
                  <c:v>3.0829299999999997</c:v>
                </c:pt>
                <c:pt idx="70">
                  <c:v>3.0948700000000002</c:v>
                </c:pt>
                <c:pt idx="71">
                  <c:v>3.1038600000000001</c:v>
                </c:pt>
                <c:pt idx="72">
                  <c:v>3.1148599999999997</c:v>
                </c:pt>
                <c:pt idx="73">
                  <c:v>3.1275300000000001</c:v>
                </c:pt>
                <c:pt idx="74">
                  <c:v>3.1403799999999999</c:v>
                </c:pt>
                <c:pt idx="75">
                  <c:v>3.1528400000000003</c:v>
                </c:pt>
                <c:pt idx="76">
                  <c:v>3.1643300000000001</c:v>
                </c:pt>
                <c:pt idx="77">
                  <c:v>3.1725599999999998</c:v>
                </c:pt>
                <c:pt idx="78">
                  <c:v>3.1808700000000001</c:v>
                </c:pt>
                <c:pt idx="79">
                  <c:v>3.1907299999999998</c:v>
                </c:pt>
                <c:pt idx="80">
                  <c:v>3.2012200000000002</c:v>
                </c:pt>
                <c:pt idx="81">
                  <c:v>3.2108599999999998</c:v>
                </c:pt>
                <c:pt idx="82">
                  <c:v>3.2192100000000003</c:v>
                </c:pt>
                <c:pt idx="83">
                  <c:v>3.2232100000000004</c:v>
                </c:pt>
                <c:pt idx="84">
                  <c:v>3.2239400000000002</c:v>
                </c:pt>
                <c:pt idx="85">
                  <c:v>3.2265899999999998</c:v>
                </c:pt>
                <c:pt idx="86">
                  <c:v>3.2318000000000002</c:v>
                </c:pt>
                <c:pt idx="87">
                  <c:v>3.23977</c:v>
                </c:pt>
                <c:pt idx="88">
                  <c:v>3.2498800000000001</c:v>
                </c:pt>
                <c:pt idx="89">
                  <c:v>3.2580999999999998</c:v>
                </c:pt>
                <c:pt idx="90">
                  <c:v>3.2658199999999997</c:v>
                </c:pt>
                <c:pt idx="91">
                  <c:v>3.27067</c:v>
                </c:pt>
                <c:pt idx="92">
                  <c:v>3.2763199999999997</c:v>
                </c:pt>
                <c:pt idx="93">
                  <c:v>3.28118</c:v>
                </c:pt>
                <c:pt idx="94">
                  <c:v>3.2858499999999999</c:v>
                </c:pt>
                <c:pt idx="95">
                  <c:v>3.2895799999999999</c:v>
                </c:pt>
                <c:pt idx="96">
                  <c:v>3.29426</c:v>
                </c:pt>
                <c:pt idx="97">
                  <c:v>3.29942</c:v>
                </c:pt>
                <c:pt idx="98">
                  <c:v>3.3033899999999998</c:v>
                </c:pt>
                <c:pt idx="99">
                  <c:v>3.3071200000000003</c:v>
                </c:pt>
                <c:pt idx="100">
                  <c:v>3.3069199999999999</c:v>
                </c:pt>
                <c:pt idx="101">
                  <c:v>3.3029599999999997</c:v>
                </c:pt>
                <c:pt idx="102">
                  <c:v>3.2978100000000001</c:v>
                </c:pt>
                <c:pt idx="103">
                  <c:v>3.2896900000000002</c:v>
                </c:pt>
                <c:pt idx="104">
                  <c:v>3.2798799999999999</c:v>
                </c:pt>
                <c:pt idx="105">
                  <c:v>3.27067</c:v>
                </c:pt>
                <c:pt idx="106">
                  <c:v>3.2625700000000002</c:v>
                </c:pt>
                <c:pt idx="107">
                  <c:v>3.2531599999999998</c:v>
                </c:pt>
                <c:pt idx="108">
                  <c:v>3.2444800000000003</c:v>
                </c:pt>
                <c:pt idx="109">
                  <c:v>3.2356400000000001</c:v>
                </c:pt>
                <c:pt idx="110">
                  <c:v>3.2234800000000003</c:v>
                </c:pt>
                <c:pt idx="111">
                  <c:v>3.20777</c:v>
                </c:pt>
                <c:pt idx="112">
                  <c:v>3.1885699999999999</c:v>
                </c:pt>
                <c:pt idx="113">
                  <c:v>3.1659900000000003</c:v>
                </c:pt>
                <c:pt idx="114">
                  <c:v>3.1441699999999999</c:v>
                </c:pt>
                <c:pt idx="115">
                  <c:v>3.12222</c:v>
                </c:pt>
                <c:pt idx="116">
                  <c:v>3.1039699999999999</c:v>
                </c:pt>
                <c:pt idx="117">
                  <c:v>3.08643</c:v>
                </c:pt>
                <c:pt idx="118">
                  <c:v>3.069</c:v>
                </c:pt>
                <c:pt idx="119">
                  <c:v>3.0529600000000001</c:v>
                </c:pt>
                <c:pt idx="120">
                  <c:v>3.0350300000000003</c:v>
                </c:pt>
                <c:pt idx="121">
                  <c:v>3.0146299999999999</c:v>
                </c:pt>
                <c:pt idx="122">
                  <c:v>2.9912200000000002</c:v>
                </c:pt>
                <c:pt idx="123">
                  <c:v>2.96522</c:v>
                </c:pt>
                <c:pt idx="124">
                  <c:v>2.9425299999999996</c:v>
                </c:pt>
                <c:pt idx="125">
                  <c:v>2.9231499999999997</c:v>
                </c:pt>
                <c:pt idx="126">
                  <c:v>2.90876</c:v>
                </c:pt>
                <c:pt idx="127">
                  <c:v>2.8991499999999997</c:v>
                </c:pt>
                <c:pt idx="128">
                  <c:v>2.8937299999999997</c:v>
                </c:pt>
                <c:pt idx="129">
                  <c:v>2.8882500000000002</c:v>
                </c:pt>
                <c:pt idx="130">
                  <c:v>2.8817300000000001</c:v>
                </c:pt>
                <c:pt idx="131">
                  <c:v>2.8734299999999999</c:v>
                </c:pt>
                <c:pt idx="132">
                  <c:v>2.8698600000000001</c:v>
                </c:pt>
                <c:pt idx="133">
                  <c:v>2.8718599999999999</c:v>
                </c:pt>
                <c:pt idx="134">
                  <c:v>2.8763000000000001</c:v>
                </c:pt>
                <c:pt idx="135">
                  <c:v>2.8830800000000001</c:v>
                </c:pt>
                <c:pt idx="136">
                  <c:v>2.8908200000000002</c:v>
                </c:pt>
                <c:pt idx="137">
                  <c:v>2.89906</c:v>
                </c:pt>
                <c:pt idx="138">
                  <c:v>2.9086800000000004</c:v>
                </c:pt>
                <c:pt idx="139">
                  <c:v>2.9207300000000003</c:v>
                </c:pt>
                <c:pt idx="140">
                  <c:v>2.9315600000000002</c:v>
                </c:pt>
                <c:pt idx="141">
                  <c:v>2.9315000000000002</c:v>
                </c:pt>
                <c:pt idx="142">
                  <c:v>2.9230899999999997</c:v>
                </c:pt>
                <c:pt idx="143">
                  <c:v>2.9052299999999995</c:v>
                </c:pt>
                <c:pt idx="144">
                  <c:v>2.8797699999999997</c:v>
                </c:pt>
                <c:pt idx="145">
                  <c:v>2.8571400000000002</c:v>
                </c:pt>
                <c:pt idx="146">
                  <c:v>2.8347299999999995</c:v>
                </c:pt>
                <c:pt idx="147">
                  <c:v>2.8186499999999999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64.527699999999996</c:v>
                </c:pt>
                <c:pt idx="1">
                  <c:v>64.023399999999995</c:v>
                </c:pt>
                <c:pt idx="2">
                  <c:v>63.429500000000004</c:v>
                </c:pt>
                <c:pt idx="3">
                  <c:v>62.825699999999998</c:v>
                </c:pt>
                <c:pt idx="4">
                  <c:v>62.104099999999995</c:v>
                </c:pt>
                <c:pt idx="5">
                  <c:v>61.462600000000002</c:v>
                </c:pt>
                <c:pt idx="6">
                  <c:v>60.926600000000001</c:v>
                </c:pt>
                <c:pt idx="7">
                  <c:v>60.531700000000001</c:v>
                </c:pt>
                <c:pt idx="8">
                  <c:v>59.9666</c:v>
                </c:pt>
                <c:pt idx="9">
                  <c:v>59.258999999999993</c:v>
                </c:pt>
                <c:pt idx="10">
                  <c:v>58.565800000000003</c:v>
                </c:pt>
                <c:pt idx="11">
                  <c:v>57.736900000000006</c:v>
                </c:pt>
                <c:pt idx="12">
                  <c:v>56.8932</c:v>
                </c:pt>
                <c:pt idx="13">
                  <c:v>56.190100000000001</c:v>
                </c:pt>
                <c:pt idx="14">
                  <c:v>55.597099999999998</c:v>
                </c:pt>
                <c:pt idx="15">
                  <c:v>54.953300000000006</c:v>
                </c:pt>
                <c:pt idx="16">
                  <c:v>54.289200000000001</c:v>
                </c:pt>
                <c:pt idx="17">
                  <c:v>53.9497</c:v>
                </c:pt>
                <c:pt idx="18">
                  <c:v>53.647599999999997</c:v>
                </c:pt>
                <c:pt idx="19">
                  <c:v>53.395400000000002</c:v>
                </c:pt>
                <c:pt idx="20">
                  <c:v>53.212600000000002</c:v>
                </c:pt>
                <c:pt idx="21">
                  <c:v>53.113900000000001</c:v>
                </c:pt>
                <c:pt idx="22">
                  <c:v>52.955200000000005</c:v>
                </c:pt>
                <c:pt idx="23">
                  <c:v>52.757100000000001</c:v>
                </c:pt>
                <c:pt idx="24">
                  <c:v>52.468899999999998</c:v>
                </c:pt>
                <c:pt idx="25">
                  <c:v>52.204399999999993</c:v>
                </c:pt>
                <c:pt idx="26">
                  <c:v>51.851499999999994</c:v>
                </c:pt>
                <c:pt idx="27">
                  <c:v>51.476699999999994</c:v>
                </c:pt>
                <c:pt idx="28">
                  <c:v>50.981299999999997</c:v>
                </c:pt>
                <c:pt idx="29">
                  <c:v>50.444800000000001</c:v>
                </c:pt>
                <c:pt idx="30">
                  <c:v>49.910399999999996</c:v>
                </c:pt>
                <c:pt idx="31">
                  <c:v>49.433199999999999</c:v>
                </c:pt>
                <c:pt idx="32">
                  <c:v>48.97</c:v>
                </c:pt>
                <c:pt idx="33">
                  <c:v>48.479499999999994</c:v>
                </c:pt>
                <c:pt idx="34">
                  <c:v>47.952399999999997</c:v>
                </c:pt>
                <c:pt idx="35">
                  <c:v>47.450299999999999</c:v>
                </c:pt>
                <c:pt idx="36">
                  <c:v>47.019199999999998</c:v>
                </c:pt>
                <c:pt idx="37">
                  <c:v>46.654899999999998</c:v>
                </c:pt>
                <c:pt idx="38">
                  <c:v>46.351799999999997</c:v>
                </c:pt>
                <c:pt idx="39">
                  <c:v>46.196300000000001</c:v>
                </c:pt>
                <c:pt idx="40">
                  <c:v>46.182699999999997</c:v>
                </c:pt>
                <c:pt idx="41">
                  <c:v>46.273399999999995</c:v>
                </c:pt>
                <c:pt idx="42">
                  <c:v>46.317500000000003</c:v>
                </c:pt>
                <c:pt idx="43">
                  <c:v>46.435700000000004</c:v>
                </c:pt>
                <c:pt idx="44">
                  <c:v>46.483999999999995</c:v>
                </c:pt>
                <c:pt idx="45">
                  <c:v>46.430700000000002</c:v>
                </c:pt>
                <c:pt idx="46">
                  <c:v>46.397300000000001</c:v>
                </c:pt>
                <c:pt idx="47">
                  <c:v>46.429299999999998</c:v>
                </c:pt>
                <c:pt idx="48">
                  <c:v>46.471299999999999</c:v>
                </c:pt>
                <c:pt idx="49">
                  <c:v>46.544000000000004</c:v>
                </c:pt>
                <c:pt idx="50">
                  <c:v>46.576099999999997</c:v>
                </c:pt>
                <c:pt idx="51">
                  <c:v>46.726199999999999</c:v>
                </c:pt>
                <c:pt idx="52">
                  <c:v>46.994</c:v>
                </c:pt>
                <c:pt idx="53">
                  <c:v>47.466000000000001</c:v>
                </c:pt>
                <c:pt idx="54">
                  <c:v>48.019099999999995</c:v>
                </c:pt>
                <c:pt idx="55">
                  <c:v>48.641800000000003</c:v>
                </c:pt>
                <c:pt idx="56">
                  <c:v>48.8748</c:v>
                </c:pt>
                <c:pt idx="57">
                  <c:v>49.167000000000002</c:v>
                </c:pt>
                <c:pt idx="58">
                  <c:v>49.648900000000005</c:v>
                </c:pt>
                <c:pt idx="59">
                  <c:v>50.080599999999997</c:v>
                </c:pt>
                <c:pt idx="60">
                  <c:v>50.442399999999999</c:v>
                </c:pt>
                <c:pt idx="61">
                  <c:v>50.911799999999999</c:v>
                </c:pt>
                <c:pt idx="62">
                  <c:v>51.319600000000001</c:v>
                </c:pt>
                <c:pt idx="63">
                  <c:v>51.627100000000006</c:v>
                </c:pt>
                <c:pt idx="64">
                  <c:v>51.776800000000001</c:v>
                </c:pt>
                <c:pt idx="65">
                  <c:v>51.8489</c:v>
                </c:pt>
                <c:pt idx="66">
                  <c:v>51.935099999999998</c:v>
                </c:pt>
                <c:pt idx="67">
                  <c:v>52.0991</c:v>
                </c:pt>
                <c:pt idx="68">
                  <c:v>52.112199999999994</c:v>
                </c:pt>
                <c:pt idx="69">
                  <c:v>52.242599999999996</c:v>
                </c:pt>
                <c:pt idx="70">
                  <c:v>52.234800000000007</c:v>
                </c:pt>
                <c:pt idx="71">
                  <c:v>52.362900000000003</c:v>
                </c:pt>
                <c:pt idx="72">
                  <c:v>52.485400000000006</c:v>
                </c:pt>
                <c:pt idx="73">
                  <c:v>52.605599999999995</c:v>
                </c:pt>
                <c:pt idx="74">
                  <c:v>52.811600000000006</c:v>
                </c:pt>
                <c:pt idx="75">
                  <c:v>53.032800000000002</c:v>
                </c:pt>
                <c:pt idx="76">
                  <c:v>53.183100000000003</c:v>
                </c:pt>
                <c:pt idx="77">
                  <c:v>53.303699999999999</c:v>
                </c:pt>
                <c:pt idx="78">
                  <c:v>53.374900000000004</c:v>
                </c:pt>
                <c:pt idx="79">
                  <c:v>53.463499999999996</c:v>
                </c:pt>
                <c:pt idx="80">
                  <c:v>53.6678</c:v>
                </c:pt>
                <c:pt idx="81">
                  <c:v>53.901900000000005</c:v>
                </c:pt>
                <c:pt idx="82">
                  <c:v>54.187700000000007</c:v>
                </c:pt>
                <c:pt idx="83">
                  <c:v>54.4223</c:v>
                </c:pt>
                <c:pt idx="84">
                  <c:v>54.630599999999994</c:v>
                </c:pt>
                <c:pt idx="85">
                  <c:v>54.805499999999995</c:v>
                </c:pt>
                <c:pt idx="86">
                  <c:v>55.018999999999998</c:v>
                </c:pt>
                <c:pt idx="87">
                  <c:v>55.204299999999996</c:v>
                </c:pt>
                <c:pt idx="88">
                  <c:v>55.293899999999994</c:v>
                </c:pt>
                <c:pt idx="89">
                  <c:v>55.433799999999998</c:v>
                </c:pt>
                <c:pt idx="90">
                  <c:v>55.595500000000001</c:v>
                </c:pt>
                <c:pt idx="91">
                  <c:v>55.809200000000004</c:v>
                </c:pt>
                <c:pt idx="92">
                  <c:v>56.031399999999998</c:v>
                </c:pt>
                <c:pt idx="93">
                  <c:v>56.255099999999999</c:v>
                </c:pt>
                <c:pt idx="94">
                  <c:v>56.524799999999999</c:v>
                </c:pt>
                <c:pt idx="95">
                  <c:v>56.652899999999995</c:v>
                </c:pt>
                <c:pt idx="96">
                  <c:v>56.664999999999999</c:v>
                </c:pt>
                <c:pt idx="97">
                  <c:v>56.561300000000003</c:v>
                </c:pt>
                <c:pt idx="98">
                  <c:v>56.393800000000006</c:v>
                </c:pt>
                <c:pt idx="99">
                  <c:v>56.174599999999998</c:v>
                </c:pt>
                <c:pt idx="100">
                  <c:v>55.977699999999999</c:v>
                </c:pt>
                <c:pt idx="101">
                  <c:v>55.809299999999993</c:v>
                </c:pt>
                <c:pt idx="102">
                  <c:v>55.589700000000001</c:v>
                </c:pt>
                <c:pt idx="103">
                  <c:v>55.298499999999997</c:v>
                </c:pt>
                <c:pt idx="104">
                  <c:v>54.975200000000001</c:v>
                </c:pt>
                <c:pt idx="105">
                  <c:v>54.686199999999999</c:v>
                </c:pt>
                <c:pt idx="106">
                  <c:v>54.348100000000002</c:v>
                </c:pt>
                <c:pt idx="107">
                  <c:v>53.9953</c:v>
                </c:pt>
                <c:pt idx="108">
                  <c:v>53.596800000000002</c:v>
                </c:pt>
                <c:pt idx="109">
                  <c:v>53.222700000000003</c:v>
                </c:pt>
                <c:pt idx="110">
                  <c:v>52.862200000000001</c:v>
                </c:pt>
                <c:pt idx="111">
                  <c:v>52.445</c:v>
                </c:pt>
                <c:pt idx="112">
                  <c:v>52.061500000000002</c:v>
                </c:pt>
                <c:pt idx="113">
                  <c:v>51.799799999999998</c:v>
                </c:pt>
                <c:pt idx="114">
                  <c:v>51.509300000000003</c:v>
                </c:pt>
                <c:pt idx="115">
                  <c:v>51.262799999999999</c:v>
                </c:pt>
                <c:pt idx="116">
                  <c:v>51.036000000000001</c:v>
                </c:pt>
                <c:pt idx="117">
                  <c:v>50.854299999999995</c:v>
                </c:pt>
                <c:pt idx="118">
                  <c:v>50.7209</c:v>
                </c:pt>
                <c:pt idx="119">
                  <c:v>50.551400000000001</c:v>
                </c:pt>
                <c:pt idx="120">
                  <c:v>50.463100000000004</c:v>
                </c:pt>
                <c:pt idx="121">
                  <c:v>50.447900000000004</c:v>
                </c:pt>
                <c:pt idx="122">
                  <c:v>50.442100000000003</c:v>
                </c:pt>
                <c:pt idx="123">
                  <c:v>50.535499999999999</c:v>
                </c:pt>
                <c:pt idx="124">
                  <c:v>50.747799999999998</c:v>
                </c:pt>
                <c:pt idx="125">
                  <c:v>50.8553</c:v>
                </c:pt>
                <c:pt idx="126">
                  <c:v>50.830500000000001</c:v>
                </c:pt>
                <c:pt idx="127">
                  <c:v>50.773199999999996</c:v>
                </c:pt>
                <c:pt idx="128">
                  <c:v>50.719800000000006</c:v>
                </c:pt>
                <c:pt idx="129">
                  <c:v>50.673000000000002</c:v>
                </c:pt>
                <c:pt idx="130">
                  <c:v>50.567700000000002</c:v>
                </c:pt>
                <c:pt idx="131">
                  <c:v>50.558099999999996</c:v>
                </c:pt>
                <c:pt idx="132">
                  <c:v>50.463499999999996</c:v>
                </c:pt>
                <c:pt idx="133">
                  <c:v>50.366299999999995</c:v>
                </c:pt>
                <c:pt idx="134">
                  <c:v>50.207599999999999</c:v>
                </c:pt>
                <c:pt idx="135">
                  <c:v>50.0687</c:v>
                </c:pt>
                <c:pt idx="136">
                  <c:v>50.031599999999997</c:v>
                </c:pt>
                <c:pt idx="137">
                  <c:v>50.044499999999999</c:v>
                </c:pt>
                <c:pt idx="138">
                  <c:v>50.06</c:v>
                </c:pt>
                <c:pt idx="139">
                  <c:v>50.103500000000004</c:v>
                </c:pt>
                <c:pt idx="140">
                  <c:v>50.139900000000004</c:v>
                </c:pt>
                <c:pt idx="141">
                  <c:v>50.143000000000001</c:v>
                </c:pt>
                <c:pt idx="142">
                  <c:v>50.036800000000007</c:v>
                </c:pt>
                <c:pt idx="143">
                  <c:v>49.876899999999999</c:v>
                </c:pt>
                <c:pt idx="144">
                  <c:v>49.851800000000004</c:v>
                </c:pt>
                <c:pt idx="145">
                  <c:v>49.730699999999999</c:v>
                </c:pt>
                <c:pt idx="146">
                  <c:v>48.976100000000002</c:v>
                </c:pt>
                <c:pt idx="147">
                  <c:v>49.135199999999998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1.7691100000000002</c:v>
                </c:pt>
                <c:pt idx="1">
                  <c:v>1.82169</c:v>
                </c:pt>
                <c:pt idx="2">
                  <c:v>1.8757699999999999</c:v>
                </c:pt>
                <c:pt idx="3">
                  <c:v>1.931</c:v>
                </c:pt>
                <c:pt idx="4">
                  <c:v>1.98912</c:v>
                </c:pt>
                <c:pt idx="5">
                  <c:v>2.0479600000000002</c:v>
                </c:pt>
                <c:pt idx="6">
                  <c:v>2.1060300000000001</c:v>
                </c:pt>
                <c:pt idx="7">
                  <c:v>2.1633200000000001</c:v>
                </c:pt>
                <c:pt idx="8">
                  <c:v>2.2230300000000001</c:v>
                </c:pt>
                <c:pt idx="9">
                  <c:v>2.2854299999999999</c:v>
                </c:pt>
                <c:pt idx="10">
                  <c:v>2.3502999999999998</c:v>
                </c:pt>
                <c:pt idx="11">
                  <c:v>2.4194299999999997</c:v>
                </c:pt>
                <c:pt idx="12">
                  <c:v>2.4883299999999999</c:v>
                </c:pt>
                <c:pt idx="13">
                  <c:v>2.5549400000000002</c:v>
                </c:pt>
                <c:pt idx="14">
                  <c:v>2.61958</c:v>
                </c:pt>
                <c:pt idx="15">
                  <c:v>2.6836799999999998</c:v>
                </c:pt>
                <c:pt idx="16">
                  <c:v>2.7478200000000004</c:v>
                </c:pt>
                <c:pt idx="17">
                  <c:v>2.8029199999999999</c:v>
                </c:pt>
                <c:pt idx="18">
                  <c:v>2.8581699999999999</c:v>
                </c:pt>
                <c:pt idx="19">
                  <c:v>2.9102899999999998</c:v>
                </c:pt>
                <c:pt idx="20">
                  <c:v>2.9582199999999998</c:v>
                </c:pt>
                <c:pt idx="21">
                  <c:v>3.00305</c:v>
                </c:pt>
                <c:pt idx="22">
                  <c:v>3.04271</c:v>
                </c:pt>
                <c:pt idx="23">
                  <c:v>3.0790699999999998</c:v>
                </c:pt>
                <c:pt idx="24">
                  <c:v>3.1038900000000003</c:v>
                </c:pt>
                <c:pt idx="25">
                  <c:v>3.1217499999999996</c:v>
                </c:pt>
                <c:pt idx="26">
                  <c:v>3.1333799999999998</c:v>
                </c:pt>
                <c:pt idx="27">
                  <c:v>3.1426100000000003</c:v>
                </c:pt>
                <c:pt idx="28">
                  <c:v>3.1520100000000002</c:v>
                </c:pt>
                <c:pt idx="29">
                  <c:v>3.1583600000000001</c:v>
                </c:pt>
                <c:pt idx="30">
                  <c:v>3.1629200000000002</c:v>
                </c:pt>
                <c:pt idx="31">
                  <c:v>3.1650800000000001</c:v>
                </c:pt>
                <c:pt idx="32">
                  <c:v>3.1654399999999998</c:v>
                </c:pt>
                <c:pt idx="33">
                  <c:v>3.1616</c:v>
                </c:pt>
                <c:pt idx="34">
                  <c:v>3.1561899999999996</c:v>
                </c:pt>
                <c:pt idx="35">
                  <c:v>3.1492599999999999</c:v>
                </c:pt>
                <c:pt idx="36">
                  <c:v>3.13733</c:v>
                </c:pt>
                <c:pt idx="37">
                  <c:v>3.1227800000000001</c:v>
                </c:pt>
                <c:pt idx="38">
                  <c:v>3.1067400000000003</c:v>
                </c:pt>
                <c:pt idx="39">
                  <c:v>3.0869400000000002</c:v>
                </c:pt>
                <c:pt idx="40">
                  <c:v>3.0634000000000001</c:v>
                </c:pt>
                <c:pt idx="41">
                  <c:v>3.04061</c:v>
                </c:pt>
                <c:pt idx="42">
                  <c:v>3.0282</c:v>
                </c:pt>
                <c:pt idx="43">
                  <c:v>3.0144599999999997</c:v>
                </c:pt>
                <c:pt idx="44">
                  <c:v>3.0016500000000002</c:v>
                </c:pt>
                <c:pt idx="45">
                  <c:v>2.9921100000000003</c:v>
                </c:pt>
                <c:pt idx="46">
                  <c:v>2.9830399999999999</c:v>
                </c:pt>
                <c:pt idx="47">
                  <c:v>2.9731299999999998</c:v>
                </c:pt>
                <c:pt idx="48">
                  <c:v>2.9651399999999999</c:v>
                </c:pt>
                <c:pt idx="49">
                  <c:v>2.9559800000000003</c:v>
                </c:pt>
                <c:pt idx="50">
                  <c:v>2.94895</c:v>
                </c:pt>
                <c:pt idx="51">
                  <c:v>2.9438599999999999</c:v>
                </c:pt>
                <c:pt idx="52">
                  <c:v>2.9404599999999999</c:v>
                </c:pt>
                <c:pt idx="53">
                  <c:v>2.9363999999999999</c:v>
                </c:pt>
                <c:pt idx="54">
                  <c:v>2.93371</c:v>
                </c:pt>
                <c:pt idx="55">
                  <c:v>2.93248</c:v>
                </c:pt>
                <c:pt idx="56">
                  <c:v>2.9323199999999998</c:v>
                </c:pt>
                <c:pt idx="57">
                  <c:v>2.9346100000000002</c:v>
                </c:pt>
                <c:pt idx="58">
                  <c:v>2.9430000000000001</c:v>
                </c:pt>
                <c:pt idx="59">
                  <c:v>2.9523000000000001</c:v>
                </c:pt>
                <c:pt idx="60">
                  <c:v>2.9565900000000003</c:v>
                </c:pt>
                <c:pt idx="61">
                  <c:v>2.9671799999999999</c:v>
                </c:pt>
                <c:pt idx="62">
                  <c:v>2.9796899999999997</c:v>
                </c:pt>
                <c:pt idx="63">
                  <c:v>2.9941599999999999</c:v>
                </c:pt>
                <c:pt idx="64">
                  <c:v>3.0114900000000002</c:v>
                </c:pt>
                <c:pt idx="65">
                  <c:v>3.0298000000000003</c:v>
                </c:pt>
                <c:pt idx="66">
                  <c:v>3.0465599999999999</c:v>
                </c:pt>
                <c:pt idx="67">
                  <c:v>3.0587499999999999</c:v>
                </c:pt>
                <c:pt idx="68">
                  <c:v>3.07606</c:v>
                </c:pt>
                <c:pt idx="69">
                  <c:v>3.0829299999999997</c:v>
                </c:pt>
                <c:pt idx="70">
                  <c:v>3.0948700000000002</c:v>
                </c:pt>
                <c:pt idx="71">
                  <c:v>3.1038600000000001</c:v>
                </c:pt>
                <c:pt idx="72">
                  <c:v>3.1148599999999997</c:v>
                </c:pt>
                <c:pt idx="73">
                  <c:v>3.1275300000000001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64.527699999999996</c:v>
                </c:pt>
                <c:pt idx="1">
                  <c:v>64.023399999999995</c:v>
                </c:pt>
                <c:pt idx="2">
                  <c:v>63.429500000000004</c:v>
                </c:pt>
                <c:pt idx="3">
                  <c:v>62.825699999999998</c:v>
                </c:pt>
                <c:pt idx="4">
                  <c:v>62.104099999999995</c:v>
                </c:pt>
                <c:pt idx="5">
                  <c:v>61.462600000000002</c:v>
                </c:pt>
                <c:pt idx="6">
                  <c:v>60.926600000000001</c:v>
                </c:pt>
                <c:pt idx="7">
                  <c:v>60.531700000000001</c:v>
                </c:pt>
                <c:pt idx="8">
                  <c:v>59.9666</c:v>
                </c:pt>
                <c:pt idx="9">
                  <c:v>59.258999999999993</c:v>
                </c:pt>
                <c:pt idx="10">
                  <c:v>58.565800000000003</c:v>
                </c:pt>
                <c:pt idx="11">
                  <c:v>57.736900000000006</c:v>
                </c:pt>
                <c:pt idx="12">
                  <c:v>56.8932</c:v>
                </c:pt>
                <c:pt idx="13">
                  <c:v>56.190100000000001</c:v>
                </c:pt>
                <c:pt idx="14">
                  <c:v>55.597099999999998</c:v>
                </c:pt>
                <c:pt idx="15">
                  <c:v>54.953300000000006</c:v>
                </c:pt>
                <c:pt idx="16">
                  <c:v>54.289200000000001</c:v>
                </c:pt>
                <c:pt idx="17">
                  <c:v>53.9497</c:v>
                </c:pt>
                <c:pt idx="18">
                  <c:v>53.647599999999997</c:v>
                </c:pt>
                <c:pt idx="19">
                  <c:v>53.395400000000002</c:v>
                </c:pt>
                <c:pt idx="20">
                  <c:v>53.212600000000002</c:v>
                </c:pt>
                <c:pt idx="21">
                  <c:v>53.113900000000001</c:v>
                </c:pt>
                <c:pt idx="22">
                  <c:v>52.955200000000005</c:v>
                </c:pt>
                <c:pt idx="23">
                  <c:v>52.757100000000001</c:v>
                </c:pt>
                <c:pt idx="24">
                  <c:v>52.468899999999998</c:v>
                </c:pt>
                <c:pt idx="25">
                  <c:v>52.204399999999993</c:v>
                </c:pt>
                <c:pt idx="26">
                  <c:v>51.851499999999994</c:v>
                </c:pt>
                <c:pt idx="27">
                  <c:v>51.476699999999994</c:v>
                </c:pt>
                <c:pt idx="28">
                  <c:v>50.981299999999997</c:v>
                </c:pt>
                <c:pt idx="29">
                  <c:v>50.444800000000001</c:v>
                </c:pt>
                <c:pt idx="30">
                  <c:v>49.910399999999996</c:v>
                </c:pt>
                <c:pt idx="31">
                  <c:v>49.433199999999999</c:v>
                </c:pt>
                <c:pt idx="32">
                  <c:v>48.97</c:v>
                </c:pt>
                <c:pt idx="33">
                  <c:v>48.479499999999994</c:v>
                </c:pt>
                <c:pt idx="34">
                  <c:v>47.952399999999997</c:v>
                </c:pt>
                <c:pt idx="35">
                  <c:v>47.450299999999999</c:v>
                </c:pt>
                <c:pt idx="36">
                  <c:v>47.019199999999998</c:v>
                </c:pt>
                <c:pt idx="37">
                  <c:v>46.654899999999998</c:v>
                </c:pt>
                <c:pt idx="38">
                  <c:v>46.351799999999997</c:v>
                </c:pt>
                <c:pt idx="39">
                  <c:v>46.196300000000001</c:v>
                </c:pt>
                <c:pt idx="40">
                  <c:v>46.182699999999997</c:v>
                </c:pt>
                <c:pt idx="41">
                  <c:v>46.273399999999995</c:v>
                </c:pt>
                <c:pt idx="42">
                  <c:v>46.317500000000003</c:v>
                </c:pt>
                <c:pt idx="43">
                  <c:v>46.435700000000004</c:v>
                </c:pt>
                <c:pt idx="44">
                  <c:v>46.483999999999995</c:v>
                </c:pt>
                <c:pt idx="45">
                  <c:v>46.430700000000002</c:v>
                </c:pt>
                <c:pt idx="46">
                  <c:v>46.397300000000001</c:v>
                </c:pt>
                <c:pt idx="47">
                  <c:v>46.429299999999998</c:v>
                </c:pt>
                <c:pt idx="48">
                  <c:v>46.471299999999999</c:v>
                </c:pt>
                <c:pt idx="49">
                  <c:v>46.544000000000004</c:v>
                </c:pt>
                <c:pt idx="50">
                  <c:v>46.576099999999997</c:v>
                </c:pt>
                <c:pt idx="51">
                  <c:v>46.726199999999999</c:v>
                </c:pt>
                <c:pt idx="52">
                  <c:v>46.994</c:v>
                </c:pt>
                <c:pt idx="53">
                  <c:v>47.466000000000001</c:v>
                </c:pt>
                <c:pt idx="54">
                  <c:v>48.019099999999995</c:v>
                </c:pt>
                <c:pt idx="55">
                  <c:v>48.641800000000003</c:v>
                </c:pt>
                <c:pt idx="56">
                  <c:v>48.8748</c:v>
                </c:pt>
                <c:pt idx="57">
                  <c:v>49.167000000000002</c:v>
                </c:pt>
                <c:pt idx="58">
                  <c:v>49.648900000000005</c:v>
                </c:pt>
                <c:pt idx="59">
                  <c:v>50.080599999999997</c:v>
                </c:pt>
                <c:pt idx="60">
                  <c:v>50.442399999999999</c:v>
                </c:pt>
                <c:pt idx="61">
                  <c:v>50.911799999999999</c:v>
                </c:pt>
                <c:pt idx="62">
                  <c:v>51.319600000000001</c:v>
                </c:pt>
                <c:pt idx="63">
                  <c:v>51.627100000000006</c:v>
                </c:pt>
                <c:pt idx="64">
                  <c:v>51.776800000000001</c:v>
                </c:pt>
                <c:pt idx="65">
                  <c:v>51.8489</c:v>
                </c:pt>
                <c:pt idx="66">
                  <c:v>51.935099999999998</c:v>
                </c:pt>
                <c:pt idx="67">
                  <c:v>52.0991</c:v>
                </c:pt>
                <c:pt idx="68">
                  <c:v>52.112199999999994</c:v>
                </c:pt>
                <c:pt idx="69">
                  <c:v>52.242599999999996</c:v>
                </c:pt>
                <c:pt idx="70">
                  <c:v>52.234800000000007</c:v>
                </c:pt>
                <c:pt idx="71">
                  <c:v>52.362900000000003</c:v>
                </c:pt>
                <c:pt idx="72">
                  <c:v>52.485400000000006</c:v>
                </c:pt>
                <c:pt idx="73">
                  <c:v>52.605599999999995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3.1275300000000001</c:v>
                </c:pt>
                <c:pt idx="1">
                  <c:v>3.1403799999999999</c:v>
                </c:pt>
                <c:pt idx="2">
                  <c:v>3.1528400000000003</c:v>
                </c:pt>
                <c:pt idx="3">
                  <c:v>3.1643300000000001</c:v>
                </c:pt>
                <c:pt idx="4">
                  <c:v>3.1725599999999998</c:v>
                </c:pt>
                <c:pt idx="5">
                  <c:v>3.1808700000000001</c:v>
                </c:pt>
                <c:pt idx="6">
                  <c:v>3.1907299999999998</c:v>
                </c:pt>
                <c:pt idx="7">
                  <c:v>3.2012200000000002</c:v>
                </c:pt>
                <c:pt idx="8">
                  <c:v>3.2108599999999998</c:v>
                </c:pt>
                <c:pt idx="9">
                  <c:v>3.2192100000000003</c:v>
                </c:pt>
                <c:pt idx="10">
                  <c:v>3.2232100000000004</c:v>
                </c:pt>
                <c:pt idx="11">
                  <c:v>3.2239400000000002</c:v>
                </c:pt>
                <c:pt idx="12">
                  <c:v>3.2265899999999998</c:v>
                </c:pt>
                <c:pt idx="13">
                  <c:v>3.2318000000000002</c:v>
                </c:pt>
                <c:pt idx="14">
                  <c:v>3.23977</c:v>
                </c:pt>
                <c:pt idx="15">
                  <c:v>3.2498800000000001</c:v>
                </c:pt>
                <c:pt idx="16">
                  <c:v>3.2580999999999998</c:v>
                </c:pt>
                <c:pt idx="17">
                  <c:v>3.2658199999999997</c:v>
                </c:pt>
                <c:pt idx="18">
                  <c:v>3.27067</c:v>
                </c:pt>
                <c:pt idx="19">
                  <c:v>3.2763199999999997</c:v>
                </c:pt>
                <c:pt idx="20">
                  <c:v>3.28118</c:v>
                </c:pt>
                <c:pt idx="21">
                  <c:v>3.2858499999999999</c:v>
                </c:pt>
                <c:pt idx="22">
                  <c:v>3.2895799999999999</c:v>
                </c:pt>
                <c:pt idx="23">
                  <c:v>3.29426</c:v>
                </c:pt>
                <c:pt idx="24">
                  <c:v>3.29942</c:v>
                </c:pt>
                <c:pt idx="25">
                  <c:v>3.3033899999999998</c:v>
                </c:pt>
                <c:pt idx="26">
                  <c:v>3.3071200000000003</c:v>
                </c:pt>
                <c:pt idx="27">
                  <c:v>3.3069199999999999</c:v>
                </c:pt>
                <c:pt idx="28">
                  <c:v>3.3029599999999997</c:v>
                </c:pt>
                <c:pt idx="29">
                  <c:v>3.2978100000000001</c:v>
                </c:pt>
                <c:pt idx="30">
                  <c:v>3.2896900000000002</c:v>
                </c:pt>
                <c:pt idx="31">
                  <c:v>3.2798799999999999</c:v>
                </c:pt>
                <c:pt idx="32">
                  <c:v>3.27067</c:v>
                </c:pt>
                <c:pt idx="33">
                  <c:v>3.2625700000000002</c:v>
                </c:pt>
                <c:pt idx="34">
                  <c:v>3.2531599999999998</c:v>
                </c:pt>
                <c:pt idx="35">
                  <c:v>3.2444800000000003</c:v>
                </c:pt>
                <c:pt idx="36">
                  <c:v>3.2356400000000001</c:v>
                </c:pt>
                <c:pt idx="37">
                  <c:v>3.2234800000000003</c:v>
                </c:pt>
                <c:pt idx="38">
                  <c:v>3.20777</c:v>
                </c:pt>
                <c:pt idx="39">
                  <c:v>3.1885699999999999</c:v>
                </c:pt>
                <c:pt idx="40">
                  <c:v>3.1659900000000003</c:v>
                </c:pt>
                <c:pt idx="41">
                  <c:v>3.1441699999999999</c:v>
                </c:pt>
                <c:pt idx="42">
                  <c:v>3.12222</c:v>
                </c:pt>
                <c:pt idx="43">
                  <c:v>3.1039699999999999</c:v>
                </c:pt>
                <c:pt idx="44">
                  <c:v>3.08643</c:v>
                </c:pt>
                <c:pt idx="45">
                  <c:v>3.069</c:v>
                </c:pt>
                <c:pt idx="46">
                  <c:v>3.0529600000000001</c:v>
                </c:pt>
                <c:pt idx="47">
                  <c:v>3.0350300000000003</c:v>
                </c:pt>
                <c:pt idx="48">
                  <c:v>3.0146299999999999</c:v>
                </c:pt>
                <c:pt idx="49">
                  <c:v>2.9912200000000002</c:v>
                </c:pt>
                <c:pt idx="50">
                  <c:v>2.96522</c:v>
                </c:pt>
                <c:pt idx="51">
                  <c:v>2.9425299999999996</c:v>
                </c:pt>
                <c:pt idx="52">
                  <c:v>2.9231499999999997</c:v>
                </c:pt>
                <c:pt idx="53">
                  <c:v>2.90876</c:v>
                </c:pt>
                <c:pt idx="54">
                  <c:v>2.8991499999999997</c:v>
                </c:pt>
                <c:pt idx="55">
                  <c:v>2.8937299999999997</c:v>
                </c:pt>
                <c:pt idx="56">
                  <c:v>2.8882500000000002</c:v>
                </c:pt>
                <c:pt idx="57">
                  <c:v>2.8817300000000001</c:v>
                </c:pt>
                <c:pt idx="58">
                  <c:v>2.8734299999999999</c:v>
                </c:pt>
                <c:pt idx="59">
                  <c:v>2.8698600000000001</c:v>
                </c:pt>
                <c:pt idx="60">
                  <c:v>2.8718599999999999</c:v>
                </c:pt>
                <c:pt idx="61">
                  <c:v>2.8763000000000001</c:v>
                </c:pt>
                <c:pt idx="62">
                  <c:v>2.8830800000000001</c:v>
                </c:pt>
                <c:pt idx="63">
                  <c:v>2.8908200000000002</c:v>
                </c:pt>
                <c:pt idx="64">
                  <c:v>2.89906</c:v>
                </c:pt>
                <c:pt idx="65">
                  <c:v>2.9086800000000004</c:v>
                </c:pt>
                <c:pt idx="66">
                  <c:v>2.9207300000000003</c:v>
                </c:pt>
                <c:pt idx="67">
                  <c:v>2.9315600000000002</c:v>
                </c:pt>
                <c:pt idx="68">
                  <c:v>2.9315000000000002</c:v>
                </c:pt>
                <c:pt idx="69">
                  <c:v>2.9230899999999997</c:v>
                </c:pt>
                <c:pt idx="70">
                  <c:v>2.9052299999999995</c:v>
                </c:pt>
                <c:pt idx="71">
                  <c:v>2.8797699999999997</c:v>
                </c:pt>
                <c:pt idx="72">
                  <c:v>2.8571400000000002</c:v>
                </c:pt>
                <c:pt idx="73">
                  <c:v>2.8347299999999995</c:v>
                </c:pt>
                <c:pt idx="74">
                  <c:v>2.8186499999999999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52.605599999999995</c:v>
                </c:pt>
                <c:pt idx="1">
                  <c:v>52.811600000000006</c:v>
                </c:pt>
                <c:pt idx="2">
                  <c:v>53.032800000000002</c:v>
                </c:pt>
                <c:pt idx="3">
                  <c:v>53.183100000000003</c:v>
                </c:pt>
                <c:pt idx="4">
                  <c:v>53.303699999999999</c:v>
                </c:pt>
                <c:pt idx="5">
                  <c:v>53.374900000000004</c:v>
                </c:pt>
                <c:pt idx="6">
                  <c:v>53.463499999999996</c:v>
                </c:pt>
                <c:pt idx="7">
                  <c:v>53.6678</c:v>
                </c:pt>
                <c:pt idx="8">
                  <c:v>53.901900000000005</c:v>
                </c:pt>
                <c:pt idx="9">
                  <c:v>54.187700000000007</c:v>
                </c:pt>
                <c:pt idx="10">
                  <c:v>54.4223</c:v>
                </c:pt>
                <c:pt idx="11">
                  <c:v>54.630599999999994</c:v>
                </c:pt>
                <c:pt idx="12">
                  <c:v>54.805499999999995</c:v>
                </c:pt>
                <c:pt idx="13">
                  <c:v>55.018999999999998</c:v>
                </c:pt>
                <c:pt idx="14">
                  <c:v>55.204299999999996</c:v>
                </c:pt>
                <c:pt idx="15">
                  <c:v>55.293899999999994</c:v>
                </c:pt>
                <c:pt idx="16">
                  <c:v>55.433799999999998</c:v>
                </c:pt>
                <c:pt idx="17">
                  <c:v>55.595500000000001</c:v>
                </c:pt>
                <c:pt idx="18">
                  <c:v>55.809200000000004</c:v>
                </c:pt>
                <c:pt idx="19">
                  <c:v>56.031399999999998</c:v>
                </c:pt>
                <c:pt idx="20">
                  <c:v>56.255099999999999</c:v>
                </c:pt>
                <c:pt idx="21">
                  <c:v>56.524799999999999</c:v>
                </c:pt>
                <c:pt idx="22">
                  <c:v>56.652899999999995</c:v>
                </c:pt>
                <c:pt idx="23">
                  <c:v>56.664999999999999</c:v>
                </c:pt>
                <c:pt idx="24">
                  <c:v>56.561300000000003</c:v>
                </c:pt>
                <c:pt idx="25">
                  <c:v>56.393800000000006</c:v>
                </c:pt>
                <c:pt idx="26">
                  <c:v>56.174599999999998</c:v>
                </c:pt>
                <c:pt idx="27">
                  <c:v>55.977699999999999</c:v>
                </c:pt>
                <c:pt idx="28">
                  <c:v>55.809299999999993</c:v>
                </c:pt>
                <c:pt idx="29">
                  <c:v>55.589700000000001</c:v>
                </c:pt>
                <c:pt idx="30">
                  <c:v>55.298499999999997</c:v>
                </c:pt>
                <c:pt idx="31">
                  <c:v>54.975200000000001</c:v>
                </c:pt>
                <c:pt idx="32">
                  <c:v>54.686199999999999</c:v>
                </c:pt>
                <c:pt idx="33">
                  <c:v>54.348100000000002</c:v>
                </c:pt>
                <c:pt idx="34">
                  <c:v>53.9953</c:v>
                </c:pt>
                <c:pt idx="35">
                  <c:v>53.596800000000002</c:v>
                </c:pt>
                <c:pt idx="36">
                  <c:v>53.222700000000003</c:v>
                </c:pt>
                <c:pt idx="37">
                  <c:v>52.862200000000001</c:v>
                </c:pt>
                <c:pt idx="38">
                  <c:v>52.445</c:v>
                </c:pt>
                <c:pt idx="39">
                  <c:v>52.061500000000002</c:v>
                </c:pt>
                <c:pt idx="40">
                  <c:v>51.799799999999998</c:v>
                </c:pt>
                <c:pt idx="41">
                  <c:v>51.509300000000003</c:v>
                </c:pt>
                <c:pt idx="42">
                  <c:v>51.262799999999999</c:v>
                </c:pt>
                <c:pt idx="43">
                  <c:v>51.036000000000001</c:v>
                </c:pt>
                <c:pt idx="44">
                  <c:v>50.854299999999995</c:v>
                </c:pt>
                <c:pt idx="45">
                  <c:v>50.7209</c:v>
                </c:pt>
                <c:pt idx="46">
                  <c:v>50.551400000000001</c:v>
                </c:pt>
                <c:pt idx="47">
                  <c:v>50.463100000000004</c:v>
                </c:pt>
                <c:pt idx="48">
                  <c:v>50.447900000000004</c:v>
                </c:pt>
                <c:pt idx="49">
                  <c:v>50.442100000000003</c:v>
                </c:pt>
                <c:pt idx="50">
                  <c:v>50.535499999999999</c:v>
                </c:pt>
                <c:pt idx="51">
                  <c:v>50.747799999999998</c:v>
                </c:pt>
                <c:pt idx="52">
                  <c:v>50.8553</c:v>
                </c:pt>
                <c:pt idx="53">
                  <c:v>50.830500000000001</c:v>
                </c:pt>
                <c:pt idx="54">
                  <c:v>50.773199999999996</c:v>
                </c:pt>
                <c:pt idx="55">
                  <c:v>50.719800000000006</c:v>
                </c:pt>
                <c:pt idx="56">
                  <c:v>50.673000000000002</c:v>
                </c:pt>
                <c:pt idx="57">
                  <c:v>50.567700000000002</c:v>
                </c:pt>
                <c:pt idx="58">
                  <c:v>50.558099999999996</c:v>
                </c:pt>
                <c:pt idx="59">
                  <c:v>50.463499999999996</c:v>
                </c:pt>
                <c:pt idx="60">
                  <c:v>50.366299999999995</c:v>
                </c:pt>
                <c:pt idx="61">
                  <c:v>50.207599999999999</c:v>
                </c:pt>
                <c:pt idx="62">
                  <c:v>50.0687</c:v>
                </c:pt>
                <c:pt idx="63">
                  <c:v>50.031599999999997</c:v>
                </c:pt>
                <c:pt idx="64">
                  <c:v>50.044499999999999</c:v>
                </c:pt>
                <c:pt idx="65">
                  <c:v>50.06</c:v>
                </c:pt>
                <c:pt idx="66">
                  <c:v>50.103500000000004</c:v>
                </c:pt>
                <c:pt idx="67">
                  <c:v>50.139900000000004</c:v>
                </c:pt>
                <c:pt idx="68">
                  <c:v>50.143000000000001</c:v>
                </c:pt>
                <c:pt idx="69">
                  <c:v>50.036800000000007</c:v>
                </c:pt>
                <c:pt idx="70">
                  <c:v>49.876899999999999</c:v>
                </c:pt>
                <c:pt idx="71">
                  <c:v>49.851800000000004</c:v>
                </c:pt>
                <c:pt idx="72">
                  <c:v>49.730699999999999</c:v>
                </c:pt>
                <c:pt idx="73">
                  <c:v>48.976100000000002</c:v>
                </c:pt>
                <c:pt idx="74">
                  <c:v>49.135199999999998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2.8515863513513517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51.977355405405426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3.1038801351351353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52.673686486486474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3.1038801351351353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52.673686486486474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0.18408137512178754</c:v>
                </c:pt>
                <c:pt idx="1">
                  <c:v>0.38672087906203767</c:v>
                </c:pt>
                <c:pt idx="2">
                  <c:v>0.42919774581617476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0.39891700000000002</c:v>
                </c:pt>
                <c:pt idx="2">
                  <c:v>0.80396299999999998</c:v>
                </c:pt>
                <c:pt idx="3">
                  <c:v>1.21271</c:v>
                </c:pt>
                <c:pt idx="4">
                  <c:v>1.6206</c:v>
                </c:pt>
                <c:pt idx="5">
                  <c:v>2.0249899999999998</c:v>
                </c:pt>
                <c:pt idx="6">
                  <c:v>2.4304899999999998</c:v>
                </c:pt>
                <c:pt idx="7">
                  <c:v>2.83683</c:v>
                </c:pt>
                <c:pt idx="8">
                  <c:v>3.2400500000000001</c:v>
                </c:pt>
                <c:pt idx="9">
                  <c:v>3.6512600000000002</c:v>
                </c:pt>
                <c:pt idx="10">
                  <c:v>4.0562399999999998</c:v>
                </c:pt>
                <c:pt idx="11">
                  <c:v>4.4600400000000002</c:v>
                </c:pt>
                <c:pt idx="12">
                  <c:v>4.8649100000000001</c:v>
                </c:pt>
                <c:pt idx="13">
                  <c:v>5.2729200000000001</c:v>
                </c:pt>
                <c:pt idx="14">
                  <c:v>5.6797800000000001</c:v>
                </c:pt>
                <c:pt idx="15">
                  <c:v>6.0871399999999998</c:v>
                </c:pt>
                <c:pt idx="16">
                  <c:v>6.4871499999999997</c:v>
                </c:pt>
                <c:pt idx="17">
                  <c:v>6.8935000000000004</c:v>
                </c:pt>
                <c:pt idx="18">
                  <c:v>7.3044399999999996</c:v>
                </c:pt>
                <c:pt idx="19">
                  <c:v>7.7098199999999997</c:v>
                </c:pt>
                <c:pt idx="20">
                  <c:v>8.1154499999999992</c:v>
                </c:pt>
                <c:pt idx="21">
                  <c:v>8.5244999999999997</c:v>
                </c:pt>
                <c:pt idx="22">
                  <c:v>8.9268999999999998</c:v>
                </c:pt>
                <c:pt idx="23">
                  <c:v>9.3359299999999994</c:v>
                </c:pt>
                <c:pt idx="24">
                  <c:v>9.7399199999999997</c:v>
                </c:pt>
                <c:pt idx="25">
                  <c:v>10.147</c:v>
                </c:pt>
                <c:pt idx="26">
                  <c:v>10.5581</c:v>
                </c:pt>
                <c:pt idx="27">
                  <c:v>10.9598</c:v>
                </c:pt>
                <c:pt idx="28">
                  <c:v>11.365500000000001</c:v>
                </c:pt>
                <c:pt idx="29">
                  <c:v>11.773400000000001</c:v>
                </c:pt>
                <c:pt idx="30">
                  <c:v>12.179500000000001</c:v>
                </c:pt>
                <c:pt idx="31">
                  <c:v>12.5893</c:v>
                </c:pt>
                <c:pt idx="32">
                  <c:v>12.988200000000001</c:v>
                </c:pt>
                <c:pt idx="33">
                  <c:v>13.395099999999999</c:v>
                </c:pt>
                <c:pt idx="34">
                  <c:v>13.804</c:v>
                </c:pt>
                <c:pt idx="35">
                  <c:v>14.206</c:v>
                </c:pt>
                <c:pt idx="36">
                  <c:v>14.613200000000001</c:v>
                </c:pt>
                <c:pt idx="37">
                  <c:v>15.0259</c:v>
                </c:pt>
                <c:pt idx="38">
                  <c:v>15.431800000000001</c:v>
                </c:pt>
                <c:pt idx="39">
                  <c:v>15.8367</c:v>
                </c:pt>
                <c:pt idx="40">
                  <c:v>16.2407</c:v>
                </c:pt>
                <c:pt idx="41">
                  <c:v>16.647400000000001</c:v>
                </c:pt>
                <c:pt idx="42">
                  <c:v>17.0533</c:v>
                </c:pt>
                <c:pt idx="43">
                  <c:v>17.461500000000001</c:v>
                </c:pt>
                <c:pt idx="44">
                  <c:v>17.868500000000001</c:v>
                </c:pt>
                <c:pt idx="45">
                  <c:v>18.275200000000002</c:v>
                </c:pt>
                <c:pt idx="46">
                  <c:v>18.681999999999999</c:v>
                </c:pt>
                <c:pt idx="47">
                  <c:v>19.084900000000001</c:v>
                </c:pt>
                <c:pt idx="48">
                  <c:v>19.494</c:v>
                </c:pt>
                <c:pt idx="49">
                  <c:v>19.8977</c:v>
                </c:pt>
                <c:pt idx="50">
                  <c:v>20.304600000000001</c:v>
                </c:pt>
                <c:pt idx="51">
                  <c:v>20.711600000000001</c:v>
                </c:pt>
                <c:pt idx="52">
                  <c:v>21.1174</c:v>
                </c:pt>
                <c:pt idx="53">
                  <c:v>21.521699999999999</c:v>
                </c:pt>
                <c:pt idx="54">
                  <c:v>21.927299999999999</c:v>
                </c:pt>
                <c:pt idx="55">
                  <c:v>22.337299999999999</c:v>
                </c:pt>
                <c:pt idx="56">
                  <c:v>22.738199999999999</c:v>
                </c:pt>
                <c:pt idx="57">
                  <c:v>23.147099999999998</c:v>
                </c:pt>
                <c:pt idx="58">
                  <c:v>23.559100000000001</c:v>
                </c:pt>
                <c:pt idx="59">
                  <c:v>23.962800000000001</c:v>
                </c:pt>
                <c:pt idx="60">
                  <c:v>24.365500000000001</c:v>
                </c:pt>
                <c:pt idx="61">
                  <c:v>24.775700000000001</c:v>
                </c:pt>
                <c:pt idx="62">
                  <c:v>25.177600000000002</c:v>
                </c:pt>
                <c:pt idx="63">
                  <c:v>25.5883</c:v>
                </c:pt>
                <c:pt idx="64">
                  <c:v>25.9925</c:v>
                </c:pt>
                <c:pt idx="65">
                  <c:v>26.3963</c:v>
                </c:pt>
                <c:pt idx="66">
                  <c:v>26.8048</c:v>
                </c:pt>
                <c:pt idx="67">
                  <c:v>27.212199999999999</c:v>
                </c:pt>
                <c:pt idx="68">
                  <c:v>27.620100000000001</c:v>
                </c:pt>
                <c:pt idx="69">
                  <c:v>28.022099999999998</c:v>
                </c:pt>
                <c:pt idx="70">
                  <c:v>28.4299</c:v>
                </c:pt>
                <c:pt idx="71">
                  <c:v>28.834900000000001</c:v>
                </c:pt>
                <c:pt idx="72">
                  <c:v>29.246600000000001</c:v>
                </c:pt>
                <c:pt idx="73">
                  <c:v>29.650600000000001</c:v>
                </c:pt>
                <c:pt idx="74">
                  <c:v>30.0578</c:v>
                </c:pt>
                <c:pt idx="75">
                  <c:v>30.634</c:v>
                </c:pt>
                <c:pt idx="76">
                  <c:v>31.007000000000001</c:v>
                </c:pt>
                <c:pt idx="77">
                  <c:v>31.384</c:v>
                </c:pt>
                <c:pt idx="78">
                  <c:v>31.759799999999998</c:v>
                </c:pt>
                <c:pt idx="79">
                  <c:v>32.131100000000004</c:v>
                </c:pt>
                <c:pt idx="80">
                  <c:v>32.539900000000003</c:v>
                </c:pt>
                <c:pt idx="81">
                  <c:v>32.947899999999997</c:v>
                </c:pt>
                <c:pt idx="82">
                  <c:v>33.352699999999999</c:v>
                </c:pt>
                <c:pt idx="83">
                  <c:v>33.756700000000002</c:v>
                </c:pt>
                <c:pt idx="84">
                  <c:v>34.160600000000002</c:v>
                </c:pt>
                <c:pt idx="85">
                  <c:v>34.566600000000001</c:v>
                </c:pt>
                <c:pt idx="86">
                  <c:v>34.978400000000001</c:v>
                </c:pt>
                <c:pt idx="87">
                  <c:v>35.385300000000001</c:v>
                </c:pt>
                <c:pt idx="88">
                  <c:v>35.789200000000001</c:v>
                </c:pt>
                <c:pt idx="89">
                  <c:v>36.198099999999997</c:v>
                </c:pt>
                <c:pt idx="90">
                  <c:v>36.598999999999997</c:v>
                </c:pt>
                <c:pt idx="91">
                  <c:v>37.006</c:v>
                </c:pt>
                <c:pt idx="92">
                  <c:v>37.415900000000001</c:v>
                </c:pt>
                <c:pt idx="93">
                  <c:v>37.817700000000002</c:v>
                </c:pt>
                <c:pt idx="94">
                  <c:v>38.227699999999999</c:v>
                </c:pt>
                <c:pt idx="95">
                  <c:v>38.631</c:v>
                </c:pt>
                <c:pt idx="96">
                  <c:v>39.039499999999997</c:v>
                </c:pt>
                <c:pt idx="97">
                  <c:v>39.4465</c:v>
                </c:pt>
                <c:pt idx="98">
                  <c:v>39.848399999999998</c:v>
                </c:pt>
                <c:pt idx="99">
                  <c:v>40.258600000000001</c:v>
                </c:pt>
                <c:pt idx="100">
                  <c:v>40.663200000000003</c:v>
                </c:pt>
                <c:pt idx="101">
                  <c:v>41.073099999999997</c:v>
                </c:pt>
                <c:pt idx="102">
                  <c:v>41.475299999999997</c:v>
                </c:pt>
                <c:pt idx="103">
                  <c:v>41.878100000000003</c:v>
                </c:pt>
                <c:pt idx="104">
                  <c:v>42.29</c:v>
                </c:pt>
                <c:pt idx="105">
                  <c:v>42.695700000000002</c:v>
                </c:pt>
                <c:pt idx="106">
                  <c:v>43.1006</c:v>
                </c:pt>
                <c:pt idx="107">
                  <c:v>43.506599999999999</c:v>
                </c:pt>
                <c:pt idx="108">
                  <c:v>43.913499999999999</c:v>
                </c:pt>
                <c:pt idx="109">
                  <c:v>44.314500000000002</c:v>
                </c:pt>
                <c:pt idx="110">
                  <c:v>44.7273</c:v>
                </c:pt>
                <c:pt idx="111">
                  <c:v>45.13</c:v>
                </c:pt>
                <c:pt idx="112">
                  <c:v>45.539200000000001</c:v>
                </c:pt>
                <c:pt idx="113">
                  <c:v>45.945099999999996</c:v>
                </c:pt>
                <c:pt idx="114">
                  <c:v>46.353000000000002</c:v>
                </c:pt>
                <c:pt idx="115">
                  <c:v>46.754199999999997</c:v>
                </c:pt>
                <c:pt idx="116">
                  <c:v>47.1648</c:v>
                </c:pt>
                <c:pt idx="117">
                  <c:v>47.570799999999998</c:v>
                </c:pt>
                <c:pt idx="118">
                  <c:v>47.9756</c:v>
                </c:pt>
                <c:pt idx="119">
                  <c:v>48.380600000000001</c:v>
                </c:pt>
                <c:pt idx="120">
                  <c:v>48.792000000000002</c:v>
                </c:pt>
                <c:pt idx="121">
                  <c:v>49.196399999999997</c:v>
                </c:pt>
                <c:pt idx="122">
                  <c:v>49.6023</c:v>
                </c:pt>
                <c:pt idx="123">
                  <c:v>50.0092</c:v>
                </c:pt>
                <c:pt idx="124">
                  <c:v>50.409100000000002</c:v>
                </c:pt>
                <c:pt idx="125">
                  <c:v>50.820799999999998</c:v>
                </c:pt>
                <c:pt idx="126">
                  <c:v>51.228000000000002</c:v>
                </c:pt>
                <c:pt idx="127">
                  <c:v>51.634799999999998</c:v>
                </c:pt>
                <c:pt idx="128">
                  <c:v>52.040900000000001</c:v>
                </c:pt>
                <c:pt idx="129">
                  <c:v>52.442700000000002</c:v>
                </c:pt>
                <c:pt idx="130">
                  <c:v>52.8476</c:v>
                </c:pt>
                <c:pt idx="131">
                  <c:v>53.259599999999999</c:v>
                </c:pt>
                <c:pt idx="132">
                  <c:v>53.664400000000001</c:v>
                </c:pt>
                <c:pt idx="133">
                  <c:v>54.070399999999999</c:v>
                </c:pt>
                <c:pt idx="134">
                  <c:v>54.4724</c:v>
                </c:pt>
                <c:pt idx="135">
                  <c:v>54.883200000000002</c:v>
                </c:pt>
                <c:pt idx="136">
                  <c:v>55.287100000000002</c:v>
                </c:pt>
                <c:pt idx="137">
                  <c:v>55.694000000000003</c:v>
                </c:pt>
                <c:pt idx="138">
                  <c:v>56.100999999999999</c:v>
                </c:pt>
                <c:pt idx="139">
                  <c:v>56.504899999999999</c:v>
                </c:pt>
                <c:pt idx="140">
                  <c:v>56.916699999999999</c:v>
                </c:pt>
                <c:pt idx="141">
                  <c:v>57.319699999999997</c:v>
                </c:pt>
                <c:pt idx="142">
                  <c:v>57.721699999999998</c:v>
                </c:pt>
                <c:pt idx="143">
                  <c:v>58.132899999999999</c:v>
                </c:pt>
                <c:pt idx="144">
                  <c:v>58.540399999999998</c:v>
                </c:pt>
                <c:pt idx="145">
                  <c:v>58.951300000000003</c:v>
                </c:pt>
                <c:pt idx="146">
                  <c:v>59.349400000000003</c:v>
                </c:pt>
                <c:pt idx="147">
                  <c:v>59.756100000000004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1.7691100000000002</c:v>
                </c:pt>
                <c:pt idx="1">
                  <c:v>1.82169</c:v>
                </c:pt>
                <c:pt idx="2">
                  <c:v>1.8757699999999999</c:v>
                </c:pt>
                <c:pt idx="3">
                  <c:v>1.931</c:v>
                </c:pt>
                <c:pt idx="4">
                  <c:v>1.98912</c:v>
                </c:pt>
                <c:pt idx="5">
                  <c:v>2.0479600000000002</c:v>
                </c:pt>
                <c:pt idx="6">
                  <c:v>2.1060300000000001</c:v>
                </c:pt>
                <c:pt idx="7">
                  <c:v>2.1633200000000001</c:v>
                </c:pt>
                <c:pt idx="8">
                  <c:v>2.2230300000000001</c:v>
                </c:pt>
                <c:pt idx="9">
                  <c:v>2.2854299999999999</c:v>
                </c:pt>
                <c:pt idx="10">
                  <c:v>2.3502999999999998</c:v>
                </c:pt>
                <c:pt idx="11">
                  <c:v>2.4194299999999997</c:v>
                </c:pt>
                <c:pt idx="12">
                  <c:v>2.4883299999999999</c:v>
                </c:pt>
                <c:pt idx="13">
                  <c:v>2.5549400000000002</c:v>
                </c:pt>
                <c:pt idx="14">
                  <c:v>2.61958</c:v>
                </c:pt>
                <c:pt idx="15">
                  <c:v>2.6836799999999998</c:v>
                </c:pt>
                <c:pt idx="16">
                  <c:v>2.7478200000000004</c:v>
                </c:pt>
                <c:pt idx="17">
                  <c:v>2.8029199999999999</c:v>
                </c:pt>
                <c:pt idx="18">
                  <c:v>2.8581699999999999</c:v>
                </c:pt>
                <c:pt idx="19">
                  <c:v>2.9102899999999998</c:v>
                </c:pt>
                <c:pt idx="20">
                  <c:v>2.9582199999999998</c:v>
                </c:pt>
                <c:pt idx="21">
                  <c:v>3.00305</c:v>
                </c:pt>
                <c:pt idx="22">
                  <c:v>3.04271</c:v>
                </c:pt>
                <c:pt idx="23">
                  <c:v>3.0790699999999998</c:v>
                </c:pt>
                <c:pt idx="24">
                  <c:v>3.1038900000000003</c:v>
                </c:pt>
                <c:pt idx="25">
                  <c:v>3.1217499999999996</c:v>
                </c:pt>
                <c:pt idx="26">
                  <c:v>3.1333799999999998</c:v>
                </c:pt>
                <c:pt idx="27">
                  <c:v>3.1426100000000003</c:v>
                </c:pt>
                <c:pt idx="28">
                  <c:v>3.1520100000000002</c:v>
                </c:pt>
                <c:pt idx="29">
                  <c:v>3.1583600000000001</c:v>
                </c:pt>
                <c:pt idx="30">
                  <c:v>3.1629200000000002</c:v>
                </c:pt>
                <c:pt idx="31">
                  <c:v>3.1650800000000001</c:v>
                </c:pt>
                <c:pt idx="32">
                  <c:v>3.1654399999999998</c:v>
                </c:pt>
                <c:pt idx="33">
                  <c:v>3.1616</c:v>
                </c:pt>
                <c:pt idx="34">
                  <c:v>3.1561899999999996</c:v>
                </c:pt>
                <c:pt idx="35">
                  <c:v>3.1492599999999999</c:v>
                </c:pt>
                <c:pt idx="36">
                  <c:v>3.13733</c:v>
                </c:pt>
                <c:pt idx="37">
                  <c:v>3.1227800000000001</c:v>
                </c:pt>
                <c:pt idx="38">
                  <c:v>3.1067400000000003</c:v>
                </c:pt>
                <c:pt idx="39">
                  <c:v>3.0869400000000002</c:v>
                </c:pt>
                <c:pt idx="40">
                  <c:v>3.0634000000000001</c:v>
                </c:pt>
                <c:pt idx="41">
                  <c:v>3.04061</c:v>
                </c:pt>
                <c:pt idx="42">
                  <c:v>3.0282</c:v>
                </c:pt>
                <c:pt idx="43">
                  <c:v>3.0144599999999997</c:v>
                </c:pt>
                <c:pt idx="44">
                  <c:v>3.0016500000000002</c:v>
                </c:pt>
                <c:pt idx="45">
                  <c:v>2.9921100000000003</c:v>
                </c:pt>
                <c:pt idx="46">
                  <c:v>2.9830399999999999</c:v>
                </c:pt>
                <c:pt idx="47">
                  <c:v>2.9731299999999998</c:v>
                </c:pt>
                <c:pt idx="48">
                  <c:v>2.9651399999999999</c:v>
                </c:pt>
                <c:pt idx="49">
                  <c:v>2.9559800000000003</c:v>
                </c:pt>
                <c:pt idx="50">
                  <c:v>2.94895</c:v>
                </c:pt>
                <c:pt idx="51">
                  <c:v>2.9438599999999999</c:v>
                </c:pt>
                <c:pt idx="52">
                  <c:v>2.9404599999999999</c:v>
                </c:pt>
                <c:pt idx="53">
                  <c:v>2.9363999999999999</c:v>
                </c:pt>
                <c:pt idx="54">
                  <c:v>2.93371</c:v>
                </c:pt>
                <c:pt idx="55">
                  <c:v>2.93248</c:v>
                </c:pt>
                <c:pt idx="56">
                  <c:v>2.9323199999999998</c:v>
                </c:pt>
                <c:pt idx="57">
                  <c:v>2.9346100000000002</c:v>
                </c:pt>
                <c:pt idx="58">
                  <c:v>2.9430000000000001</c:v>
                </c:pt>
                <c:pt idx="59">
                  <c:v>2.9523000000000001</c:v>
                </c:pt>
                <c:pt idx="60">
                  <c:v>2.9565900000000003</c:v>
                </c:pt>
                <c:pt idx="61">
                  <c:v>2.9671799999999999</c:v>
                </c:pt>
                <c:pt idx="62">
                  <c:v>2.9796899999999997</c:v>
                </c:pt>
                <c:pt idx="63">
                  <c:v>2.9941599999999999</c:v>
                </c:pt>
                <c:pt idx="64">
                  <c:v>3.0114900000000002</c:v>
                </c:pt>
                <c:pt idx="65">
                  <c:v>3.0298000000000003</c:v>
                </c:pt>
                <c:pt idx="66">
                  <c:v>3.0465599999999999</c:v>
                </c:pt>
                <c:pt idx="67">
                  <c:v>3.0587499999999999</c:v>
                </c:pt>
                <c:pt idx="68">
                  <c:v>3.07606</c:v>
                </c:pt>
                <c:pt idx="69">
                  <c:v>3.0829299999999997</c:v>
                </c:pt>
                <c:pt idx="70">
                  <c:v>3.0948700000000002</c:v>
                </c:pt>
                <c:pt idx="71">
                  <c:v>3.1038600000000001</c:v>
                </c:pt>
                <c:pt idx="72">
                  <c:v>3.1148599999999997</c:v>
                </c:pt>
                <c:pt idx="73">
                  <c:v>3.1275300000000001</c:v>
                </c:pt>
                <c:pt idx="74">
                  <c:v>3.1403799999999999</c:v>
                </c:pt>
                <c:pt idx="75">
                  <c:v>3.1528400000000003</c:v>
                </c:pt>
                <c:pt idx="76">
                  <c:v>3.1643300000000001</c:v>
                </c:pt>
                <c:pt idx="77">
                  <c:v>3.1725599999999998</c:v>
                </c:pt>
                <c:pt idx="78">
                  <c:v>3.1808700000000001</c:v>
                </c:pt>
                <c:pt idx="79">
                  <c:v>3.1907299999999998</c:v>
                </c:pt>
                <c:pt idx="80">
                  <c:v>3.2012200000000002</c:v>
                </c:pt>
                <c:pt idx="81">
                  <c:v>3.2108599999999998</c:v>
                </c:pt>
                <c:pt idx="82">
                  <c:v>3.2192100000000003</c:v>
                </c:pt>
                <c:pt idx="83">
                  <c:v>3.2232100000000004</c:v>
                </c:pt>
                <c:pt idx="84">
                  <c:v>3.2239400000000002</c:v>
                </c:pt>
                <c:pt idx="85">
                  <c:v>3.2265899999999998</c:v>
                </c:pt>
                <c:pt idx="86">
                  <c:v>3.2318000000000002</c:v>
                </c:pt>
                <c:pt idx="87">
                  <c:v>3.23977</c:v>
                </c:pt>
                <c:pt idx="88">
                  <c:v>3.2498800000000001</c:v>
                </c:pt>
                <c:pt idx="89">
                  <c:v>3.2580999999999998</c:v>
                </c:pt>
                <c:pt idx="90">
                  <c:v>3.2658199999999997</c:v>
                </c:pt>
                <c:pt idx="91">
                  <c:v>3.27067</c:v>
                </c:pt>
                <c:pt idx="92">
                  <c:v>3.2763199999999997</c:v>
                </c:pt>
                <c:pt idx="93">
                  <c:v>3.28118</c:v>
                </c:pt>
                <c:pt idx="94">
                  <c:v>3.2858499999999999</c:v>
                </c:pt>
                <c:pt idx="95">
                  <c:v>3.2895799999999999</c:v>
                </c:pt>
                <c:pt idx="96">
                  <c:v>3.29426</c:v>
                </c:pt>
                <c:pt idx="97">
                  <c:v>3.29942</c:v>
                </c:pt>
                <c:pt idx="98">
                  <c:v>3.3033899999999998</c:v>
                </c:pt>
                <c:pt idx="99">
                  <c:v>3.3071200000000003</c:v>
                </c:pt>
                <c:pt idx="100">
                  <c:v>3.3069199999999999</c:v>
                </c:pt>
                <c:pt idx="101">
                  <c:v>3.3029599999999997</c:v>
                </c:pt>
                <c:pt idx="102">
                  <c:v>3.2978100000000001</c:v>
                </c:pt>
                <c:pt idx="103">
                  <c:v>3.2896900000000002</c:v>
                </c:pt>
                <c:pt idx="104">
                  <c:v>3.2798799999999999</c:v>
                </c:pt>
                <c:pt idx="105">
                  <c:v>3.27067</c:v>
                </c:pt>
                <c:pt idx="106">
                  <c:v>3.2625700000000002</c:v>
                </c:pt>
                <c:pt idx="107">
                  <c:v>3.2531599999999998</c:v>
                </c:pt>
                <c:pt idx="108">
                  <c:v>3.2444800000000003</c:v>
                </c:pt>
                <c:pt idx="109">
                  <c:v>3.2356400000000001</c:v>
                </c:pt>
                <c:pt idx="110">
                  <c:v>3.2234800000000003</c:v>
                </c:pt>
                <c:pt idx="111">
                  <c:v>3.20777</c:v>
                </c:pt>
                <c:pt idx="112">
                  <c:v>3.1885699999999999</c:v>
                </c:pt>
                <c:pt idx="113">
                  <c:v>3.1659900000000003</c:v>
                </c:pt>
                <c:pt idx="114">
                  <c:v>3.1441699999999999</c:v>
                </c:pt>
                <c:pt idx="115">
                  <c:v>3.12222</c:v>
                </c:pt>
                <c:pt idx="116">
                  <c:v>3.1039699999999999</c:v>
                </c:pt>
                <c:pt idx="117">
                  <c:v>3.08643</c:v>
                </c:pt>
                <c:pt idx="118">
                  <c:v>3.069</c:v>
                </c:pt>
                <c:pt idx="119">
                  <c:v>3.0529600000000001</c:v>
                </c:pt>
                <c:pt idx="120">
                  <c:v>3.0350300000000003</c:v>
                </c:pt>
                <c:pt idx="121">
                  <c:v>3.0146299999999999</c:v>
                </c:pt>
                <c:pt idx="122">
                  <c:v>2.9912200000000002</c:v>
                </c:pt>
                <c:pt idx="123">
                  <c:v>2.96522</c:v>
                </c:pt>
                <c:pt idx="124">
                  <c:v>2.9425299999999996</c:v>
                </c:pt>
                <c:pt idx="125">
                  <c:v>2.9231499999999997</c:v>
                </c:pt>
                <c:pt idx="126">
                  <c:v>2.90876</c:v>
                </c:pt>
                <c:pt idx="127">
                  <c:v>2.8991499999999997</c:v>
                </c:pt>
                <c:pt idx="128">
                  <c:v>2.8937299999999997</c:v>
                </c:pt>
                <c:pt idx="129">
                  <c:v>2.8882500000000002</c:v>
                </c:pt>
                <c:pt idx="130">
                  <c:v>2.8817300000000001</c:v>
                </c:pt>
                <c:pt idx="131">
                  <c:v>2.8734299999999999</c:v>
                </c:pt>
                <c:pt idx="132">
                  <c:v>2.8698600000000001</c:v>
                </c:pt>
                <c:pt idx="133">
                  <c:v>2.8718599999999999</c:v>
                </c:pt>
                <c:pt idx="134">
                  <c:v>2.8763000000000001</c:v>
                </c:pt>
                <c:pt idx="135">
                  <c:v>2.8830800000000001</c:v>
                </c:pt>
                <c:pt idx="136">
                  <c:v>2.8908200000000002</c:v>
                </c:pt>
                <c:pt idx="137">
                  <c:v>2.89906</c:v>
                </c:pt>
                <c:pt idx="138">
                  <c:v>2.9086800000000004</c:v>
                </c:pt>
                <c:pt idx="139">
                  <c:v>2.9207300000000003</c:v>
                </c:pt>
                <c:pt idx="140">
                  <c:v>2.9315600000000002</c:v>
                </c:pt>
                <c:pt idx="141">
                  <c:v>2.9315000000000002</c:v>
                </c:pt>
                <c:pt idx="142">
                  <c:v>2.9230899999999997</c:v>
                </c:pt>
                <c:pt idx="143">
                  <c:v>2.9052299999999995</c:v>
                </c:pt>
                <c:pt idx="144">
                  <c:v>2.8797699999999997</c:v>
                </c:pt>
                <c:pt idx="145">
                  <c:v>2.8571400000000002</c:v>
                </c:pt>
                <c:pt idx="146">
                  <c:v>2.8347299999999995</c:v>
                </c:pt>
                <c:pt idx="147">
                  <c:v>2.8186499999999999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0.39891700000000002</c:v>
                </c:pt>
                <c:pt idx="2">
                  <c:v>0.80396299999999998</c:v>
                </c:pt>
                <c:pt idx="3">
                  <c:v>1.21271</c:v>
                </c:pt>
                <c:pt idx="4">
                  <c:v>1.6206</c:v>
                </c:pt>
                <c:pt idx="5">
                  <c:v>2.0249899999999998</c:v>
                </c:pt>
                <c:pt idx="6">
                  <c:v>2.4304899999999998</c:v>
                </c:pt>
                <c:pt idx="7">
                  <c:v>2.83683</c:v>
                </c:pt>
                <c:pt idx="8">
                  <c:v>3.2400500000000001</c:v>
                </c:pt>
                <c:pt idx="9">
                  <c:v>3.6512600000000002</c:v>
                </c:pt>
                <c:pt idx="10">
                  <c:v>4.0562399999999998</c:v>
                </c:pt>
                <c:pt idx="11">
                  <c:v>4.4600400000000002</c:v>
                </c:pt>
                <c:pt idx="12">
                  <c:v>4.8649100000000001</c:v>
                </c:pt>
                <c:pt idx="13">
                  <c:v>5.2729200000000001</c:v>
                </c:pt>
                <c:pt idx="14">
                  <c:v>5.6797800000000001</c:v>
                </c:pt>
                <c:pt idx="15">
                  <c:v>6.0871399999999998</c:v>
                </c:pt>
                <c:pt idx="16">
                  <c:v>6.4871499999999997</c:v>
                </c:pt>
                <c:pt idx="17">
                  <c:v>6.8935000000000004</c:v>
                </c:pt>
                <c:pt idx="18">
                  <c:v>7.3044399999999996</c:v>
                </c:pt>
                <c:pt idx="19">
                  <c:v>7.7098199999999997</c:v>
                </c:pt>
                <c:pt idx="20">
                  <c:v>8.1154499999999992</c:v>
                </c:pt>
                <c:pt idx="21">
                  <c:v>8.5244999999999997</c:v>
                </c:pt>
                <c:pt idx="22">
                  <c:v>8.9268999999999998</c:v>
                </c:pt>
                <c:pt idx="23">
                  <c:v>9.3359299999999994</c:v>
                </c:pt>
                <c:pt idx="24">
                  <c:v>9.7399199999999997</c:v>
                </c:pt>
                <c:pt idx="25">
                  <c:v>10.147</c:v>
                </c:pt>
                <c:pt idx="26">
                  <c:v>10.5581</c:v>
                </c:pt>
                <c:pt idx="27">
                  <c:v>10.9598</c:v>
                </c:pt>
                <c:pt idx="28">
                  <c:v>11.365500000000001</c:v>
                </c:pt>
                <c:pt idx="29">
                  <c:v>11.773400000000001</c:v>
                </c:pt>
                <c:pt idx="30">
                  <c:v>12.179500000000001</c:v>
                </c:pt>
                <c:pt idx="31">
                  <c:v>12.5893</c:v>
                </c:pt>
                <c:pt idx="32">
                  <c:v>12.988200000000001</c:v>
                </c:pt>
                <c:pt idx="33">
                  <c:v>13.395099999999999</c:v>
                </c:pt>
                <c:pt idx="34">
                  <c:v>13.804</c:v>
                </c:pt>
                <c:pt idx="35">
                  <c:v>14.206</c:v>
                </c:pt>
                <c:pt idx="36">
                  <c:v>14.613200000000001</c:v>
                </c:pt>
                <c:pt idx="37">
                  <c:v>15.0259</c:v>
                </c:pt>
                <c:pt idx="38">
                  <c:v>15.431800000000001</c:v>
                </c:pt>
                <c:pt idx="39">
                  <c:v>15.8367</c:v>
                </c:pt>
                <c:pt idx="40">
                  <c:v>16.2407</c:v>
                </c:pt>
                <c:pt idx="41">
                  <c:v>16.647400000000001</c:v>
                </c:pt>
                <c:pt idx="42">
                  <c:v>17.0533</c:v>
                </c:pt>
                <c:pt idx="43">
                  <c:v>17.461500000000001</c:v>
                </c:pt>
                <c:pt idx="44">
                  <c:v>17.868500000000001</c:v>
                </c:pt>
                <c:pt idx="45">
                  <c:v>18.275200000000002</c:v>
                </c:pt>
                <c:pt idx="46">
                  <c:v>18.681999999999999</c:v>
                </c:pt>
                <c:pt idx="47">
                  <c:v>19.084900000000001</c:v>
                </c:pt>
                <c:pt idx="48">
                  <c:v>19.494</c:v>
                </c:pt>
                <c:pt idx="49">
                  <c:v>19.8977</c:v>
                </c:pt>
                <c:pt idx="50">
                  <c:v>20.304600000000001</c:v>
                </c:pt>
                <c:pt idx="51">
                  <c:v>20.711600000000001</c:v>
                </c:pt>
                <c:pt idx="52">
                  <c:v>21.1174</c:v>
                </c:pt>
                <c:pt idx="53">
                  <c:v>21.521699999999999</c:v>
                </c:pt>
                <c:pt idx="54">
                  <c:v>21.927299999999999</c:v>
                </c:pt>
                <c:pt idx="55">
                  <c:v>22.337299999999999</c:v>
                </c:pt>
                <c:pt idx="56">
                  <c:v>22.738199999999999</c:v>
                </c:pt>
                <c:pt idx="57">
                  <c:v>23.147099999999998</c:v>
                </c:pt>
                <c:pt idx="58">
                  <c:v>23.559100000000001</c:v>
                </c:pt>
                <c:pt idx="59">
                  <c:v>23.962800000000001</c:v>
                </c:pt>
                <c:pt idx="60">
                  <c:v>24.365500000000001</c:v>
                </c:pt>
                <c:pt idx="61">
                  <c:v>24.775700000000001</c:v>
                </c:pt>
                <c:pt idx="62">
                  <c:v>25.177600000000002</c:v>
                </c:pt>
                <c:pt idx="63">
                  <c:v>25.5883</c:v>
                </c:pt>
                <c:pt idx="64">
                  <c:v>25.9925</c:v>
                </c:pt>
                <c:pt idx="65">
                  <c:v>26.3963</c:v>
                </c:pt>
                <c:pt idx="66">
                  <c:v>26.8048</c:v>
                </c:pt>
                <c:pt idx="67">
                  <c:v>27.212199999999999</c:v>
                </c:pt>
                <c:pt idx="68">
                  <c:v>27.620100000000001</c:v>
                </c:pt>
                <c:pt idx="69">
                  <c:v>28.022099999999998</c:v>
                </c:pt>
                <c:pt idx="70">
                  <c:v>28.4299</c:v>
                </c:pt>
                <c:pt idx="71">
                  <c:v>28.834900000000001</c:v>
                </c:pt>
                <c:pt idx="72">
                  <c:v>29.246600000000001</c:v>
                </c:pt>
                <c:pt idx="73">
                  <c:v>29.650600000000001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1.7691100000000002</c:v>
                </c:pt>
                <c:pt idx="1">
                  <c:v>1.82169</c:v>
                </c:pt>
                <c:pt idx="2">
                  <c:v>1.8757699999999999</c:v>
                </c:pt>
                <c:pt idx="3">
                  <c:v>1.931</c:v>
                </c:pt>
                <c:pt idx="4">
                  <c:v>1.98912</c:v>
                </c:pt>
                <c:pt idx="5">
                  <c:v>2.0479600000000002</c:v>
                </c:pt>
                <c:pt idx="6">
                  <c:v>2.1060300000000001</c:v>
                </c:pt>
                <c:pt idx="7">
                  <c:v>2.1633200000000001</c:v>
                </c:pt>
                <c:pt idx="8">
                  <c:v>2.2230300000000001</c:v>
                </c:pt>
                <c:pt idx="9">
                  <c:v>2.2854299999999999</c:v>
                </c:pt>
                <c:pt idx="10">
                  <c:v>2.3502999999999998</c:v>
                </c:pt>
                <c:pt idx="11">
                  <c:v>2.4194299999999997</c:v>
                </c:pt>
                <c:pt idx="12">
                  <c:v>2.4883299999999999</c:v>
                </c:pt>
                <c:pt idx="13">
                  <c:v>2.5549400000000002</c:v>
                </c:pt>
                <c:pt idx="14">
                  <c:v>2.61958</c:v>
                </c:pt>
                <c:pt idx="15">
                  <c:v>2.6836799999999998</c:v>
                </c:pt>
                <c:pt idx="16">
                  <c:v>2.7478200000000004</c:v>
                </c:pt>
                <c:pt idx="17">
                  <c:v>2.8029199999999999</c:v>
                </c:pt>
                <c:pt idx="18">
                  <c:v>2.8581699999999999</c:v>
                </c:pt>
                <c:pt idx="19">
                  <c:v>2.9102899999999998</c:v>
                </c:pt>
                <c:pt idx="20">
                  <c:v>2.9582199999999998</c:v>
                </c:pt>
                <c:pt idx="21">
                  <c:v>3.00305</c:v>
                </c:pt>
                <c:pt idx="22">
                  <c:v>3.04271</c:v>
                </c:pt>
                <c:pt idx="23">
                  <c:v>3.0790699999999998</c:v>
                </c:pt>
                <c:pt idx="24">
                  <c:v>3.1038900000000003</c:v>
                </c:pt>
                <c:pt idx="25">
                  <c:v>3.1217499999999996</c:v>
                </c:pt>
                <c:pt idx="26">
                  <c:v>3.1333799999999998</c:v>
                </c:pt>
                <c:pt idx="27">
                  <c:v>3.1426100000000003</c:v>
                </c:pt>
                <c:pt idx="28">
                  <c:v>3.1520100000000002</c:v>
                </c:pt>
                <c:pt idx="29">
                  <c:v>3.1583600000000001</c:v>
                </c:pt>
                <c:pt idx="30">
                  <c:v>3.1629200000000002</c:v>
                </c:pt>
                <c:pt idx="31">
                  <c:v>3.1650800000000001</c:v>
                </c:pt>
                <c:pt idx="32">
                  <c:v>3.1654399999999998</c:v>
                </c:pt>
                <c:pt idx="33">
                  <c:v>3.1616</c:v>
                </c:pt>
                <c:pt idx="34">
                  <c:v>3.1561899999999996</c:v>
                </c:pt>
                <c:pt idx="35">
                  <c:v>3.1492599999999999</c:v>
                </c:pt>
                <c:pt idx="36">
                  <c:v>3.13733</c:v>
                </c:pt>
                <c:pt idx="37">
                  <c:v>3.1227800000000001</c:v>
                </c:pt>
                <c:pt idx="38">
                  <c:v>3.1067400000000003</c:v>
                </c:pt>
                <c:pt idx="39">
                  <c:v>3.0869400000000002</c:v>
                </c:pt>
                <c:pt idx="40">
                  <c:v>3.0634000000000001</c:v>
                </c:pt>
                <c:pt idx="41">
                  <c:v>3.04061</c:v>
                </c:pt>
                <c:pt idx="42">
                  <c:v>3.0282</c:v>
                </c:pt>
                <c:pt idx="43">
                  <c:v>3.0144599999999997</c:v>
                </c:pt>
                <c:pt idx="44">
                  <c:v>3.0016500000000002</c:v>
                </c:pt>
                <c:pt idx="45">
                  <c:v>2.9921100000000003</c:v>
                </c:pt>
                <c:pt idx="46">
                  <c:v>2.9830399999999999</c:v>
                </c:pt>
                <c:pt idx="47">
                  <c:v>2.9731299999999998</c:v>
                </c:pt>
                <c:pt idx="48">
                  <c:v>2.9651399999999999</c:v>
                </c:pt>
                <c:pt idx="49">
                  <c:v>2.9559800000000003</c:v>
                </c:pt>
                <c:pt idx="50">
                  <c:v>2.94895</c:v>
                </c:pt>
                <c:pt idx="51">
                  <c:v>2.9438599999999999</c:v>
                </c:pt>
                <c:pt idx="52">
                  <c:v>2.9404599999999999</c:v>
                </c:pt>
                <c:pt idx="53">
                  <c:v>2.9363999999999999</c:v>
                </c:pt>
                <c:pt idx="54">
                  <c:v>2.93371</c:v>
                </c:pt>
                <c:pt idx="55">
                  <c:v>2.93248</c:v>
                </c:pt>
                <c:pt idx="56">
                  <c:v>2.9323199999999998</c:v>
                </c:pt>
                <c:pt idx="57">
                  <c:v>2.9346100000000002</c:v>
                </c:pt>
                <c:pt idx="58">
                  <c:v>2.9430000000000001</c:v>
                </c:pt>
                <c:pt idx="59">
                  <c:v>2.9523000000000001</c:v>
                </c:pt>
                <c:pt idx="60">
                  <c:v>2.9565900000000003</c:v>
                </c:pt>
                <c:pt idx="61">
                  <c:v>2.9671799999999999</c:v>
                </c:pt>
                <c:pt idx="62">
                  <c:v>2.9796899999999997</c:v>
                </c:pt>
                <c:pt idx="63">
                  <c:v>2.9941599999999999</c:v>
                </c:pt>
                <c:pt idx="64">
                  <c:v>3.0114900000000002</c:v>
                </c:pt>
                <c:pt idx="65">
                  <c:v>3.0298000000000003</c:v>
                </c:pt>
                <c:pt idx="66">
                  <c:v>3.0465599999999999</c:v>
                </c:pt>
                <c:pt idx="67">
                  <c:v>3.0587499999999999</c:v>
                </c:pt>
                <c:pt idx="68">
                  <c:v>3.07606</c:v>
                </c:pt>
                <c:pt idx="69">
                  <c:v>3.0829299999999997</c:v>
                </c:pt>
                <c:pt idx="70">
                  <c:v>3.0948700000000002</c:v>
                </c:pt>
                <c:pt idx="71">
                  <c:v>3.1038600000000001</c:v>
                </c:pt>
                <c:pt idx="72">
                  <c:v>3.1148599999999997</c:v>
                </c:pt>
                <c:pt idx="73">
                  <c:v>3.1275300000000001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29.650600000000001</c:v>
                </c:pt>
                <c:pt idx="1">
                  <c:v>30.0578</c:v>
                </c:pt>
                <c:pt idx="2">
                  <c:v>30.634</c:v>
                </c:pt>
                <c:pt idx="3">
                  <c:v>31.007000000000001</c:v>
                </c:pt>
                <c:pt idx="4">
                  <c:v>31.384</c:v>
                </c:pt>
                <c:pt idx="5">
                  <c:v>31.759799999999998</c:v>
                </c:pt>
                <c:pt idx="6">
                  <c:v>32.131100000000004</c:v>
                </c:pt>
                <c:pt idx="7">
                  <c:v>32.539900000000003</c:v>
                </c:pt>
                <c:pt idx="8">
                  <c:v>32.947899999999997</c:v>
                </c:pt>
                <c:pt idx="9">
                  <c:v>33.352699999999999</c:v>
                </c:pt>
                <c:pt idx="10">
                  <c:v>33.756700000000002</c:v>
                </c:pt>
                <c:pt idx="11">
                  <c:v>34.160600000000002</c:v>
                </c:pt>
                <c:pt idx="12">
                  <c:v>34.566600000000001</c:v>
                </c:pt>
                <c:pt idx="13">
                  <c:v>34.978400000000001</c:v>
                </c:pt>
                <c:pt idx="14">
                  <c:v>35.385300000000001</c:v>
                </c:pt>
                <c:pt idx="15">
                  <c:v>35.789200000000001</c:v>
                </c:pt>
                <c:pt idx="16">
                  <c:v>36.198099999999997</c:v>
                </c:pt>
                <c:pt idx="17">
                  <c:v>36.598999999999997</c:v>
                </c:pt>
                <c:pt idx="18">
                  <c:v>37.006</c:v>
                </c:pt>
                <c:pt idx="19">
                  <c:v>37.415900000000001</c:v>
                </c:pt>
                <c:pt idx="20">
                  <c:v>37.817700000000002</c:v>
                </c:pt>
                <c:pt idx="21">
                  <c:v>38.227699999999999</c:v>
                </c:pt>
                <c:pt idx="22">
                  <c:v>38.631</c:v>
                </c:pt>
                <c:pt idx="23">
                  <c:v>39.039499999999997</c:v>
                </c:pt>
                <c:pt idx="24">
                  <c:v>39.4465</c:v>
                </c:pt>
                <c:pt idx="25">
                  <c:v>39.848399999999998</c:v>
                </c:pt>
                <c:pt idx="26">
                  <c:v>40.258600000000001</c:v>
                </c:pt>
                <c:pt idx="27">
                  <c:v>40.663200000000003</c:v>
                </c:pt>
                <c:pt idx="28">
                  <c:v>41.073099999999997</c:v>
                </c:pt>
                <c:pt idx="29">
                  <c:v>41.475299999999997</c:v>
                </c:pt>
                <c:pt idx="30">
                  <c:v>41.878100000000003</c:v>
                </c:pt>
                <c:pt idx="31">
                  <c:v>42.29</c:v>
                </c:pt>
                <c:pt idx="32">
                  <c:v>42.695700000000002</c:v>
                </c:pt>
                <c:pt idx="33">
                  <c:v>43.1006</c:v>
                </c:pt>
                <c:pt idx="34">
                  <c:v>43.506599999999999</c:v>
                </c:pt>
                <c:pt idx="35">
                  <c:v>43.913499999999999</c:v>
                </c:pt>
                <c:pt idx="36">
                  <c:v>44.314500000000002</c:v>
                </c:pt>
                <c:pt idx="37">
                  <c:v>44.7273</c:v>
                </c:pt>
                <c:pt idx="38">
                  <c:v>45.13</c:v>
                </c:pt>
                <c:pt idx="39">
                  <c:v>45.539200000000001</c:v>
                </c:pt>
                <c:pt idx="40">
                  <c:v>45.945099999999996</c:v>
                </c:pt>
                <c:pt idx="41">
                  <c:v>46.353000000000002</c:v>
                </c:pt>
                <c:pt idx="42">
                  <c:v>46.754199999999997</c:v>
                </c:pt>
                <c:pt idx="43">
                  <c:v>47.1648</c:v>
                </c:pt>
                <c:pt idx="44">
                  <c:v>47.570799999999998</c:v>
                </c:pt>
                <c:pt idx="45">
                  <c:v>47.9756</c:v>
                </c:pt>
                <c:pt idx="46">
                  <c:v>48.380600000000001</c:v>
                </c:pt>
                <c:pt idx="47">
                  <c:v>48.792000000000002</c:v>
                </c:pt>
                <c:pt idx="48">
                  <c:v>49.196399999999997</c:v>
                </c:pt>
                <c:pt idx="49">
                  <c:v>49.6023</c:v>
                </c:pt>
                <c:pt idx="50">
                  <c:v>50.0092</c:v>
                </c:pt>
                <c:pt idx="51">
                  <c:v>50.409100000000002</c:v>
                </c:pt>
                <c:pt idx="52">
                  <c:v>50.820799999999998</c:v>
                </c:pt>
                <c:pt idx="53">
                  <c:v>51.228000000000002</c:v>
                </c:pt>
                <c:pt idx="54">
                  <c:v>51.634799999999998</c:v>
                </c:pt>
                <c:pt idx="55">
                  <c:v>52.040900000000001</c:v>
                </c:pt>
                <c:pt idx="56">
                  <c:v>52.442700000000002</c:v>
                </c:pt>
                <c:pt idx="57">
                  <c:v>52.8476</c:v>
                </c:pt>
                <c:pt idx="58">
                  <c:v>53.259599999999999</c:v>
                </c:pt>
                <c:pt idx="59">
                  <c:v>53.664400000000001</c:v>
                </c:pt>
                <c:pt idx="60">
                  <c:v>54.070399999999999</c:v>
                </c:pt>
                <c:pt idx="61">
                  <c:v>54.4724</c:v>
                </c:pt>
                <c:pt idx="62">
                  <c:v>54.883200000000002</c:v>
                </c:pt>
                <c:pt idx="63">
                  <c:v>55.287100000000002</c:v>
                </c:pt>
                <c:pt idx="64">
                  <c:v>55.694000000000003</c:v>
                </c:pt>
                <c:pt idx="65">
                  <c:v>56.100999999999999</c:v>
                </c:pt>
                <c:pt idx="66">
                  <c:v>56.504899999999999</c:v>
                </c:pt>
                <c:pt idx="67">
                  <c:v>56.916699999999999</c:v>
                </c:pt>
                <c:pt idx="68">
                  <c:v>57.319699999999997</c:v>
                </c:pt>
                <c:pt idx="69">
                  <c:v>57.721699999999998</c:v>
                </c:pt>
                <c:pt idx="70">
                  <c:v>58.132899999999999</c:v>
                </c:pt>
                <c:pt idx="71">
                  <c:v>58.540399999999998</c:v>
                </c:pt>
                <c:pt idx="72">
                  <c:v>58.951300000000003</c:v>
                </c:pt>
                <c:pt idx="73">
                  <c:v>59.349400000000003</c:v>
                </c:pt>
                <c:pt idx="74">
                  <c:v>59.756100000000004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3.1275300000000001</c:v>
                </c:pt>
                <c:pt idx="1">
                  <c:v>3.1403799999999999</c:v>
                </c:pt>
                <c:pt idx="2">
                  <c:v>3.1528400000000003</c:v>
                </c:pt>
                <c:pt idx="3">
                  <c:v>3.1643300000000001</c:v>
                </c:pt>
                <c:pt idx="4">
                  <c:v>3.1725599999999998</c:v>
                </c:pt>
                <c:pt idx="5">
                  <c:v>3.1808700000000001</c:v>
                </c:pt>
                <c:pt idx="6">
                  <c:v>3.1907299999999998</c:v>
                </c:pt>
                <c:pt idx="7">
                  <c:v>3.2012200000000002</c:v>
                </c:pt>
                <c:pt idx="8">
                  <c:v>3.2108599999999998</c:v>
                </c:pt>
                <c:pt idx="9">
                  <c:v>3.2192100000000003</c:v>
                </c:pt>
                <c:pt idx="10">
                  <c:v>3.2232100000000004</c:v>
                </c:pt>
                <c:pt idx="11">
                  <c:v>3.2239400000000002</c:v>
                </c:pt>
                <c:pt idx="12">
                  <c:v>3.2265899999999998</c:v>
                </c:pt>
                <c:pt idx="13">
                  <c:v>3.2318000000000002</c:v>
                </c:pt>
                <c:pt idx="14">
                  <c:v>3.23977</c:v>
                </c:pt>
                <c:pt idx="15">
                  <c:v>3.2498800000000001</c:v>
                </c:pt>
                <c:pt idx="16">
                  <c:v>3.2580999999999998</c:v>
                </c:pt>
                <c:pt idx="17">
                  <c:v>3.2658199999999997</c:v>
                </c:pt>
                <c:pt idx="18">
                  <c:v>3.27067</c:v>
                </c:pt>
                <c:pt idx="19">
                  <c:v>3.2763199999999997</c:v>
                </c:pt>
                <c:pt idx="20">
                  <c:v>3.28118</c:v>
                </c:pt>
                <c:pt idx="21">
                  <c:v>3.2858499999999999</c:v>
                </c:pt>
                <c:pt idx="22">
                  <c:v>3.2895799999999999</c:v>
                </c:pt>
                <c:pt idx="23">
                  <c:v>3.29426</c:v>
                </c:pt>
                <c:pt idx="24">
                  <c:v>3.29942</c:v>
                </c:pt>
                <c:pt idx="25">
                  <c:v>3.3033899999999998</c:v>
                </c:pt>
                <c:pt idx="26">
                  <c:v>3.3071200000000003</c:v>
                </c:pt>
                <c:pt idx="27">
                  <c:v>3.3069199999999999</c:v>
                </c:pt>
                <c:pt idx="28">
                  <c:v>3.3029599999999997</c:v>
                </c:pt>
                <c:pt idx="29">
                  <c:v>3.2978100000000001</c:v>
                </c:pt>
                <c:pt idx="30">
                  <c:v>3.2896900000000002</c:v>
                </c:pt>
                <c:pt idx="31">
                  <c:v>3.2798799999999999</c:v>
                </c:pt>
                <c:pt idx="32">
                  <c:v>3.27067</c:v>
                </c:pt>
                <c:pt idx="33">
                  <c:v>3.2625700000000002</c:v>
                </c:pt>
                <c:pt idx="34">
                  <c:v>3.2531599999999998</c:v>
                </c:pt>
                <c:pt idx="35">
                  <c:v>3.2444800000000003</c:v>
                </c:pt>
                <c:pt idx="36">
                  <c:v>3.2356400000000001</c:v>
                </c:pt>
                <c:pt idx="37">
                  <c:v>3.2234800000000003</c:v>
                </c:pt>
                <c:pt idx="38">
                  <c:v>3.20777</c:v>
                </c:pt>
                <c:pt idx="39">
                  <c:v>3.1885699999999999</c:v>
                </c:pt>
                <c:pt idx="40">
                  <c:v>3.1659900000000003</c:v>
                </c:pt>
                <c:pt idx="41">
                  <c:v>3.1441699999999999</c:v>
                </c:pt>
                <c:pt idx="42">
                  <c:v>3.12222</c:v>
                </c:pt>
                <c:pt idx="43">
                  <c:v>3.1039699999999999</c:v>
                </c:pt>
                <c:pt idx="44">
                  <c:v>3.08643</c:v>
                </c:pt>
                <c:pt idx="45">
                  <c:v>3.069</c:v>
                </c:pt>
                <c:pt idx="46">
                  <c:v>3.0529600000000001</c:v>
                </c:pt>
                <c:pt idx="47">
                  <c:v>3.0350300000000003</c:v>
                </c:pt>
                <c:pt idx="48">
                  <c:v>3.0146299999999999</c:v>
                </c:pt>
                <c:pt idx="49">
                  <c:v>2.9912200000000002</c:v>
                </c:pt>
                <c:pt idx="50">
                  <c:v>2.96522</c:v>
                </c:pt>
                <c:pt idx="51">
                  <c:v>2.9425299999999996</c:v>
                </c:pt>
                <c:pt idx="52">
                  <c:v>2.9231499999999997</c:v>
                </c:pt>
                <c:pt idx="53">
                  <c:v>2.90876</c:v>
                </c:pt>
                <c:pt idx="54">
                  <c:v>2.8991499999999997</c:v>
                </c:pt>
                <c:pt idx="55">
                  <c:v>2.8937299999999997</c:v>
                </c:pt>
                <c:pt idx="56">
                  <c:v>2.8882500000000002</c:v>
                </c:pt>
                <c:pt idx="57">
                  <c:v>2.8817300000000001</c:v>
                </c:pt>
                <c:pt idx="58">
                  <c:v>2.8734299999999999</c:v>
                </c:pt>
                <c:pt idx="59">
                  <c:v>2.8698600000000001</c:v>
                </c:pt>
                <c:pt idx="60">
                  <c:v>2.8718599999999999</c:v>
                </c:pt>
                <c:pt idx="61">
                  <c:v>2.8763000000000001</c:v>
                </c:pt>
                <c:pt idx="62">
                  <c:v>2.8830800000000001</c:v>
                </c:pt>
                <c:pt idx="63">
                  <c:v>2.8908200000000002</c:v>
                </c:pt>
                <c:pt idx="64">
                  <c:v>2.89906</c:v>
                </c:pt>
                <c:pt idx="65">
                  <c:v>2.9086800000000004</c:v>
                </c:pt>
                <c:pt idx="66">
                  <c:v>2.9207300000000003</c:v>
                </c:pt>
                <c:pt idx="67">
                  <c:v>2.9315600000000002</c:v>
                </c:pt>
                <c:pt idx="68">
                  <c:v>2.9315000000000002</c:v>
                </c:pt>
                <c:pt idx="69">
                  <c:v>2.9230899999999997</c:v>
                </c:pt>
                <c:pt idx="70">
                  <c:v>2.9052299999999995</c:v>
                </c:pt>
                <c:pt idx="71">
                  <c:v>2.8797699999999997</c:v>
                </c:pt>
                <c:pt idx="72">
                  <c:v>2.8571400000000002</c:v>
                </c:pt>
                <c:pt idx="73">
                  <c:v>2.8347299999999995</c:v>
                </c:pt>
                <c:pt idx="74">
                  <c:v>2.8186499999999999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14.939025000000001</c:v>
                </c:pt>
                <c:pt idx="1">
                  <c:v>44.817075000000003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2.8515863513513517</c:v>
                </c:pt>
                <c:pt idx="1">
                  <c:v>3.1038801351351353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0.39891700000000002</c:v>
                </c:pt>
                <c:pt idx="2">
                  <c:v>0.80396299999999998</c:v>
                </c:pt>
                <c:pt idx="3">
                  <c:v>1.21271</c:v>
                </c:pt>
                <c:pt idx="4">
                  <c:v>1.6206</c:v>
                </c:pt>
                <c:pt idx="5">
                  <c:v>2.0249899999999998</c:v>
                </c:pt>
                <c:pt idx="6">
                  <c:v>2.4304899999999998</c:v>
                </c:pt>
                <c:pt idx="7">
                  <c:v>2.83683</c:v>
                </c:pt>
                <c:pt idx="8">
                  <c:v>3.2400500000000001</c:v>
                </c:pt>
                <c:pt idx="9">
                  <c:v>3.6512600000000002</c:v>
                </c:pt>
                <c:pt idx="10">
                  <c:v>4.0562399999999998</c:v>
                </c:pt>
                <c:pt idx="11">
                  <c:v>4.4600400000000002</c:v>
                </c:pt>
                <c:pt idx="12">
                  <c:v>4.8649100000000001</c:v>
                </c:pt>
                <c:pt idx="13">
                  <c:v>5.2729200000000001</c:v>
                </c:pt>
                <c:pt idx="14">
                  <c:v>5.6797800000000001</c:v>
                </c:pt>
                <c:pt idx="15">
                  <c:v>6.0871399999999998</c:v>
                </c:pt>
                <c:pt idx="16">
                  <c:v>6.4871499999999997</c:v>
                </c:pt>
                <c:pt idx="17">
                  <c:v>6.8935000000000004</c:v>
                </c:pt>
                <c:pt idx="18">
                  <c:v>7.3044399999999996</c:v>
                </c:pt>
                <c:pt idx="19">
                  <c:v>7.7098199999999997</c:v>
                </c:pt>
                <c:pt idx="20">
                  <c:v>8.1154499999999992</c:v>
                </c:pt>
                <c:pt idx="21">
                  <c:v>8.5244999999999997</c:v>
                </c:pt>
                <c:pt idx="22">
                  <c:v>8.9268999999999998</c:v>
                </c:pt>
                <c:pt idx="23">
                  <c:v>9.3359299999999994</c:v>
                </c:pt>
                <c:pt idx="24">
                  <c:v>9.7399199999999997</c:v>
                </c:pt>
                <c:pt idx="25">
                  <c:v>10.147</c:v>
                </c:pt>
                <c:pt idx="26">
                  <c:v>10.5581</c:v>
                </c:pt>
                <c:pt idx="27">
                  <c:v>10.9598</c:v>
                </c:pt>
                <c:pt idx="28">
                  <c:v>11.365500000000001</c:v>
                </c:pt>
                <c:pt idx="29">
                  <c:v>11.773400000000001</c:v>
                </c:pt>
                <c:pt idx="30">
                  <c:v>12.179500000000001</c:v>
                </c:pt>
                <c:pt idx="31">
                  <c:v>12.5893</c:v>
                </c:pt>
                <c:pt idx="32">
                  <c:v>12.988200000000001</c:v>
                </c:pt>
                <c:pt idx="33">
                  <c:v>13.395099999999999</c:v>
                </c:pt>
                <c:pt idx="34">
                  <c:v>13.804</c:v>
                </c:pt>
                <c:pt idx="35">
                  <c:v>14.206</c:v>
                </c:pt>
                <c:pt idx="36">
                  <c:v>14.613200000000001</c:v>
                </c:pt>
                <c:pt idx="37">
                  <c:v>15.0259</c:v>
                </c:pt>
                <c:pt idx="38">
                  <c:v>15.431800000000001</c:v>
                </c:pt>
                <c:pt idx="39">
                  <c:v>15.8367</c:v>
                </c:pt>
                <c:pt idx="40">
                  <c:v>16.2407</c:v>
                </c:pt>
                <c:pt idx="41">
                  <c:v>16.647400000000001</c:v>
                </c:pt>
                <c:pt idx="42">
                  <c:v>17.0533</c:v>
                </c:pt>
                <c:pt idx="43">
                  <c:v>17.461500000000001</c:v>
                </c:pt>
                <c:pt idx="44">
                  <c:v>17.868500000000001</c:v>
                </c:pt>
                <c:pt idx="45">
                  <c:v>18.275200000000002</c:v>
                </c:pt>
                <c:pt idx="46">
                  <c:v>18.681999999999999</c:v>
                </c:pt>
                <c:pt idx="47">
                  <c:v>19.084900000000001</c:v>
                </c:pt>
                <c:pt idx="48">
                  <c:v>19.494</c:v>
                </c:pt>
                <c:pt idx="49">
                  <c:v>19.8977</c:v>
                </c:pt>
                <c:pt idx="50">
                  <c:v>20.304600000000001</c:v>
                </c:pt>
                <c:pt idx="51">
                  <c:v>20.711600000000001</c:v>
                </c:pt>
                <c:pt idx="52">
                  <c:v>21.1174</c:v>
                </c:pt>
                <c:pt idx="53">
                  <c:v>21.521699999999999</c:v>
                </c:pt>
                <c:pt idx="54">
                  <c:v>21.927299999999999</c:v>
                </c:pt>
                <c:pt idx="55">
                  <c:v>22.337299999999999</c:v>
                </c:pt>
                <c:pt idx="56">
                  <c:v>22.738199999999999</c:v>
                </c:pt>
                <c:pt idx="57">
                  <c:v>23.147099999999998</c:v>
                </c:pt>
                <c:pt idx="58">
                  <c:v>23.559100000000001</c:v>
                </c:pt>
                <c:pt idx="59">
                  <c:v>23.962800000000001</c:v>
                </c:pt>
                <c:pt idx="60">
                  <c:v>24.365500000000001</c:v>
                </c:pt>
                <c:pt idx="61">
                  <c:v>24.775700000000001</c:v>
                </c:pt>
                <c:pt idx="62">
                  <c:v>25.177600000000002</c:v>
                </c:pt>
                <c:pt idx="63">
                  <c:v>25.5883</c:v>
                </c:pt>
                <c:pt idx="64">
                  <c:v>25.9925</c:v>
                </c:pt>
                <c:pt idx="65">
                  <c:v>26.3963</c:v>
                </c:pt>
                <c:pt idx="66">
                  <c:v>26.8048</c:v>
                </c:pt>
                <c:pt idx="67">
                  <c:v>27.212199999999999</c:v>
                </c:pt>
                <c:pt idx="68">
                  <c:v>27.620100000000001</c:v>
                </c:pt>
                <c:pt idx="69">
                  <c:v>28.022099999999998</c:v>
                </c:pt>
                <c:pt idx="70">
                  <c:v>28.4299</c:v>
                </c:pt>
                <c:pt idx="71">
                  <c:v>28.834900000000001</c:v>
                </c:pt>
                <c:pt idx="72">
                  <c:v>29.246600000000001</c:v>
                </c:pt>
                <c:pt idx="73">
                  <c:v>29.650600000000001</c:v>
                </c:pt>
                <c:pt idx="74">
                  <c:v>30.0578</c:v>
                </c:pt>
                <c:pt idx="75">
                  <c:v>30.634</c:v>
                </c:pt>
                <c:pt idx="76">
                  <c:v>31.007000000000001</c:v>
                </c:pt>
                <c:pt idx="77">
                  <c:v>31.384</c:v>
                </c:pt>
                <c:pt idx="78">
                  <c:v>31.759799999999998</c:v>
                </c:pt>
                <c:pt idx="79">
                  <c:v>32.131100000000004</c:v>
                </c:pt>
                <c:pt idx="80">
                  <c:v>32.539900000000003</c:v>
                </c:pt>
                <c:pt idx="81">
                  <c:v>32.947899999999997</c:v>
                </c:pt>
                <c:pt idx="82">
                  <c:v>33.352699999999999</c:v>
                </c:pt>
                <c:pt idx="83">
                  <c:v>33.756700000000002</c:v>
                </c:pt>
                <c:pt idx="84">
                  <c:v>34.160600000000002</c:v>
                </c:pt>
                <c:pt idx="85">
                  <c:v>34.566600000000001</c:v>
                </c:pt>
                <c:pt idx="86">
                  <c:v>34.978400000000001</c:v>
                </c:pt>
                <c:pt idx="87">
                  <c:v>35.385300000000001</c:v>
                </c:pt>
                <c:pt idx="88">
                  <c:v>35.789200000000001</c:v>
                </c:pt>
                <c:pt idx="89">
                  <c:v>36.198099999999997</c:v>
                </c:pt>
                <c:pt idx="90">
                  <c:v>36.598999999999997</c:v>
                </c:pt>
                <c:pt idx="91">
                  <c:v>37.006</c:v>
                </c:pt>
                <c:pt idx="92">
                  <c:v>37.415900000000001</c:v>
                </c:pt>
                <c:pt idx="93">
                  <c:v>37.817700000000002</c:v>
                </c:pt>
                <c:pt idx="94">
                  <c:v>38.227699999999999</c:v>
                </c:pt>
                <c:pt idx="95">
                  <c:v>38.631</c:v>
                </c:pt>
                <c:pt idx="96">
                  <c:v>39.039499999999997</c:v>
                </c:pt>
                <c:pt idx="97">
                  <c:v>39.4465</c:v>
                </c:pt>
                <c:pt idx="98">
                  <c:v>39.848399999999998</c:v>
                </c:pt>
                <c:pt idx="99">
                  <c:v>40.258600000000001</c:v>
                </c:pt>
                <c:pt idx="100">
                  <c:v>40.663200000000003</c:v>
                </c:pt>
                <c:pt idx="101">
                  <c:v>41.073099999999997</c:v>
                </c:pt>
                <c:pt idx="102">
                  <c:v>41.475299999999997</c:v>
                </c:pt>
                <c:pt idx="103">
                  <c:v>41.878100000000003</c:v>
                </c:pt>
                <c:pt idx="104">
                  <c:v>42.29</c:v>
                </c:pt>
                <c:pt idx="105">
                  <c:v>42.695700000000002</c:v>
                </c:pt>
                <c:pt idx="106">
                  <c:v>43.1006</c:v>
                </c:pt>
                <c:pt idx="107">
                  <c:v>43.506599999999999</c:v>
                </c:pt>
                <c:pt idx="108">
                  <c:v>43.913499999999999</c:v>
                </c:pt>
                <c:pt idx="109">
                  <c:v>44.314500000000002</c:v>
                </c:pt>
                <c:pt idx="110">
                  <c:v>44.7273</c:v>
                </c:pt>
                <c:pt idx="111">
                  <c:v>45.13</c:v>
                </c:pt>
                <c:pt idx="112">
                  <c:v>45.539200000000001</c:v>
                </c:pt>
                <c:pt idx="113">
                  <c:v>45.945099999999996</c:v>
                </c:pt>
                <c:pt idx="114">
                  <c:v>46.353000000000002</c:v>
                </c:pt>
                <c:pt idx="115">
                  <c:v>46.754199999999997</c:v>
                </c:pt>
                <c:pt idx="116">
                  <c:v>47.1648</c:v>
                </c:pt>
                <c:pt idx="117">
                  <c:v>47.570799999999998</c:v>
                </c:pt>
                <c:pt idx="118">
                  <c:v>47.9756</c:v>
                </c:pt>
                <c:pt idx="119">
                  <c:v>48.380600000000001</c:v>
                </c:pt>
                <c:pt idx="120">
                  <c:v>48.792000000000002</c:v>
                </c:pt>
                <c:pt idx="121">
                  <c:v>49.196399999999997</c:v>
                </c:pt>
                <c:pt idx="122">
                  <c:v>49.6023</c:v>
                </c:pt>
                <c:pt idx="123">
                  <c:v>50.0092</c:v>
                </c:pt>
                <c:pt idx="124">
                  <c:v>50.409100000000002</c:v>
                </c:pt>
                <c:pt idx="125">
                  <c:v>50.820799999999998</c:v>
                </c:pt>
                <c:pt idx="126">
                  <c:v>51.228000000000002</c:v>
                </c:pt>
                <c:pt idx="127">
                  <c:v>51.634799999999998</c:v>
                </c:pt>
                <c:pt idx="128">
                  <c:v>52.040900000000001</c:v>
                </c:pt>
                <c:pt idx="129">
                  <c:v>52.442700000000002</c:v>
                </c:pt>
                <c:pt idx="130">
                  <c:v>52.8476</c:v>
                </c:pt>
                <c:pt idx="131">
                  <c:v>53.259599999999999</c:v>
                </c:pt>
                <c:pt idx="132">
                  <c:v>53.664400000000001</c:v>
                </c:pt>
                <c:pt idx="133">
                  <c:v>54.070399999999999</c:v>
                </c:pt>
                <c:pt idx="134">
                  <c:v>54.4724</c:v>
                </c:pt>
                <c:pt idx="135">
                  <c:v>54.883200000000002</c:v>
                </c:pt>
                <c:pt idx="136">
                  <c:v>55.287100000000002</c:v>
                </c:pt>
                <c:pt idx="137">
                  <c:v>55.694000000000003</c:v>
                </c:pt>
                <c:pt idx="138">
                  <c:v>56.100999999999999</c:v>
                </c:pt>
                <c:pt idx="139">
                  <c:v>56.504899999999999</c:v>
                </c:pt>
                <c:pt idx="140">
                  <c:v>56.916699999999999</c:v>
                </c:pt>
                <c:pt idx="141">
                  <c:v>57.319699999999997</c:v>
                </c:pt>
                <c:pt idx="142">
                  <c:v>57.721699999999998</c:v>
                </c:pt>
                <c:pt idx="143">
                  <c:v>58.132899999999999</c:v>
                </c:pt>
                <c:pt idx="144">
                  <c:v>58.540399999999998</c:v>
                </c:pt>
                <c:pt idx="145">
                  <c:v>58.951300000000003</c:v>
                </c:pt>
                <c:pt idx="146">
                  <c:v>59.349400000000003</c:v>
                </c:pt>
                <c:pt idx="147">
                  <c:v>59.756100000000004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64.527699999999996</c:v>
                </c:pt>
                <c:pt idx="1">
                  <c:v>64.023399999999995</c:v>
                </c:pt>
                <c:pt idx="2">
                  <c:v>63.429500000000004</c:v>
                </c:pt>
                <c:pt idx="3">
                  <c:v>62.825699999999998</c:v>
                </c:pt>
                <c:pt idx="4">
                  <c:v>62.104099999999995</c:v>
                </c:pt>
                <c:pt idx="5">
                  <c:v>61.462600000000002</c:v>
                </c:pt>
                <c:pt idx="6">
                  <c:v>60.926600000000001</c:v>
                </c:pt>
                <c:pt idx="7">
                  <c:v>60.531700000000001</c:v>
                </c:pt>
                <c:pt idx="8">
                  <c:v>59.9666</c:v>
                </c:pt>
                <c:pt idx="9">
                  <c:v>59.258999999999993</c:v>
                </c:pt>
                <c:pt idx="10">
                  <c:v>58.565800000000003</c:v>
                </c:pt>
                <c:pt idx="11">
                  <c:v>57.736900000000006</c:v>
                </c:pt>
                <c:pt idx="12">
                  <c:v>56.8932</c:v>
                </c:pt>
                <c:pt idx="13">
                  <c:v>56.190100000000001</c:v>
                </c:pt>
                <c:pt idx="14">
                  <c:v>55.597099999999998</c:v>
                </c:pt>
                <c:pt idx="15">
                  <c:v>54.953300000000006</c:v>
                </c:pt>
                <c:pt idx="16">
                  <c:v>54.289200000000001</c:v>
                </c:pt>
                <c:pt idx="17">
                  <c:v>53.9497</c:v>
                </c:pt>
                <c:pt idx="18">
                  <c:v>53.647599999999997</c:v>
                </c:pt>
                <c:pt idx="19">
                  <c:v>53.395400000000002</c:v>
                </c:pt>
                <c:pt idx="20">
                  <c:v>53.212600000000002</c:v>
                </c:pt>
                <c:pt idx="21">
                  <c:v>53.113900000000001</c:v>
                </c:pt>
                <c:pt idx="22">
                  <c:v>52.955200000000005</c:v>
                </c:pt>
                <c:pt idx="23">
                  <c:v>52.757100000000001</c:v>
                </c:pt>
                <c:pt idx="24">
                  <c:v>52.468899999999998</c:v>
                </c:pt>
                <c:pt idx="25">
                  <c:v>52.204399999999993</c:v>
                </c:pt>
                <c:pt idx="26">
                  <c:v>51.851499999999994</c:v>
                </c:pt>
                <c:pt idx="27">
                  <c:v>51.476699999999994</c:v>
                </c:pt>
                <c:pt idx="28">
                  <c:v>50.981299999999997</c:v>
                </c:pt>
                <c:pt idx="29">
                  <c:v>50.444800000000001</c:v>
                </c:pt>
                <c:pt idx="30">
                  <c:v>49.910399999999996</c:v>
                </c:pt>
                <c:pt idx="31">
                  <c:v>49.433199999999999</c:v>
                </c:pt>
                <c:pt idx="32">
                  <c:v>48.97</c:v>
                </c:pt>
                <c:pt idx="33">
                  <c:v>48.479499999999994</c:v>
                </c:pt>
                <c:pt idx="34">
                  <c:v>47.952399999999997</c:v>
                </c:pt>
                <c:pt idx="35">
                  <c:v>47.450299999999999</c:v>
                </c:pt>
                <c:pt idx="36">
                  <c:v>47.019199999999998</c:v>
                </c:pt>
                <c:pt idx="37">
                  <c:v>46.654899999999998</c:v>
                </c:pt>
                <c:pt idx="38">
                  <c:v>46.351799999999997</c:v>
                </c:pt>
                <c:pt idx="39">
                  <c:v>46.196300000000001</c:v>
                </c:pt>
                <c:pt idx="40">
                  <c:v>46.182699999999997</c:v>
                </c:pt>
                <c:pt idx="41">
                  <c:v>46.273399999999995</c:v>
                </c:pt>
                <c:pt idx="42">
                  <c:v>46.317500000000003</c:v>
                </c:pt>
                <c:pt idx="43">
                  <c:v>46.435700000000004</c:v>
                </c:pt>
                <c:pt idx="44">
                  <c:v>46.483999999999995</c:v>
                </c:pt>
                <c:pt idx="45">
                  <c:v>46.430700000000002</c:v>
                </c:pt>
                <c:pt idx="46">
                  <c:v>46.397300000000001</c:v>
                </c:pt>
                <c:pt idx="47">
                  <c:v>46.429299999999998</c:v>
                </c:pt>
                <c:pt idx="48">
                  <c:v>46.471299999999999</c:v>
                </c:pt>
                <c:pt idx="49">
                  <c:v>46.544000000000004</c:v>
                </c:pt>
                <c:pt idx="50">
                  <c:v>46.576099999999997</c:v>
                </c:pt>
                <c:pt idx="51">
                  <c:v>46.726199999999999</c:v>
                </c:pt>
                <c:pt idx="52">
                  <c:v>46.994</c:v>
                </c:pt>
                <c:pt idx="53">
                  <c:v>47.466000000000001</c:v>
                </c:pt>
                <c:pt idx="54">
                  <c:v>48.019099999999995</c:v>
                </c:pt>
                <c:pt idx="55">
                  <c:v>48.641800000000003</c:v>
                </c:pt>
                <c:pt idx="56">
                  <c:v>48.8748</c:v>
                </c:pt>
                <c:pt idx="57">
                  <c:v>49.167000000000002</c:v>
                </c:pt>
                <c:pt idx="58">
                  <c:v>49.648900000000005</c:v>
                </c:pt>
                <c:pt idx="59">
                  <c:v>50.080599999999997</c:v>
                </c:pt>
                <c:pt idx="60">
                  <c:v>50.442399999999999</c:v>
                </c:pt>
                <c:pt idx="61">
                  <c:v>50.911799999999999</c:v>
                </c:pt>
                <c:pt idx="62">
                  <c:v>51.319600000000001</c:v>
                </c:pt>
                <c:pt idx="63">
                  <c:v>51.627100000000006</c:v>
                </c:pt>
                <c:pt idx="64">
                  <c:v>51.776800000000001</c:v>
                </c:pt>
                <c:pt idx="65">
                  <c:v>51.8489</c:v>
                </c:pt>
                <c:pt idx="66">
                  <c:v>51.935099999999998</c:v>
                </c:pt>
                <c:pt idx="67">
                  <c:v>52.0991</c:v>
                </c:pt>
                <c:pt idx="68">
                  <c:v>52.112199999999994</c:v>
                </c:pt>
                <c:pt idx="69">
                  <c:v>52.242599999999996</c:v>
                </c:pt>
                <c:pt idx="70">
                  <c:v>52.234800000000007</c:v>
                </c:pt>
                <c:pt idx="71">
                  <c:v>52.362900000000003</c:v>
                </c:pt>
                <c:pt idx="72">
                  <c:v>52.485400000000006</c:v>
                </c:pt>
                <c:pt idx="73">
                  <c:v>52.605599999999995</c:v>
                </c:pt>
                <c:pt idx="74">
                  <c:v>52.811600000000006</c:v>
                </c:pt>
                <c:pt idx="75">
                  <c:v>53.032800000000002</c:v>
                </c:pt>
                <c:pt idx="76">
                  <c:v>53.183100000000003</c:v>
                </c:pt>
                <c:pt idx="77">
                  <c:v>53.303699999999999</c:v>
                </c:pt>
                <c:pt idx="78">
                  <c:v>53.374900000000004</c:v>
                </c:pt>
                <c:pt idx="79">
                  <c:v>53.463499999999996</c:v>
                </c:pt>
                <c:pt idx="80">
                  <c:v>53.6678</c:v>
                </c:pt>
                <c:pt idx="81">
                  <c:v>53.901900000000005</c:v>
                </c:pt>
                <c:pt idx="82">
                  <c:v>54.187700000000007</c:v>
                </c:pt>
                <c:pt idx="83">
                  <c:v>54.4223</c:v>
                </c:pt>
                <c:pt idx="84">
                  <c:v>54.630599999999994</c:v>
                </c:pt>
                <c:pt idx="85">
                  <c:v>54.805499999999995</c:v>
                </c:pt>
                <c:pt idx="86">
                  <c:v>55.018999999999998</c:v>
                </c:pt>
                <c:pt idx="87">
                  <c:v>55.204299999999996</c:v>
                </c:pt>
                <c:pt idx="88">
                  <c:v>55.293899999999994</c:v>
                </c:pt>
                <c:pt idx="89">
                  <c:v>55.433799999999998</c:v>
                </c:pt>
                <c:pt idx="90">
                  <c:v>55.595500000000001</c:v>
                </c:pt>
                <c:pt idx="91">
                  <c:v>55.809200000000004</c:v>
                </c:pt>
                <c:pt idx="92">
                  <c:v>56.031399999999998</c:v>
                </c:pt>
                <c:pt idx="93">
                  <c:v>56.255099999999999</c:v>
                </c:pt>
                <c:pt idx="94">
                  <c:v>56.524799999999999</c:v>
                </c:pt>
                <c:pt idx="95">
                  <c:v>56.652899999999995</c:v>
                </c:pt>
                <c:pt idx="96">
                  <c:v>56.664999999999999</c:v>
                </c:pt>
                <c:pt idx="97">
                  <c:v>56.561300000000003</c:v>
                </c:pt>
                <c:pt idx="98">
                  <c:v>56.393800000000006</c:v>
                </c:pt>
                <c:pt idx="99">
                  <c:v>56.174599999999998</c:v>
                </c:pt>
                <c:pt idx="100">
                  <c:v>55.977699999999999</c:v>
                </c:pt>
                <c:pt idx="101">
                  <c:v>55.809299999999993</c:v>
                </c:pt>
                <c:pt idx="102">
                  <c:v>55.589700000000001</c:v>
                </c:pt>
                <c:pt idx="103">
                  <c:v>55.298499999999997</c:v>
                </c:pt>
                <c:pt idx="104">
                  <c:v>54.975200000000001</c:v>
                </c:pt>
                <c:pt idx="105">
                  <c:v>54.686199999999999</c:v>
                </c:pt>
                <c:pt idx="106">
                  <c:v>54.348100000000002</c:v>
                </c:pt>
                <c:pt idx="107">
                  <c:v>53.9953</c:v>
                </c:pt>
                <c:pt idx="108">
                  <c:v>53.596800000000002</c:v>
                </c:pt>
                <c:pt idx="109">
                  <c:v>53.222700000000003</c:v>
                </c:pt>
                <c:pt idx="110">
                  <c:v>52.862200000000001</c:v>
                </c:pt>
                <c:pt idx="111">
                  <c:v>52.445</c:v>
                </c:pt>
                <c:pt idx="112">
                  <c:v>52.061500000000002</c:v>
                </c:pt>
                <c:pt idx="113">
                  <c:v>51.799799999999998</c:v>
                </c:pt>
                <c:pt idx="114">
                  <c:v>51.509300000000003</c:v>
                </c:pt>
                <c:pt idx="115">
                  <c:v>51.262799999999999</c:v>
                </c:pt>
                <c:pt idx="116">
                  <c:v>51.036000000000001</c:v>
                </c:pt>
                <c:pt idx="117">
                  <c:v>50.854299999999995</c:v>
                </c:pt>
                <c:pt idx="118">
                  <c:v>50.7209</c:v>
                </c:pt>
                <c:pt idx="119">
                  <c:v>50.551400000000001</c:v>
                </c:pt>
                <c:pt idx="120">
                  <c:v>50.463100000000004</c:v>
                </c:pt>
                <c:pt idx="121">
                  <c:v>50.447900000000004</c:v>
                </c:pt>
                <c:pt idx="122">
                  <c:v>50.442100000000003</c:v>
                </c:pt>
                <c:pt idx="123">
                  <c:v>50.535499999999999</c:v>
                </c:pt>
                <c:pt idx="124">
                  <c:v>50.747799999999998</c:v>
                </c:pt>
                <c:pt idx="125">
                  <c:v>50.8553</c:v>
                </c:pt>
                <c:pt idx="126">
                  <c:v>50.830500000000001</c:v>
                </c:pt>
                <c:pt idx="127">
                  <c:v>50.773199999999996</c:v>
                </c:pt>
                <c:pt idx="128">
                  <c:v>50.719800000000006</c:v>
                </c:pt>
                <c:pt idx="129">
                  <c:v>50.673000000000002</c:v>
                </c:pt>
                <c:pt idx="130">
                  <c:v>50.567700000000002</c:v>
                </c:pt>
                <c:pt idx="131">
                  <c:v>50.558099999999996</c:v>
                </c:pt>
                <c:pt idx="132">
                  <c:v>50.463499999999996</c:v>
                </c:pt>
                <c:pt idx="133">
                  <c:v>50.366299999999995</c:v>
                </c:pt>
                <c:pt idx="134">
                  <c:v>50.207599999999999</c:v>
                </c:pt>
                <c:pt idx="135">
                  <c:v>50.0687</c:v>
                </c:pt>
                <c:pt idx="136">
                  <c:v>50.031599999999997</c:v>
                </c:pt>
                <c:pt idx="137">
                  <c:v>50.044499999999999</c:v>
                </c:pt>
                <c:pt idx="138">
                  <c:v>50.06</c:v>
                </c:pt>
                <c:pt idx="139">
                  <c:v>50.103500000000004</c:v>
                </c:pt>
                <c:pt idx="140">
                  <c:v>50.139900000000004</c:v>
                </c:pt>
                <c:pt idx="141">
                  <c:v>50.143000000000001</c:v>
                </c:pt>
                <c:pt idx="142">
                  <c:v>50.036800000000007</c:v>
                </c:pt>
                <c:pt idx="143">
                  <c:v>49.876899999999999</c:v>
                </c:pt>
                <c:pt idx="144">
                  <c:v>49.851800000000004</c:v>
                </c:pt>
                <c:pt idx="145">
                  <c:v>49.730699999999999</c:v>
                </c:pt>
                <c:pt idx="146">
                  <c:v>48.976100000000002</c:v>
                </c:pt>
                <c:pt idx="147">
                  <c:v>49.135199999999998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0.39891700000000002</c:v>
                </c:pt>
                <c:pt idx="2">
                  <c:v>0.80396299999999998</c:v>
                </c:pt>
                <c:pt idx="3">
                  <c:v>1.21271</c:v>
                </c:pt>
                <c:pt idx="4">
                  <c:v>1.6206</c:v>
                </c:pt>
                <c:pt idx="5">
                  <c:v>2.0249899999999998</c:v>
                </c:pt>
                <c:pt idx="6">
                  <c:v>2.4304899999999998</c:v>
                </c:pt>
                <c:pt idx="7">
                  <c:v>2.83683</c:v>
                </c:pt>
                <c:pt idx="8">
                  <c:v>3.2400500000000001</c:v>
                </c:pt>
                <c:pt idx="9">
                  <c:v>3.6512600000000002</c:v>
                </c:pt>
                <c:pt idx="10">
                  <c:v>4.0562399999999998</c:v>
                </c:pt>
                <c:pt idx="11">
                  <c:v>4.4600400000000002</c:v>
                </c:pt>
                <c:pt idx="12">
                  <c:v>4.8649100000000001</c:v>
                </c:pt>
                <c:pt idx="13">
                  <c:v>5.2729200000000001</c:v>
                </c:pt>
                <c:pt idx="14">
                  <c:v>5.6797800000000001</c:v>
                </c:pt>
                <c:pt idx="15">
                  <c:v>6.0871399999999998</c:v>
                </c:pt>
                <c:pt idx="16">
                  <c:v>6.4871499999999997</c:v>
                </c:pt>
                <c:pt idx="17">
                  <c:v>6.8935000000000004</c:v>
                </c:pt>
                <c:pt idx="18">
                  <c:v>7.3044399999999996</c:v>
                </c:pt>
                <c:pt idx="19">
                  <c:v>7.7098199999999997</c:v>
                </c:pt>
                <c:pt idx="20">
                  <c:v>8.1154499999999992</c:v>
                </c:pt>
                <c:pt idx="21">
                  <c:v>8.5244999999999997</c:v>
                </c:pt>
                <c:pt idx="22">
                  <c:v>8.9268999999999998</c:v>
                </c:pt>
                <c:pt idx="23">
                  <c:v>9.3359299999999994</c:v>
                </c:pt>
                <c:pt idx="24">
                  <c:v>9.7399199999999997</c:v>
                </c:pt>
                <c:pt idx="25">
                  <c:v>10.147</c:v>
                </c:pt>
                <c:pt idx="26">
                  <c:v>10.5581</c:v>
                </c:pt>
                <c:pt idx="27">
                  <c:v>10.9598</c:v>
                </c:pt>
                <c:pt idx="28">
                  <c:v>11.365500000000001</c:v>
                </c:pt>
                <c:pt idx="29">
                  <c:v>11.773400000000001</c:v>
                </c:pt>
                <c:pt idx="30">
                  <c:v>12.179500000000001</c:v>
                </c:pt>
                <c:pt idx="31">
                  <c:v>12.5893</c:v>
                </c:pt>
                <c:pt idx="32">
                  <c:v>12.988200000000001</c:v>
                </c:pt>
                <c:pt idx="33">
                  <c:v>13.395099999999999</c:v>
                </c:pt>
                <c:pt idx="34">
                  <c:v>13.804</c:v>
                </c:pt>
                <c:pt idx="35">
                  <c:v>14.206</c:v>
                </c:pt>
                <c:pt idx="36">
                  <c:v>14.613200000000001</c:v>
                </c:pt>
                <c:pt idx="37">
                  <c:v>15.0259</c:v>
                </c:pt>
                <c:pt idx="38">
                  <c:v>15.431800000000001</c:v>
                </c:pt>
                <c:pt idx="39">
                  <c:v>15.8367</c:v>
                </c:pt>
                <c:pt idx="40">
                  <c:v>16.2407</c:v>
                </c:pt>
                <c:pt idx="41">
                  <c:v>16.647400000000001</c:v>
                </c:pt>
                <c:pt idx="42">
                  <c:v>17.0533</c:v>
                </c:pt>
                <c:pt idx="43">
                  <c:v>17.461500000000001</c:v>
                </c:pt>
                <c:pt idx="44">
                  <c:v>17.868500000000001</c:v>
                </c:pt>
                <c:pt idx="45">
                  <c:v>18.275200000000002</c:v>
                </c:pt>
                <c:pt idx="46">
                  <c:v>18.681999999999999</c:v>
                </c:pt>
                <c:pt idx="47">
                  <c:v>19.084900000000001</c:v>
                </c:pt>
                <c:pt idx="48">
                  <c:v>19.494</c:v>
                </c:pt>
                <c:pt idx="49">
                  <c:v>19.8977</c:v>
                </c:pt>
                <c:pt idx="50">
                  <c:v>20.304600000000001</c:v>
                </c:pt>
                <c:pt idx="51">
                  <c:v>20.711600000000001</c:v>
                </c:pt>
                <c:pt idx="52">
                  <c:v>21.1174</c:v>
                </c:pt>
                <c:pt idx="53">
                  <c:v>21.521699999999999</c:v>
                </c:pt>
                <c:pt idx="54">
                  <c:v>21.927299999999999</c:v>
                </c:pt>
                <c:pt idx="55">
                  <c:v>22.337299999999999</c:v>
                </c:pt>
                <c:pt idx="56">
                  <c:v>22.738199999999999</c:v>
                </c:pt>
                <c:pt idx="57">
                  <c:v>23.147099999999998</c:v>
                </c:pt>
                <c:pt idx="58">
                  <c:v>23.559100000000001</c:v>
                </c:pt>
                <c:pt idx="59">
                  <c:v>23.962800000000001</c:v>
                </c:pt>
                <c:pt idx="60">
                  <c:v>24.365500000000001</c:v>
                </c:pt>
                <c:pt idx="61">
                  <c:v>24.775700000000001</c:v>
                </c:pt>
                <c:pt idx="62">
                  <c:v>25.177600000000002</c:v>
                </c:pt>
                <c:pt idx="63">
                  <c:v>25.5883</c:v>
                </c:pt>
                <c:pt idx="64">
                  <c:v>25.9925</c:v>
                </c:pt>
                <c:pt idx="65">
                  <c:v>26.3963</c:v>
                </c:pt>
                <c:pt idx="66">
                  <c:v>26.8048</c:v>
                </c:pt>
                <c:pt idx="67">
                  <c:v>27.212199999999999</c:v>
                </c:pt>
                <c:pt idx="68">
                  <c:v>27.620100000000001</c:v>
                </c:pt>
                <c:pt idx="69">
                  <c:v>28.022099999999998</c:v>
                </c:pt>
                <c:pt idx="70">
                  <c:v>28.4299</c:v>
                </c:pt>
                <c:pt idx="71">
                  <c:v>28.834900000000001</c:v>
                </c:pt>
                <c:pt idx="72">
                  <c:v>29.246600000000001</c:v>
                </c:pt>
                <c:pt idx="73">
                  <c:v>29.650600000000001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64.527699999999996</c:v>
                </c:pt>
                <c:pt idx="1">
                  <c:v>64.023399999999995</c:v>
                </c:pt>
                <c:pt idx="2">
                  <c:v>63.429500000000004</c:v>
                </c:pt>
                <c:pt idx="3">
                  <c:v>62.825699999999998</c:v>
                </c:pt>
                <c:pt idx="4">
                  <c:v>62.104099999999995</c:v>
                </c:pt>
                <c:pt idx="5">
                  <c:v>61.462600000000002</c:v>
                </c:pt>
                <c:pt idx="6">
                  <c:v>60.926600000000001</c:v>
                </c:pt>
                <c:pt idx="7">
                  <c:v>60.531700000000001</c:v>
                </c:pt>
                <c:pt idx="8">
                  <c:v>59.9666</c:v>
                </c:pt>
                <c:pt idx="9">
                  <c:v>59.258999999999993</c:v>
                </c:pt>
                <c:pt idx="10">
                  <c:v>58.565800000000003</c:v>
                </c:pt>
                <c:pt idx="11">
                  <c:v>57.736900000000006</c:v>
                </c:pt>
                <c:pt idx="12">
                  <c:v>56.8932</c:v>
                </c:pt>
                <c:pt idx="13">
                  <c:v>56.190100000000001</c:v>
                </c:pt>
                <c:pt idx="14">
                  <c:v>55.597099999999998</c:v>
                </c:pt>
                <c:pt idx="15">
                  <c:v>54.953300000000006</c:v>
                </c:pt>
                <c:pt idx="16">
                  <c:v>54.289200000000001</c:v>
                </c:pt>
                <c:pt idx="17">
                  <c:v>53.9497</c:v>
                </c:pt>
                <c:pt idx="18">
                  <c:v>53.647599999999997</c:v>
                </c:pt>
                <c:pt idx="19">
                  <c:v>53.395400000000002</c:v>
                </c:pt>
                <c:pt idx="20">
                  <c:v>53.212600000000002</c:v>
                </c:pt>
                <c:pt idx="21">
                  <c:v>53.113900000000001</c:v>
                </c:pt>
                <c:pt idx="22">
                  <c:v>52.955200000000005</c:v>
                </c:pt>
                <c:pt idx="23">
                  <c:v>52.757100000000001</c:v>
                </c:pt>
                <c:pt idx="24">
                  <c:v>52.468899999999998</c:v>
                </c:pt>
                <c:pt idx="25">
                  <c:v>52.204399999999993</c:v>
                </c:pt>
                <c:pt idx="26">
                  <c:v>51.851499999999994</c:v>
                </c:pt>
                <c:pt idx="27">
                  <c:v>51.476699999999994</c:v>
                </c:pt>
                <c:pt idx="28">
                  <c:v>50.981299999999997</c:v>
                </c:pt>
                <c:pt idx="29">
                  <c:v>50.444800000000001</c:v>
                </c:pt>
                <c:pt idx="30">
                  <c:v>49.910399999999996</c:v>
                </c:pt>
                <c:pt idx="31">
                  <c:v>49.433199999999999</c:v>
                </c:pt>
                <c:pt idx="32">
                  <c:v>48.97</c:v>
                </c:pt>
                <c:pt idx="33">
                  <c:v>48.479499999999994</c:v>
                </c:pt>
                <c:pt idx="34">
                  <c:v>47.952399999999997</c:v>
                </c:pt>
                <c:pt idx="35">
                  <c:v>47.450299999999999</c:v>
                </c:pt>
                <c:pt idx="36">
                  <c:v>47.019199999999998</c:v>
                </c:pt>
                <c:pt idx="37">
                  <c:v>46.654899999999998</c:v>
                </c:pt>
                <c:pt idx="38">
                  <c:v>46.351799999999997</c:v>
                </c:pt>
                <c:pt idx="39">
                  <c:v>46.196300000000001</c:v>
                </c:pt>
                <c:pt idx="40">
                  <c:v>46.182699999999997</c:v>
                </c:pt>
                <c:pt idx="41">
                  <c:v>46.273399999999995</c:v>
                </c:pt>
                <c:pt idx="42">
                  <c:v>46.317500000000003</c:v>
                </c:pt>
                <c:pt idx="43">
                  <c:v>46.435700000000004</c:v>
                </c:pt>
                <c:pt idx="44">
                  <c:v>46.483999999999995</c:v>
                </c:pt>
                <c:pt idx="45">
                  <c:v>46.430700000000002</c:v>
                </c:pt>
                <c:pt idx="46">
                  <c:v>46.397300000000001</c:v>
                </c:pt>
                <c:pt idx="47">
                  <c:v>46.429299999999998</c:v>
                </c:pt>
                <c:pt idx="48">
                  <c:v>46.471299999999999</c:v>
                </c:pt>
                <c:pt idx="49">
                  <c:v>46.544000000000004</c:v>
                </c:pt>
                <c:pt idx="50">
                  <c:v>46.576099999999997</c:v>
                </c:pt>
                <c:pt idx="51">
                  <c:v>46.726199999999999</c:v>
                </c:pt>
                <c:pt idx="52">
                  <c:v>46.994</c:v>
                </c:pt>
                <c:pt idx="53">
                  <c:v>47.466000000000001</c:v>
                </c:pt>
                <c:pt idx="54">
                  <c:v>48.019099999999995</c:v>
                </c:pt>
                <c:pt idx="55">
                  <c:v>48.641800000000003</c:v>
                </c:pt>
                <c:pt idx="56">
                  <c:v>48.8748</c:v>
                </c:pt>
                <c:pt idx="57">
                  <c:v>49.167000000000002</c:v>
                </c:pt>
                <c:pt idx="58">
                  <c:v>49.648900000000005</c:v>
                </c:pt>
                <c:pt idx="59">
                  <c:v>50.080599999999997</c:v>
                </c:pt>
                <c:pt idx="60">
                  <c:v>50.442399999999999</c:v>
                </c:pt>
                <c:pt idx="61">
                  <c:v>50.911799999999999</c:v>
                </c:pt>
                <c:pt idx="62">
                  <c:v>51.319600000000001</c:v>
                </c:pt>
                <c:pt idx="63">
                  <c:v>51.627100000000006</c:v>
                </c:pt>
                <c:pt idx="64">
                  <c:v>51.776800000000001</c:v>
                </c:pt>
                <c:pt idx="65">
                  <c:v>51.8489</c:v>
                </c:pt>
                <c:pt idx="66">
                  <c:v>51.935099999999998</c:v>
                </c:pt>
                <c:pt idx="67">
                  <c:v>52.0991</c:v>
                </c:pt>
                <c:pt idx="68">
                  <c:v>52.112199999999994</c:v>
                </c:pt>
                <c:pt idx="69">
                  <c:v>52.242599999999996</c:v>
                </c:pt>
                <c:pt idx="70">
                  <c:v>52.234800000000007</c:v>
                </c:pt>
                <c:pt idx="71">
                  <c:v>52.362900000000003</c:v>
                </c:pt>
                <c:pt idx="72">
                  <c:v>52.485400000000006</c:v>
                </c:pt>
                <c:pt idx="73">
                  <c:v>52.605599999999995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29.650600000000001</c:v>
                </c:pt>
                <c:pt idx="1">
                  <c:v>30.0578</c:v>
                </c:pt>
                <c:pt idx="2">
                  <c:v>30.634</c:v>
                </c:pt>
                <c:pt idx="3">
                  <c:v>31.007000000000001</c:v>
                </c:pt>
                <c:pt idx="4">
                  <c:v>31.384</c:v>
                </c:pt>
                <c:pt idx="5">
                  <c:v>31.759799999999998</c:v>
                </c:pt>
                <c:pt idx="6">
                  <c:v>32.131100000000004</c:v>
                </c:pt>
                <c:pt idx="7">
                  <c:v>32.539900000000003</c:v>
                </c:pt>
                <c:pt idx="8">
                  <c:v>32.947899999999997</c:v>
                </c:pt>
                <c:pt idx="9">
                  <c:v>33.352699999999999</c:v>
                </c:pt>
                <c:pt idx="10">
                  <c:v>33.756700000000002</c:v>
                </c:pt>
                <c:pt idx="11">
                  <c:v>34.160600000000002</c:v>
                </c:pt>
                <c:pt idx="12">
                  <c:v>34.566600000000001</c:v>
                </c:pt>
                <c:pt idx="13">
                  <c:v>34.978400000000001</c:v>
                </c:pt>
                <c:pt idx="14">
                  <c:v>35.385300000000001</c:v>
                </c:pt>
                <c:pt idx="15">
                  <c:v>35.789200000000001</c:v>
                </c:pt>
                <c:pt idx="16">
                  <c:v>36.198099999999997</c:v>
                </c:pt>
                <c:pt idx="17">
                  <c:v>36.598999999999997</c:v>
                </c:pt>
                <c:pt idx="18">
                  <c:v>37.006</c:v>
                </c:pt>
                <c:pt idx="19">
                  <c:v>37.415900000000001</c:v>
                </c:pt>
                <c:pt idx="20">
                  <c:v>37.817700000000002</c:v>
                </c:pt>
                <c:pt idx="21">
                  <c:v>38.227699999999999</c:v>
                </c:pt>
                <c:pt idx="22">
                  <c:v>38.631</c:v>
                </c:pt>
                <c:pt idx="23">
                  <c:v>39.039499999999997</c:v>
                </c:pt>
                <c:pt idx="24">
                  <c:v>39.4465</c:v>
                </c:pt>
                <c:pt idx="25">
                  <c:v>39.848399999999998</c:v>
                </c:pt>
                <c:pt idx="26">
                  <c:v>40.258600000000001</c:v>
                </c:pt>
                <c:pt idx="27">
                  <c:v>40.663200000000003</c:v>
                </c:pt>
                <c:pt idx="28">
                  <c:v>41.073099999999997</c:v>
                </c:pt>
                <c:pt idx="29">
                  <c:v>41.475299999999997</c:v>
                </c:pt>
                <c:pt idx="30">
                  <c:v>41.878100000000003</c:v>
                </c:pt>
                <c:pt idx="31">
                  <c:v>42.29</c:v>
                </c:pt>
                <c:pt idx="32">
                  <c:v>42.695700000000002</c:v>
                </c:pt>
                <c:pt idx="33">
                  <c:v>43.1006</c:v>
                </c:pt>
                <c:pt idx="34">
                  <c:v>43.506599999999999</c:v>
                </c:pt>
                <c:pt idx="35">
                  <c:v>43.913499999999999</c:v>
                </c:pt>
                <c:pt idx="36">
                  <c:v>44.314500000000002</c:v>
                </c:pt>
                <c:pt idx="37">
                  <c:v>44.7273</c:v>
                </c:pt>
                <c:pt idx="38">
                  <c:v>45.13</c:v>
                </c:pt>
                <c:pt idx="39">
                  <c:v>45.539200000000001</c:v>
                </c:pt>
                <c:pt idx="40">
                  <c:v>45.945099999999996</c:v>
                </c:pt>
                <c:pt idx="41">
                  <c:v>46.353000000000002</c:v>
                </c:pt>
                <c:pt idx="42">
                  <c:v>46.754199999999997</c:v>
                </c:pt>
                <c:pt idx="43">
                  <c:v>47.1648</c:v>
                </c:pt>
                <c:pt idx="44">
                  <c:v>47.570799999999998</c:v>
                </c:pt>
                <c:pt idx="45">
                  <c:v>47.9756</c:v>
                </c:pt>
                <c:pt idx="46">
                  <c:v>48.380600000000001</c:v>
                </c:pt>
                <c:pt idx="47">
                  <c:v>48.792000000000002</c:v>
                </c:pt>
                <c:pt idx="48">
                  <c:v>49.196399999999997</c:v>
                </c:pt>
                <c:pt idx="49">
                  <c:v>49.6023</c:v>
                </c:pt>
                <c:pt idx="50">
                  <c:v>50.0092</c:v>
                </c:pt>
                <c:pt idx="51">
                  <c:v>50.409100000000002</c:v>
                </c:pt>
                <c:pt idx="52">
                  <c:v>50.820799999999998</c:v>
                </c:pt>
                <c:pt idx="53">
                  <c:v>51.228000000000002</c:v>
                </c:pt>
                <c:pt idx="54">
                  <c:v>51.634799999999998</c:v>
                </c:pt>
                <c:pt idx="55">
                  <c:v>52.040900000000001</c:v>
                </c:pt>
                <c:pt idx="56">
                  <c:v>52.442700000000002</c:v>
                </c:pt>
                <c:pt idx="57">
                  <c:v>52.8476</c:v>
                </c:pt>
                <c:pt idx="58">
                  <c:v>53.259599999999999</c:v>
                </c:pt>
                <c:pt idx="59">
                  <c:v>53.664400000000001</c:v>
                </c:pt>
                <c:pt idx="60">
                  <c:v>54.070399999999999</c:v>
                </c:pt>
                <c:pt idx="61">
                  <c:v>54.4724</c:v>
                </c:pt>
                <c:pt idx="62">
                  <c:v>54.883200000000002</c:v>
                </c:pt>
                <c:pt idx="63">
                  <c:v>55.287100000000002</c:v>
                </c:pt>
                <c:pt idx="64">
                  <c:v>55.694000000000003</c:v>
                </c:pt>
                <c:pt idx="65">
                  <c:v>56.100999999999999</c:v>
                </c:pt>
                <c:pt idx="66">
                  <c:v>56.504899999999999</c:v>
                </c:pt>
                <c:pt idx="67">
                  <c:v>56.916699999999999</c:v>
                </c:pt>
                <c:pt idx="68">
                  <c:v>57.319699999999997</c:v>
                </c:pt>
                <c:pt idx="69">
                  <c:v>57.721699999999998</c:v>
                </c:pt>
                <c:pt idx="70">
                  <c:v>58.132899999999999</c:v>
                </c:pt>
                <c:pt idx="71">
                  <c:v>58.540399999999998</c:v>
                </c:pt>
                <c:pt idx="72">
                  <c:v>58.951300000000003</c:v>
                </c:pt>
                <c:pt idx="73">
                  <c:v>59.349400000000003</c:v>
                </c:pt>
                <c:pt idx="74">
                  <c:v>59.756100000000004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52.605599999999995</c:v>
                </c:pt>
                <c:pt idx="1">
                  <c:v>52.811600000000006</c:v>
                </c:pt>
                <c:pt idx="2">
                  <c:v>53.032800000000002</c:v>
                </c:pt>
                <c:pt idx="3">
                  <c:v>53.183100000000003</c:v>
                </c:pt>
                <c:pt idx="4">
                  <c:v>53.303699999999999</c:v>
                </c:pt>
                <c:pt idx="5">
                  <c:v>53.374900000000004</c:v>
                </c:pt>
                <c:pt idx="6">
                  <c:v>53.463499999999996</c:v>
                </c:pt>
                <c:pt idx="7">
                  <c:v>53.6678</c:v>
                </c:pt>
                <c:pt idx="8">
                  <c:v>53.901900000000005</c:v>
                </c:pt>
                <c:pt idx="9">
                  <c:v>54.187700000000007</c:v>
                </c:pt>
                <c:pt idx="10">
                  <c:v>54.4223</c:v>
                </c:pt>
                <c:pt idx="11">
                  <c:v>54.630599999999994</c:v>
                </c:pt>
                <c:pt idx="12">
                  <c:v>54.805499999999995</c:v>
                </c:pt>
                <c:pt idx="13">
                  <c:v>55.018999999999998</c:v>
                </c:pt>
                <c:pt idx="14">
                  <c:v>55.204299999999996</c:v>
                </c:pt>
                <c:pt idx="15">
                  <c:v>55.293899999999994</c:v>
                </c:pt>
                <c:pt idx="16">
                  <c:v>55.433799999999998</c:v>
                </c:pt>
                <c:pt idx="17">
                  <c:v>55.595500000000001</c:v>
                </c:pt>
                <c:pt idx="18">
                  <c:v>55.809200000000004</c:v>
                </c:pt>
                <c:pt idx="19">
                  <c:v>56.031399999999998</c:v>
                </c:pt>
                <c:pt idx="20">
                  <c:v>56.255099999999999</c:v>
                </c:pt>
                <c:pt idx="21">
                  <c:v>56.524799999999999</c:v>
                </c:pt>
                <c:pt idx="22">
                  <c:v>56.652899999999995</c:v>
                </c:pt>
                <c:pt idx="23">
                  <c:v>56.664999999999999</c:v>
                </c:pt>
                <c:pt idx="24">
                  <c:v>56.561300000000003</c:v>
                </c:pt>
                <c:pt idx="25">
                  <c:v>56.393800000000006</c:v>
                </c:pt>
                <c:pt idx="26">
                  <c:v>56.174599999999998</c:v>
                </c:pt>
                <c:pt idx="27">
                  <c:v>55.977699999999999</c:v>
                </c:pt>
                <c:pt idx="28">
                  <c:v>55.809299999999993</c:v>
                </c:pt>
                <c:pt idx="29">
                  <c:v>55.589700000000001</c:v>
                </c:pt>
                <c:pt idx="30">
                  <c:v>55.298499999999997</c:v>
                </c:pt>
                <c:pt idx="31">
                  <c:v>54.975200000000001</c:v>
                </c:pt>
                <c:pt idx="32">
                  <c:v>54.686199999999999</c:v>
                </c:pt>
                <c:pt idx="33">
                  <c:v>54.348100000000002</c:v>
                </c:pt>
                <c:pt idx="34">
                  <c:v>53.9953</c:v>
                </c:pt>
                <c:pt idx="35">
                  <c:v>53.596800000000002</c:v>
                </c:pt>
                <c:pt idx="36">
                  <c:v>53.222700000000003</c:v>
                </c:pt>
                <c:pt idx="37">
                  <c:v>52.862200000000001</c:v>
                </c:pt>
                <c:pt idx="38">
                  <c:v>52.445</c:v>
                </c:pt>
                <c:pt idx="39">
                  <c:v>52.061500000000002</c:v>
                </c:pt>
                <c:pt idx="40">
                  <c:v>51.799799999999998</c:v>
                </c:pt>
                <c:pt idx="41">
                  <c:v>51.509300000000003</c:v>
                </c:pt>
                <c:pt idx="42">
                  <c:v>51.262799999999999</c:v>
                </c:pt>
                <c:pt idx="43">
                  <c:v>51.036000000000001</c:v>
                </c:pt>
                <c:pt idx="44">
                  <c:v>50.854299999999995</c:v>
                </c:pt>
                <c:pt idx="45">
                  <c:v>50.7209</c:v>
                </c:pt>
                <c:pt idx="46">
                  <c:v>50.551400000000001</c:v>
                </c:pt>
                <c:pt idx="47">
                  <c:v>50.463100000000004</c:v>
                </c:pt>
                <c:pt idx="48">
                  <c:v>50.447900000000004</c:v>
                </c:pt>
                <c:pt idx="49">
                  <c:v>50.442100000000003</c:v>
                </c:pt>
                <c:pt idx="50">
                  <c:v>50.535499999999999</c:v>
                </c:pt>
                <c:pt idx="51">
                  <c:v>50.747799999999998</c:v>
                </c:pt>
                <c:pt idx="52">
                  <c:v>50.8553</c:v>
                </c:pt>
                <c:pt idx="53">
                  <c:v>50.830500000000001</c:v>
                </c:pt>
                <c:pt idx="54">
                  <c:v>50.773199999999996</c:v>
                </c:pt>
                <c:pt idx="55">
                  <c:v>50.719800000000006</c:v>
                </c:pt>
                <c:pt idx="56">
                  <c:v>50.673000000000002</c:v>
                </c:pt>
                <c:pt idx="57">
                  <c:v>50.567700000000002</c:v>
                </c:pt>
                <c:pt idx="58">
                  <c:v>50.558099999999996</c:v>
                </c:pt>
                <c:pt idx="59">
                  <c:v>50.463499999999996</c:v>
                </c:pt>
                <c:pt idx="60">
                  <c:v>50.366299999999995</c:v>
                </c:pt>
                <c:pt idx="61">
                  <c:v>50.207599999999999</c:v>
                </c:pt>
                <c:pt idx="62">
                  <c:v>50.0687</c:v>
                </c:pt>
                <c:pt idx="63">
                  <c:v>50.031599999999997</c:v>
                </c:pt>
                <c:pt idx="64">
                  <c:v>50.044499999999999</c:v>
                </c:pt>
                <c:pt idx="65">
                  <c:v>50.06</c:v>
                </c:pt>
                <c:pt idx="66">
                  <c:v>50.103500000000004</c:v>
                </c:pt>
                <c:pt idx="67">
                  <c:v>50.139900000000004</c:v>
                </c:pt>
                <c:pt idx="68">
                  <c:v>50.143000000000001</c:v>
                </c:pt>
                <c:pt idx="69">
                  <c:v>50.036800000000007</c:v>
                </c:pt>
                <c:pt idx="70">
                  <c:v>49.876899999999999</c:v>
                </c:pt>
                <c:pt idx="71">
                  <c:v>49.851800000000004</c:v>
                </c:pt>
                <c:pt idx="72">
                  <c:v>49.730699999999999</c:v>
                </c:pt>
                <c:pt idx="73">
                  <c:v>48.976100000000002</c:v>
                </c:pt>
                <c:pt idx="74">
                  <c:v>49.135199999999998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14.939025000000001</c:v>
                </c:pt>
                <c:pt idx="1">
                  <c:v>44.817075000000003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51.977355405405426</c:v>
                </c:pt>
                <c:pt idx="1">
                  <c:v>52.673686486486474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32.246299999999998</c:v>
                </c:pt>
                <c:pt idx="1">
                  <c:v>29.0245</c:v>
                </c:pt>
                <c:pt idx="2">
                  <c:v>19.424199999999999</c:v>
                </c:pt>
                <c:pt idx="3">
                  <c:v>25.580200000000001</c:v>
                </c:pt>
                <c:pt idx="4">
                  <c:v>68.119200000000006</c:v>
                </c:pt>
                <c:pt idx="5">
                  <c:v>65.535600000000002</c:v>
                </c:pt>
                <c:pt idx="6">
                  <c:v>18.778500000000001</c:v>
                </c:pt>
                <c:pt idx="7">
                  <c:v>65.357799999999997</c:v>
                </c:pt>
                <c:pt idx="8">
                  <c:v>18.188099999999999</c:v>
                </c:pt>
                <c:pt idx="9">
                  <c:v>34.730699999999999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33.548699999999997</c:v>
                </c:pt>
                <c:pt idx="1">
                  <c:v>26.159600000000001</c:v>
                </c:pt>
                <c:pt idx="2">
                  <c:v>15.3683</c:v>
                </c:pt>
                <c:pt idx="3">
                  <c:v>25.342600000000001</c:v>
                </c:pt>
                <c:pt idx="4">
                  <c:v>69.007300000000001</c:v>
                </c:pt>
                <c:pt idx="5">
                  <c:v>70.900599999999997</c:v>
                </c:pt>
                <c:pt idx="6">
                  <c:v>22.494399999999999</c:v>
                </c:pt>
                <c:pt idx="7">
                  <c:v>70.334199999999996</c:v>
                </c:pt>
                <c:pt idx="8">
                  <c:v>22.639199999999999</c:v>
                </c:pt>
                <c:pt idx="9">
                  <c:v>41.472900000000003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0.50660415036941986</c:v>
                </c:pt>
                <c:pt idx="1">
                  <c:v>0.2472068757692126</c:v>
                </c:pt>
                <c:pt idx="2">
                  <c:v>0.24618897386136759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4583</c:v>
                </c:pt>
                <c:pt idx="7">
                  <c:v>0</c:v>
                </c:pt>
                <c:pt idx="8">
                  <c:v>6924</c:v>
                </c:pt>
                <c:pt idx="9">
                  <c:v>0</c:v>
                </c:pt>
                <c:pt idx="10">
                  <c:v>0</c:v>
                </c:pt>
                <c:pt idx="11">
                  <c:v>8450</c:v>
                </c:pt>
                <c:pt idx="12">
                  <c:v>0</c:v>
                </c:pt>
                <c:pt idx="13">
                  <c:v>12635</c:v>
                </c:pt>
                <c:pt idx="14">
                  <c:v>0</c:v>
                </c:pt>
                <c:pt idx="15">
                  <c:v>0</c:v>
                </c:pt>
                <c:pt idx="16">
                  <c:v>15109</c:v>
                </c:pt>
                <c:pt idx="17">
                  <c:v>0</c:v>
                </c:pt>
                <c:pt idx="18">
                  <c:v>0</c:v>
                </c:pt>
                <c:pt idx="19">
                  <c:v>20901</c:v>
                </c:pt>
                <c:pt idx="20">
                  <c:v>0</c:v>
                </c:pt>
                <c:pt idx="21">
                  <c:v>24957</c:v>
                </c:pt>
                <c:pt idx="22">
                  <c:v>0</c:v>
                </c:pt>
                <c:pt idx="23">
                  <c:v>0</c:v>
                </c:pt>
                <c:pt idx="24">
                  <c:v>26839</c:v>
                </c:pt>
                <c:pt idx="25">
                  <c:v>0</c:v>
                </c:pt>
                <c:pt idx="26">
                  <c:v>33898</c:v>
                </c:pt>
                <c:pt idx="27">
                  <c:v>0</c:v>
                </c:pt>
                <c:pt idx="28">
                  <c:v>0</c:v>
                </c:pt>
                <c:pt idx="29">
                  <c:v>39199</c:v>
                </c:pt>
                <c:pt idx="30">
                  <c:v>0</c:v>
                </c:pt>
                <c:pt idx="31">
                  <c:v>41723</c:v>
                </c:pt>
                <c:pt idx="32">
                  <c:v>0</c:v>
                </c:pt>
                <c:pt idx="33">
                  <c:v>0</c:v>
                </c:pt>
                <c:pt idx="34">
                  <c:v>50328</c:v>
                </c:pt>
                <c:pt idx="35">
                  <c:v>0</c:v>
                </c:pt>
                <c:pt idx="36">
                  <c:v>0</c:v>
                </c:pt>
                <c:pt idx="37">
                  <c:v>49846</c:v>
                </c:pt>
                <c:pt idx="38">
                  <c:v>0</c:v>
                </c:pt>
                <c:pt idx="39">
                  <c:v>56629</c:v>
                </c:pt>
                <c:pt idx="40">
                  <c:v>0</c:v>
                </c:pt>
                <c:pt idx="41">
                  <c:v>0</c:v>
                </c:pt>
                <c:pt idx="42">
                  <c:v>64171</c:v>
                </c:pt>
                <c:pt idx="43">
                  <c:v>0</c:v>
                </c:pt>
                <c:pt idx="44">
                  <c:v>68723</c:v>
                </c:pt>
                <c:pt idx="45">
                  <c:v>0</c:v>
                </c:pt>
                <c:pt idx="46">
                  <c:v>0</c:v>
                </c:pt>
                <c:pt idx="47">
                  <c:v>68617</c:v>
                </c:pt>
                <c:pt idx="48">
                  <c:v>0</c:v>
                </c:pt>
                <c:pt idx="49">
                  <c:v>75938</c:v>
                </c:pt>
                <c:pt idx="50">
                  <c:v>0</c:v>
                </c:pt>
                <c:pt idx="51">
                  <c:v>0</c:v>
                </c:pt>
                <c:pt idx="52">
                  <c:v>79058</c:v>
                </c:pt>
                <c:pt idx="53">
                  <c:v>0</c:v>
                </c:pt>
                <c:pt idx="54">
                  <c:v>0</c:v>
                </c:pt>
                <c:pt idx="55">
                  <c:v>80463</c:v>
                </c:pt>
                <c:pt idx="56">
                  <c:v>0</c:v>
                </c:pt>
                <c:pt idx="57">
                  <c:v>86624</c:v>
                </c:pt>
                <c:pt idx="58">
                  <c:v>0</c:v>
                </c:pt>
                <c:pt idx="59">
                  <c:v>0</c:v>
                </c:pt>
                <c:pt idx="60">
                  <c:v>78738</c:v>
                </c:pt>
                <c:pt idx="61">
                  <c:v>0</c:v>
                </c:pt>
                <c:pt idx="62">
                  <c:v>87007</c:v>
                </c:pt>
                <c:pt idx="63">
                  <c:v>0</c:v>
                </c:pt>
                <c:pt idx="64">
                  <c:v>0</c:v>
                </c:pt>
                <c:pt idx="65">
                  <c:v>86032</c:v>
                </c:pt>
                <c:pt idx="66">
                  <c:v>0</c:v>
                </c:pt>
                <c:pt idx="67">
                  <c:v>78890</c:v>
                </c:pt>
                <c:pt idx="68">
                  <c:v>0</c:v>
                </c:pt>
                <c:pt idx="69">
                  <c:v>0</c:v>
                </c:pt>
                <c:pt idx="70">
                  <c:v>74880</c:v>
                </c:pt>
                <c:pt idx="71">
                  <c:v>0</c:v>
                </c:pt>
                <c:pt idx="72">
                  <c:v>0</c:v>
                </c:pt>
                <c:pt idx="73">
                  <c:v>74425</c:v>
                </c:pt>
                <c:pt idx="74">
                  <c:v>0</c:v>
                </c:pt>
                <c:pt idx="75">
                  <c:v>69598</c:v>
                </c:pt>
                <c:pt idx="76">
                  <c:v>0</c:v>
                </c:pt>
                <c:pt idx="77">
                  <c:v>0</c:v>
                </c:pt>
                <c:pt idx="78">
                  <c:v>66173</c:v>
                </c:pt>
                <c:pt idx="79">
                  <c:v>0</c:v>
                </c:pt>
                <c:pt idx="80">
                  <c:v>61174</c:v>
                </c:pt>
                <c:pt idx="81">
                  <c:v>0</c:v>
                </c:pt>
                <c:pt idx="82">
                  <c:v>0</c:v>
                </c:pt>
                <c:pt idx="83">
                  <c:v>62290</c:v>
                </c:pt>
                <c:pt idx="84">
                  <c:v>0</c:v>
                </c:pt>
                <c:pt idx="85">
                  <c:v>0</c:v>
                </c:pt>
                <c:pt idx="86">
                  <c:v>50744</c:v>
                </c:pt>
                <c:pt idx="87">
                  <c:v>0</c:v>
                </c:pt>
                <c:pt idx="88">
                  <c:v>43657</c:v>
                </c:pt>
                <c:pt idx="89">
                  <c:v>0</c:v>
                </c:pt>
                <c:pt idx="90">
                  <c:v>0</c:v>
                </c:pt>
                <c:pt idx="91">
                  <c:v>47257</c:v>
                </c:pt>
                <c:pt idx="92">
                  <c:v>0</c:v>
                </c:pt>
                <c:pt idx="93">
                  <c:v>50539</c:v>
                </c:pt>
                <c:pt idx="94">
                  <c:v>0</c:v>
                </c:pt>
                <c:pt idx="95">
                  <c:v>0</c:v>
                </c:pt>
                <c:pt idx="96">
                  <c:v>47063</c:v>
                </c:pt>
                <c:pt idx="97">
                  <c:v>0</c:v>
                </c:pt>
                <c:pt idx="98">
                  <c:v>46375</c:v>
                </c:pt>
                <c:pt idx="99">
                  <c:v>0</c:v>
                </c:pt>
                <c:pt idx="100">
                  <c:v>0</c:v>
                </c:pt>
                <c:pt idx="101">
                  <c:v>46035</c:v>
                </c:pt>
                <c:pt idx="102">
                  <c:v>0</c:v>
                </c:pt>
                <c:pt idx="103">
                  <c:v>0</c:v>
                </c:pt>
                <c:pt idx="104">
                  <c:v>39170</c:v>
                </c:pt>
                <c:pt idx="105">
                  <c:v>0</c:v>
                </c:pt>
                <c:pt idx="106">
                  <c:v>33110</c:v>
                </c:pt>
                <c:pt idx="107">
                  <c:v>0</c:v>
                </c:pt>
                <c:pt idx="108">
                  <c:v>0</c:v>
                </c:pt>
                <c:pt idx="109">
                  <c:v>34377</c:v>
                </c:pt>
                <c:pt idx="110">
                  <c:v>0</c:v>
                </c:pt>
                <c:pt idx="111">
                  <c:v>26776</c:v>
                </c:pt>
                <c:pt idx="112">
                  <c:v>0</c:v>
                </c:pt>
                <c:pt idx="113">
                  <c:v>0</c:v>
                </c:pt>
                <c:pt idx="114">
                  <c:v>22235</c:v>
                </c:pt>
                <c:pt idx="115">
                  <c:v>0</c:v>
                </c:pt>
                <c:pt idx="116">
                  <c:v>19748</c:v>
                </c:pt>
                <c:pt idx="117">
                  <c:v>0</c:v>
                </c:pt>
                <c:pt idx="118">
                  <c:v>0</c:v>
                </c:pt>
                <c:pt idx="119">
                  <c:v>19814</c:v>
                </c:pt>
                <c:pt idx="120">
                  <c:v>0</c:v>
                </c:pt>
                <c:pt idx="121">
                  <c:v>0</c:v>
                </c:pt>
                <c:pt idx="122">
                  <c:v>16687</c:v>
                </c:pt>
                <c:pt idx="123">
                  <c:v>0</c:v>
                </c:pt>
                <c:pt idx="124">
                  <c:v>14709</c:v>
                </c:pt>
                <c:pt idx="125">
                  <c:v>0</c:v>
                </c:pt>
                <c:pt idx="126">
                  <c:v>0</c:v>
                </c:pt>
                <c:pt idx="127">
                  <c:v>11794</c:v>
                </c:pt>
                <c:pt idx="128">
                  <c:v>0</c:v>
                </c:pt>
                <c:pt idx="129">
                  <c:v>11273</c:v>
                </c:pt>
                <c:pt idx="130">
                  <c:v>0</c:v>
                </c:pt>
                <c:pt idx="131">
                  <c:v>0</c:v>
                </c:pt>
                <c:pt idx="132">
                  <c:v>8707</c:v>
                </c:pt>
                <c:pt idx="133">
                  <c:v>0</c:v>
                </c:pt>
                <c:pt idx="134">
                  <c:v>8003</c:v>
                </c:pt>
                <c:pt idx="135">
                  <c:v>0</c:v>
                </c:pt>
                <c:pt idx="136">
                  <c:v>0</c:v>
                </c:pt>
                <c:pt idx="137">
                  <c:v>4192</c:v>
                </c:pt>
                <c:pt idx="138">
                  <c:v>0</c:v>
                </c:pt>
                <c:pt idx="139">
                  <c:v>0</c:v>
                </c:pt>
                <c:pt idx="140">
                  <c:v>3188</c:v>
                </c:pt>
                <c:pt idx="141">
                  <c:v>0</c:v>
                </c:pt>
                <c:pt idx="142">
                  <c:v>1772</c:v>
                </c:pt>
                <c:pt idx="143">
                  <c:v>0</c:v>
                </c:pt>
                <c:pt idx="144">
                  <c:v>0</c:v>
                </c:pt>
                <c:pt idx="145">
                  <c:v>2634</c:v>
                </c:pt>
                <c:pt idx="146">
                  <c:v>0</c:v>
                </c:pt>
                <c:pt idx="147">
                  <c:v>1279</c:v>
                </c:pt>
                <c:pt idx="148">
                  <c:v>0</c:v>
                </c:pt>
                <c:pt idx="149">
                  <c:v>0</c:v>
                </c:pt>
                <c:pt idx="150">
                  <c:v>992</c:v>
                </c:pt>
                <c:pt idx="151">
                  <c:v>0</c:v>
                </c:pt>
                <c:pt idx="152">
                  <c:v>577</c:v>
                </c:pt>
                <c:pt idx="153">
                  <c:v>0</c:v>
                </c:pt>
                <c:pt idx="154">
                  <c:v>0</c:v>
                </c:pt>
                <c:pt idx="155">
                  <c:v>401</c:v>
                </c:pt>
                <c:pt idx="156">
                  <c:v>0</c:v>
                </c:pt>
                <c:pt idx="157">
                  <c:v>0</c:v>
                </c:pt>
                <c:pt idx="158">
                  <c:v>476</c:v>
                </c:pt>
                <c:pt idx="159">
                  <c:v>0</c:v>
                </c:pt>
                <c:pt idx="160">
                  <c:v>597</c:v>
                </c:pt>
                <c:pt idx="161">
                  <c:v>0</c:v>
                </c:pt>
                <c:pt idx="162">
                  <c:v>0</c:v>
                </c:pt>
                <c:pt idx="163">
                  <c:v>216</c:v>
                </c:pt>
                <c:pt idx="164">
                  <c:v>0</c:v>
                </c:pt>
                <c:pt idx="165">
                  <c:v>431</c:v>
                </c:pt>
                <c:pt idx="166">
                  <c:v>0</c:v>
                </c:pt>
                <c:pt idx="167">
                  <c:v>0</c:v>
                </c:pt>
                <c:pt idx="168">
                  <c:v>60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5284</c:v>
                </c:pt>
                <c:pt idx="7">
                  <c:v>0</c:v>
                </c:pt>
                <c:pt idx="8">
                  <c:v>6349</c:v>
                </c:pt>
                <c:pt idx="9">
                  <c:v>0</c:v>
                </c:pt>
                <c:pt idx="10">
                  <c:v>0</c:v>
                </c:pt>
                <c:pt idx="11">
                  <c:v>10828</c:v>
                </c:pt>
                <c:pt idx="12">
                  <c:v>0</c:v>
                </c:pt>
                <c:pt idx="13">
                  <c:v>11072</c:v>
                </c:pt>
                <c:pt idx="14">
                  <c:v>0</c:v>
                </c:pt>
                <c:pt idx="15">
                  <c:v>0</c:v>
                </c:pt>
                <c:pt idx="16">
                  <c:v>11726</c:v>
                </c:pt>
                <c:pt idx="17">
                  <c:v>0</c:v>
                </c:pt>
                <c:pt idx="18">
                  <c:v>0</c:v>
                </c:pt>
                <c:pt idx="19">
                  <c:v>10796</c:v>
                </c:pt>
                <c:pt idx="20">
                  <c:v>0</c:v>
                </c:pt>
                <c:pt idx="21">
                  <c:v>10012</c:v>
                </c:pt>
                <c:pt idx="22">
                  <c:v>0</c:v>
                </c:pt>
                <c:pt idx="23">
                  <c:v>0</c:v>
                </c:pt>
                <c:pt idx="24">
                  <c:v>9446</c:v>
                </c:pt>
                <c:pt idx="25">
                  <c:v>0</c:v>
                </c:pt>
                <c:pt idx="26">
                  <c:v>10690</c:v>
                </c:pt>
                <c:pt idx="27">
                  <c:v>0</c:v>
                </c:pt>
                <c:pt idx="28">
                  <c:v>0</c:v>
                </c:pt>
                <c:pt idx="29">
                  <c:v>10350</c:v>
                </c:pt>
                <c:pt idx="30">
                  <c:v>0</c:v>
                </c:pt>
                <c:pt idx="31">
                  <c:v>10107</c:v>
                </c:pt>
                <c:pt idx="32">
                  <c:v>0</c:v>
                </c:pt>
                <c:pt idx="33">
                  <c:v>0</c:v>
                </c:pt>
                <c:pt idx="34">
                  <c:v>16235</c:v>
                </c:pt>
                <c:pt idx="35">
                  <c:v>0</c:v>
                </c:pt>
                <c:pt idx="36">
                  <c:v>0</c:v>
                </c:pt>
                <c:pt idx="37">
                  <c:v>14304</c:v>
                </c:pt>
                <c:pt idx="38">
                  <c:v>0</c:v>
                </c:pt>
                <c:pt idx="39">
                  <c:v>17983</c:v>
                </c:pt>
                <c:pt idx="40">
                  <c:v>0</c:v>
                </c:pt>
                <c:pt idx="41">
                  <c:v>0</c:v>
                </c:pt>
                <c:pt idx="42">
                  <c:v>25415</c:v>
                </c:pt>
                <c:pt idx="43">
                  <c:v>0</c:v>
                </c:pt>
                <c:pt idx="44">
                  <c:v>38283</c:v>
                </c:pt>
                <c:pt idx="45">
                  <c:v>0</c:v>
                </c:pt>
                <c:pt idx="46">
                  <c:v>0</c:v>
                </c:pt>
                <c:pt idx="47">
                  <c:v>43453</c:v>
                </c:pt>
                <c:pt idx="48">
                  <c:v>0</c:v>
                </c:pt>
                <c:pt idx="49">
                  <c:v>51471</c:v>
                </c:pt>
                <c:pt idx="50">
                  <c:v>0</c:v>
                </c:pt>
                <c:pt idx="51">
                  <c:v>0</c:v>
                </c:pt>
                <c:pt idx="52">
                  <c:v>68018</c:v>
                </c:pt>
                <c:pt idx="53">
                  <c:v>0</c:v>
                </c:pt>
                <c:pt idx="54">
                  <c:v>0</c:v>
                </c:pt>
                <c:pt idx="55">
                  <c:v>77040</c:v>
                </c:pt>
                <c:pt idx="56">
                  <c:v>0</c:v>
                </c:pt>
                <c:pt idx="57">
                  <c:v>86672</c:v>
                </c:pt>
                <c:pt idx="58">
                  <c:v>0</c:v>
                </c:pt>
                <c:pt idx="59">
                  <c:v>0</c:v>
                </c:pt>
                <c:pt idx="60">
                  <c:v>91279</c:v>
                </c:pt>
                <c:pt idx="61">
                  <c:v>0</c:v>
                </c:pt>
                <c:pt idx="62">
                  <c:v>95629</c:v>
                </c:pt>
                <c:pt idx="63">
                  <c:v>0</c:v>
                </c:pt>
                <c:pt idx="64">
                  <c:v>0</c:v>
                </c:pt>
                <c:pt idx="65">
                  <c:v>111410</c:v>
                </c:pt>
                <c:pt idx="66">
                  <c:v>0</c:v>
                </c:pt>
                <c:pt idx="67">
                  <c:v>118216</c:v>
                </c:pt>
                <c:pt idx="68">
                  <c:v>0</c:v>
                </c:pt>
                <c:pt idx="69">
                  <c:v>0</c:v>
                </c:pt>
                <c:pt idx="70">
                  <c:v>123265</c:v>
                </c:pt>
                <c:pt idx="71">
                  <c:v>0</c:v>
                </c:pt>
                <c:pt idx="72">
                  <c:v>0</c:v>
                </c:pt>
                <c:pt idx="73">
                  <c:v>136722</c:v>
                </c:pt>
                <c:pt idx="74">
                  <c:v>0</c:v>
                </c:pt>
                <c:pt idx="75">
                  <c:v>143368</c:v>
                </c:pt>
                <c:pt idx="76">
                  <c:v>0</c:v>
                </c:pt>
                <c:pt idx="77">
                  <c:v>0</c:v>
                </c:pt>
                <c:pt idx="78">
                  <c:v>145759</c:v>
                </c:pt>
                <c:pt idx="79">
                  <c:v>0</c:v>
                </c:pt>
                <c:pt idx="80">
                  <c:v>142022</c:v>
                </c:pt>
                <c:pt idx="81">
                  <c:v>0</c:v>
                </c:pt>
                <c:pt idx="82">
                  <c:v>0</c:v>
                </c:pt>
                <c:pt idx="83">
                  <c:v>147869</c:v>
                </c:pt>
                <c:pt idx="84">
                  <c:v>0</c:v>
                </c:pt>
                <c:pt idx="85">
                  <c:v>0</c:v>
                </c:pt>
                <c:pt idx="86">
                  <c:v>159474</c:v>
                </c:pt>
                <c:pt idx="87">
                  <c:v>0</c:v>
                </c:pt>
                <c:pt idx="88">
                  <c:v>142791</c:v>
                </c:pt>
                <c:pt idx="89">
                  <c:v>0</c:v>
                </c:pt>
                <c:pt idx="90">
                  <c:v>0</c:v>
                </c:pt>
                <c:pt idx="91">
                  <c:v>132038</c:v>
                </c:pt>
                <c:pt idx="92">
                  <c:v>0</c:v>
                </c:pt>
                <c:pt idx="93">
                  <c:v>129238</c:v>
                </c:pt>
                <c:pt idx="94">
                  <c:v>0</c:v>
                </c:pt>
                <c:pt idx="95">
                  <c:v>0</c:v>
                </c:pt>
                <c:pt idx="96">
                  <c:v>127011</c:v>
                </c:pt>
                <c:pt idx="97">
                  <c:v>0</c:v>
                </c:pt>
                <c:pt idx="98">
                  <c:v>117519</c:v>
                </c:pt>
                <c:pt idx="99">
                  <c:v>0</c:v>
                </c:pt>
                <c:pt idx="100">
                  <c:v>0</c:v>
                </c:pt>
                <c:pt idx="101">
                  <c:v>90140</c:v>
                </c:pt>
                <c:pt idx="102">
                  <c:v>0</c:v>
                </c:pt>
                <c:pt idx="103">
                  <c:v>0</c:v>
                </c:pt>
                <c:pt idx="104">
                  <c:v>81417</c:v>
                </c:pt>
                <c:pt idx="105">
                  <c:v>0</c:v>
                </c:pt>
                <c:pt idx="106">
                  <c:v>66649</c:v>
                </c:pt>
                <c:pt idx="107">
                  <c:v>0</c:v>
                </c:pt>
                <c:pt idx="108">
                  <c:v>0</c:v>
                </c:pt>
                <c:pt idx="109">
                  <c:v>63063</c:v>
                </c:pt>
                <c:pt idx="110">
                  <c:v>0</c:v>
                </c:pt>
                <c:pt idx="111">
                  <c:v>53089</c:v>
                </c:pt>
                <c:pt idx="112">
                  <c:v>0</c:v>
                </c:pt>
                <c:pt idx="113">
                  <c:v>0</c:v>
                </c:pt>
                <c:pt idx="114">
                  <c:v>44071</c:v>
                </c:pt>
                <c:pt idx="115">
                  <c:v>0</c:v>
                </c:pt>
                <c:pt idx="116">
                  <c:v>39251</c:v>
                </c:pt>
                <c:pt idx="117">
                  <c:v>0</c:v>
                </c:pt>
                <c:pt idx="118">
                  <c:v>0</c:v>
                </c:pt>
                <c:pt idx="119">
                  <c:v>29988</c:v>
                </c:pt>
                <c:pt idx="120">
                  <c:v>0</c:v>
                </c:pt>
                <c:pt idx="121">
                  <c:v>0</c:v>
                </c:pt>
                <c:pt idx="122">
                  <c:v>24599</c:v>
                </c:pt>
                <c:pt idx="123">
                  <c:v>0</c:v>
                </c:pt>
                <c:pt idx="124">
                  <c:v>22495</c:v>
                </c:pt>
                <c:pt idx="125">
                  <c:v>0</c:v>
                </c:pt>
                <c:pt idx="126">
                  <c:v>0</c:v>
                </c:pt>
                <c:pt idx="127">
                  <c:v>20652</c:v>
                </c:pt>
                <c:pt idx="128">
                  <c:v>0</c:v>
                </c:pt>
                <c:pt idx="129">
                  <c:v>16024</c:v>
                </c:pt>
                <c:pt idx="130">
                  <c:v>0</c:v>
                </c:pt>
                <c:pt idx="131">
                  <c:v>0</c:v>
                </c:pt>
                <c:pt idx="132">
                  <c:v>12082</c:v>
                </c:pt>
                <c:pt idx="133">
                  <c:v>0</c:v>
                </c:pt>
                <c:pt idx="134">
                  <c:v>8691</c:v>
                </c:pt>
                <c:pt idx="135">
                  <c:v>0</c:v>
                </c:pt>
                <c:pt idx="136">
                  <c:v>0</c:v>
                </c:pt>
                <c:pt idx="137">
                  <c:v>6881</c:v>
                </c:pt>
                <c:pt idx="138">
                  <c:v>0</c:v>
                </c:pt>
                <c:pt idx="139">
                  <c:v>0</c:v>
                </c:pt>
                <c:pt idx="140">
                  <c:v>7098</c:v>
                </c:pt>
                <c:pt idx="141">
                  <c:v>0</c:v>
                </c:pt>
                <c:pt idx="142">
                  <c:v>5013</c:v>
                </c:pt>
                <c:pt idx="143">
                  <c:v>0</c:v>
                </c:pt>
                <c:pt idx="144">
                  <c:v>0</c:v>
                </c:pt>
                <c:pt idx="145">
                  <c:v>5748</c:v>
                </c:pt>
                <c:pt idx="146">
                  <c:v>0</c:v>
                </c:pt>
                <c:pt idx="147">
                  <c:v>4445</c:v>
                </c:pt>
                <c:pt idx="148">
                  <c:v>0</c:v>
                </c:pt>
                <c:pt idx="149">
                  <c:v>0</c:v>
                </c:pt>
                <c:pt idx="150">
                  <c:v>4311</c:v>
                </c:pt>
                <c:pt idx="151">
                  <c:v>0</c:v>
                </c:pt>
                <c:pt idx="152">
                  <c:v>2505</c:v>
                </c:pt>
                <c:pt idx="153">
                  <c:v>0</c:v>
                </c:pt>
                <c:pt idx="154">
                  <c:v>0</c:v>
                </c:pt>
                <c:pt idx="155">
                  <c:v>1528</c:v>
                </c:pt>
                <c:pt idx="156">
                  <c:v>0</c:v>
                </c:pt>
                <c:pt idx="157">
                  <c:v>0</c:v>
                </c:pt>
                <c:pt idx="158">
                  <c:v>1107</c:v>
                </c:pt>
                <c:pt idx="159">
                  <c:v>0</c:v>
                </c:pt>
                <c:pt idx="160">
                  <c:v>476</c:v>
                </c:pt>
                <c:pt idx="161">
                  <c:v>0</c:v>
                </c:pt>
                <c:pt idx="162">
                  <c:v>0</c:v>
                </c:pt>
                <c:pt idx="163">
                  <c:v>436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0.22360460666467005</c:v>
                </c:pt>
                <c:pt idx="1">
                  <c:v>0.34110364072973776</c:v>
                </c:pt>
                <c:pt idx="2">
                  <c:v>0.43529175260559216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0.50443571555674616</c:v>
                </c:pt>
                <c:pt idx="1">
                  <c:v>0.21764970689013546</c:v>
                </c:pt>
                <c:pt idx="2">
                  <c:v>0.27791457755311838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7.6173350000000006</c:v>
                </c:pt>
                <c:pt idx="1">
                  <c:v>29.234834999999997</c:v>
                </c:pt>
                <c:pt idx="2">
                  <c:v>30.103349999999999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0.39891700000000002</c:v>
                </c:pt>
                <c:pt idx="2">
                  <c:v>0.80396299999999998</c:v>
                </c:pt>
                <c:pt idx="3">
                  <c:v>1.21271</c:v>
                </c:pt>
                <c:pt idx="4">
                  <c:v>1.6206</c:v>
                </c:pt>
                <c:pt idx="5">
                  <c:v>2.0249899999999998</c:v>
                </c:pt>
                <c:pt idx="6">
                  <c:v>2.4304899999999998</c:v>
                </c:pt>
                <c:pt idx="7">
                  <c:v>2.83683</c:v>
                </c:pt>
                <c:pt idx="8">
                  <c:v>3.2400500000000001</c:v>
                </c:pt>
                <c:pt idx="9">
                  <c:v>3.6512600000000002</c:v>
                </c:pt>
                <c:pt idx="10">
                  <c:v>4.0562399999999998</c:v>
                </c:pt>
                <c:pt idx="11">
                  <c:v>4.4600400000000002</c:v>
                </c:pt>
                <c:pt idx="12">
                  <c:v>4.8649100000000001</c:v>
                </c:pt>
                <c:pt idx="13">
                  <c:v>5.2729200000000001</c:v>
                </c:pt>
                <c:pt idx="14">
                  <c:v>5.6797800000000001</c:v>
                </c:pt>
                <c:pt idx="15">
                  <c:v>6.0871399999999998</c:v>
                </c:pt>
                <c:pt idx="16">
                  <c:v>6.4871499999999997</c:v>
                </c:pt>
                <c:pt idx="17">
                  <c:v>6.8935000000000004</c:v>
                </c:pt>
                <c:pt idx="18">
                  <c:v>7.3044399999999996</c:v>
                </c:pt>
                <c:pt idx="19">
                  <c:v>7.7098199999999997</c:v>
                </c:pt>
                <c:pt idx="20">
                  <c:v>8.1154499999999992</c:v>
                </c:pt>
                <c:pt idx="21">
                  <c:v>8.5244999999999997</c:v>
                </c:pt>
                <c:pt idx="22">
                  <c:v>8.9268999999999998</c:v>
                </c:pt>
                <c:pt idx="23">
                  <c:v>9.3359299999999994</c:v>
                </c:pt>
                <c:pt idx="24">
                  <c:v>9.7399199999999997</c:v>
                </c:pt>
                <c:pt idx="25">
                  <c:v>10.147</c:v>
                </c:pt>
                <c:pt idx="26">
                  <c:v>10.5581</c:v>
                </c:pt>
                <c:pt idx="27">
                  <c:v>10.9598</c:v>
                </c:pt>
                <c:pt idx="28">
                  <c:v>11.365500000000001</c:v>
                </c:pt>
                <c:pt idx="29">
                  <c:v>11.773400000000001</c:v>
                </c:pt>
                <c:pt idx="30">
                  <c:v>12.179500000000001</c:v>
                </c:pt>
                <c:pt idx="31">
                  <c:v>12.5893</c:v>
                </c:pt>
                <c:pt idx="32">
                  <c:v>12.988200000000001</c:v>
                </c:pt>
                <c:pt idx="33">
                  <c:v>13.395099999999999</c:v>
                </c:pt>
                <c:pt idx="34">
                  <c:v>13.804</c:v>
                </c:pt>
                <c:pt idx="35">
                  <c:v>14.206</c:v>
                </c:pt>
                <c:pt idx="36">
                  <c:v>14.613200000000001</c:v>
                </c:pt>
                <c:pt idx="37">
                  <c:v>15.0259</c:v>
                </c:pt>
                <c:pt idx="38">
                  <c:v>15.431800000000001</c:v>
                </c:pt>
                <c:pt idx="39">
                  <c:v>15.8367</c:v>
                </c:pt>
                <c:pt idx="40">
                  <c:v>16.2407</c:v>
                </c:pt>
                <c:pt idx="41">
                  <c:v>16.647400000000001</c:v>
                </c:pt>
                <c:pt idx="42">
                  <c:v>17.0533</c:v>
                </c:pt>
                <c:pt idx="43">
                  <c:v>17.461500000000001</c:v>
                </c:pt>
                <c:pt idx="44">
                  <c:v>17.868500000000001</c:v>
                </c:pt>
                <c:pt idx="45">
                  <c:v>18.275200000000002</c:v>
                </c:pt>
                <c:pt idx="46">
                  <c:v>18.681999999999999</c:v>
                </c:pt>
                <c:pt idx="47">
                  <c:v>19.084900000000001</c:v>
                </c:pt>
                <c:pt idx="48">
                  <c:v>19.494</c:v>
                </c:pt>
                <c:pt idx="49">
                  <c:v>19.8977</c:v>
                </c:pt>
                <c:pt idx="50">
                  <c:v>20.304600000000001</c:v>
                </c:pt>
                <c:pt idx="51">
                  <c:v>20.711600000000001</c:v>
                </c:pt>
                <c:pt idx="52">
                  <c:v>21.1174</c:v>
                </c:pt>
                <c:pt idx="53">
                  <c:v>21.521699999999999</c:v>
                </c:pt>
                <c:pt idx="54">
                  <c:v>21.927299999999999</c:v>
                </c:pt>
                <c:pt idx="55">
                  <c:v>22.337299999999999</c:v>
                </c:pt>
                <c:pt idx="56">
                  <c:v>22.738199999999999</c:v>
                </c:pt>
                <c:pt idx="57">
                  <c:v>23.147099999999998</c:v>
                </c:pt>
                <c:pt idx="58">
                  <c:v>23.559100000000001</c:v>
                </c:pt>
                <c:pt idx="59">
                  <c:v>23.962800000000001</c:v>
                </c:pt>
                <c:pt idx="60">
                  <c:v>24.365500000000001</c:v>
                </c:pt>
                <c:pt idx="61">
                  <c:v>24.775700000000001</c:v>
                </c:pt>
                <c:pt idx="62">
                  <c:v>25.177600000000002</c:v>
                </c:pt>
                <c:pt idx="63">
                  <c:v>25.5883</c:v>
                </c:pt>
                <c:pt idx="64">
                  <c:v>25.9925</c:v>
                </c:pt>
                <c:pt idx="65">
                  <c:v>26.3963</c:v>
                </c:pt>
                <c:pt idx="66">
                  <c:v>26.8048</c:v>
                </c:pt>
                <c:pt idx="67">
                  <c:v>27.212199999999999</c:v>
                </c:pt>
                <c:pt idx="68">
                  <c:v>27.620100000000001</c:v>
                </c:pt>
                <c:pt idx="69">
                  <c:v>28.022099999999998</c:v>
                </c:pt>
                <c:pt idx="70">
                  <c:v>28.4299</c:v>
                </c:pt>
                <c:pt idx="71">
                  <c:v>28.834900000000001</c:v>
                </c:pt>
                <c:pt idx="72">
                  <c:v>29.246600000000001</c:v>
                </c:pt>
                <c:pt idx="73">
                  <c:v>29.650600000000001</c:v>
                </c:pt>
                <c:pt idx="74">
                  <c:v>30.0578</c:v>
                </c:pt>
                <c:pt idx="75">
                  <c:v>30.634</c:v>
                </c:pt>
                <c:pt idx="76">
                  <c:v>31.007000000000001</c:v>
                </c:pt>
                <c:pt idx="77">
                  <c:v>31.384</c:v>
                </c:pt>
                <c:pt idx="78">
                  <c:v>31.759799999999998</c:v>
                </c:pt>
                <c:pt idx="79">
                  <c:v>32.131100000000004</c:v>
                </c:pt>
                <c:pt idx="80">
                  <c:v>32.539900000000003</c:v>
                </c:pt>
                <c:pt idx="81">
                  <c:v>32.947899999999997</c:v>
                </c:pt>
                <c:pt idx="82">
                  <c:v>33.352699999999999</c:v>
                </c:pt>
                <c:pt idx="83">
                  <c:v>33.756700000000002</c:v>
                </c:pt>
                <c:pt idx="84">
                  <c:v>34.160600000000002</c:v>
                </c:pt>
                <c:pt idx="85">
                  <c:v>34.566600000000001</c:v>
                </c:pt>
                <c:pt idx="86">
                  <c:v>34.978400000000001</c:v>
                </c:pt>
                <c:pt idx="87">
                  <c:v>35.385300000000001</c:v>
                </c:pt>
                <c:pt idx="88">
                  <c:v>35.789200000000001</c:v>
                </c:pt>
                <c:pt idx="89">
                  <c:v>36.198099999999997</c:v>
                </c:pt>
                <c:pt idx="90">
                  <c:v>36.598999999999997</c:v>
                </c:pt>
                <c:pt idx="91">
                  <c:v>37.006</c:v>
                </c:pt>
                <c:pt idx="92">
                  <c:v>37.415900000000001</c:v>
                </c:pt>
                <c:pt idx="93">
                  <c:v>37.817700000000002</c:v>
                </c:pt>
                <c:pt idx="94">
                  <c:v>38.227699999999999</c:v>
                </c:pt>
                <c:pt idx="95">
                  <c:v>38.631</c:v>
                </c:pt>
                <c:pt idx="96">
                  <c:v>39.039499999999997</c:v>
                </c:pt>
                <c:pt idx="97">
                  <c:v>39.4465</c:v>
                </c:pt>
                <c:pt idx="98">
                  <c:v>39.848399999999998</c:v>
                </c:pt>
                <c:pt idx="99">
                  <c:v>40.258600000000001</c:v>
                </c:pt>
                <c:pt idx="100">
                  <c:v>40.663200000000003</c:v>
                </c:pt>
                <c:pt idx="101">
                  <c:v>41.073099999999997</c:v>
                </c:pt>
                <c:pt idx="102">
                  <c:v>41.475299999999997</c:v>
                </c:pt>
                <c:pt idx="103">
                  <c:v>41.878100000000003</c:v>
                </c:pt>
                <c:pt idx="104">
                  <c:v>42.29</c:v>
                </c:pt>
                <c:pt idx="105">
                  <c:v>42.695700000000002</c:v>
                </c:pt>
                <c:pt idx="106">
                  <c:v>43.1006</c:v>
                </c:pt>
                <c:pt idx="107">
                  <c:v>43.506599999999999</c:v>
                </c:pt>
                <c:pt idx="108">
                  <c:v>43.913499999999999</c:v>
                </c:pt>
                <c:pt idx="109">
                  <c:v>44.314500000000002</c:v>
                </c:pt>
                <c:pt idx="110">
                  <c:v>44.7273</c:v>
                </c:pt>
                <c:pt idx="111">
                  <c:v>45.13</c:v>
                </c:pt>
                <c:pt idx="112">
                  <c:v>45.539200000000001</c:v>
                </c:pt>
                <c:pt idx="113">
                  <c:v>45.945099999999996</c:v>
                </c:pt>
                <c:pt idx="114">
                  <c:v>46.353000000000002</c:v>
                </c:pt>
                <c:pt idx="115">
                  <c:v>46.754199999999997</c:v>
                </c:pt>
                <c:pt idx="116">
                  <c:v>47.1648</c:v>
                </c:pt>
                <c:pt idx="117">
                  <c:v>47.570799999999998</c:v>
                </c:pt>
                <c:pt idx="118">
                  <c:v>47.9756</c:v>
                </c:pt>
                <c:pt idx="119">
                  <c:v>48.380600000000001</c:v>
                </c:pt>
                <c:pt idx="120">
                  <c:v>48.792000000000002</c:v>
                </c:pt>
                <c:pt idx="121">
                  <c:v>49.196399999999997</c:v>
                </c:pt>
                <c:pt idx="122">
                  <c:v>49.6023</c:v>
                </c:pt>
                <c:pt idx="123">
                  <c:v>50.0092</c:v>
                </c:pt>
                <c:pt idx="124">
                  <c:v>50.409100000000002</c:v>
                </c:pt>
                <c:pt idx="125">
                  <c:v>50.820799999999998</c:v>
                </c:pt>
                <c:pt idx="126">
                  <c:v>51.228000000000002</c:v>
                </c:pt>
                <c:pt idx="127">
                  <c:v>51.634799999999998</c:v>
                </c:pt>
                <c:pt idx="128">
                  <c:v>52.040900000000001</c:v>
                </c:pt>
                <c:pt idx="129">
                  <c:v>52.442700000000002</c:v>
                </c:pt>
                <c:pt idx="130">
                  <c:v>52.8476</c:v>
                </c:pt>
                <c:pt idx="131">
                  <c:v>53.259599999999999</c:v>
                </c:pt>
                <c:pt idx="132">
                  <c:v>53.664400000000001</c:v>
                </c:pt>
                <c:pt idx="133">
                  <c:v>54.070399999999999</c:v>
                </c:pt>
                <c:pt idx="134">
                  <c:v>54.4724</c:v>
                </c:pt>
                <c:pt idx="135">
                  <c:v>54.883200000000002</c:v>
                </c:pt>
                <c:pt idx="136">
                  <c:v>55.287100000000002</c:v>
                </c:pt>
                <c:pt idx="137">
                  <c:v>55.694000000000003</c:v>
                </c:pt>
                <c:pt idx="138">
                  <c:v>56.100999999999999</c:v>
                </c:pt>
                <c:pt idx="139">
                  <c:v>56.504899999999999</c:v>
                </c:pt>
                <c:pt idx="140">
                  <c:v>56.916699999999999</c:v>
                </c:pt>
                <c:pt idx="141">
                  <c:v>57.319699999999997</c:v>
                </c:pt>
                <c:pt idx="142">
                  <c:v>57.721699999999998</c:v>
                </c:pt>
                <c:pt idx="143">
                  <c:v>58.132899999999999</c:v>
                </c:pt>
                <c:pt idx="144">
                  <c:v>58.540399999999998</c:v>
                </c:pt>
                <c:pt idx="145">
                  <c:v>58.951300000000003</c:v>
                </c:pt>
                <c:pt idx="146">
                  <c:v>59.349400000000003</c:v>
                </c:pt>
                <c:pt idx="147">
                  <c:v>59.756100000000004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1.7691100000000002</c:v>
                </c:pt>
                <c:pt idx="1">
                  <c:v>1.82169</c:v>
                </c:pt>
                <c:pt idx="2">
                  <c:v>1.8757699999999999</c:v>
                </c:pt>
                <c:pt idx="3">
                  <c:v>1.931</c:v>
                </c:pt>
                <c:pt idx="4">
                  <c:v>1.98912</c:v>
                </c:pt>
                <c:pt idx="5">
                  <c:v>2.0479600000000002</c:v>
                </c:pt>
                <c:pt idx="6">
                  <c:v>2.1060300000000001</c:v>
                </c:pt>
                <c:pt idx="7">
                  <c:v>2.1633200000000001</c:v>
                </c:pt>
                <c:pt idx="8">
                  <c:v>2.2230300000000001</c:v>
                </c:pt>
                <c:pt idx="9">
                  <c:v>2.2854299999999999</c:v>
                </c:pt>
                <c:pt idx="10">
                  <c:v>2.3502999999999998</c:v>
                </c:pt>
                <c:pt idx="11">
                  <c:v>2.4194299999999997</c:v>
                </c:pt>
                <c:pt idx="12">
                  <c:v>2.4883299999999999</c:v>
                </c:pt>
                <c:pt idx="13">
                  <c:v>2.5549400000000002</c:v>
                </c:pt>
                <c:pt idx="14">
                  <c:v>2.61958</c:v>
                </c:pt>
                <c:pt idx="15">
                  <c:v>2.6836799999999998</c:v>
                </c:pt>
                <c:pt idx="16">
                  <c:v>2.7478200000000004</c:v>
                </c:pt>
                <c:pt idx="17">
                  <c:v>2.8029199999999999</c:v>
                </c:pt>
                <c:pt idx="18">
                  <c:v>2.8581699999999999</c:v>
                </c:pt>
                <c:pt idx="19">
                  <c:v>2.9102899999999998</c:v>
                </c:pt>
                <c:pt idx="20">
                  <c:v>2.9582199999999998</c:v>
                </c:pt>
                <c:pt idx="21">
                  <c:v>3.00305</c:v>
                </c:pt>
                <c:pt idx="22">
                  <c:v>3.04271</c:v>
                </c:pt>
                <c:pt idx="23">
                  <c:v>3.0790699999999998</c:v>
                </c:pt>
                <c:pt idx="24">
                  <c:v>3.1038900000000003</c:v>
                </c:pt>
                <c:pt idx="25">
                  <c:v>3.1217499999999996</c:v>
                </c:pt>
                <c:pt idx="26">
                  <c:v>3.1333799999999998</c:v>
                </c:pt>
                <c:pt idx="27">
                  <c:v>3.1426100000000003</c:v>
                </c:pt>
                <c:pt idx="28">
                  <c:v>3.1520100000000002</c:v>
                </c:pt>
                <c:pt idx="29">
                  <c:v>3.1583600000000001</c:v>
                </c:pt>
                <c:pt idx="30">
                  <c:v>3.1629200000000002</c:v>
                </c:pt>
                <c:pt idx="31">
                  <c:v>3.1650800000000001</c:v>
                </c:pt>
                <c:pt idx="32">
                  <c:v>3.1654399999999998</c:v>
                </c:pt>
                <c:pt idx="33">
                  <c:v>3.1616</c:v>
                </c:pt>
                <c:pt idx="34">
                  <c:v>3.1561899999999996</c:v>
                </c:pt>
                <c:pt idx="35">
                  <c:v>3.1492599999999999</c:v>
                </c:pt>
                <c:pt idx="36">
                  <c:v>3.13733</c:v>
                </c:pt>
                <c:pt idx="37">
                  <c:v>3.1227800000000001</c:v>
                </c:pt>
                <c:pt idx="38">
                  <c:v>3.1067400000000003</c:v>
                </c:pt>
                <c:pt idx="39">
                  <c:v>3.0869400000000002</c:v>
                </c:pt>
                <c:pt idx="40">
                  <c:v>3.0634000000000001</c:v>
                </c:pt>
                <c:pt idx="41">
                  <c:v>3.04061</c:v>
                </c:pt>
                <c:pt idx="42">
                  <c:v>3.0282</c:v>
                </c:pt>
                <c:pt idx="43">
                  <c:v>3.0144599999999997</c:v>
                </c:pt>
                <c:pt idx="44">
                  <c:v>3.0016500000000002</c:v>
                </c:pt>
                <c:pt idx="45">
                  <c:v>2.9921100000000003</c:v>
                </c:pt>
                <c:pt idx="46">
                  <c:v>2.9830399999999999</c:v>
                </c:pt>
                <c:pt idx="47">
                  <c:v>2.9731299999999998</c:v>
                </c:pt>
                <c:pt idx="48">
                  <c:v>2.9651399999999999</c:v>
                </c:pt>
                <c:pt idx="49">
                  <c:v>2.9559800000000003</c:v>
                </c:pt>
                <c:pt idx="50">
                  <c:v>2.94895</c:v>
                </c:pt>
                <c:pt idx="51">
                  <c:v>2.9438599999999999</c:v>
                </c:pt>
                <c:pt idx="52">
                  <c:v>2.9404599999999999</c:v>
                </c:pt>
                <c:pt idx="53">
                  <c:v>2.9363999999999999</c:v>
                </c:pt>
                <c:pt idx="54">
                  <c:v>2.93371</c:v>
                </c:pt>
                <c:pt idx="55">
                  <c:v>2.93248</c:v>
                </c:pt>
                <c:pt idx="56">
                  <c:v>2.9323199999999998</c:v>
                </c:pt>
                <c:pt idx="57">
                  <c:v>2.9346100000000002</c:v>
                </c:pt>
                <c:pt idx="58">
                  <c:v>2.9430000000000001</c:v>
                </c:pt>
                <c:pt idx="59">
                  <c:v>2.9523000000000001</c:v>
                </c:pt>
                <c:pt idx="60">
                  <c:v>2.9565900000000003</c:v>
                </c:pt>
                <c:pt idx="61">
                  <c:v>2.9671799999999999</c:v>
                </c:pt>
                <c:pt idx="62">
                  <c:v>2.9796899999999997</c:v>
                </c:pt>
                <c:pt idx="63">
                  <c:v>2.9941599999999999</c:v>
                </c:pt>
                <c:pt idx="64">
                  <c:v>3.0114900000000002</c:v>
                </c:pt>
                <c:pt idx="65">
                  <c:v>3.0298000000000003</c:v>
                </c:pt>
                <c:pt idx="66">
                  <c:v>3.0465599999999999</c:v>
                </c:pt>
                <c:pt idx="67">
                  <c:v>3.0587499999999999</c:v>
                </c:pt>
                <c:pt idx="68">
                  <c:v>3.07606</c:v>
                </c:pt>
                <c:pt idx="69">
                  <c:v>3.0829299999999997</c:v>
                </c:pt>
                <c:pt idx="70">
                  <c:v>3.0948700000000002</c:v>
                </c:pt>
                <c:pt idx="71">
                  <c:v>3.1038600000000001</c:v>
                </c:pt>
                <c:pt idx="72">
                  <c:v>3.1148599999999997</c:v>
                </c:pt>
                <c:pt idx="73">
                  <c:v>3.1275300000000001</c:v>
                </c:pt>
                <c:pt idx="74">
                  <c:v>3.1403799999999999</c:v>
                </c:pt>
                <c:pt idx="75">
                  <c:v>3.1528400000000003</c:v>
                </c:pt>
                <c:pt idx="76">
                  <c:v>3.1643300000000001</c:v>
                </c:pt>
                <c:pt idx="77">
                  <c:v>3.1725599999999998</c:v>
                </c:pt>
                <c:pt idx="78">
                  <c:v>3.1808700000000001</c:v>
                </c:pt>
                <c:pt idx="79">
                  <c:v>3.1907299999999998</c:v>
                </c:pt>
                <c:pt idx="80">
                  <c:v>3.2012200000000002</c:v>
                </c:pt>
                <c:pt idx="81">
                  <c:v>3.2108599999999998</c:v>
                </c:pt>
                <c:pt idx="82">
                  <c:v>3.2192100000000003</c:v>
                </c:pt>
                <c:pt idx="83">
                  <c:v>3.2232100000000004</c:v>
                </c:pt>
                <c:pt idx="84">
                  <c:v>3.2239400000000002</c:v>
                </c:pt>
                <c:pt idx="85">
                  <c:v>3.2265899999999998</c:v>
                </c:pt>
                <c:pt idx="86">
                  <c:v>3.2318000000000002</c:v>
                </c:pt>
                <c:pt idx="87">
                  <c:v>3.23977</c:v>
                </c:pt>
                <c:pt idx="88">
                  <c:v>3.2498800000000001</c:v>
                </c:pt>
                <c:pt idx="89">
                  <c:v>3.2580999999999998</c:v>
                </c:pt>
                <c:pt idx="90">
                  <c:v>3.2658199999999997</c:v>
                </c:pt>
                <c:pt idx="91">
                  <c:v>3.27067</c:v>
                </c:pt>
                <c:pt idx="92">
                  <c:v>3.2763199999999997</c:v>
                </c:pt>
                <c:pt idx="93">
                  <c:v>3.28118</c:v>
                </c:pt>
                <c:pt idx="94">
                  <c:v>3.2858499999999999</c:v>
                </c:pt>
                <c:pt idx="95">
                  <c:v>3.2895799999999999</c:v>
                </c:pt>
                <c:pt idx="96">
                  <c:v>3.29426</c:v>
                </c:pt>
                <c:pt idx="97">
                  <c:v>3.29942</c:v>
                </c:pt>
                <c:pt idx="98">
                  <c:v>3.3033899999999998</c:v>
                </c:pt>
                <c:pt idx="99">
                  <c:v>3.3071200000000003</c:v>
                </c:pt>
                <c:pt idx="100">
                  <c:v>3.3069199999999999</c:v>
                </c:pt>
                <c:pt idx="101">
                  <c:v>3.3029599999999997</c:v>
                </c:pt>
                <c:pt idx="102">
                  <c:v>3.2978100000000001</c:v>
                </c:pt>
                <c:pt idx="103">
                  <c:v>3.2896900000000002</c:v>
                </c:pt>
                <c:pt idx="104">
                  <c:v>3.2798799999999999</c:v>
                </c:pt>
                <c:pt idx="105">
                  <c:v>3.27067</c:v>
                </c:pt>
                <c:pt idx="106">
                  <c:v>3.2625700000000002</c:v>
                </c:pt>
                <c:pt idx="107">
                  <c:v>3.2531599999999998</c:v>
                </c:pt>
                <c:pt idx="108">
                  <c:v>3.2444800000000003</c:v>
                </c:pt>
                <c:pt idx="109">
                  <c:v>3.2356400000000001</c:v>
                </c:pt>
                <c:pt idx="110">
                  <c:v>3.2234800000000003</c:v>
                </c:pt>
                <c:pt idx="111">
                  <c:v>3.20777</c:v>
                </c:pt>
                <c:pt idx="112">
                  <c:v>3.1885699999999999</c:v>
                </c:pt>
                <c:pt idx="113">
                  <c:v>3.1659900000000003</c:v>
                </c:pt>
                <c:pt idx="114">
                  <c:v>3.1441699999999999</c:v>
                </c:pt>
                <c:pt idx="115">
                  <c:v>3.12222</c:v>
                </c:pt>
                <c:pt idx="116">
                  <c:v>3.1039699999999999</c:v>
                </c:pt>
                <c:pt idx="117">
                  <c:v>3.08643</c:v>
                </c:pt>
                <c:pt idx="118">
                  <c:v>3.069</c:v>
                </c:pt>
                <c:pt idx="119">
                  <c:v>3.0529600000000001</c:v>
                </c:pt>
                <c:pt idx="120">
                  <c:v>3.0350300000000003</c:v>
                </c:pt>
                <c:pt idx="121">
                  <c:v>3.0146299999999999</c:v>
                </c:pt>
                <c:pt idx="122">
                  <c:v>2.9912200000000002</c:v>
                </c:pt>
                <c:pt idx="123">
                  <c:v>2.96522</c:v>
                </c:pt>
                <c:pt idx="124">
                  <c:v>2.9425299999999996</c:v>
                </c:pt>
                <c:pt idx="125">
                  <c:v>2.9231499999999997</c:v>
                </c:pt>
                <c:pt idx="126">
                  <c:v>2.90876</c:v>
                </c:pt>
                <c:pt idx="127">
                  <c:v>2.8991499999999997</c:v>
                </c:pt>
                <c:pt idx="128">
                  <c:v>2.8937299999999997</c:v>
                </c:pt>
                <c:pt idx="129">
                  <c:v>2.8882500000000002</c:v>
                </c:pt>
                <c:pt idx="130">
                  <c:v>2.8817300000000001</c:v>
                </c:pt>
                <c:pt idx="131">
                  <c:v>2.8734299999999999</c:v>
                </c:pt>
                <c:pt idx="132">
                  <c:v>2.8698600000000001</c:v>
                </c:pt>
                <c:pt idx="133">
                  <c:v>2.8718599999999999</c:v>
                </c:pt>
                <c:pt idx="134">
                  <c:v>2.8763000000000001</c:v>
                </c:pt>
                <c:pt idx="135">
                  <c:v>2.8830800000000001</c:v>
                </c:pt>
                <c:pt idx="136">
                  <c:v>2.8908200000000002</c:v>
                </c:pt>
                <c:pt idx="137">
                  <c:v>2.89906</c:v>
                </c:pt>
                <c:pt idx="138">
                  <c:v>2.9086800000000004</c:v>
                </c:pt>
                <c:pt idx="139">
                  <c:v>2.9207300000000003</c:v>
                </c:pt>
                <c:pt idx="140">
                  <c:v>2.9315600000000002</c:v>
                </c:pt>
                <c:pt idx="141">
                  <c:v>2.9315000000000002</c:v>
                </c:pt>
                <c:pt idx="142">
                  <c:v>2.9230899999999997</c:v>
                </c:pt>
                <c:pt idx="143">
                  <c:v>2.9052299999999995</c:v>
                </c:pt>
                <c:pt idx="144">
                  <c:v>2.8797699999999997</c:v>
                </c:pt>
                <c:pt idx="145">
                  <c:v>2.8571400000000002</c:v>
                </c:pt>
                <c:pt idx="146">
                  <c:v>2.8347299999999995</c:v>
                </c:pt>
                <c:pt idx="147">
                  <c:v>2.8186499999999999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0.39891700000000002</c:v>
                </c:pt>
                <c:pt idx="2">
                  <c:v>0.80396299999999998</c:v>
                </c:pt>
                <c:pt idx="3">
                  <c:v>1.21271</c:v>
                </c:pt>
                <c:pt idx="4">
                  <c:v>1.6206</c:v>
                </c:pt>
                <c:pt idx="5">
                  <c:v>2.0249899999999998</c:v>
                </c:pt>
                <c:pt idx="6">
                  <c:v>2.4304899999999998</c:v>
                </c:pt>
                <c:pt idx="7">
                  <c:v>2.83683</c:v>
                </c:pt>
                <c:pt idx="8">
                  <c:v>3.2400500000000001</c:v>
                </c:pt>
                <c:pt idx="9">
                  <c:v>3.6512600000000002</c:v>
                </c:pt>
                <c:pt idx="10">
                  <c:v>4.0562399999999998</c:v>
                </c:pt>
                <c:pt idx="11">
                  <c:v>4.4600400000000002</c:v>
                </c:pt>
                <c:pt idx="12">
                  <c:v>4.8649100000000001</c:v>
                </c:pt>
                <c:pt idx="13">
                  <c:v>5.2729200000000001</c:v>
                </c:pt>
                <c:pt idx="14">
                  <c:v>5.6797800000000001</c:v>
                </c:pt>
                <c:pt idx="15">
                  <c:v>6.0871399999999998</c:v>
                </c:pt>
                <c:pt idx="16">
                  <c:v>6.4871499999999997</c:v>
                </c:pt>
                <c:pt idx="17">
                  <c:v>6.8935000000000004</c:v>
                </c:pt>
                <c:pt idx="18">
                  <c:v>7.3044399999999996</c:v>
                </c:pt>
                <c:pt idx="19">
                  <c:v>7.7098199999999997</c:v>
                </c:pt>
                <c:pt idx="20">
                  <c:v>8.1154499999999992</c:v>
                </c:pt>
                <c:pt idx="21">
                  <c:v>8.5244999999999997</c:v>
                </c:pt>
                <c:pt idx="22">
                  <c:v>8.9268999999999998</c:v>
                </c:pt>
                <c:pt idx="23">
                  <c:v>9.3359299999999994</c:v>
                </c:pt>
                <c:pt idx="24">
                  <c:v>9.7399199999999997</c:v>
                </c:pt>
                <c:pt idx="25">
                  <c:v>10.147</c:v>
                </c:pt>
                <c:pt idx="26">
                  <c:v>10.5581</c:v>
                </c:pt>
                <c:pt idx="27">
                  <c:v>10.9598</c:v>
                </c:pt>
                <c:pt idx="28">
                  <c:v>11.365500000000001</c:v>
                </c:pt>
                <c:pt idx="29">
                  <c:v>11.773400000000001</c:v>
                </c:pt>
                <c:pt idx="30">
                  <c:v>12.179500000000001</c:v>
                </c:pt>
                <c:pt idx="31">
                  <c:v>12.5893</c:v>
                </c:pt>
                <c:pt idx="32">
                  <c:v>12.988200000000001</c:v>
                </c:pt>
                <c:pt idx="33">
                  <c:v>13.395099999999999</c:v>
                </c:pt>
                <c:pt idx="34">
                  <c:v>13.804</c:v>
                </c:pt>
                <c:pt idx="35">
                  <c:v>14.206</c:v>
                </c:pt>
                <c:pt idx="36">
                  <c:v>14.613200000000001</c:v>
                </c:pt>
                <c:pt idx="37">
                  <c:v>15.0259</c:v>
                </c:pt>
                <c:pt idx="38">
                  <c:v>15.431800000000001</c:v>
                </c:pt>
                <c:pt idx="39">
                  <c:v>15.8367</c:v>
                </c:pt>
                <c:pt idx="40">
                  <c:v>16.2407</c:v>
                </c:pt>
                <c:pt idx="41">
                  <c:v>16.647400000000001</c:v>
                </c:pt>
                <c:pt idx="42">
                  <c:v>17.0533</c:v>
                </c:pt>
                <c:pt idx="43">
                  <c:v>17.461500000000001</c:v>
                </c:pt>
                <c:pt idx="44">
                  <c:v>17.868500000000001</c:v>
                </c:pt>
                <c:pt idx="45">
                  <c:v>18.275200000000002</c:v>
                </c:pt>
                <c:pt idx="46">
                  <c:v>18.681999999999999</c:v>
                </c:pt>
                <c:pt idx="47">
                  <c:v>19.084900000000001</c:v>
                </c:pt>
                <c:pt idx="48">
                  <c:v>19.494</c:v>
                </c:pt>
                <c:pt idx="49">
                  <c:v>19.8977</c:v>
                </c:pt>
                <c:pt idx="50">
                  <c:v>20.304600000000001</c:v>
                </c:pt>
                <c:pt idx="51">
                  <c:v>20.711600000000001</c:v>
                </c:pt>
                <c:pt idx="52">
                  <c:v>21.1174</c:v>
                </c:pt>
                <c:pt idx="53">
                  <c:v>21.521699999999999</c:v>
                </c:pt>
                <c:pt idx="54">
                  <c:v>21.927299999999999</c:v>
                </c:pt>
                <c:pt idx="55">
                  <c:v>22.337299999999999</c:v>
                </c:pt>
                <c:pt idx="56">
                  <c:v>22.738199999999999</c:v>
                </c:pt>
                <c:pt idx="57">
                  <c:v>23.147099999999998</c:v>
                </c:pt>
                <c:pt idx="58">
                  <c:v>23.559100000000001</c:v>
                </c:pt>
                <c:pt idx="59">
                  <c:v>23.962800000000001</c:v>
                </c:pt>
                <c:pt idx="60">
                  <c:v>24.365500000000001</c:v>
                </c:pt>
                <c:pt idx="61">
                  <c:v>24.775700000000001</c:v>
                </c:pt>
                <c:pt idx="62">
                  <c:v>25.177600000000002</c:v>
                </c:pt>
                <c:pt idx="63">
                  <c:v>25.5883</c:v>
                </c:pt>
                <c:pt idx="64">
                  <c:v>25.9925</c:v>
                </c:pt>
                <c:pt idx="65">
                  <c:v>26.3963</c:v>
                </c:pt>
                <c:pt idx="66">
                  <c:v>26.8048</c:v>
                </c:pt>
                <c:pt idx="67">
                  <c:v>27.212199999999999</c:v>
                </c:pt>
                <c:pt idx="68">
                  <c:v>27.620100000000001</c:v>
                </c:pt>
                <c:pt idx="69">
                  <c:v>28.022099999999998</c:v>
                </c:pt>
                <c:pt idx="70">
                  <c:v>28.4299</c:v>
                </c:pt>
                <c:pt idx="71">
                  <c:v>28.834900000000001</c:v>
                </c:pt>
                <c:pt idx="72">
                  <c:v>29.246600000000001</c:v>
                </c:pt>
                <c:pt idx="73">
                  <c:v>29.650600000000001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1.7691100000000002</c:v>
                </c:pt>
                <c:pt idx="1">
                  <c:v>1.82169</c:v>
                </c:pt>
                <c:pt idx="2">
                  <c:v>1.8757699999999999</c:v>
                </c:pt>
                <c:pt idx="3">
                  <c:v>1.931</c:v>
                </c:pt>
                <c:pt idx="4">
                  <c:v>1.98912</c:v>
                </c:pt>
                <c:pt idx="5">
                  <c:v>2.0479600000000002</c:v>
                </c:pt>
                <c:pt idx="6">
                  <c:v>2.1060300000000001</c:v>
                </c:pt>
                <c:pt idx="7">
                  <c:v>2.1633200000000001</c:v>
                </c:pt>
                <c:pt idx="8">
                  <c:v>2.2230300000000001</c:v>
                </c:pt>
                <c:pt idx="9">
                  <c:v>2.2854299999999999</c:v>
                </c:pt>
                <c:pt idx="10">
                  <c:v>2.3502999999999998</c:v>
                </c:pt>
                <c:pt idx="11">
                  <c:v>2.4194299999999997</c:v>
                </c:pt>
                <c:pt idx="12">
                  <c:v>2.4883299999999999</c:v>
                </c:pt>
                <c:pt idx="13">
                  <c:v>2.5549400000000002</c:v>
                </c:pt>
                <c:pt idx="14">
                  <c:v>2.61958</c:v>
                </c:pt>
                <c:pt idx="15">
                  <c:v>2.6836799999999998</c:v>
                </c:pt>
                <c:pt idx="16">
                  <c:v>2.7478200000000004</c:v>
                </c:pt>
                <c:pt idx="17">
                  <c:v>2.8029199999999999</c:v>
                </c:pt>
                <c:pt idx="18">
                  <c:v>2.8581699999999999</c:v>
                </c:pt>
                <c:pt idx="19">
                  <c:v>2.9102899999999998</c:v>
                </c:pt>
                <c:pt idx="20">
                  <c:v>2.9582199999999998</c:v>
                </c:pt>
                <c:pt idx="21">
                  <c:v>3.00305</c:v>
                </c:pt>
                <c:pt idx="22">
                  <c:v>3.04271</c:v>
                </c:pt>
                <c:pt idx="23">
                  <c:v>3.0790699999999998</c:v>
                </c:pt>
                <c:pt idx="24">
                  <c:v>3.1038900000000003</c:v>
                </c:pt>
                <c:pt idx="25">
                  <c:v>3.1217499999999996</c:v>
                </c:pt>
                <c:pt idx="26">
                  <c:v>3.1333799999999998</c:v>
                </c:pt>
                <c:pt idx="27">
                  <c:v>3.1426100000000003</c:v>
                </c:pt>
                <c:pt idx="28">
                  <c:v>3.1520100000000002</c:v>
                </c:pt>
                <c:pt idx="29">
                  <c:v>3.1583600000000001</c:v>
                </c:pt>
                <c:pt idx="30">
                  <c:v>3.1629200000000002</c:v>
                </c:pt>
                <c:pt idx="31">
                  <c:v>3.1650800000000001</c:v>
                </c:pt>
                <c:pt idx="32">
                  <c:v>3.1654399999999998</c:v>
                </c:pt>
                <c:pt idx="33">
                  <c:v>3.1616</c:v>
                </c:pt>
                <c:pt idx="34">
                  <c:v>3.1561899999999996</c:v>
                </c:pt>
                <c:pt idx="35">
                  <c:v>3.1492599999999999</c:v>
                </c:pt>
                <c:pt idx="36">
                  <c:v>3.13733</c:v>
                </c:pt>
                <c:pt idx="37">
                  <c:v>3.1227800000000001</c:v>
                </c:pt>
                <c:pt idx="38">
                  <c:v>3.1067400000000003</c:v>
                </c:pt>
                <c:pt idx="39">
                  <c:v>3.0869400000000002</c:v>
                </c:pt>
                <c:pt idx="40">
                  <c:v>3.0634000000000001</c:v>
                </c:pt>
                <c:pt idx="41">
                  <c:v>3.04061</c:v>
                </c:pt>
                <c:pt idx="42">
                  <c:v>3.0282</c:v>
                </c:pt>
                <c:pt idx="43">
                  <c:v>3.0144599999999997</c:v>
                </c:pt>
                <c:pt idx="44">
                  <c:v>3.0016500000000002</c:v>
                </c:pt>
                <c:pt idx="45">
                  <c:v>2.9921100000000003</c:v>
                </c:pt>
                <c:pt idx="46">
                  <c:v>2.9830399999999999</c:v>
                </c:pt>
                <c:pt idx="47">
                  <c:v>2.9731299999999998</c:v>
                </c:pt>
                <c:pt idx="48">
                  <c:v>2.9651399999999999</c:v>
                </c:pt>
                <c:pt idx="49">
                  <c:v>2.9559800000000003</c:v>
                </c:pt>
                <c:pt idx="50">
                  <c:v>2.94895</c:v>
                </c:pt>
                <c:pt idx="51">
                  <c:v>2.9438599999999999</c:v>
                </c:pt>
                <c:pt idx="52">
                  <c:v>2.9404599999999999</c:v>
                </c:pt>
                <c:pt idx="53">
                  <c:v>2.9363999999999999</c:v>
                </c:pt>
                <c:pt idx="54">
                  <c:v>2.93371</c:v>
                </c:pt>
                <c:pt idx="55">
                  <c:v>2.93248</c:v>
                </c:pt>
                <c:pt idx="56">
                  <c:v>2.9323199999999998</c:v>
                </c:pt>
                <c:pt idx="57">
                  <c:v>2.9346100000000002</c:v>
                </c:pt>
                <c:pt idx="58">
                  <c:v>2.9430000000000001</c:v>
                </c:pt>
                <c:pt idx="59">
                  <c:v>2.9523000000000001</c:v>
                </c:pt>
                <c:pt idx="60">
                  <c:v>2.9565900000000003</c:v>
                </c:pt>
                <c:pt idx="61">
                  <c:v>2.9671799999999999</c:v>
                </c:pt>
                <c:pt idx="62">
                  <c:v>2.9796899999999997</c:v>
                </c:pt>
                <c:pt idx="63">
                  <c:v>2.9941599999999999</c:v>
                </c:pt>
                <c:pt idx="64">
                  <c:v>3.0114900000000002</c:v>
                </c:pt>
                <c:pt idx="65">
                  <c:v>3.0298000000000003</c:v>
                </c:pt>
                <c:pt idx="66">
                  <c:v>3.0465599999999999</c:v>
                </c:pt>
                <c:pt idx="67">
                  <c:v>3.0587499999999999</c:v>
                </c:pt>
                <c:pt idx="68">
                  <c:v>3.07606</c:v>
                </c:pt>
                <c:pt idx="69">
                  <c:v>3.0829299999999997</c:v>
                </c:pt>
                <c:pt idx="70">
                  <c:v>3.0948700000000002</c:v>
                </c:pt>
                <c:pt idx="71">
                  <c:v>3.1038600000000001</c:v>
                </c:pt>
                <c:pt idx="72">
                  <c:v>3.1148599999999997</c:v>
                </c:pt>
                <c:pt idx="73">
                  <c:v>3.1275300000000001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29.650600000000001</c:v>
                </c:pt>
                <c:pt idx="1">
                  <c:v>30.0578</c:v>
                </c:pt>
                <c:pt idx="2">
                  <c:v>30.634</c:v>
                </c:pt>
                <c:pt idx="3">
                  <c:v>31.007000000000001</c:v>
                </c:pt>
                <c:pt idx="4">
                  <c:v>31.384</c:v>
                </c:pt>
                <c:pt idx="5">
                  <c:v>31.759799999999998</c:v>
                </c:pt>
                <c:pt idx="6">
                  <c:v>32.131100000000004</c:v>
                </c:pt>
                <c:pt idx="7">
                  <c:v>32.539900000000003</c:v>
                </c:pt>
                <c:pt idx="8">
                  <c:v>32.947899999999997</c:v>
                </c:pt>
                <c:pt idx="9">
                  <c:v>33.352699999999999</c:v>
                </c:pt>
                <c:pt idx="10">
                  <c:v>33.756700000000002</c:v>
                </c:pt>
                <c:pt idx="11">
                  <c:v>34.160600000000002</c:v>
                </c:pt>
                <c:pt idx="12">
                  <c:v>34.566600000000001</c:v>
                </c:pt>
                <c:pt idx="13">
                  <c:v>34.978400000000001</c:v>
                </c:pt>
                <c:pt idx="14">
                  <c:v>35.385300000000001</c:v>
                </c:pt>
                <c:pt idx="15">
                  <c:v>35.789200000000001</c:v>
                </c:pt>
                <c:pt idx="16">
                  <c:v>36.198099999999997</c:v>
                </c:pt>
                <c:pt idx="17">
                  <c:v>36.598999999999997</c:v>
                </c:pt>
                <c:pt idx="18">
                  <c:v>37.006</c:v>
                </c:pt>
                <c:pt idx="19">
                  <c:v>37.415900000000001</c:v>
                </c:pt>
                <c:pt idx="20">
                  <c:v>37.817700000000002</c:v>
                </c:pt>
                <c:pt idx="21">
                  <c:v>38.227699999999999</c:v>
                </c:pt>
                <c:pt idx="22">
                  <c:v>38.631</c:v>
                </c:pt>
                <c:pt idx="23">
                  <c:v>39.039499999999997</c:v>
                </c:pt>
                <c:pt idx="24">
                  <c:v>39.4465</c:v>
                </c:pt>
                <c:pt idx="25">
                  <c:v>39.848399999999998</c:v>
                </c:pt>
                <c:pt idx="26">
                  <c:v>40.258600000000001</c:v>
                </c:pt>
                <c:pt idx="27">
                  <c:v>40.663200000000003</c:v>
                </c:pt>
                <c:pt idx="28">
                  <c:v>41.073099999999997</c:v>
                </c:pt>
                <c:pt idx="29">
                  <c:v>41.475299999999997</c:v>
                </c:pt>
                <c:pt idx="30">
                  <c:v>41.878100000000003</c:v>
                </c:pt>
                <c:pt idx="31">
                  <c:v>42.29</c:v>
                </c:pt>
                <c:pt idx="32">
                  <c:v>42.695700000000002</c:v>
                </c:pt>
                <c:pt idx="33">
                  <c:v>43.1006</c:v>
                </c:pt>
                <c:pt idx="34">
                  <c:v>43.506599999999999</c:v>
                </c:pt>
                <c:pt idx="35">
                  <c:v>43.913499999999999</c:v>
                </c:pt>
                <c:pt idx="36">
                  <c:v>44.314500000000002</c:v>
                </c:pt>
                <c:pt idx="37">
                  <c:v>44.7273</c:v>
                </c:pt>
                <c:pt idx="38">
                  <c:v>45.13</c:v>
                </c:pt>
                <c:pt idx="39">
                  <c:v>45.539200000000001</c:v>
                </c:pt>
                <c:pt idx="40">
                  <c:v>45.945099999999996</c:v>
                </c:pt>
                <c:pt idx="41">
                  <c:v>46.353000000000002</c:v>
                </c:pt>
                <c:pt idx="42">
                  <c:v>46.754199999999997</c:v>
                </c:pt>
                <c:pt idx="43">
                  <c:v>47.1648</c:v>
                </c:pt>
                <c:pt idx="44">
                  <c:v>47.570799999999998</c:v>
                </c:pt>
                <c:pt idx="45">
                  <c:v>47.9756</c:v>
                </c:pt>
                <c:pt idx="46">
                  <c:v>48.380600000000001</c:v>
                </c:pt>
                <c:pt idx="47">
                  <c:v>48.792000000000002</c:v>
                </c:pt>
                <c:pt idx="48">
                  <c:v>49.196399999999997</c:v>
                </c:pt>
                <c:pt idx="49">
                  <c:v>49.6023</c:v>
                </c:pt>
                <c:pt idx="50">
                  <c:v>50.0092</c:v>
                </c:pt>
                <c:pt idx="51">
                  <c:v>50.409100000000002</c:v>
                </c:pt>
                <c:pt idx="52">
                  <c:v>50.820799999999998</c:v>
                </c:pt>
                <c:pt idx="53">
                  <c:v>51.228000000000002</c:v>
                </c:pt>
                <c:pt idx="54">
                  <c:v>51.634799999999998</c:v>
                </c:pt>
                <c:pt idx="55">
                  <c:v>52.040900000000001</c:v>
                </c:pt>
                <c:pt idx="56">
                  <c:v>52.442700000000002</c:v>
                </c:pt>
                <c:pt idx="57">
                  <c:v>52.8476</c:v>
                </c:pt>
                <c:pt idx="58">
                  <c:v>53.259599999999999</c:v>
                </c:pt>
                <c:pt idx="59">
                  <c:v>53.664400000000001</c:v>
                </c:pt>
                <c:pt idx="60">
                  <c:v>54.070399999999999</c:v>
                </c:pt>
                <c:pt idx="61">
                  <c:v>54.4724</c:v>
                </c:pt>
                <c:pt idx="62">
                  <c:v>54.883200000000002</c:v>
                </c:pt>
                <c:pt idx="63">
                  <c:v>55.287100000000002</c:v>
                </c:pt>
                <c:pt idx="64">
                  <c:v>55.694000000000003</c:v>
                </c:pt>
                <c:pt idx="65">
                  <c:v>56.100999999999999</c:v>
                </c:pt>
                <c:pt idx="66">
                  <c:v>56.504899999999999</c:v>
                </c:pt>
                <c:pt idx="67">
                  <c:v>56.916699999999999</c:v>
                </c:pt>
                <c:pt idx="68">
                  <c:v>57.319699999999997</c:v>
                </c:pt>
                <c:pt idx="69">
                  <c:v>57.721699999999998</c:v>
                </c:pt>
                <c:pt idx="70">
                  <c:v>58.132899999999999</c:v>
                </c:pt>
                <c:pt idx="71">
                  <c:v>58.540399999999998</c:v>
                </c:pt>
                <c:pt idx="72">
                  <c:v>58.951300000000003</c:v>
                </c:pt>
                <c:pt idx="73">
                  <c:v>59.349400000000003</c:v>
                </c:pt>
                <c:pt idx="74">
                  <c:v>59.756100000000004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3.1275300000000001</c:v>
                </c:pt>
                <c:pt idx="1">
                  <c:v>3.1403799999999999</c:v>
                </c:pt>
                <c:pt idx="2">
                  <c:v>3.1528400000000003</c:v>
                </c:pt>
                <c:pt idx="3">
                  <c:v>3.1643300000000001</c:v>
                </c:pt>
                <c:pt idx="4">
                  <c:v>3.1725599999999998</c:v>
                </c:pt>
                <c:pt idx="5">
                  <c:v>3.1808700000000001</c:v>
                </c:pt>
                <c:pt idx="6">
                  <c:v>3.1907299999999998</c:v>
                </c:pt>
                <c:pt idx="7">
                  <c:v>3.2012200000000002</c:v>
                </c:pt>
                <c:pt idx="8">
                  <c:v>3.2108599999999998</c:v>
                </c:pt>
                <c:pt idx="9">
                  <c:v>3.2192100000000003</c:v>
                </c:pt>
                <c:pt idx="10">
                  <c:v>3.2232100000000004</c:v>
                </c:pt>
                <c:pt idx="11">
                  <c:v>3.2239400000000002</c:v>
                </c:pt>
                <c:pt idx="12">
                  <c:v>3.2265899999999998</c:v>
                </c:pt>
                <c:pt idx="13">
                  <c:v>3.2318000000000002</c:v>
                </c:pt>
                <c:pt idx="14">
                  <c:v>3.23977</c:v>
                </c:pt>
                <c:pt idx="15">
                  <c:v>3.2498800000000001</c:v>
                </c:pt>
                <c:pt idx="16">
                  <c:v>3.2580999999999998</c:v>
                </c:pt>
                <c:pt idx="17">
                  <c:v>3.2658199999999997</c:v>
                </c:pt>
                <c:pt idx="18">
                  <c:v>3.27067</c:v>
                </c:pt>
                <c:pt idx="19">
                  <c:v>3.2763199999999997</c:v>
                </c:pt>
                <c:pt idx="20">
                  <c:v>3.28118</c:v>
                </c:pt>
                <c:pt idx="21">
                  <c:v>3.2858499999999999</c:v>
                </c:pt>
                <c:pt idx="22">
                  <c:v>3.2895799999999999</c:v>
                </c:pt>
                <c:pt idx="23">
                  <c:v>3.29426</c:v>
                </c:pt>
                <c:pt idx="24">
                  <c:v>3.29942</c:v>
                </c:pt>
                <c:pt idx="25">
                  <c:v>3.3033899999999998</c:v>
                </c:pt>
                <c:pt idx="26">
                  <c:v>3.3071200000000003</c:v>
                </c:pt>
                <c:pt idx="27">
                  <c:v>3.3069199999999999</c:v>
                </c:pt>
                <c:pt idx="28">
                  <c:v>3.3029599999999997</c:v>
                </c:pt>
                <c:pt idx="29">
                  <c:v>3.2978100000000001</c:v>
                </c:pt>
                <c:pt idx="30">
                  <c:v>3.2896900000000002</c:v>
                </c:pt>
                <c:pt idx="31">
                  <c:v>3.2798799999999999</c:v>
                </c:pt>
                <c:pt idx="32">
                  <c:v>3.27067</c:v>
                </c:pt>
                <c:pt idx="33">
                  <c:v>3.2625700000000002</c:v>
                </c:pt>
                <c:pt idx="34">
                  <c:v>3.2531599999999998</c:v>
                </c:pt>
                <c:pt idx="35">
                  <c:v>3.2444800000000003</c:v>
                </c:pt>
                <c:pt idx="36">
                  <c:v>3.2356400000000001</c:v>
                </c:pt>
                <c:pt idx="37">
                  <c:v>3.2234800000000003</c:v>
                </c:pt>
                <c:pt idx="38">
                  <c:v>3.20777</c:v>
                </c:pt>
                <c:pt idx="39">
                  <c:v>3.1885699999999999</c:v>
                </c:pt>
                <c:pt idx="40">
                  <c:v>3.1659900000000003</c:v>
                </c:pt>
                <c:pt idx="41">
                  <c:v>3.1441699999999999</c:v>
                </c:pt>
                <c:pt idx="42">
                  <c:v>3.12222</c:v>
                </c:pt>
                <c:pt idx="43">
                  <c:v>3.1039699999999999</c:v>
                </c:pt>
                <c:pt idx="44">
                  <c:v>3.08643</c:v>
                </c:pt>
                <c:pt idx="45">
                  <c:v>3.069</c:v>
                </c:pt>
                <c:pt idx="46">
                  <c:v>3.0529600000000001</c:v>
                </c:pt>
                <c:pt idx="47">
                  <c:v>3.0350300000000003</c:v>
                </c:pt>
                <c:pt idx="48">
                  <c:v>3.0146299999999999</c:v>
                </c:pt>
                <c:pt idx="49">
                  <c:v>2.9912200000000002</c:v>
                </c:pt>
                <c:pt idx="50">
                  <c:v>2.96522</c:v>
                </c:pt>
                <c:pt idx="51">
                  <c:v>2.9425299999999996</c:v>
                </c:pt>
                <c:pt idx="52">
                  <c:v>2.9231499999999997</c:v>
                </c:pt>
                <c:pt idx="53">
                  <c:v>2.90876</c:v>
                </c:pt>
                <c:pt idx="54">
                  <c:v>2.8991499999999997</c:v>
                </c:pt>
                <c:pt idx="55">
                  <c:v>2.8937299999999997</c:v>
                </c:pt>
                <c:pt idx="56">
                  <c:v>2.8882500000000002</c:v>
                </c:pt>
                <c:pt idx="57">
                  <c:v>2.8817300000000001</c:v>
                </c:pt>
                <c:pt idx="58">
                  <c:v>2.8734299999999999</c:v>
                </c:pt>
                <c:pt idx="59">
                  <c:v>2.8698600000000001</c:v>
                </c:pt>
                <c:pt idx="60">
                  <c:v>2.8718599999999999</c:v>
                </c:pt>
                <c:pt idx="61">
                  <c:v>2.8763000000000001</c:v>
                </c:pt>
                <c:pt idx="62">
                  <c:v>2.8830800000000001</c:v>
                </c:pt>
                <c:pt idx="63">
                  <c:v>2.8908200000000002</c:v>
                </c:pt>
                <c:pt idx="64">
                  <c:v>2.89906</c:v>
                </c:pt>
                <c:pt idx="65">
                  <c:v>2.9086800000000004</c:v>
                </c:pt>
                <c:pt idx="66">
                  <c:v>2.9207300000000003</c:v>
                </c:pt>
                <c:pt idx="67">
                  <c:v>2.9315600000000002</c:v>
                </c:pt>
                <c:pt idx="68">
                  <c:v>2.9315000000000002</c:v>
                </c:pt>
                <c:pt idx="69">
                  <c:v>2.9230899999999997</c:v>
                </c:pt>
                <c:pt idx="70">
                  <c:v>2.9052299999999995</c:v>
                </c:pt>
                <c:pt idx="71">
                  <c:v>2.8797699999999997</c:v>
                </c:pt>
                <c:pt idx="72">
                  <c:v>2.8571400000000002</c:v>
                </c:pt>
                <c:pt idx="73">
                  <c:v>2.8347299999999995</c:v>
                </c:pt>
                <c:pt idx="74">
                  <c:v>2.8186499999999999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14.939025000000001</c:v>
                </c:pt>
                <c:pt idx="1">
                  <c:v>44.817075000000003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2.8515863513513517</c:v>
                </c:pt>
                <c:pt idx="1">
                  <c:v>3.1038801351351353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0.39891700000000002</c:v>
                </c:pt>
                <c:pt idx="2">
                  <c:v>0.80396299999999998</c:v>
                </c:pt>
                <c:pt idx="3">
                  <c:v>1.21271</c:v>
                </c:pt>
                <c:pt idx="4">
                  <c:v>1.6206</c:v>
                </c:pt>
                <c:pt idx="5">
                  <c:v>2.0249899999999998</c:v>
                </c:pt>
                <c:pt idx="6">
                  <c:v>2.4304899999999998</c:v>
                </c:pt>
                <c:pt idx="7">
                  <c:v>2.83683</c:v>
                </c:pt>
                <c:pt idx="8">
                  <c:v>3.2400500000000001</c:v>
                </c:pt>
                <c:pt idx="9">
                  <c:v>3.6512600000000002</c:v>
                </c:pt>
                <c:pt idx="10">
                  <c:v>4.0562399999999998</c:v>
                </c:pt>
                <c:pt idx="11">
                  <c:v>4.4600400000000002</c:v>
                </c:pt>
                <c:pt idx="12">
                  <c:v>4.8649100000000001</c:v>
                </c:pt>
                <c:pt idx="13">
                  <c:v>5.2729200000000001</c:v>
                </c:pt>
                <c:pt idx="14">
                  <c:v>5.6797800000000001</c:v>
                </c:pt>
                <c:pt idx="15">
                  <c:v>6.0871399999999998</c:v>
                </c:pt>
                <c:pt idx="16">
                  <c:v>6.4871499999999997</c:v>
                </c:pt>
                <c:pt idx="17">
                  <c:v>6.8935000000000004</c:v>
                </c:pt>
                <c:pt idx="18">
                  <c:v>7.3044399999999996</c:v>
                </c:pt>
                <c:pt idx="19">
                  <c:v>7.7098199999999997</c:v>
                </c:pt>
                <c:pt idx="20">
                  <c:v>8.1154499999999992</c:v>
                </c:pt>
                <c:pt idx="21">
                  <c:v>8.5244999999999997</c:v>
                </c:pt>
                <c:pt idx="22">
                  <c:v>8.9268999999999998</c:v>
                </c:pt>
                <c:pt idx="23">
                  <c:v>9.3359299999999994</c:v>
                </c:pt>
                <c:pt idx="24">
                  <c:v>9.7399199999999997</c:v>
                </c:pt>
                <c:pt idx="25">
                  <c:v>10.147</c:v>
                </c:pt>
                <c:pt idx="26">
                  <c:v>10.5581</c:v>
                </c:pt>
                <c:pt idx="27">
                  <c:v>10.9598</c:v>
                </c:pt>
                <c:pt idx="28">
                  <c:v>11.365500000000001</c:v>
                </c:pt>
                <c:pt idx="29">
                  <c:v>11.773400000000001</c:v>
                </c:pt>
                <c:pt idx="30">
                  <c:v>12.179500000000001</c:v>
                </c:pt>
                <c:pt idx="31">
                  <c:v>12.5893</c:v>
                </c:pt>
                <c:pt idx="32">
                  <c:v>12.988200000000001</c:v>
                </c:pt>
                <c:pt idx="33">
                  <c:v>13.395099999999999</c:v>
                </c:pt>
                <c:pt idx="34">
                  <c:v>13.804</c:v>
                </c:pt>
                <c:pt idx="35">
                  <c:v>14.206</c:v>
                </c:pt>
                <c:pt idx="36">
                  <c:v>14.613200000000001</c:v>
                </c:pt>
                <c:pt idx="37">
                  <c:v>15.0259</c:v>
                </c:pt>
                <c:pt idx="38">
                  <c:v>15.431800000000001</c:v>
                </c:pt>
                <c:pt idx="39">
                  <c:v>15.8367</c:v>
                </c:pt>
                <c:pt idx="40">
                  <c:v>16.2407</c:v>
                </c:pt>
                <c:pt idx="41">
                  <c:v>16.647400000000001</c:v>
                </c:pt>
                <c:pt idx="42">
                  <c:v>17.0533</c:v>
                </c:pt>
                <c:pt idx="43">
                  <c:v>17.461500000000001</c:v>
                </c:pt>
                <c:pt idx="44">
                  <c:v>17.868500000000001</c:v>
                </c:pt>
                <c:pt idx="45">
                  <c:v>18.275200000000002</c:v>
                </c:pt>
                <c:pt idx="46">
                  <c:v>18.681999999999999</c:v>
                </c:pt>
                <c:pt idx="47">
                  <c:v>19.084900000000001</c:v>
                </c:pt>
                <c:pt idx="48">
                  <c:v>19.494</c:v>
                </c:pt>
                <c:pt idx="49">
                  <c:v>19.8977</c:v>
                </c:pt>
                <c:pt idx="50">
                  <c:v>20.304600000000001</c:v>
                </c:pt>
                <c:pt idx="51">
                  <c:v>20.711600000000001</c:v>
                </c:pt>
                <c:pt idx="52">
                  <c:v>21.1174</c:v>
                </c:pt>
                <c:pt idx="53">
                  <c:v>21.521699999999999</c:v>
                </c:pt>
                <c:pt idx="54">
                  <c:v>21.927299999999999</c:v>
                </c:pt>
                <c:pt idx="55">
                  <c:v>22.337299999999999</c:v>
                </c:pt>
                <c:pt idx="56">
                  <c:v>22.738199999999999</c:v>
                </c:pt>
                <c:pt idx="57">
                  <c:v>23.147099999999998</c:v>
                </c:pt>
                <c:pt idx="58">
                  <c:v>23.559100000000001</c:v>
                </c:pt>
                <c:pt idx="59">
                  <c:v>23.962800000000001</c:v>
                </c:pt>
                <c:pt idx="60">
                  <c:v>24.365500000000001</c:v>
                </c:pt>
                <c:pt idx="61">
                  <c:v>24.775700000000001</c:v>
                </c:pt>
                <c:pt idx="62">
                  <c:v>25.177600000000002</c:v>
                </c:pt>
                <c:pt idx="63">
                  <c:v>25.5883</c:v>
                </c:pt>
                <c:pt idx="64">
                  <c:v>25.9925</c:v>
                </c:pt>
                <c:pt idx="65">
                  <c:v>26.3963</c:v>
                </c:pt>
                <c:pt idx="66">
                  <c:v>26.8048</c:v>
                </c:pt>
                <c:pt idx="67">
                  <c:v>27.212199999999999</c:v>
                </c:pt>
                <c:pt idx="68">
                  <c:v>27.620100000000001</c:v>
                </c:pt>
                <c:pt idx="69">
                  <c:v>28.022099999999998</c:v>
                </c:pt>
                <c:pt idx="70">
                  <c:v>28.4299</c:v>
                </c:pt>
                <c:pt idx="71">
                  <c:v>28.834900000000001</c:v>
                </c:pt>
                <c:pt idx="72">
                  <c:v>29.246600000000001</c:v>
                </c:pt>
                <c:pt idx="73">
                  <c:v>29.650600000000001</c:v>
                </c:pt>
                <c:pt idx="74">
                  <c:v>30.0578</c:v>
                </c:pt>
                <c:pt idx="75">
                  <c:v>30.634</c:v>
                </c:pt>
                <c:pt idx="76">
                  <c:v>31.007000000000001</c:v>
                </c:pt>
                <c:pt idx="77">
                  <c:v>31.384</c:v>
                </c:pt>
                <c:pt idx="78">
                  <c:v>31.759799999999998</c:v>
                </c:pt>
                <c:pt idx="79">
                  <c:v>32.131100000000004</c:v>
                </c:pt>
                <c:pt idx="80">
                  <c:v>32.539900000000003</c:v>
                </c:pt>
                <c:pt idx="81">
                  <c:v>32.947899999999997</c:v>
                </c:pt>
                <c:pt idx="82">
                  <c:v>33.352699999999999</c:v>
                </c:pt>
                <c:pt idx="83">
                  <c:v>33.756700000000002</c:v>
                </c:pt>
                <c:pt idx="84">
                  <c:v>34.160600000000002</c:v>
                </c:pt>
                <c:pt idx="85">
                  <c:v>34.566600000000001</c:v>
                </c:pt>
                <c:pt idx="86">
                  <c:v>34.978400000000001</c:v>
                </c:pt>
                <c:pt idx="87">
                  <c:v>35.385300000000001</c:v>
                </c:pt>
                <c:pt idx="88">
                  <c:v>35.789200000000001</c:v>
                </c:pt>
                <c:pt idx="89">
                  <c:v>36.198099999999997</c:v>
                </c:pt>
                <c:pt idx="90">
                  <c:v>36.598999999999997</c:v>
                </c:pt>
                <c:pt idx="91">
                  <c:v>37.006</c:v>
                </c:pt>
                <c:pt idx="92">
                  <c:v>37.415900000000001</c:v>
                </c:pt>
                <c:pt idx="93">
                  <c:v>37.817700000000002</c:v>
                </c:pt>
                <c:pt idx="94">
                  <c:v>38.227699999999999</c:v>
                </c:pt>
                <c:pt idx="95">
                  <c:v>38.631</c:v>
                </c:pt>
                <c:pt idx="96">
                  <c:v>39.039499999999997</c:v>
                </c:pt>
                <c:pt idx="97">
                  <c:v>39.4465</c:v>
                </c:pt>
                <c:pt idx="98">
                  <c:v>39.848399999999998</c:v>
                </c:pt>
                <c:pt idx="99">
                  <c:v>40.258600000000001</c:v>
                </c:pt>
                <c:pt idx="100">
                  <c:v>40.663200000000003</c:v>
                </c:pt>
                <c:pt idx="101">
                  <c:v>41.073099999999997</c:v>
                </c:pt>
                <c:pt idx="102">
                  <c:v>41.475299999999997</c:v>
                </c:pt>
                <c:pt idx="103">
                  <c:v>41.878100000000003</c:v>
                </c:pt>
                <c:pt idx="104">
                  <c:v>42.29</c:v>
                </c:pt>
                <c:pt idx="105">
                  <c:v>42.695700000000002</c:v>
                </c:pt>
                <c:pt idx="106">
                  <c:v>43.1006</c:v>
                </c:pt>
                <c:pt idx="107">
                  <c:v>43.506599999999999</c:v>
                </c:pt>
                <c:pt idx="108">
                  <c:v>43.913499999999999</c:v>
                </c:pt>
                <c:pt idx="109">
                  <c:v>44.314500000000002</c:v>
                </c:pt>
                <c:pt idx="110">
                  <c:v>44.7273</c:v>
                </c:pt>
                <c:pt idx="111">
                  <c:v>45.13</c:v>
                </c:pt>
                <c:pt idx="112">
                  <c:v>45.539200000000001</c:v>
                </c:pt>
                <c:pt idx="113">
                  <c:v>45.945099999999996</c:v>
                </c:pt>
                <c:pt idx="114">
                  <c:v>46.353000000000002</c:v>
                </c:pt>
                <c:pt idx="115">
                  <c:v>46.754199999999997</c:v>
                </c:pt>
                <c:pt idx="116">
                  <c:v>47.1648</c:v>
                </c:pt>
                <c:pt idx="117">
                  <c:v>47.570799999999998</c:v>
                </c:pt>
                <c:pt idx="118">
                  <c:v>47.9756</c:v>
                </c:pt>
                <c:pt idx="119">
                  <c:v>48.380600000000001</c:v>
                </c:pt>
                <c:pt idx="120">
                  <c:v>48.792000000000002</c:v>
                </c:pt>
                <c:pt idx="121">
                  <c:v>49.196399999999997</c:v>
                </c:pt>
                <c:pt idx="122">
                  <c:v>49.6023</c:v>
                </c:pt>
                <c:pt idx="123">
                  <c:v>50.0092</c:v>
                </c:pt>
                <c:pt idx="124">
                  <c:v>50.409100000000002</c:v>
                </c:pt>
                <c:pt idx="125">
                  <c:v>50.820799999999998</c:v>
                </c:pt>
                <c:pt idx="126">
                  <c:v>51.228000000000002</c:v>
                </c:pt>
                <c:pt idx="127">
                  <c:v>51.634799999999998</c:v>
                </c:pt>
                <c:pt idx="128">
                  <c:v>52.040900000000001</c:v>
                </c:pt>
                <c:pt idx="129">
                  <c:v>52.442700000000002</c:v>
                </c:pt>
                <c:pt idx="130">
                  <c:v>52.8476</c:v>
                </c:pt>
                <c:pt idx="131">
                  <c:v>53.259599999999999</c:v>
                </c:pt>
                <c:pt idx="132">
                  <c:v>53.664400000000001</c:v>
                </c:pt>
                <c:pt idx="133">
                  <c:v>54.070399999999999</c:v>
                </c:pt>
                <c:pt idx="134">
                  <c:v>54.4724</c:v>
                </c:pt>
                <c:pt idx="135">
                  <c:v>54.883200000000002</c:v>
                </c:pt>
                <c:pt idx="136">
                  <c:v>55.287100000000002</c:v>
                </c:pt>
                <c:pt idx="137">
                  <c:v>55.694000000000003</c:v>
                </c:pt>
                <c:pt idx="138">
                  <c:v>56.100999999999999</c:v>
                </c:pt>
                <c:pt idx="139">
                  <c:v>56.504899999999999</c:v>
                </c:pt>
                <c:pt idx="140">
                  <c:v>56.916699999999999</c:v>
                </c:pt>
                <c:pt idx="141">
                  <c:v>57.319699999999997</c:v>
                </c:pt>
                <c:pt idx="142">
                  <c:v>57.721699999999998</c:v>
                </c:pt>
                <c:pt idx="143">
                  <c:v>58.132899999999999</c:v>
                </c:pt>
                <c:pt idx="144">
                  <c:v>58.540399999999998</c:v>
                </c:pt>
                <c:pt idx="145">
                  <c:v>58.951300000000003</c:v>
                </c:pt>
                <c:pt idx="146">
                  <c:v>59.349400000000003</c:v>
                </c:pt>
                <c:pt idx="147">
                  <c:v>59.756100000000004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64.527699999999996</c:v>
                </c:pt>
                <c:pt idx="1">
                  <c:v>64.023399999999995</c:v>
                </c:pt>
                <c:pt idx="2">
                  <c:v>63.429500000000004</c:v>
                </c:pt>
                <c:pt idx="3">
                  <c:v>62.825699999999998</c:v>
                </c:pt>
                <c:pt idx="4">
                  <c:v>62.104099999999995</c:v>
                </c:pt>
                <c:pt idx="5">
                  <c:v>61.462600000000002</c:v>
                </c:pt>
                <c:pt idx="6">
                  <c:v>60.926600000000001</c:v>
                </c:pt>
                <c:pt idx="7">
                  <c:v>60.531700000000001</c:v>
                </c:pt>
                <c:pt idx="8">
                  <c:v>59.9666</c:v>
                </c:pt>
                <c:pt idx="9">
                  <c:v>59.258999999999993</c:v>
                </c:pt>
                <c:pt idx="10">
                  <c:v>58.565800000000003</c:v>
                </c:pt>
                <c:pt idx="11">
                  <c:v>57.736900000000006</c:v>
                </c:pt>
                <c:pt idx="12">
                  <c:v>56.8932</c:v>
                </c:pt>
                <c:pt idx="13">
                  <c:v>56.190100000000001</c:v>
                </c:pt>
                <c:pt idx="14">
                  <c:v>55.597099999999998</c:v>
                </c:pt>
                <c:pt idx="15">
                  <c:v>54.953300000000006</c:v>
                </c:pt>
                <c:pt idx="16">
                  <c:v>54.289200000000001</c:v>
                </c:pt>
                <c:pt idx="17">
                  <c:v>53.9497</c:v>
                </c:pt>
                <c:pt idx="18">
                  <c:v>53.647599999999997</c:v>
                </c:pt>
                <c:pt idx="19">
                  <c:v>53.395400000000002</c:v>
                </c:pt>
                <c:pt idx="20">
                  <c:v>53.212600000000002</c:v>
                </c:pt>
                <c:pt idx="21">
                  <c:v>53.113900000000001</c:v>
                </c:pt>
                <c:pt idx="22">
                  <c:v>52.955200000000005</c:v>
                </c:pt>
                <c:pt idx="23">
                  <c:v>52.757100000000001</c:v>
                </c:pt>
                <c:pt idx="24">
                  <c:v>52.468899999999998</c:v>
                </c:pt>
                <c:pt idx="25">
                  <c:v>52.204399999999993</c:v>
                </c:pt>
                <c:pt idx="26">
                  <c:v>51.851499999999994</c:v>
                </c:pt>
                <c:pt idx="27">
                  <c:v>51.476699999999994</c:v>
                </c:pt>
                <c:pt idx="28">
                  <c:v>50.981299999999997</c:v>
                </c:pt>
                <c:pt idx="29">
                  <c:v>50.444800000000001</c:v>
                </c:pt>
                <c:pt idx="30">
                  <c:v>49.910399999999996</c:v>
                </c:pt>
                <c:pt idx="31">
                  <c:v>49.433199999999999</c:v>
                </c:pt>
                <c:pt idx="32">
                  <c:v>48.97</c:v>
                </c:pt>
                <c:pt idx="33">
                  <c:v>48.479499999999994</c:v>
                </c:pt>
                <c:pt idx="34">
                  <c:v>47.952399999999997</c:v>
                </c:pt>
                <c:pt idx="35">
                  <c:v>47.450299999999999</c:v>
                </c:pt>
                <c:pt idx="36">
                  <c:v>47.019199999999998</c:v>
                </c:pt>
                <c:pt idx="37">
                  <c:v>46.654899999999998</c:v>
                </c:pt>
                <c:pt idx="38">
                  <c:v>46.351799999999997</c:v>
                </c:pt>
                <c:pt idx="39">
                  <c:v>46.196300000000001</c:v>
                </c:pt>
                <c:pt idx="40">
                  <c:v>46.182699999999997</c:v>
                </c:pt>
                <c:pt idx="41">
                  <c:v>46.273399999999995</c:v>
                </c:pt>
                <c:pt idx="42">
                  <c:v>46.317500000000003</c:v>
                </c:pt>
                <c:pt idx="43">
                  <c:v>46.435700000000004</c:v>
                </c:pt>
                <c:pt idx="44">
                  <c:v>46.483999999999995</c:v>
                </c:pt>
                <c:pt idx="45">
                  <c:v>46.430700000000002</c:v>
                </c:pt>
                <c:pt idx="46">
                  <c:v>46.397300000000001</c:v>
                </c:pt>
                <c:pt idx="47">
                  <c:v>46.429299999999998</c:v>
                </c:pt>
                <c:pt idx="48">
                  <c:v>46.471299999999999</c:v>
                </c:pt>
                <c:pt idx="49">
                  <c:v>46.544000000000004</c:v>
                </c:pt>
                <c:pt idx="50">
                  <c:v>46.576099999999997</c:v>
                </c:pt>
                <c:pt idx="51">
                  <c:v>46.726199999999999</c:v>
                </c:pt>
                <c:pt idx="52">
                  <c:v>46.994</c:v>
                </c:pt>
                <c:pt idx="53">
                  <c:v>47.466000000000001</c:v>
                </c:pt>
                <c:pt idx="54">
                  <c:v>48.019099999999995</c:v>
                </c:pt>
                <c:pt idx="55">
                  <c:v>48.641800000000003</c:v>
                </c:pt>
                <c:pt idx="56">
                  <c:v>48.8748</c:v>
                </c:pt>
                <c:pt idx="57">
                  <c:v>49.167000000000002</c:v>
                </c:pt>
                <c:pt idx="58">
                  <c:v>49.648900000000005</c:v>
                </c:pt>
                <c:pt idx="59">
                  <c:v>50.080599999999997</c:v>
                </c:pt>
                <c:pt idx="60">
                  <c:v>50.442399999999999</c:v>
                </c:pt>
                <c:pt idx="61">
                  <c:v>50.911799999999999</c:v>
                </c:pt>
                <c:pt idx="62">
                  <c:v>51.319600000000001</c:v>
                </c:pt>
                <c:pt idx="63">
                  <c:v>51.627100000000006</c:v>
                </c:pt>
                <c:pt idx="64">
                  <c:v>51.776800000000001</c:v>
                </c:pt>
                <c:pt idx="65">
                  <c:v>51.8489</c:v>
                </c:pt>
                <c:pt idx="66">
                  <c:v>51.935099999999998</c:v>
                </c:pt>
                <c:pt idx="67">
                  <c:v>52.0991</c:v>
                </c:pt>
                <c:pt idx="68">
                  <c:v>52.112199999999994</c:v>
                </c:pt>
                <c:pt idx="69">
                  <c:v>52.242599999999996</c:v>
                </c:pt>
                <c:pt idx="70">
                  <c:v>52.234800000000007</c:v>
                </c:pt>
                <c:pt idx="71">
                  <c:v>52.362900000000003</c:v>
                </c:pt>
                <c:pt idx="72">
                  <c:v>52.485400000000006</c:v>
                </c:pt>
                <c:pt idx="73">
                  <c:v>52.605599999999995</c:v>
                </c:pt>
                <c:pt idx="74">
                  <c:v>52.811600000000006</c:v>
                </c:pt>
                <c:pt idx="75">
                  <c:v>53.032800000000002</c:v>
                </c:pt>
                <c:pt idx="76">
                  <c:v>53.183100000000003</c:v>
                </c:pt>
                <c:pt idx="77">
                  <c:v>53.303699999999999</c:v>
                </c:pt>
                <c:pt idx="78">
                  <c:v>53.374900000000004</c:v>
                </c:pt>
                <c:pt idx="79">
                  <c:v>53.463499999999996</c:v>
                </c:pt>
                <c:pt idx="80">
                  <c:v>53.6678</c:v>
                </c:pt>
                <c:pt idx="81">
                  <c:v>53.901900000000005</c:v>
                </c:pt>
                <c:pt idx="82">
                  <c:v>54.187700000000007</c:v>
                </c:pt>
                <c:pt idx="83">
                  <c:v>54.4223</c:v>
                </c:pt>
                <c:pt idx="84">
                  <c:v>54.630599999999994</c:v>
                </c:pt>
                <c:pt idx="85">
                  <c:v>54.805499999999995</c:v>
                </c:pt>
                <c:pt idx="86">
                  <c:v>55.018999999999998</c:v>
                </c:pt>
                <c:pt idx="87">
                  <c:v>55.204299999999996</c:v>
                </c:pt>
                <c:pt idx="88">
                  <c:v>55.293899999999994</c:v>
                </c:pt>
                <c:pt idx="89">
                  <c:v>55.433799999999998</c:v>
                </c:pt>
                <c:pt idx="90">
                  <c:v>55.595500000000001</c:v>
                </c:pt>
                <c:pt idx="91">
                  <c:v>55.809200000000004</c:v>
                </c:pt>
                <c:pt idx="92">
                  <c:v>56.031399999999998</c:v>
                </c:pt>
                <c:pt idx="93">
                  <c:v>56.255099999999999</c:v>
                </c:pt>
                <c:pt idx="94">
                  <c:v>56.524799999999999</c:v>
                </c:pt>
                <c:pt idx="95">
                  <c:v>56.652899999999995</c:v>
                </c:pt>
                <c:pt idx="96">
                  <c:v>56.664999999999999</c:v>
                </c:pt>
                <c:pt idx="97">
                  <c:v>56.561300000000003</c:v>
                </c:pt>
                <c:pt idx="98">
                  <c:v>56.393800000000006</c:v>
                </c:pt>
                <c:pt idx="99">
                  <c:v>56.174599999999998</c:v>
                </c:pt>
                <c:pt idx="100">
                  <c:v>55.977699999999999</c:v>
                </c:pt>
                <c:pt idx="101">
                  <c:v>55.809299999999993</c:v>
                </c:pt>
                <c:pt idx="102">
                  <c:v>55.589700000000001</c:v>
                </c:pt>
                <c:pt idx="103">
                  <c:v>55.298499999999997</c:v>
                </c:pt>
                <c:pt idx="104">
                  <c:v>54.975200000000001</c:v>
                </c:pt>
                <c:pt idx="105">
                  <c:v>54.686199999999999</c:v>
                </c:pt>
                <c:pt idx="106">
                  <c:v>54.348100000000002</c:v>
                </c:pt>
                <c:pt idx="107">
                  <c:v>53.9953</c:v>
                </c:pt>
                <c:pt idx="108">
                  <c:v>53.596800000000002</c:v>
                </c:pt>
                <c:pt idx="109">
                  <c:v>53.222700000000003</c:v>
                </c:pt>
                <c:pt idx="110">
                  <c:v>52.862200000000001</c:v>
                </c:pt>
                <c:pt idx="111">
                  <c:v>52.445</c:v>
                </c:pt>
                <c:pt idx="112">
                  <c:v>52.061500000000002</c:v>
                </c:pt>
                <c:pt idx="113">
                  <c:v>51.799799999999998</c:v>
                </c:pt>
                <c:pt idx="114">
                  <c:v>51.509300000000003</c:v>
                </c:pt>
                <c:pt idx="115">
                  <c:v>51.262799999999999</c:v>
                </c:pt>
                <c:pt idx="116">
                  <c:v>51.036000000000001</c:v>
                </c:pt>
                <c:pt idx="117">
                  <c:v>50.854299999999995</c:v>
                </c:pt>
                <c:pt idx="118">
                  <c:v>50.7209</c:v>
                </c:pt>
                <c:pt idx="119">
                  <c:v>50.551400000000001</c:v>
                </c:pt>
                <c:pt idx="120">
                  <c:v>50.463100000000004</c:v>
                </c:pt>
                <c:pt idx="121">
                  <c:v>50.447900000000004</c:v>
                </c:pt>
                <c:pt idx="122">
                  <c:v>50.442100000000003</c:v>
                </c:pt>
                <c:pt idx="123">
                  <c:v>50.535499999999999</c:v>
                </c:pt>
                <c:pt idx="124">
                  <c:v>50.747799999999998</c:v>
                </c:pt>
                <c:pt idx="125">
                  <c:v>50.8553</c:v>
                </c:pt>
                <c:pt idx="126">
                  <c:v>50.830500000000001</c:v>
                </c:pt>
                <c:pt idx="127">
                  <c:v>50.773199999999996</c:v>
                </c:pt>
                <c:pt idx="128">
                  <c:v>50.719800000000006</c:v>
                </c:pt>
                <c:pt idx="129">
                  <c:v>50.673000000000002</c:v>
                </c:pt>
                <c:pt idx="130">
                  <c:v>50.567700000000002</c:v>
                </c:pt>
                <c:pt idx="131">
                  <c:v>50.558099999999996</c:v>
                </c:pt>
                <c:pt idx="132">
                  <c:v>50.463499999999996</c:v>
                </c:pt>
                <c:pt idx="133">
                  <c:v>50.366299999999995</c:v>
                </c:pt>
                <c:pt idx="134">
                  <c:v>50.207599999999999</c:v>
                </c:pt>
                <c:pt idx="135">
                  <c:v>50.0687</c:v>
                </c:pt>
                <c:pt idx="136">
                  <c:v>50.031599999999997</c:v>
                </c:pt>
                <c:pt idx="137">
                  <c:v>50.044499999999999</c:v>
                </c:pt>
                <c:pt idx="138">
                  <c:v>50.06</c:v>
                </c:pt>
                <c:pt idx="139">
                  <c:v>50.103500000000004</c:v>
                </c:pt>
                <c:pt idx="140">
                  <c:v>50.139900000000004</c:v>
                </c:pt>
                <c:pt idx="141">
                  <c:v>50.143000000000001</c:v>
                </c:pt>
                <c:pt idx="142">
                  <c:v>50.036800000000007</c:v>
                </c:pt>
                <c:pt idx="143">
                  <c:v>49.876899999999999</c:v>
                </c:pt>
                <c:pt idx="144">
                  <c:v>49.851800000000004</c:v>
                </c:pt>
                <c:pt idx="145">
                  <c:v>49.730699999999999</c:v>
                </c:pt>
                <c:pt idx="146">
                  <c:v>48.976100000000002</c:v>
                </c:pt>
                <c:pt idx="147">
                  <c:v>49.135199999999998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0.39891700000000002</c:v>
                </c:pt>
                <c:pt idx="2">
                  <c:v>0.80396299999999998</c:v>
                </c:pt>
                <c:pt idx="3">
                  <c:v>1.21271</c:v>
                </c:pt>
                <c:pt idx="4">
                  <c:v>1.6206</c:v>
                </c:pt>
                <c:pt idx="5">
                  <c:v>2.0249899999999998</c:v>
                </c:pt>
                <c:pt idx="6">
                  <c:v>2.4304899999999998</c:v>
                </c:pt>
                <c:pt idx="7">
                  <c:v>2.83683</c:v>
                </c:pt>
                <c:pt idx="8">
                  <c:v>3.2400500000000001</c:v>
                </c:pt>
                <c:pt idx="9">
                  <c:v>3.6512600000000002</c:v>
                </c:pt>
                <c:pt idx="10">
                  <c:v>4.0562399999999998</c:v>
                </c:pt>
                <c:pt idx="11">
                  <c:v>4.4600400000000002</c:v>
                </c:pt>
                <c:pt idx="12">
                  <c:v>4.8649100000000001</c:v>
                </c:pt>
                <c:pt idx="13">
                  <c:v>5.2729200000000001</c:v>
                </c:pt>
                <c:pt idx="14">
                  <c:v>5.6797800000000001</c:v>
                </c:pt>
                <c:pt idx="15">
                  <c:v>6.0871399999999998</c:v>
                </c:pt>
                <c:pt idx="16">
                  <c:v>6.4871499999999997</c:v>
                </c:pt>
                <c:pt idx="17">
                  <c:v>6.8935000000000004</c:v>
                </c:pt>
                <c:pt idx="18">
                  <c:v>7.3044399999999996</c:v>
                </c:pt>
                <c:pt idx="19">
                  <c:v>7.7098199999999997</c:v>
                </c:pt>
                <c:pt idx="20">
                  <c:v>8.1154499999999992</c:v>
                </c:pt>
                <c:pt idx="21">
                  <c:v>8.5244999999999997</c:v>
                </c:pt>
                <c:pt idx="22">
                  <c:v>8.9268999999999998</c:v>
                </c:pt>
                <c:pt idx="23">
                  <c:v>9.3359299999999994</c:v>
                </c:pt>
                <c:pt idx="24">
                  <c:v>9.7399199999999997</c:v>
                </c:pt>
                <c:pt idx="25">
                  <c:v>10.147</c:v>
                </c:pt>
                <c:pt idx="26">
                  <c:v>10.5581</c:v>
                </c:pt>
                <c:pt idx="27">
                  <c:v>10.9598</c:v>
                </c:pt>
                <c:pt idx="28">
                  <c:v>11.365500000000001</c:v>
                </c:pt>
                <c:pt idx="29">
                  <c:v>11.773400000000001</c:v>
                </c:pt>
                <c:pt idx="30">
                  <c:v>12.179500000000001</c:v>
                </c:pt>
                <c:pt idx="31">
                  <c:v>12.5893</c:v>
                </c:pt>
                <c:pt idx="32">
                  <c:v>12.988200000000001</c:v>
                </c:pt>
                <c:pt idx="33">
                  <c:v>13.395099999999999</c:v>
                </c:pt>
                <c:pt idx="34">
                  <c:v>13.804</c:v>
                </c:pt>
                <c:pt idx="35">
                  <c:v>14.206</c:v>
                </c:pt>
                <c:pt idx="36">
                  <c:v>14.613200000000001</c:v>
                </c:pt>
                <c:pt idx="37">
                  <c:v>15.0259</c:v>
                </c:pt>
                <c:pt idx="38">
                  <c:v>15.431800000000001</c:v>
                </c:pt>
                <c:pt idx="39">
                  <c:v>15.8367</c:v>
                </c:pt>
                <c:pt idx="40">
                  <c:v>16.2407</c:v>
                </c:pt>
                <c:pt idx="41">
                  <c:v>16.647400000000001</c:v>
                </c:pt>
                <c:pt idx="42">
                  <c:v>17.0533</c:v>
                </c:pt>
                <c:pt idx="43">
                  <c:v>17.461500000000001</c:v>
                </c:pt>
                <c:pt idx="44">
                  <c:v>17.868500000000001</c:v>
                </c:pt>
                <c:pt idx="45">
                  <c:v>18.275200000000002</c:v>
                </c:pt>
                <c:pt idx="46">
                  <c:v>18.681999999999999</c:v>
                </c:pt>
                <c:pt idx="47">
                  <c:v>19.084900000000001</c:v>
                </c:pt>
                <c:pt idx="48">
                  <c:v>19.494</c:v>
                </c:pt>
                <c:pt idx="49">
                  <c:v>19.8977</c:v>
                </c:pt>
                <c:pt idx="50">
                  <c:v>20.304600000000001</c:v>
                </c:pt>
                <c:pt idx="51">
                  <c:v>20.711600000000001</c:v>
                </c:pt>
                <c:pt idx="52">
                  <c:v>21.1174</c:v>
                </c:pt>
                <c:pt idx="53">
                  <c:v>21.521699999999999</c:v>
                </c:pt>
                <c:pt idx="54">
                  <c:v>21.927299999999999</c:v>
                </c:pt>
                <c:pt idx="55">
                  <c:v>22.337299999999999</c:v>
                </c:pt>
                <c:pt idx="56">
                  <c:v>22.738199999999999</c:v>
                </c:pt>
                <c:pt idx="57">
                  <c:v>23.147099999999998</c:v>
                </c:pt>
                <c:pt idx="58">
                  <c:v>23.559100000000001</c:v>
                </c:pt>
                <c:pt idx="59">
                  <c:v>23.962800000000001</c:v>
                </c:pt>
                <c:pt idx="60">
                  <c:v>24.365500000000001</c:v>
                </c:pt>
                <c:pt idx="61">
                  <c:v>24.775700000000001</c:v>
                </c:pt>
                <c:pt idx="62">
                  <c:v>25.177600000000002</c:v>
                </c:pt>
                <c:pt idx="63">
                  <c:v>25.5883</c:v>
                </c:pt>
                <c:pt idx="64">
                  <c:v>25.9925</c:v>
                </c:pt>
                <c:pt idx="65">
                  <c:v>26.3963</c:v>
                </c:pt>
                <c:pt idx="66">
                  <c:v>26.8048</c:v>
                </c:pt>
                <c:pt idx="67">
                  <c:v>27.212199999999999</c:v>
                </c:pt>
                <c:pt idx="68">
                  <c:v>27.620100000000001</c:v>
                </c:pt>
                <c:pt idx="69">
                  <c:v>28.022099999999998</c:v>
                </c:pt>
                <c:pt idx="70">
                  <c:v>28.4299</c:v>
                </c:pt>
                <c:pt idx="71">
                  <c:v>28.834900000000001</c:v>
                </c:pt>
                <c:pt idx="72">
                  <c:v>29.246600000000001</c:v>
                </c:pt>
                <c:pt idx="73">
                  <c:v>29.650600000000001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64.527699999999996</c:v>
                </c:pt>
                <c:pt idx="1">
                  <c:v>64.023399999999995</c:v>
                </c:pt>
                <c:pt idx="2">
                  <c:v>63.429500000000004</c:v>
                </c:pt>
                <c:pt idx="3">
                  <c:v>62.825699999999998</c:v>
                </c:pt>
                <c:pt idx="4">
                  <c:v>62.104099999999995</c:v>
                </c:pt>
                <c:pt idx="5">
                  <c:v>61.462600000000002</c:v>
                </c:pt>
                <c:pt idx="6">
                  <c:v>60.926600000000001</c:v>
                </c:pt>
                <c:pt idx="7">
                  <c:v>60.531700000000001</c:v>
                </c:pt>
                <c:pt idx="8">
                  <c:v>59.9666</c:v>
                </c:pt>
                <c:pt idx="9">
                  <c:v>59.258999999999993</c:v>
                </c:pt>
                <c:pt idx="10">
                  <c:v>58.565800000000003</c:v>
                </c:pt>
                <c:pt idx="11">
                  <c:v>57.736900000000006</c:v>
                </c:pt>
                <c:pt idx="12">
                  <c:v>56.8932</c:v>
                </c:pt>
                <c:pt idx="13">
                  <c:v>56.190100000000001</c:v>
                </c:pt>
                <c:pt idx="14">
                  <c:v>55.597099999999998</c:v>
                </c:pt>
                <c:pt idx="15">
                  <c:v>54.953300000000006</c:v>
                </c:pt>
                <c:pt idx="16">
                  <c:v>54.289200000000001</c:v>
                </c:pt>
                <c:pt idx="17">
                  <c:v>53.9497</c:v>
                </c:pt>
                <c:pt idx="18">
                  <c:v>53.647599999999997</c:v>
                </c:pt>
                <c:pt idx="19">
                  <c:v>53.395400000000002</c:v>
                </c:pt>
                <c:pt idx="20">
                  <c:v>53.212600000000002</c:v>
                </c:pt>
                <c:pt idx="21">
                  <c:v>53.113900000000001</c:v>
                </c:pt>
                <c:pt idx="22">
                  <c:v>52.955200000000005</c:v>
                </c:pt>
                <c:pt idx="23">
                  <c:v>52.757100000000001</c:v>
                </c:pt>
                <c:pt idx="24">
                  <c:v>52.468899999999998</c:v>
                </c:pt>
                <c:pt idx="25">
                  <c:v>52.204399999999993</c:v>
                </c:pt>
                <c:pt idx="26">
                  <c:v>51.851499999999994</c:v>
                </c:pt>
                <c:pt idx="27">
                  <c:v>51.476699999999994</c:v>
                </c:pt>
                <c:pt idx="28">
                  <c:v>50.981299999999997</c:v>
                </c:pt>
                <c:pt idx="29">
                  <c:v>50.444800000000001</c:v>
                </c:pt>
                <c:pt idx="30">
                  <c:v>49.910399999999996</c:v>
                </c:pt>
                <c:pt idx="31">
                  <c:v>49.433199999999999</c:v>
                </c:pt>
                <c:pt idx="32">
                  <c:v>48.97</c:v>
                </c:pt>
                <c:pt idx="33">
                  <c:v>48.479499999999994</c:v>
                </c:pt>
                <c:pt idx="34">
                  <c:v>47.952399999999997</c:v>
                </c:pt>
                <c:pt idx="35">
                  <c:v>47.450299999999999</c:v>
                </c:pt>
                <c:pt idx="36">
                  <c:v>47.019199999999998</c:v>
                </c:pt>
                <c:pt idx="37">
                  <c:v>46.654899999999998</c:v>
                </c:pt>
                <c:pt idx="38">
                  <c:v>46.351799999999997</c:v>
                </c:pt>
                <c:pt idx="39">
                  <c:v>46.196300000000001</c:v>
                </c:pt>
                <c:pt idx="40">
                  <c:v>46.182699999999997</c:v>
                </c:pt>
                <c:pt idx="41">
                  <c:v>46.273399999999995</c:v>
                </c:pt>
                <c:pt idx="42">
                  <c:v>46.317500000000003</c:v>
                </c:pt>
                <c:pt idx="43">
                  <c:v>46.435700000000004</c:v>
                </c:pt>
                <c:pt idx="44">
                  <c:v>46.483999999999995</c:v>
                </c:pt>
                <c:pt idx="45">
                  <c:v>46.430700000000002</c:v>
                </c:pt>
                <c:pt idx="46">
                  <c:v>46.397300000000001</c:v>
                </c:pt>
                <c:pt idx="47">
                  <c:v>46.429299999999998</c:v>
                </c:pt>
                <c:pt idx="48">
                  <c:v>46.471299999999999</c:v>
                </c:pt>
                <c:pt idx="49">
                  <c:v>46.544000000000004</c:v>
                </c:pt>
                <c:pt idx="50">
                  <c:v>46.576099999999997</c:v>
                </c:pt>
                <c:pt idx="51">
                  <c:v>46.726199999999999</c:v>
                </c:pt>
                <c:pt idx="52">
                  <c:v>46.994</c:v>
                </c:pt>
                <c:pt idx="53">
                  <c:v>47.466000000000001</c:v>
                </c:pt>
                <c:pt idx="54">
                  <c:v>48.019099999999995</c:v>
                </c:pt>
                <c:pt idx="55">
                  <c:v>48.641800000000003</c:v>
                </c:pt>
                <c:pt idx="56">
                  <c:v>48.8748</c:v>
                </c:pt>
                <c:pt idx="57">
                  <c:v>49.167000000000002</c:v>
                </c:pt>
                <c:pt idx="58">
                  <c:v>49.648900000000005</c:v>
                </c:pt>
                <c:pt idx="59">
                  <c:v>50.080599999999997</c:v>
                </c:pt>
                <c:pt idx="60">
                  <c:v>50.442399999999999</c:v>
                </c:pt>
                <c:pt idx="61">
                  <c:v>50.911799999999999</c:v>
                </c:pt>
                <c:pt idx="62">
                  <c:v>51.319600000000001</c:v>
                </c:pt>
                <c:pt idx="63">
                  <c:v>51.627100000000006</c:v>
                </c:pt>
                <c:pt idx="64">
                  <c:v>51.776800000000001</c:v>
                </c:pt>
                <c:pt idx="65">
                  <c:v>51.8489</c:v>
                </c:pt>
                <c:pt idx="66">
                  <c:v>51.935099999999998</c:v>
                </c:pt>
                <c:pt idx="67">
                  <c:v>52.0991</c:v>
                </c:pt>
                <c:pt idx="68">
                  <c:v>52.112199999999994</c:v>
                </c:pt>
                <c:pt idx="69">
                  <c:v>52.242599999999996</c:v>
                </c:pt>
                <c:pt idx="70">
                  <c:v>52.234800000000007</c:v>
                </c:pt>
                <c:pt idx="71">
                  <c:v>52.362900000000003</c:v>
                </c:pt>
                <c:pt idx="72">
                  <c:v>52.485400000000006</c:v>
                </c:pt>
                <c:pt idx="73">
                  <c:v>52.605599999999995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29.650600000000001</c:v>
                </c:pt>
                <c:pt idx="1">
                  <c:v>30.0578</c:v>
                </c:pt>
                <c:pt idx="2">
                  <c:v>30.634</c:v>
                </c:pt>
                <c:pt idx="3">
                  <c:v>31.007000000000001</c:v>
                </c:pt>
                <c:pt idx="4">
                  <c:v>31.384</c:v>
                </c:pt>
                <c:pt idx="5">
                  <c:v>31.759799999999998</c:v>
                </c:pt>
                <c:pt idx="6">
                  <c:v>32.131100000000004</c:v>
                </c:pt>
                <c:pt idx="7">
                  <c:v>32.539900000000003</c:v>
                </c:pt>
                <c:pt idx="8">
                  <c:v>32.947899999999997</c:v>
                </c:pt>
                <c:pt idx="9">
                  <c:v>33.352699999999999</c:v>
                </c:pt>
                <c:pt idx="10">
                  <c:v>33.756700000000002</c:v>
                </c:pt>
                <c:pt idx="11">
                  <c:v>34.160600000000002</c:v>
                </c:pt>
                <c:pt idx="12">
                  <c:v>34.566600000000001</c:v>
                </c:pt>
                <c:pt idx="13">
                  <c:v>34.978400000000001</c:v>
                </c:pt>
                <c:pt idx="14">
                  <c:v>35.385300000000001</c:v>
                </c:pt>
                <c:pt idx="15">
                  <c:v>35.789200000000001</c:v>
                </c:pt>
                <c:pt idx="16">
                  <c:v>36.198099999999997</c:v>
                </c:pt>
                <c:pt idx="17">
                  <c:v>36.598999999999997</c:v>
                </c:pt>
                <c:pt idx="18">
                  <c:v>37.006</c:v>
                </c:pt>
                <c:pt idx="19">
                  <c:v>37.415900000000001</c:v>
                </c:pt>
                <c:pt idx="20">
                  <c:v>37.817700000000002</c:v>
                </c:pt>
                <c:pt idx="21">
                  <c:v>38.227699999999999</c:v>
                </c:pt>
                <c:pt idx="22">
                  <c:v>38.631</c:v>
                </c:pt>
                <c:pt idx="23">
                  <c:v>39.039499999999997</c:v>
                </c:pt>
                <c:pt idx="24">
                  <c:v>39.4465</c:v>
                </c:pt>
                <c:pt idx="25">
                  <c:v>39.848399999999998</c:v>
                </c:pt>
                <c:pt idx="26">
                  <c:v>40.258600000000001</c:v>
                </c:pt>
                <c:pt idx="27">
                  <c:v>40.663200000000003</c:v>
                </c:pt>
                <c:pt idx="28">
                  <c:v>41.073099999999997</c:v>
                </c:pt>
                <c:pt idx="29">
                  <c:v>41.475299999999997</c:v>
                </c:pt>
                <c:pt idx="30">
                  <c:v>41.878100000000003</c:v>
                </c:pt>
                <c:pt idx="31">
                  <c:v>42.29</c:v>
                </c:pt>
                <c:pt idx="32">
                  <c:v>42.695700000000002</c:v>
                </c:pt>
                <c:pt idx="33">
                  <c:v>43.1006</c:v>
                </c:pt>
                <c:pt idx="34">
                  <c:v>43.506599999999999</c:v>
                </c:pt>
                <c:pt idx="35">
                  <c:v>43.913499999999999</c:v>
                </c:pt>
                <c:pt idx="36">
                  <c:v>44.314500000000002</c:v>
                </c:pt>
                <c:pt idx="37">
                  <c:v>44.7273</c:v>
                </c:pt>
                <c:pt idx="38">
                  <c:v>45.13</c:v>
                </c:pt>
                <c:pt idx="39">
                  <c:v>45.539200000000001</c:v>
                </c:pt>
                <c:pt idx="40">
                  <c:v>45.945099999999996</c:v>
                </c:pt>
                <c:pt idx="41">
                  <c:v>46.353000000000002</c:v>
                </c:pt>
                <c:pt idx="42">
                  <c:v>46.754199999999997</c:v>
                </c:pt>
                <c:pt idx="43">
                  <c:v>47.1648</c:v>
                </c:pt>
                <c:pt idx="44">
                  <c:v>47.570799999999998</c:v>
                </c:pt>
                <c:pt idx="45">
                  <c:v>47.9756</c:v>
                </c:pt>
                <c:pt idx="46">
                  <c:v>48.380600000000001</c:v>
                </c:pt>
                <c:pt idx="47">
                  <c:v>48.792000000000002</c:v>
                </c:pt>
                <c:pt idx="48">
                  <c:v>49.196399999999997</c:v>
                </c:pt>
                <c:pt idx="49">
                  <c:v>49.6023</c:v>
                </c:pt>
                <c:pt idx="50">
                  <c:v>50.0092</c:v>
                </c:pt>
                <c:pt idx="51">
                  <c:v>50.409100000000002</c:v>
                </c:pt>
                <c:pt idx="52">
                  <c:v>50.820799999999998</c:v>
                </c:pt>
                <c:pt idx="53">
                  <c:v>51.228000000000002</c:v>
                </c:pt>
                <c:pt idx="54">
                  <c:v>51.634799999999998</c:v>
                </c:pt>
                <c:pt idx="55">
                  <c:v>52.040900000000001</c:v>
                </c:pt>
                <c:pt idx="56">
                  <c:v>52.442700000000002</c:v>
                </c:pt>
                <c:pt idx="57">
                  <c:v>52.8476</c:v>
                </c:pt>
                <c:pt idx="58">
                  <c:v>53.259599999999999</c:v>
                </c:pt>
                <c:pt idx="59">
                  <c:v>53.664400000000001</c:v>
                </c:pt>
                <c:pt idx="60">
                  <c:v>54.070399999999999</c:v>
                </c:pt>
                <c:pt idx="61">
                  <c:v>54.4724</c:v>
                </c:pt>
                <c:pt idx="62">
                  <c:v>54.883200000000002</c:v>
                </c:pt>
                <c:pt idx="63">
                  <c:v>55.287100000000002</c:v>
                </c:pt>
                <c:pt idx="64">
                  <c:v>55.694000000000003</c:v>
                </c:pt>
                <c:pt idx="65">
                  <c:v>56.100999999999999</c:v>
                </c:pt>
                <c:pt idx="66">
                  <c:v>56.504899999999999</c:v>
                </c:pt>
                <c:pt idx="67">
                  <c:v>56.916699999999999</c:v>
                </c:pt>
                <c:pt idx="68">
                  <c:v>57.319699999999997</c:v>
                </c:pt>
                <c:pt idx="69">
                  <c:v>57.721699999999998</c:v>
                </c:pt>
                <c:pt idx="70">
                  <c:v>58.132899999999999</c:v>
                </c:pt>
                <c:pt idx="71">
                  <c:v>58.540399999999998</c:v>
                </c:pt>
                <c:pt idx="72">
                  <c:v>58.951300000000003</c:v>
                </c:pt>
                <c:pt idx="73">
                  <c:v>59.349400000000003</c:v>
                </c:pt>
                <c:pt idx="74">
                  <c:v>59.756100000000004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52.605599999999995</c:v>
                </c:pt>
                <c:pt idx="1">
                  <c:v>52.811600000000006</c:v>
                </c:pt>
                <c:pt idx="2">
                  <c:v>53.032800000000002</c:v>
                </c:pt>
                <c:pt idx="3">
                  <c:v>53.183100000000003</c:v>
                </c:pt>
                <c:pt idx="4">
                  <c:v>53.303699999999999</c:v>
                </c:pt>
                <c:pt idx="5">
                  <c:v>53.374900000000004</c:v>
                </c:pt>
                <c:pt idx="6">
                  <c:v>53.463499999999996</c:v>
                </c:pt>
                <c:pt idx="7">
                  <c:v>53.6678</c:v>
                </c:pt>
                <c:pt idx="8">
                  <c:v>53.901900000000005</c:v>
                </c:pt>
                <c:pt idx="9">
                  <c:v>54.187700000000007</c:v>
                </c:pt>
                <c:pt idx="10">
                  <c:v>54.4223</c:v>
                </c:pt>
                <c:pt idx="11">
                  <c:v>54.630599999999994</c:v>
                </c:pt>
                <c:pt idx="12">
                  <c:v>54.805499999999995</c:v>
                </c:pt>
                <c:pt idx="13">
                  <c:v>55.018999999999998</c:v>
                </c:pt>
                <c:pt idx="14">
                  <c:v>55.204299999999996</c:v>
                </c:pt>
                <c:pt idx="15">
                  <c:v>55.293899999999994</c:v>
                </c:pt>
                <c:pt idx="16">
                  <c:v>55.433799999999998</c:v>
                </c:pt>
                <c:pt idx="17">
                  <c:v>55.595500000000001</c:v>
                </c:pt>
                <c:pt idx="18">
                  <c:v>55.809200000000004</c:v>
                </c:pt>
                <c:pt idx="19">
                  <c:v>56.031399999999998</c:v>
                </c:pt>
                <c:pt idx="20">
                  <c:v>56.255099999999999</c:v>
                </c:pt>
                <c:pt idx="21">
                  <c:v>56.524799999999999</c:v>
                </c:pt>
                <c:pt idx="22">
                  <c:v>56.652899999999995</c:v>
                </c:pt>
                <c:pt idx="23">
                  <c:v>56.664999999999999</c:v>
                </c:pt>
                <c:pt idx="24">
                  <c:v>56.561300000000003</c:v>
                </c:pt>
                <c:pt idx="25">
                  <c:v>56.393800000000006</c:v>
                </c:pt>
                <c:pt idx="26">
                  <c:v>56.174599999999998</c:v>
                </c:pt>
                <c:pt idx="27">
                  <c:v>55.977699999999999</c:v>
                </c:pt>
                <c:pt idx="28">
                  <c:v>55.809299999999993</c:v>
                </c:pt>
                <c:pt idx="29">
                  <c:v>55.589700000000001</c:v>
                </c:pt>
                <c:pt idx="30">
                  <c:v>55.298499999999997</c:v>
                </c:pt>
                <c:pt idx="31">
                  <c:v>54.975200000000001</c:v>
                </c:pt>
                <c:pt idx="32">
                  <c:v>54.686199999999999</c:v>
                </c:pt>
                <c:pt idx="33">
                  <c:v>54.348100000000002</c:v>
                </c:pt>
                <c:pt idx="34">
                  <c:v>53.9953</c:v>
                </c:pt>
                <c:pt idx="35">
                  <c:v>53.596800000000002</c:v>
                </c:pt>
                <c:pt idx="36">
                  <c:v>53.222700000000003</c:v>
                </c:pt>
                <c:pt idx="37">
                  <c:v>52.862200000000001</c:v>
                </c:pt>
                <c:pt idx="38">
                  <c:v>52.445</c:v>
                </c:pt>
                <c:pt idx="39">
                  <c:v>52.061500000000002</c:v>
                </c:pt>
                <c:pt idx="40">
                  <c:v>51.799799999999998</c:v>
                </c:pt>
                <c:pt idx="41">
                  <c:v>51.509300000000003</c:v>
                </c:pt>
                <c:pt idx="42">
                  <c:v>51.262799999999999</c:v>
                </c:pt>
                <c:pt idx="43">
                  <c:v>51.036000000000001</c:v>
                </c:pt>
                <c:pt idx="44">
                  <c:v>50.854299999999995</c:v>
                </c:pt>
                <c:pt idx="45">
                  <c:v>50.7209</c:v>
                </c:pt>
                <c:pt idx="46">
                  <c:v>50.551400000000001</c:v>
                </c:pt>
                <c:pt idx="47">
                  <c:v>50.463100000000004</c:v>
                </c:pt>
                <c:pt idx="48">
                  <c:v>50.447900000000004</c:v>
                </c:pt>
                <c:pt idx="49">
                  <c:v>50.442100000000003</c:v>
                </c:pt>
                <c:pt idx="50">
                  <c:v>50.535499999999999</c:v>
                </c:pt>
                <c:pt idx="51">
                  <c:v>50.747799999999998</c:v>
                </c:pt>
                <c:pt idx="52">
                  <c:v>50.8553</c:v>
                </c:pt>
                <c:pt idx="53">
                  <c:v>50.830500000000001</c:v>
                </c:pt>
                <c:pt idx="54">
                  <c:v>50.773199999999996</c:v>
                </c:pt>
                <c:pt idx="55">
                  <c:v>50.719800000000006</c:v>
                </c:pt>
                <c:pt idx="56">
                  <c:v>50.673000000000002</c:v>
                </c:pt>
                <c:pt idx="57">
                  <c:v>50.567700000000002</c:v>
                </c:pt>
                <c:pt idx="58">
                  <c:v>50.558099999999996</c:v>
                </c:pt>
                <c:pt idx="59">
                  <c:v>50.463499999999996</c:v>
                </c:pt>
                <c:pt idx="60">
                  <c:v>50.366299999999995</c:v>
                </c:pt>
                <c:pt idx="61">
                  <c:v>50.207599999999999</c:v>
                </c:pt>
                <c:pt idx="62">
                  <c:v>50.0687</c:v>
                </c:pt>
                <c:pt idx="63">
                  <c:v>50.031599999999997</c:v>
                </c:pt>
                <c:pt idx="64">
                  <c:v>50.044499999999999</c:v>
                </c:pt>
                <c:pt idx="65">
                  <c:v>50.06</c:v>
                </c:pt>
                <c:pt idx="66">
                  <c:v>50.103500000000004</c:v>
                </c:pt>
                <c:pt idx="67">
                  <c:v>50.139900000000004</c:v>
                </c:pt>
                <c:pt idx="68">
                  <c:v>50.143000000000001</c:v>
                </c:pt>
                <c:pt idx="69">
                  <c:v>50.036800000000007</c:v>
                </c:pt>
                <c:pt idx="70">
                  <c:v>49.876899999999999</c:v>
                </c:pt>
                <c:pt idx="71">
                  <c:v>49.851800000000004</c:v>
                </c:pt>
                <c:pt idx="72">
                  <c:v>49.730699999999999</c:v>
                </c:pt>
                <c:pt idx="73">
                  <c:v>48.976100000000002</c:v>
                </c:pt>
                <c:pt idx="74">
                  <c:v>49.135199999999998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14.939025000000001</c:v>
                </c:pt>
                <c:pt idx="1">
                  <c:v>44.817075000000003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51.977355405405426</c:v>
                </c:pt>
                <c:pt idx="1">
                  <c:v>52.673686486486474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1.7691100000000002</c:v>
                </c:pt>
                <c:pt idx="1">
                  <c:v>1.82169</c:v>
                </c:pt>
                <c:pt idx="2">
                  <c:v>1.8757699999999999</c:v>
                </c:pt>
                <c:pt idx="3">
                  <c:v>1.931</c:v>
                </c:pt>
                <c:pt idx="4">
                  <c:v>1.98912</c:v>
                </c:pt>
                <c:pt idx="5">
                  <c:v>2.0479600000000002</c:v>
                </c:pt>
                <c:pt idx="6">
                  <c:v>2.1060300000000001</c:v>
                </c:pt>
                <c:pt idx="7">
                  <c:v>2.1633200000000001</c:v>
                </c:pt>
                <c:pt idx="8">
                  <c:v>2.2230300000000001</c:v>
                </c:pt>
                <c:pt idx="9">
                  <c:v>2.2854299999999999</c:v>
                </c:pt>
                <c:pt idx="10">
                  <c:v>2.3502999999999998</c:v>
                </c:pt>
                <c:pt idx="11">
                  <c:v>2.4194299999999997</c:v>
                </c:pt>
                <c:pt idx="12">
                  <c:v>2.4883299999999999</c:v>
                </c:pt>
                <c:pt idx="13">
                  <c:v>2.5549400000000002</c:v>
                </c:pt>
                <c:pt idx="14">
                  <c:v>2.61958</c:v>
                </c:pt>
                <c:pt idx="15">
                  <c:v>2.6836799999999998</c:v>
                </c:pt>
                <c:pt idx="16">
                  <c:v>2.7478200000000004</c:v>
                </c:pt>
                <c:pt idx="17">
                  <c:v>2.8029199999999999</c:v>
                </c:pt>
                <c:pt idx="18">
                  <c:v>2.8581699999999999</c:v>
                </c:pt>
                <c:pt idx="19">
                  <c:v>2.9102899999999998</c:v>
                </c:pt>
                <c:pt idx="20">
                  <c:v>2.9582199999999998</c:v>
                </c:pt>
                <c:pt idx="21">
                  <c:v>3.00305</c:v>
                </c:pt>
                <c:pt idx="22">
                  <c:v>3.04271</c:v>
                </c:pt>
                <c:pt idx="23">
                  <c:v>3.0790699999999998</c:v>
                </c:pt>
                <c:pt idx="24">
                  <c:v>3.1038900000000003</c:v>
                </c:pt>
                <c:pt idx="25">
                  <c:v>3.1217499999999996</c:v>
                </c:pt>
                <c:pt idx="26">
                  <c:v>3.1333799999999998</c:v>
                </c:pt>
                <c:pt idx="27">
                  <c:v>3.1426100000000003</c:v>
                </c:pt>
                <c:pt idx="28">
                  <c:v>3.1520100000000002</c:v>
                </c:pt>
                <c:pt idx="29">
                  <c:v>3.1583600000000001</c:v>
                </c:pt>
                <c:pt idx="30">
                  <c:v>3.1629200000000002</c:v>
                </c:pt>
                <c:pt idx="31">
                  <c:v>3.1650800000000001</c:v>
                </c:pt>
                <c:pt idx="32">
                  <c:v>3.1654399999999998</c:v>
                </c:pt>
                <c:pt idx="33">
                  <c:v>3.1616</c:v>
                </c:pt>
                <c:pt idx="34">
                  <c:v>3.1561899999999996</c:v>
                </c:pt>
                <c:pt idx="35">
                  <c:v>3.1492599999999999</c:v>
                </c:pt>
                <c:pt idx="36">
                  <c:v>3.13733</c:v>
                </c:pt>
                <c:pt idx="37">
                  <c:v>3.1227800000000001</c:v>
                </c:pt>
                <c:pt idx="38">
                  <c:v>3.1067400000000003</c:v>
                </c:pt>
                <c:pt idx="39">
                  <c:v>3.0869400000000002</c:v>
                </c:pt>
                <c:pt idx="40">
                  <c:v>3.0634000000000001</c:v>
                </c:pt>
                <c:pt idx="41">
                  <c:v>3.04061</c:v>
                </c:pt>
                <c:pt idx="42">
                  <c:v>3.0282</c:v>
                </c:pt>
                <c:pt idx="43">
                  <c:v>3.0144599999999997</c:v>
                </c:pt>
                <c:pt idx="44">
                  <c:v>3.0016500000000002</c:v>
                </c:pt>
                <c:pt idx="45">
                  <c:v>2.9921100000000003</c:v>
                </c:pt>
                <c:pt idx="46">
                  <c:v>2.9830399999999999</c:v>
                </c:pt>
                <c:pt idx="47">
                  <c:v>2.9731299999999998</c:v>
                </c:pt>
                <c:pt idx="48">
                  <c:v>2.9651399999999999</c:v>
                </c:pt>
                <c:pt idx="49">
                  <c:v>2.9559800000000003</c:v>
                </c:pt>
                <c:pt idx="50">
                  <c:v>2.94895</c:v>
                </c:pt>
                <c:pt idx="51">
                  <c:v>2.9438599999999999</c:v>
                </c:pt>
                <c:pt idx="52">
                  <c:v>2.9404599999999999</c:v>
                </c:pt>
                <c:pt idx="53">
                  <c:v>2.9363999999999999</c:v>
                </c:pt>
                <c:pt idx="54">
                  <c:v>2.93371</c:v>
                </c:pt>
                <c:pt idx="55">
                  <c:v>2.93248</c:v>
                </c:pt>
                <c:pt idx="56">
                  <c:v>2.9323199999999998</c:v>
                </c:pt>
                <c:pt idx="57">
                  <c:v>2.9346100000000002</c:v>
                </c:pt>
                <c:pt idx="58">
                  <c:v>2.9430000000000001</c:v>
                </c:pt>
                <c:pt idx="59">
                  <c:v>2.9523000000000001</c:v>
                </c:pt>
                <c:pt idx="60">
                  <c:v>2.9565900000000003</c:v>
                </c:pt>
                <c:pt idx="61">
                  <c:v>2.9671799999999999</c:v>
                </c:pt>
                <c:pt idx="62">
                  <c:v>2.9796899999999997</c:v>
                </c:pt>
                <c:pt idx="63">
                  <c:v>2.9941599999999999</c:v>
                </c:pt>
                <c:pt idx="64">
                  <c:v>3.0114900000000002</c:v>
                </c:pt>
                <c:pt idx="65">
                  <c:v>3.0298000000000003</c:v>
                </c:pt>
                <c:pt idx="66">
                  <c:v>3.0465599999999999</c:v>
                </c:pt>
                <c:pt idx="67">
                  <c:v>3.0587499999999999</c:v>
                </c:pt>
                <c:pt idx="68">
                  <c:v>3.07606</c:v>
                </c:pt>
                <c:pt idx="69">
                  <c:v>3.0829299999999997</c:v>
                </c:pt>
                <c:pt idx="70">
                  <c:v>3.0948700000000002</c:v>
                </c:pt>
                <c:pt idx="71">
                  <c:v>3.1038600000000001</c:v>
                </c:pt>
                <c:pt idx="72">
                  <c:v>3.1148599999999997</c:v>
                </c:pt>
                <c:pt idx="73">
                  <c:v>3.1275300000000001</c:v>
                </c:pt>
                <c:pt idx="74">
                  <c:v>3.1403799999999999</c:v>
                </c:pt>
                <c:pt idx="75">
                  <c:v>3.1528400000000003</c:v>
                </c:pt>
                <c:pt idx="76">
                  <c:v>3.1643300000000001</c:v>
                </c:pt>
                <c:pt idx="77">
                  <c:v>3.1725599999999998</c:v>
                </c:pt>
                <c:pt idx="78">
                  <c:v>3.1808700000000001</c:v>
                </c:pt>
                <c:pt idx="79">
                  <c:v>3.1907299999999998</c:v>
                </c:pt>
                <c:pt idx="80">
                  <c:v>3.2012200000000002</c:v>
                </c:pt>
                <c:pt idx="81">
                  <c:v>3.2108599999999998</c:v>
                </c:pt>
                <c:pt idx="82">
                  <c:v>3.2192100000000003</c:v>
                </c:pt>
                <c:pt idx="83">
                  <c:v>3.2232100000000004</c:v>
                </c:pt>
                <c:pt idx="84">
                  <c:v>3.2239400000000002</c:v>
                </c:pt>
                <c:pt idx="85">
                  <c:v>3.2265899999999998</c:v>
                </c:pt>
                <c:pt idx="86">
                  <c:v>3.2318000000000002</c:v>
                </c:pt>
                <c:pt idx="87">
                  <c:v>3.23977</c:v>
                </c:pt>
                <c:pt idx="88">
                  <c:v>3.2498800000000001</c:v>
                </c:pt>
                <c:pt idx="89">
                  <c:v>3.2580999999999998</c:v>
                </c:pt>
                <c:pt idx="90">
                  <c:v>3.2658199999999997</c:v>
                </c:pt>
                <c:pt idx="91">
                  <c:v>3.27067</c:v>
                </c:pt>
                <c:pt idx="92">
                  <c:v>3.2763199999999997</c:v>
                </c:pt>
                <c:pt idx="93">
                  <c:v>3.28118</c:v>
                </c:pt>
                <c:pt idx="94">
                  <c:v>3.2858499999999999</c:v>
                </c:pt>
                <c:pt idx="95">
                  <c:v>3.2895799999999999</c:v>
                </c:pt>
                <c:pt idx="96">
                  <c:v>3.29426</c:v>
                </c:pt>
                <c:pt idx="97">
                  <c:v>3.29942</c:v>
                </c:pt>
                <c:pt idx="98">
                  <c:v>3.3033899999999998</c:v>
                </c:pt>
                <c:pt idx="99">
                  <c:v>3.3071200000000003</c:v>
                </c:pt>
                <c:pt idx="100">
                  <c:v>3.3069199999999999</c:v>
                </c:pt>
                <c:pt idx="101">
                  <c:v>3.3029599999999997</c:v>
                </c:pt>
                <c:pt idx="102">
                  <c:v>3.2978100000000001</c:v>
                </c:pt>
                <c:pt idx="103">
                  <c:v>3.2896900000000002</c:v>
                </c:pt>
                <c:pt idx="104">
                  <c:v>3.2798799999999999</c:v>
                </c:pt>
                <c:pt idx="105">
                  <c:v>3.27067</c:v>
                </c:pt>
                <c:pt idx="106">
                  <c:v>3.2625700000000002</c:v>
                </c:pt>
                <c:pt idx="107">
                  <c:v>3.2531599999999998</c:v>
                </c:pt>
                <c:pt idx="108">
                  <c:v>3.2444800000000003</c:v>
                </c:pt>
                <c:pt idx="109">
                  <c:v>3.2356400000000001</c:v>
                </c:pt>
                <c:pt idx="110">
                  <c:v>3.2234800000000003</c:v>
                </c:pt>
                <c:pt idx="111">
                  <c:v>3.20777</c:v>
                </c:pt>
                <c:pt idx="112">
                  <c:v>3.1885699999999999</c:v>
                </c:pt>
                <c:pt idx="113">
                  <c:v>3.1659900000000003</c:v>
                </c:pt>
                <c:pt idx="114">
                  <c:v>3.1441699999999999</c:v>
                </c:pt>
                <c:pt idx="115">
                  <c:v>3.12222</c:v>
                </c:pt>
                <c:pt idx="116">
                  <c:v>3.1039699999999999</c:v>
                </c:pt>
                <c:pt idx="117">
                  <c:v>3.08643</c:v>
                </c:pt>
                <c:pt idx="118">
                  <c:v>3.069</c:v>
                </c:pt>
                <c:pt idx="119">
                  <c:v>3.0529600000000001</c:v>
                </c:pt>
                <c:pt idx="120">
                  <c:v>3.0350300000000003</c:v>
                </c:pt>
                <c:pt idx="121">
                  <c:v>3.0146299999999999</c:v>
                </c:pt>
                <c:pt idx="122">
                  <c:v>2.9912200000000002</c:v>
                </c:pt>
                <c:pt idx="123">
                  <c:v>2.96522</c:v>
                </c:pt>
                <c:pt idx="124">
                  <c:v>2.9425299999999996</c:v>
                </c:pt>
                <c:pt idx="125">
                  <c:v>2.9231499999999997</c:v>
                </c:pt>
                <c:pt idx="126">
                  <c:v>2.90876</c:v>
                </c:pt>
                <c:pt idx="127">
                  <c:v>2.8991499999999997</c:v>
                </c:pt>
                <c:pt idx="128">
                  <c:v>2.8937299999999997</c:v>
                </c:pt>
                <c:pt idx="129">
                  <c:v>2.8882500000000002</c:v>
                </c:pt>
                <c:pt idx="130">
                  <c:v>2.8817300000000001</c:v>
                </c:pt>
                <c:pt idx="131">
                  <c:v>2.8734299999999999</c:v>
                </c:pt>
                <c:pt idx="132">
                  <c:v>2.8698600000000001</c:v>
                </c:pt>
                <c:pt idx="133">
                  <c:v>2.8718599999999999</c:v>
                </c:pt>
                <c:pt idx="134">
                  <c:v>2.8763000000000001</c:v>
                </c:pt>
                <c:pt idx="135">
                  <c:v>2.8830800000000001</c:v>
                </c:pt>
                <c:pt idx="136">
                  <c:v>2.8908200000000002</c:v>
                </c:pt>
                <c:pt idx="137">
                  <c:v>2.89906</c:v>
                </c:pt>
                <c:pt idx="138">
                  <c:v>2.9086800000000004</c:v>
                </c:pt>
                <c:pt idx="139">
                  <c:v>2.9207300000000003</c:v>
                </c:pt>
                <c:pt idx="140">
                  <c:v>2.9315600000000002</c:v>
                </c:pt>
                <c:pt idx="141">
                  <c:v>2.9315000000000002</c:v>
                </c:pt>
                <c:pt idx="142">
                  <c:v>2.9230899999999997</c:v>
                </c:pt>
                <c:pt idx="143">
                  <c:v>2.9052299999999995</c:v>
                </c:pt>
                <c:pt idx="144">
                  <c:v>2.8797699999999997</c:v>
                </c:pt>
                <c:pt idx="145">
                  <c:v>2.8571400000000002</c:v>
                </c:pt>
                <c:pt idx="146">
                  <c:v>2.8347299999999995</c:v>
                </c:pt>
                <c:pt idx="147">
                  <c:v>2.8186499999999999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64.527699999999996</c:v>
                </c:pt>
                <c:pt idx="1">
                  <c:v>64.023399999999995</c:v>
                </c:pt>
                <c:pt idx="2">
                  <c:v>63.429500000000004</c:v>
                </c:pt>
                <c:pt idx="3">
                  <c:v>62.825699999999998</c:v>
                </c:pt>
                <c:pt idx="4">
                  <c:v>62.104099999999995</c:v>
                </c:pt>
                <c:pt idx="5">
                  <c:v>61.462600000000002</c:v>
                </c:pt>
                <c:pt idx="6">
                  <c:v>60.926600000000001</c:v>
                </c:pt>
                <c:pt idx="7">
                  <c:v>60.531700000000001</c:v>
                </c:pt>
                <c:pt idx="8">
                  <c:v>59.9666</c:v>
                </c:pt>
                <c:pt idx="9">
                  <c:v>59.258999999999993</c:v>
                </c:pt>
                <c:pt idx="10">
                  <c:v>58.565800000000003</c:v>
                </c:pt>
                <c:pt idx="11">
                  <c:v>57.736900000000006</c:v>
                </c:pt>
                <c:pt idx="12">
                  <c:v>56.8932</c:v>
                </c:pt>
                <c:pt idx="13">
                  <c:v>56.190100000000001</c:v>
                </c:pt>
                <c:pt idx="14">
                  <c:v>55.597099999999998</c:v>
                </c:pt>
                <c:pt idx="15">
                  <c:v>54.953300000000006</c:v>
                </c:pt>
                <c:pt idx="16">
                  <c:v>54.289200000000001</c:v>
                </c:pt>
                <c:pt idx="17">
                  <c:v>53.9497</c:v>
                </c:pt>
                <c:pt idx="18">
                  <c:v>53.647599999999997</c:v>
                </c:pt>
                <c:pt idx="19">
                  <c:v>53.395400000000002</c:v>
                </c:pt>
                <c:pt idx="20">
                  <c:v>53.212600000000002</c:v>
                </c:pt>
                <c:pt idx="21">
                  <c:v>53.113900000000001</c:v>
                </c:pt>
                <c:pt idx="22">
                  <c:v>52.955200000000005</c:v>
                </c:pt>
                <c:pt idx="23">
                  <c:v>52.757100000000001</c:v>
                </c:pt>
                <c:pt idx="24">
                  <c:v>52.468899999999998</c:v>
                </c:pt>
                <c:pt idx="25">
                  <c:v>52.204399999999993</c:v>
                </c:pt>
                <c:pt idx="26">
                  <c:v>51.851499999999994</c:v>
                </c:pt>
                <c:pt idx="27">
                  <c:v>51.476699999999994</c:v>
                </c:pt>
                <c:pt idx="28">
                  <c:v>50.981299999999997</c:v>
                </c:pt>
                <c:pt idx="29">
                  <c:v>50.444800000000001</c:v>
                </c:pt>
                <c:pt idx="30">
                  <c:v>49.910399999999996</c:v>
                </c:pt>
                <c:pt idx="31">
                  <c:v>49.433199999999999</c:v>
                </c:pt>
                <c:pt idx="32">
                  <c:v>48.97</c:v>
                </c:pt>
                <c:pt idx="33">
                  <c:v>48.479499999999994</c:v>
                </c:pt>
                <c:pt idx="34">
                  <c:v>47.952399999999997</c:v>
                </c:pt>
                <c:pt idx="35">
                  <c:v>47.450299999999999</c:v>
                </c:pt>
                <c:pt idx="36">
                  <c:v>47.019199999999998</c:v>
                </c:pt>
                <c:pt idx="37">
                  <c:v>46.654899999999998</c:v>
                </c:pt>
                <c:pt idx="38">
                  <c:v>46.351799999999997</c:v>
                </c:pt>
                <c:pt idx="39">
                  <c:v>46.196300000000001</c:v>
                </c:pt>
                <c:pt idx="40">
                  <c:v>46.182699999999997</c:v>
                </c:pt>
                <c:pt idx="41">
                  <c:v>46.273399999999995</c:v>
                </c:pt>
                <c:pt idx="42">
                  <c:v>46.317500000000003</c:v>
                </c:pt>
                <c:pt idx="43">
                  <c:v>46.435700000000004</c:v>
                </c:pt>
                <c:pt idx="44">
                  <c:v>46.483999999999995</c:v>
                </c:pt>
                <c:pt idx="45">
                  <c:v>46.430700000000002</c:v>
                </c:pt>
                <c:pt idx="46">
                  <c:v>46.397300000000001</c:v>
                </c:pt>
                <c:pt idx="47">
                  <c:v>46.429299999999998</c:v>
                </c:pt>
                <c:pt idx="48">
                  <c:v>46.471299999999999</c:v>
                </c:pt>
                <c:pt idx="49">
                  <c:v>46.544000000000004</c:v>
                </c:pt>
                <c:pt idx="50">
                  <c:v>46.576099999999997</c:v>
                </c:pt>
                <c:pt idx="51">
                  <c:v>46.726199999999999</c:v>
                </c:pt>
                <c:pt idx="52">
                  <c:v>46.994</c:v>
                </c:pt>
                <c:pt idx="53">
                  <c:v>47.466000000000001</c:v>
                </c:pt>
                <c:pt idx="54">
                  <c:v>48.019099999999995</c:v>
                </c:pt>
                <c:pt idx="55">
                  <c:v>48.641800000000003</c:v>
                </c:pt>
                <c:pt idx="56">
                  <c:v>48.8748</c:v>
                </c:pt>
                <c:pt idx="57">
                  <c:v>49.167000000000002</c:v>
                </c:pt>
                <c:pt idx="58">
                  <c:v>49.648900000000005</c:v>
                </c:pt>
                <c:pt idx="59">
                  <c:v>50.080599999999997</c:v>
                </c:pt>
                <c:pt idx="60">
                  <c:v>50.442399999999999</c:v>
                </c:pt>
                <c:pt idx="61">
                  <c:v>50.911799999999999</c:v>
                </c:pt>
                <c:pt idx="62">
                  <c:v>51.319600000000001</c:v>
                </c:pt>
                <c:pt idx="63">
                  <c:v>51.627100000000006</c:v>
                </c:pt>
                <c:pt idx="64">
                  <c:v>51.776800000000001</c:v>
                </c:pt>
                <c:pt idx="65">
                  <c:v>51.8489</c:v>
                </c:pt>
                <c:pt idx="66">
                  <c:v>51.935099999999998</c:v>
                </c:pt>
                <c:pt idx="67">
                  <c:v>52.0991</c:v>
                </c:pt>
                <c:pt idx="68">
                  <c:v>52.112199999999994</c:v>
                </c:pt>
                <c:pt idx="69">
                  <c:v>52.242599999999996</c:v>
                </c:pt>
                <c:pt idx="70">
                  <c:v>52.234800000000007</c:v>
                </c:pt>
                <c:pt idx="71">
                  <c:v>52.362900000000003</c:v>
                </c:pt>
                <c:pt idx="72">
                  <c:v>52.485400000000006</c:v>
                </c:pt>
                <c:pt idx="73">
                  <c:v>52.605599999999995</c:v>
                </c:pt>
                <c:pt idx="74">
                  <c:v>52.811600000000006</c:v>
                </c:pt>
                <c:pt idx="75">
                  <c:v>53.032800000000002</c:v>
                </c:pt>
                <c:pt idx="76">
                  <c:v>53.183100000000003</c:v>
                </c:pt>
                <c:pt idx="77">
                  <c:v>53.303699999999999</c:v>
                </c:pt>
                <c:pt idx="78">
                  <c:v>53.374900000000004</c:v>
                </c:pt>
                <c:pt idx="79">
                  <c:v>53.463499999999996</c:v>
                </c:pt>
                <c:pt idx="80">
                  <c:v>53.6678</c:v>
                </c:pt>
                <c:pt idx="81">
                  <c:v>53.901900000000005</c:v>
                </c:pt>
                <c:pt idx="82">
                  <c:v>54.187700000000007</c:v>
                </c:pt>
                <c:pt idx="83">
                  <c:v>54.4223</c:v>
                </c:pt>
                <c:pt idx="84">
                  <c:v>54.630599999999994</c:v>
                </c:pt>
                <c:pt idx="85">
                  <c:v>54.805499999999995</c:v>
                </c:pt>
                <c:pt idx="86">
                  <c:v>55.018999999999998</c:v>
                </c:pt>
                <c:pt idx="87">
                  <c:v>55.204299999999996</c:v>
                </c:pt>
                <c:pt idx="88">
                  <c:v>55.293899999999994</c:v>
                </c:pt>
                <c:pt idx="89">
                  <c:v>55.433799999999998</c:v>
                </c:pt>
                <c:pt idx="90">
                  <c:v>55.595500000000001</c:v>
                </c:pt>
                <c:pt idx="91">
                  <c:v>55.809200000000004</c:v>
                </c:pt>
                <c:pt idx="92">
                  <c:v>56.031399999999998</c:v>
                </c:pt>
                <c:pt idx="93">
                  <c:v>56.255099999999999</c:v>
                </c:pt>
                <c:pt idx="94">
                  <c:v>56.524799999999999</c:v>
                </c:pt>
                <c:pt idx="95">
                  <c:v>56.652899999999995</c:v>
                </c:pt>
                <c:pt idx="96">
                  <c:v>56.664999999999999</c:v>
                </c:pt>
                <c:pt idx="97">
                  <c:v>56.561300000000003</c:v>
                </c:pt>
                <c:pt idx="98">
                  <c:v>56.393800000000006</c:v>
                </c:pt>
                <c:pt idx="99">
                  <c:v>56.174599999999998</c:v>
                </c:pt>
                <c:pt idx="100">
                  <c:v>55.977699999999999</c:v>
                </c:pt>
                <c:pt idx="101">
                  <c:v>55.809299999999993</c:v>
                </c:pt>
                <c:pt idx="102">
                  <c:v>55.589700000000001</c:v>
                </c:pt>
                <c:pt idx="103">
                  <c:v>55.298499999999997</c:v>
                </c:pt>
                <c:pt idx="104">
                  <c:v>54.975200000000001</c:v>
                </c:pt>
                <c:pt idx="105">
                  <c:v>54.686199999999999</c:v>
                </c:pt>
                <c:pt idx="106">
                  <c:v>54.348100000000002</c:v>
                </c:pt>
                <c:pt idx="107">
                  <c:v>53.9953</c:v>
                </c:pt>
                <c:pt idx="108">
                  <c:v>53.596800000000002</c:v>
                </c:pt>
                <c:pt idx="109">
                  <c:v>53.222700000000003</c:v>
                </c:pt>
                <c:pt idx="110">
                  <c:v>52.862200000000001</c:v>
                </c:pt>
                <c:pt idx="111">
                  <c:v>52.445</c:v>
                </c:pt>
                <c:pt idx="112">
                  <c:v>52.061500000000002</c:v>
                </c:pt>
                <c:pt idx="113">
                  <c:v>51.799799999999998</c:v>
                </c:pt>
                <c:pt idx="114">
                  <c:v>51.509300000000003</c:v>
                </c:pt>
                <c:pt idx="115">
                  <c:v>51.262799999999999</c:v>
                </c:pt>
                <c:pt idx="116">
                  <c:v>51.036000000000001</c:v>
                </c:pt>
                <c:pt idx="117">
                  <c:v>50.854299999999995</c:v>
                </c:pt>
                <c:pt idx="118">
                  <c:v>50.7209</c:v>
                </c:pt>
                <c:pt idx="119">
                  <c:v>50.551400000000001</c:v>
                </c:pt>
                <c:pt idx="120">
                  <c:v>50.463100000000004</c:v>
                </c:pt>
                <c:pt idx="121">
                  <c:v>50.447900000000004</c:v>
                </c:pt>
                <c:pt idx="122">
                  <c:v>50.442100000000003</c:v>
                </c:pt>
                <c:pt idx="123">
                  <c:v>50.535499999999999</c:v>
                </c:pt>
                <c:pt idx="124">
                  <c:v>50.747799999999998</c:v>
                </c:pt>
                <c:pt idx="125">
                  <c:v>50.8553</c:v>
                </c:pt>
                <c:pt idx="126">
                  <c:v>50.830500000000001</c:v>
                </c:pt>
                <c:pt idx="127">
                  <c:v>50.773199999999996</c:v>
                </c:pt>
                <c:pt idx="128">
                  <c:v>50.719800000000006</c:v>
                </c:pt>
                <c:pt idx="129">
                  <c:v>50.673000000000002</c:v>
                </c:pt>
                <c:pt idx="130">
                  <c:v>50.567700000000002</c:v>
                </c:pt>
                <c:pt idx="131">
                  <c:v>50.558099999999996</c:v>
                </c:pt>
                <c:pt idx="132">
                  <c:v>50.463499999999996</c:v>
                </c:pt>
                <c:pt idx="133">
                  <c:v>50.366299999999995</c:v>
                </c:pt>
                <c:pt idx="134">
                  <c:v>50.207599999999999</c:v>
                </c:pt>
                <c:pt idx="135">
                  <c:v>50.0687</c:v>
                </c:pt>
                <c:pt idx="136">
                  <c:v>50.031599999999997</c:v>
                </c:pt>
                <c:pt idx="137">
                  <c:v>50.044499999999999</c:v>
                </c:pt>
                <c:pt idx="138">
                  <c:v>50.06</c:v>
                </c:pt>
                <c:pt idx="139">
                  <c:v>50.103500000000004</c:v>
                </c:pt>
                <c:pt idx="140">
                  <c:v>50.139900000000004</c:v>
                </c:pt>
                <c:pt idx="141">
                  <c:v>50.143000000000001</c:v>
                </c:pt>
                <c:pt idx="142">
                  <c:v>50.036800000000007</c:v>
                </c:pt>
                <c:pt idx="143">
                  <c:v>49.876899999999999</c:v>
                </c:pt>
                <c:pt idx="144">
                  <c:v>49.851800000000004</c:v>
                </c:pt>
                <c:pt idx="145">
                  <c:v>49.730699999999999</c:v>
                </c:pt>
                <c:pt idx="146">
                  <c:v>48.976100000000002</c:v>
                </c:pt>
                <c:pt idx="147">
                  <c:v>49.135199999999998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1.7691100000000002</c:v>
                </c:pt>
                <c:pt idx="1">
                  <c:v>1.82169</c:v>
                </c:pt>
                <c:pt idx="2">
                  <c:v>1.8757699999999999</c:v>
                </c:pt>
                <c:pt idx="3">
                  <c:v>1.931</c:v>
                </c:pt>
                <c:pt idx="4">
                  <c:v>1.98912</c:v>
                </c:pt>
                <c:pt idx="5">
                  <c:v>2.0479600000000002</c:v>
                </c:pt>
                <c:pt idx="6">
                  <c:v>2.1060300000000001</c:v>
                </c:pt>
                <c:pt idx="7">
                  <c:v>2.1633200000000001</c:v>
                </c:pt>
                <c:pt idx="8">
                  <c:v>2.2230300000000001</c:v>
                </c:pt>
                <c:pt idx="9">
                  <c:v>2.2854299999999999</c:v>
                </c:pt>
                <c:pt idx="10">
                  <c:v>2.3502999999999998</c:v>
                </c:pt>
                <c:pt idx="11">
                  <c:v>2.4194299999999997</c:v>
                </c:pt>
                <c:pt idx="12">
                  <c:v>2.4883299999999999</c:v>
                </c:pt>
                <c:pt idx="13">
                  <c:v>2.5549400000000002</c:v>
                </c:pt>
                <c:pt idx="14">
                  <c:v>2.61958</c:v>
                </c:pt>
                <c:pt idx="15">
                  <c:v>2.6836799999999998</c:v>
                </c:pt>
                <c:pt idx="16">
                  <c:v>2.7478200000000004</c:v>
                </c:pt>
                <c:pt idx="17">
                  <c:v>2.8029199999999999</c:v>
                </c:pt>
                <c:pt idx="18">
                  <c:v>2.8581699999999999</c:v>
                </c:pt>
                <c:pt idx="19">
                  <c:v>2.9102899999999998</c:v>
                </c:pt>
                <c:pt idx="20">
                  <c:v>2.9582199999999998</c:v>
                </c:pt>
                <c:pt idx="21">
                  <c:v>3.00305</c:v>
                </c:pt>
                <c:pt idx="22">
                  <c:v>3.04271</c:v>
                </c:pt>
                <c:pt idx="23">
                  <c:v>3.0790699999999998</c:v>
                </c:pt>
                <c:pt idx="24">
                  <c:v>3.1038900000000003</c:v>
                </c:pt>
                <c:pt idx="25">
                  <c:v>3.1217499999999996</c:v>
                </c:pt>
                <c:pt idx="26">
                  <c:v>3.1333799999999998</c:v>
                </c:pt>
                <c:pt idx="27">
                  <c:v>3.1426100000000003</c:v>
                </c:pt>
                <c:pt idx="28">
                  <c:v>3.1520100000000002</c:v>
                </c:pt>
                <c:pt idx="29">
                  <c:v>3.1583600000000001</c:v>
                </c:pt>
                <c:pt idx="30">
                  <c:v>3.1629200000000002</c:v>
                </c:pt>
                <c:pt idx="31">
                  <c:v>3.1650800000000001</c:v>
                </c:pt>
                <c:pt idx="32">
                  <c:v>3.1654399999999998</c:v>
                </c:pt>
                <c:pt idx="33">
                  <c:v>3.1616</c:v>
                </c:pt>
                <c:pt idx="34">
                  <c:v>3.1561899999999996</c:v>
                </c:pt>
                <c:pt idx="35">
                  <c:v>3.1492599999999999</c:v>
                </c:pt>
                <c:pt idx="36">
                  <c:v>3.13733</c:v>
                </c:pt>
                <c:pt idx="37">
                  <c:v>3.1227800000000001</c:v>
                </c:pt>
                <c:pt idx="38">
                  <c:v>3.1067400000000003</c:v>
                </c:pt>
                <c:pt idx="39">
                  <c:v>3.0869400000000002</c:v>
                </c:pt>
                <c:pt idx="40">
                  <c:v>3.0634000000000001</c:v>
                </c:pt>
                <c:pt idx="41">
                  <c:v>3.04061</c:v>
                </c:pt>
                <c:pt idx="42">
                  <c:v>3.0282</c:v>
                </c:pt>
                <c:pt idx="43">
                  <c:v>3.0144599999999997</c:v>
                </c:pt>
                <c:pt idx="44">
                  <c:v>3.0016500000000002</c:v>
                </c:pt>
                <c:pt idx="45">
                  <c:v>2.9921100000000003</c:v>
                </c:pt>
                <c:pt idx="46">
                  <c:v>2.9830399999999999</c:v>
                </c:pt>
                <c:pt idx="47">
                  <c:v>2.9731299999999998</c:v>
                </c:pt>
                <c:pt idx="48">
                  <c:v>2.9651399999999999</c:v>
                </c:pt>
                <c:pt idx="49">
                  <c:v>2.9559800000000003</c:v>
                </c:pt>
                <c:pt idx="50">
                  <c:v>2.94895</c:v>
                </c:pt>
                <c:pt idx="51">
                  <c:v>2.9438599999999999</c:v>
                </c:pt>
                <c:pt idx="52">
                  <c:v>2.9404599999999999</c:v>
                </c:pt>
                <c:pt idx="53">
                  <c:v>2.9363999999999999</c:v>
                </c:pt>
                <c:pt idx="54">
                  <c:v>2.93371</c:v>
                </c:pt>
                <c:pt idx="55">
                  <c:v>2.93248</c:v>
                </c:pt>
                <c:pt idx="56">
                  <c:v>2.9323199999999998</c:v>
                </c:pt>
                <c:pt idx="57">
                  <c:v>2.9346100000000002</c:v>
                </c:pt>
                <c:pt idx="58">
                  <c:v>2.9430000000000001</c:v>
                </c:pt>
                <c:pt idx="59">
                  <c:v>2.9523000000000001</c:v>
                </c:pt>
                <c:pt idx="60">
                  <c:v>2.9565900000000003</c:v>
                </c:pt>
                <c:pt idx="61">
                  <c:v>2.9671799999999999</c:v>
                </c:pt>
                <c:pt idx="62">
                  <c:v>2.9796899999999997</c:v>
                </c:pt>
                <c:pt idx="63">
                  <c:v>2.9941599999999999</c:v>
                </c:pt>
                <c:pt idx="64">
                  <c:v>3.0114900000000002</c:v>
                </c:pt>
                <c:pt idx="65">
                  <c:v>3.0298000000000003</c:v>
                </c:pt>
                <c:pt idx="66">
                  <c:v>3.0465599999999999</c:v>
                </c:pt>
                <c:pt idx="67">
                  <c:v>3.0587499999999999</c:v>
                </c:pt>
                <c:pt idx="68">
                  <c:v>3.07606</c:v>
                </c:pt>
                <c:pt idx="69">
                  <c:v>3.0829299999999997</c:v>
                </c:pt>
                <c:pt idx="70">
                  <c:v>3.0948700000000002</c:v>
                </c:pt>
                <c:pt idx="71">
                  <c:v>3.1038600000000001</c:v>
                </c:pt>
                <c:pt idx="72">
                  <c:v>3.1148599999999997</c:v>
                </c:pt>
                <c:pt idx="73">
                  <c:v>3.1275300000000001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64.527699999999996</c:v>
                </c:pt>
                <c:pt idx="1">
                  <c:v>64.023399999999995</c:v>
                </c:pt>
                <c:pt idx="2">
                  <c:v>63.429500000000004</c:v>
                </c:pt>
                <c:pt idx="3">
                  <c:v>62.825699999999998</c:v>
                </c:pt>
                <c:pt idx="4">
                  <c:v>62.104099999999995</c:v>
                </c:pt>
                <c:pt idx="5">
                  <c:v>61.462600000000002</c:v>
                </c:pt>
                <c:pt idx="6">
                  <c:v>60.926600000000001</c:v>
                </c:pt>
                <c:pt idx="7">
                  <c:v>60.531700000000001</c:v>
                </c:pt>
                <c:pt idx="8">
                  <c:v>59.9666</c:v>
                </c:pt>
                <c:pt idx="9">
                  <c:v>59.258999999999993</c:v>
                </c:pt>
                <c:pt idx="10">
                  <c:v>58.565800000000003</c:v>
                </c:pt>
                <c:pt idx="11">
                  <c:v>57.736900000000006</c:v>
                </c:pt>
                <c:pt idx="12">
                  <c:v>56.8932</c:v>
                </c:pt>
                <c:pt idx="13">
                  <c:v>56.190100000000001</c:v>
                </c:pt>
                <c:pt idx="14">
                  <c:v>55.597099999999998</c:v>
                </c:pt>
                <c:pt idx="15">
                  <c:v>54.953300000000006</c:v>
                </c:pt>
                <c:pt idx="16">
                  <c:v>54.289200000000001</c:v>
                </c:pt>
                <c:pt idx="17">
                  <c:v>53.9497</c:v>
                </c:pt>
                <c:pt idx="18">
                  <c:v>53.647599999999997</c:v>
                </c:pt>
                <c:pt idx="19">
                  <c:v>53.395400000000002</c:v>
                </c:pt>
                <c:pt idx="20">
                  <c:v>53.212600000000002</c:v>
                </c:pt>
                <c:pt idx="21">
                  <c:v>53.113900000000001</c:v>
                </c:pt>
                <c:pt idx="22">
                  <c:v>52.955200000000005</c:v>
                </c:pt>
                <c:pt idx="23">
                  <c:v>52.757100000000001</c:v>
                </c:pt>
                <c:pt idx="24">
                  <c:v>52.468899999999998</c:v>
                </c:pt>
                <c:pt idx="25">
                  <c:v>52.204399999999993</c:v>
                </c:pt>
                <c:pt idx="26">
                  <c:v>51.851499999999994</c:v>
                </c:pt>
                <c:pt idx="27">
                  <c:v>51.476699999999994</c:v>
                </c:pt>
                <c:pt idx="28">
                  <c:v>50.981299999999997</c:v>
                </c:pt>
                <c:pt idx="29">
                  <c:v>50.444800000000001</c:v>
                </c:pt>
                <c:pt idx="30">
                  <c:v>49.910399999999996</c:v>
                </c:pt>
                <c:pt idx="31">
                  <c:v>49.433199999999999</c:v>
                </c:pt>
                <c:pt idx="32">
                  <c:v>48.97</c:v>
                </c:pt>
                <c:pt idx="33">
                  <c:v>48.479499999999994</c:v>
                </c:pt>
                <c:pt idx="34">
                  <c:v>47.952399999999997</c:v>
                </c:pt>
                <c:pt idx="35">
                  <c:v>47.450299999999999</c:v>
                </c:pt>
                <c:pt idx="36">
                  <c:v>47.019199999999998</c:v>
                </c:pt>
                <c:pt idx="37">
                  <c:v>46.654899999999998</c:v>
                </c:pt>
                <c:pt idx="38">
                  <c:v>46.351799999999997</c:v>
                </c:pt>
                <c:pt idx="39">
                  <c:v>46.196300000000001</c:v>
                </c:pt>
                <c:pt idx="40">
                  <c:v>46.182699999999997</c:v>
                </c:pt>
                <c:pt idx="41">
                  <c:v>46.273399999999995</c:v>
                </c:pt>
                <c:pt idx="42">
                  <c:v>46.317500000000003</c:v>
                </c:pt>
                <c:pt idx="43">
                  <c:v>46.435700000000004</c:v>
                </c:pt>
                <c:pt idx="44">
                  <c:v>46.483999999999995</c:v>
                </c:pt>
                <c:pt idx="45">
                  <c:v>46.430700000000002</c:v>
                </c:pt>
                <c:pt idx="46">
                  <c:v>46.397300000000001</c:v>
                </c:pt>
                <c:pt idx="47">
                  <c:v>46.429299999999998</c:v>
                </c:pt>
                <c:pt idx="48">
                  <c:v>46.471299999999999</c:v>
                </c:pt>
                <c:pt idx="49">
                  <c:v>46.544000000000004</c:v>
                </c:pt>
                <c:pt idx="50">
                  <c:v>46.576099999999997</c:v>
                </c:pt>
                <c:pt idx="51">
                  <c:v>46.726199999999999</c:v>
                </c:pt>
                <c:pt idx="52">
                  <c:v>46.994</c:v>
                </c:pt>
                <c:pt idx="53">
                  <c:v>47.466000000000001</c:v>
                </c:pt>
                <c:pt idx="54">
                  <c:v>48.019099999999995</c:v>
                </c:pt>
                <c:pt idx="55">
                  <c:v>48.641800000000003</c:v>
                </c:pt>
                <c:pt idx="56">
                  <c:v>48.8748</c:v>
                </c:pt>
                <c:pt idx="57">
                  <c:v>49.167000000000002</c:v>
                </c:pt>
                <c:pt idx="58">
                  <c:v>49.648900000000005</c:v>
                </c:pt>
                <c:pt idx="59">
                  <c:v>50.080599999999997</c:v>
                </c:pt>
                <c:pt idx="60">
                  <c:v>50.442399999999999</c:v>
                </c:pt>
                <c:pt idx="61">
                  <c:v>50.911799999999999</c:v>
                </c:pt>
                <c:pt idx="62">
                  <c:v>51.319600000000001</c:v>
                </c:pt>
                <c:pt idx="63">
                  <c:v>51.627100000000006</c:v>
                </c:pt>
                <c:pt idx="64">
                  <c:v>51.776800000000001</c:v>
                </c:pt>
                <c:pt idx="65">
                  <c:v>51.8489</c:v>
                </c:pt>
                <c:pt idx="66">
                  <c:v>51.935099999999998</c:v>
                </c:pt>
                <c:pt idx="67">
                  <c:v>52.0991</c:v>
                </c:pt>
                <c:pt idx="68">
                  <c:v>52.112199999999994</c:v>
                </c:pt>
                <c:pt idx="69">
                  <c:v>52.242599999999996</c:v>
                </c:pt>
                <c:pt idx="70">
                  <c:v>52.234800000000007</c:v>
                </c:pt>
                <c:pt idx="71">
                  <c:v>52.362900000000003</c:v>
                </c:pt>
                <c:pt idx="72">
                  <c:v>52.485400000000006</c:v>
                </c:pt>
                <c:pt idx="73">
                  <c:v>52.605599999999995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3.1275300000000001</c:v>
                </c:pt>
                <c:pt idx="1">
                  <c:v>3.1403799999999999</c:v>
                </c:pt>
                <c:pt idx="2">
                  <c:v>3.1528400000000003</c:v>
                </c:pt>
                <c:pt idx="3">
                  <c:v>3.1643300000000001</c:v>
                </c:pt>
                <c:pt idx="4">
                  <c:v>3.1725599999999998</c:v>
                </c:pt>
                <c:pt idx="5">
                  <c:v>3.1808700000000001</c:v>
                </c:pt>
                <c:pt idx="6">
                  <c:v>3.1907299999999998</c:v>
                </c:pt>
                <c:pt idx="7">
                  <c:v>3.2012200000000002</c:v>
                </c:pt>
                <c:pt idx="8">
                  <c:v>3.2108599999999998</c:v>
                </c:pt>
                <c:pt idx="9">
                  <c:v>3.2192100000000003</c:v>
                </c:pt>
                <c:pt idx="10">
                  <c:v>3.2232100000000004</c:v>
                </c:pt>
                <c:pt idx="11">
                  <c:v>3.2239400000000002</c:v>
                </c:pt>
                <c:pt idx="12">
                  <c:v>3.2265899999999998</c:v>
                </c:pt>
                <c:pt idx="13">
                  <c:v>3.2318000000000002</c:v>
                </c:pt>
                <c:pt idx="14">
                  <c:v>3.23977</c:v>
                </c:pt>
                <c:pt idx="15">
                  <c:v>3.2498800000000001</c:v>
                </c:pt>
                <c:pt idx="16">
                  <c:v>3.2580999999999998</c:v>
                </c:pt>
                <c:pt idx="17">
                  <c:v>3.2658199999999997</c:v>
                </c:pt>
                <c:pt idx="18">
                  <c:v>3.27067</c:v>
                </c:pt>
                <c:pt idx="19">
                  <c:v>3.2763199999999997</c:v>
                </c:pt>
                <c:pt idx="20">
                  <c:v>3.28118</c:v>
                </c:pt>
                <c:pt idx="21">
                  <c:v>3.2858499999999999</c:v>
                </c:pt>
                <c:pt idx="22">
                  <c:v>3.2895799999999999</c:v>
                </c:pt>
                <c:pt idx="23">
                  <c:v>3.29426</c:v>
                </c:pt>
                <c:pt idx="24">
                  <c:v>3.29942</c:v>
                </c:pt>
                <c:pt idx="25">
                  <c:v>3.3033899999999998</c:v>
                </c:pt>
                <c:pt idx="26">
                  <c:v>3.3071200000000003</c:v>
                </c:pt>
                <c:pt idx="27">
                  <c:v>3.3069199999999999</c:v>
                </c:pt>
                <c:pt idx="28">
                  <c:v>3.3029599999999997</c:v>
                </c:pt>
                <c:pt idx="29">
                  <c:v>3.2978100000000001</c:v>
                </c:pt>
                <c:pt idx="30">
                  <c:v>3.2896900000000002</c:v>
                </c:pt>
                <c:pt idx="31">
                  <c:v>3.2798799999999999</c:v>
                </c:pt>
                <c:pt idx="32">
                  <c:v>3.27067</c:v>
                </c:pt>
                <c:pt idx="33">
                  <c:v>3.2625700000000002</c:v>
                </c:pt>
                <c:pt idx="34">
                  <c:v>3.2531599999999998</c:v>
                </c:pt>
                <c:pt idx="35">
                  <c:v>3.2444800000000003</c:v>
                </c:pt>
                <c:pt idx="36">
                  <c:v>3.2356400000000001</c:v>
                </c:pt>
                <c:pt idx="37">
                  <c:v>3.2234800000000003</c:v>
                </c:pt>
                <c:pt idx="38">
                  <c:v>3.20777</c:v>
                </c:pt>
                <c:pt idx="39">
                  <c:v>3.1885699999999999</c:v>
                </c:pt>
                <c:pt idx="40">
                  <c:v>3.1659900000000003</c:v>
                </c:pt>
                <c:pt idx="41">
                  <c:v>3.1441699999999999</c:v>
                </c:pt>
                <c:pt idx="42">
                  <c:v>3.12222</c:v>
                </c:pt>
                <c:pt idx="43">
                  <c:v>3.1039699999999999</c:v>
                </c:pt>
                <c:pt idx="44">
                  <c:v>3.08643</c:v>
                </c:pt>
                <c:pt idx="45">
                  <c:v>3.069</c:v>
                </c:pt>
                <c:pt idx="46">
                  <c:v>3.0529600000000001</c:v>
                </c:pt>
                <c:pt idx="47">
                  <c:v>3.0350300000000003</c:v>
                </c:pt>
                <c:pt idx="48">
                  <c:v>3.0146299999999999</c:v>
                </c:pt>
                <c:pt idx="49">
                  <c:v>2.9912200000000002</c:v>
                </c:pt>
                <c:pt idx="50">
                  <c:v>2.96522</c:v>
                </c:pt>
                <c:pt idx="51">
                  <c:v>2.9425299999999996</c:v>
                </c:pt>
                <c:pt idx="52">
                  <c:v>2.9231499999999997</c:v>
                </c:pt>
                <c:pt idx="53">
                  <c:v>2.90876</c:v>
                </c:pt>
                <c:pt idx="54">
                  <c:v>2.8991499999999997</c:v>
                </c:pt>
                <c:pt idx="55">
                  <c:v>2.8937299999999997</c:v>
                </c:pt>
                <c:pt idx="56">
                  <c:v>2.8882500000000002</c:v>
                </c:pt>
                <c:pt idx="57">
                  <c:v>2.8817300000000001</c:v>
                </c:pt>
                <c:pt idx="58">
                  <c:v>2.8734299999999999</c:v>
                </c:pt>
                <c:pt idx="59">
                  <c:v>2.8698600000000001</c:v>
                </c:pt>
                <c:pt idx="60">
                  <c:v>2.8718599999999999</c:v>
                </c:pt>
                <c:pt idx="61">
                  <c:v>2.8763000000000001</c:v>
                </c:pt>
                <c:pt idx="62">
                  <c:v>2.8830800000000001</c:v>
                </c:pt>
                <c:pt idx="63">
                  <c:v>2.8908200000000002</c:v>
                </c:pt>
                <c:pt idx="64">
                  <c:v>2.89906</c:v>
                </c:pt>
                <c:pt idx="65">
                  <c:v>2.9086800000000004</c:v>
                </c:pt>
                <c:pt idx="66">
                  <c:v>2.9207300000000003</c:v>
                </c:pt>
                <c:pt idx="67">
                  <c:v>2.9315600000000002</c:v>
                </c:pt>
                <c:pt idx="68">
                  <c:v>2.9315000000000002</c:v>
                </c:pt>
                <c:pt idx="69">
                  <c:v>2.9230899999999997</c:v>
                </c:pt>
                <c:pt idx="70">
                  <c:v>2.9052299999999995</c:v>
                </c:pt>
                <c:pt idx="71">
                  <c:v>2.8797699999999997</c:v>
                </c:pt>
                <c:pt idx="72">
                  <c:v>2.8571400000000002</c:v>
                </c:pt>
                <c:pt idx="73">
                  <c:v>2.8347299999999995</c:v>
                </c:pt>
                <c:pt idx="74">
                  <c:v>2.8186499999999999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52.605599999999995</c:v>
                </c:pt>
                <c:pt idx="1">
                  <c:v>52.811600000000006</c:v>
                </c:pt>
                <c:pt idx="2">
                  <c:v>53.032800000000002</c:v>
                </c:pt>
                <c:pt idx="3">
                  <c:v>53.183100000000003</c:v>
                </c:pt>
                <c:pt idx="4">
                  <c:v>53.303699999999999</c:v>
                </c:pt>
                <c:pt idx="5">
                  <c:v>53.374900000000004</c:v>
                </c:pt>
                <c:pt idx="6">
                  <c:v>53.463499999999996</c:v>
                </c:pt>
                <c:pt idx="7">
                  <c:v>53.6678</c:v>
                </c:pt>
                <c:pt idx="8">
                  <c:v>53.901900000000005</c:v>
                </c:pt>
                <c:pt idx="9">
                  <c:v>54.187700000000007</c:v>
                </c:pt>
                <c:pt idx="10">
                  <c:v>54.4223</c:v>
                </c:pt>
                <c:pt idx="11">
                  <c:v>54.630599999999994</c:v>
                </c:pt>
                <c:pt idx="12">
                  <c:v>54.805499999999995</c:v>
                </c:pt>
                <c:pt idx="13">
                  <c:v>55.018999999999998</c:v>
                </c:pt>
                <c:pt idx="14">
                  <c:v>55.204299999999996</c:v>
                </c:pt>
                <c:pt idx="15">
                  <c:v>55.293899999999994</c:v>
                </c:pt>
                <c:pt idx="16">
                  <c:v>55.433799999999998</c:v>
                </c:pt>
                <c:pt idx="17">
                  <c:v>55.595500000000001</c:v>
                </c:pt>
                <c:pt idx="18">
                  <c:v>55.809200000000004</c:v>
                </c:pt>
                <c:pt idx="19">
                  <c:v>56.031399999999998</c:v>
                </c:pt>
                <c:pt idx="20">
                  <c:v>56.255099999999999</c:v>
                </c:pt>
                <c:pt idx="21">
                  <c:v>56.524799999999999</c:v>
                </c:pt>
                <c:pt idx="22">
                  <c:v>56.652899999999995</c:v>
                </c:pt>
                <c:pt idx="23">
                  <c:v>56.664999999999999</c:v>
                </c:pt>
                <c:pt idx="24">
                  <c:v>56.561300000000003</c:v>
                </c:pt>
                <c:pt idx="25">
                  <c:v>56.393800000000006</c:v>
                </c:pt>
                <c:pt idx="26">
                  <c:v>56.174599999999998</c:v>
                </c:pt>
                <c:pt idx="27">
                  <c:v>55.977699999999999</c:v>
                </c:pt>
                <c:pt idx="28">
                  <c:v>55.809299999999993</c:v>
                </c:pt>
                <c:pt idx="29">
                  <c:v>55.589700000000001</c:v>
                </c:pt>
                <c:pt idx="30">
                  <c:v>55.298499999999997</c:v>
                </c:pt>
                <c:pt idx="31">
                  <c:v>54.975200000000001</c:v>
                </c:pt>
                <c:pt idx="32">
                  <c:v>54.686199999999999</c:v>
                </c:pt>
                <c:pt idx="33">
                  <c:v>54.348100000000002</c:v>
                </c:pt>
                <c:pt idx="34">
                  <c:v>53.9953</c:v>
                </c:pt>
                <c:pt idx="35">
                  <c:v>53.596800000000002</c:v>
                </c:pt>
                <c:pt idx="36">
                  <c:v>53.222700000000003</c:v>
                </c:pt>
                <c:pt idx="37">
                  <c:v>52.862200000000001</c:v>
                </c:pt>
                <c:pt idx="38">
                  <c:v>52.445</c:v>
                </c:pt>
                <c:pt idx="39">
                  <c:v>52.061500000000002</c:v>
                </c:pt>
                <c:pt idx="40">
                  <c:v>51.799799999999998</c:v>
                </c:pt>
                <c:pt idx="41">
                  <c:v>51.509300000000003</c:v>
                </c:pt>
                <c:pt idx="42">
                  <c:v>51.262799999999999</c:v>
                </c:pt>
                <c:pt idx="43">
                  <c:v>51.036000000000001</c:v>
                </c:pt>
                <c:pt idx="44">
                  <c:v>50.854299999999995</c:v>
                </c:pt>
                <c:pt idx="45">
                  <c:v>50.7209</c:v>
                </c:pt>
                <c:pt idx="46">
                  <c:v>50.551400000000001</c:v>
                </c:pt>
                <c:pt idx="47">
                  <c:v>50.463100000000004</c:v>
                </c:pt>
                <c:pt idx="48">
                  <c:v>50.447900000000004</c:v>
                </c:pt>
                <c:pt idx="49">
                  <c:v>50.442100000000003</c:v>
                </c:pt>
                <c:pt idx="50">
                  <c:v>50.535499999999999</c:v>
                </c:pt>
                <c:pt idx="51">
                  <c:v>50.747799999999998</c:v>
                </c:pt>
                <c:pt idx="52">
                  <c:v>50.8553</c:v>
                </c:pt>
                <c:pt idx="53">
                  <c:v>50.830500000000001</c:v>
                </c:pt>
                <c:pt idx="54">
                  <c:v>50.773199999999996</c:v>
                </c:pt>
                <c:pt idx="55">
                  <c:v>50.719800000000006</c:v>
                </c:pt>
                <c:pt idx="56">
                  <c:v>50.673000000000002</c:v>
                </c:pt>
                <c:pt idx="57">
                  <c:v>50.567700000000002</c:v>
                </c:pt>
                <c:pt idx="58">
                  <c:v>50.558099999999996</c:v>
                </c:pt>
                <c:pt idx="59">
                  <c:v>50.463499999999996</c:v>
                </c:pt>
                <c:pt idx="60">
                  <c:v>50.366299999999995</c:v>
                </c:pt>
                <c:pt idx="61">
                  <c:v>50.207599999999999</c:v>
                </c:pt>
                <c:pt idx="62">
                  <c:v>50.0687</c:v>
                </c:pt>
                <c:pt idx="63">
                  <c:v>50.031599999999997</c:v>
                </c:pt>
                <c:pt idx="64">
                  <c:v>50.044499999999999</c:v>
                </c:pt>
                <c:pt idx="65">
                  <c:v>50.06</c:v>
                </c:pt>
                <c:pt idx="66">
                  <c:v>50.103500000000004</c:v>
                </c:pt>
                <c:pt idx="67">
                  <c:v>50.139900000000004</c:v>
                </c:pt>
                <c:pt idx="68">
                  <c:v>50.143000000000001</c:v>
                </c:pt>
                <c:pt idx="69">
                  <c:v>50.036800000000007</c:v>
                </c:pt>
                <c:pt idx="70">
                  <c:v>49.876899999999999</c:v>
                </c:pt>
                <c:pt idx="71">
                  <c:v>49.851800000000004</c:v>
                </c:pt>
                <c:pt idx="72">
                  <c:v>49.730699999999999</c:v>
                </c:pt>
                <c:pt idx="73">
                  <c:v>48.976100000000002</c:v>
                </c:pt>
                <c:pt idx="74">
                  <c:v>49.135199999999998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1.7691100000000002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64.527699999999996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2.8515863513513517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51.977355405405426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3.1038801351351353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52.673686486486474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3.1038801351351353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52.673686486486474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15</xdr:row>
      <xdr:rowOff>0</xdr:rowOff>
    </xdr:from>
    <xdr:to>
      <xdr:col>8</xdr:col>
      <xdr:colOff>304800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15</xdr:row>
      <xdr:rowOff>0</xdr:rowOff>
    </xdr:from>
    <xdr:to>
      <xdr:col>10</xdr:col>
      <xdr:colOff>609600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9.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518</v>
      </c>
      <c r="D5" s="191"/>
      <c r="E5" s="191"/>
      <c r="F5" s="192"/>
      <c r="G5" s="48" t="str">
        <f>lang!B27</f>
        <v>编号</v>
      </c>
      <c r="H5" s="190">
        <v>11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517</v>
      </c>
      <c r="D6" s="145"/>
      <c r="E6" s="145"/>
      <c r="F6" s="146"/>
      <c r="G6" s="49" t="str">
        <f>lang!B28</f>
        <v xml:space="preserve"> 日期</v>
      </c>
      <c r="H6" s="129">
        <f>FH_info!A2</f>
        <v>43605.737847222219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30</v>
      </c>
      <c r="D7" s="148"/>
      <c r="E7" s="148"/>
      <c r="F7" s="149"/>
      <c r="G7" s="50" t="str">
        <f>lang!B29</f>
        <v>误差率（%）</v>
      </c>
      <c r="H7" s="132">
        <f>M!B17*1</f>
        <v>21.063099999999999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33.108499999999999</v>
      </c>
      <c r="O8" s="59">
        <f>M!C5*1</f>
        <v>6.5916499999999996</v>
      </c>
      <c r="P8" s="59">
        <f>M!D5*1</f>
        <v>19.909300000000002</v>
      </c>
      <c r="Q8" s="59">
        <f>M!E5*1</f>
        <v>20</v>
      </c>
      <c r="R8" s="59">
        <f>M!F5*1</f>
        <v>9.2081999999999997</v>
      </c>
      <c r="S8" s="59">
        <f>M!G5*1</f>
        <v>50</v>
      </c>
      <c r="T8" s="59">
        <f>M!H5*1</f>
        <v>42.060400000000001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27.137</v>
      </c>
      <c r="O9" s="59">
        <f>M!C6*1</f>
        <v>2.50569</v>
      </c>
      <c r="P9" s="59">
        <f>M!D6*1</f>
        <v>9.2334599999999991</v>
      </c>
      <c r="Q9" s="59">
        <f>M!E6*1</f>
        <v>20</v>
      </c>
      <c r="R9" s="59">
        <f>M!F6*1</f>
        <v>21.8203</v>
      </c>
      <c r="S9" s="59">
        <f>M!G6*1</f>
        <v>40</v>
      </c>
      <c r="T9" s="59">
        <f>M!H6*1</f>
        <v>32.696800000000003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9.2081999999999997</v>
      </c>
      <c r="D10" s="99">
        <f>N8</f>
        <v>33.108499999999999</v>
      </c>
      <c r="E10" s="100">
        <f>T8</f>
        <v>42.060400000000001</v>
      </c>
      <c r="F10" s="91">
        <f>P8</f>
        <v>19.909300000000002</v>
      </c>
      <c r="G10" s="81" t="str">
        <f>CONCATENATE(M9,"
(20 ~ 40)")</f>
        <v>压力
(20 ~ 40)</v>
      </c>
      <c r="H10" s="98">
        <f>R9</f>
        <v>21.8203</v>
      </c>
      <c r="I10" s="108">
        <f>N9</f>
        <v>27.137</v>
      </c>
      <c r="J10" s="98">
        <f>T9</f>
        <v>32.696800000000003</v>
      </c>
      <c r="K10" s="92">
        <f>P9</f>
        <v>9.2334599999999991</v>
      </c>
      <c r="L10" s="6"/>
      <c r="M10" s="27" t="str">
        <f>lang!B16</f>
        <v>焦虑</v>
      </c>
      <c r="N10" s="59">
        <f>M!B7*1</f>
        <v>17.635899999999999</v>
      </c>
      <c r="O10" s="59">
        <f>M!C7*1</f>
        <v>10.657</v>
      </c>
      <c r="P10" s="59">
        <f>M!D7*1</f>
        <v>60.427700000000002</v>
      </c>
      <c r="Q10" s="59">
        <f>M!E7*1</f>
        <v>15</v>
      </c>
      <c r="R10" s="59">
        <f>M!F7*1</f>
        <v>3.4913400000000001</v>
      </c>
      <c r="S10" s="59">
        <f>M!G7*1</f>
        <v>40</v>
      </c>
      <c r="T10" s="59">
        <f>M!H7*1</f>
        <v>52.370699999999999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3.4913400000000001</v>
      </c>
      <c r="D11" s="102">
        <f>N10</f>
        <v>17.635899999999999</v>
      </c>
      <c r="E11" s="103">
        <f>T10</f>
        <v>52.370699999999999</v>
      </c>
      <c r="F11" s="94">
        <f>P10</f>
        <v>60.427700000000002</v>
      </c>
      <c r="G11" s="52" t="str">
        <f>CONCATENATE(M11,"
(20 ~ 50)")</f>
        <v>可疑
(20 ~ 50)</v>
      </c>
      <c r="H11" s="101">
        <f>R11</f>
        <v>19.218699999999998</v>
      </c>
      <c r="I11" s="104">
        <f>N11</f>
        <v>25.524699999999999</v>
      </c>
      <c r="J11" s="101">
        <f>T11</f>
        <v>37.362400000000001</v>
      </c>
      <c r="K11" s="95">
        <f>P11</f>
        <v>14.1412</v>
      </c>
      <c r="L11" s="4"/>
      <c r="M11" s="27" t="str">
        <f>lang!B17</f>
        <v>可疑</v>
      </c>
      <c r="N11" s="59">
        <f>M!B8*1</f>
        <v>25.524699999999999</v>
      </c>
      <c r="O11" s="59">
        <f>M!C8*1</f>
        <v>3.6094900000000001</v>
      </c>
      <c r="P11" s="59">
        <f>M!D8*1</f>
        <v>14.1412</v>
      </c>
      <c r="Q11" s="59">
        <f>M!E8*1</f>
        <v>20</v>
      </c>
      <c r="R11" s="59">
        <f>M!F8*1</f>
        <v>19.218699999999998</v>
      </c>
      <c r="S11" s="59">
        <f>M!G8*1</f>
        <v>50</v>
      </c>
      <c r="T11" s="59">
        <f>M!H8*1</f>
        <v>37.362400000000001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52.016800000000003</v>
      </c>
      <c r="D12" s="104">
        <f>N12</f>
        <v>68.658600000000007</v>
      </c>
      <c r="E12" s="101">
        <f>T12</f>
        <v>88.728200000000001</v>
      </c>
      <c r="F12" s="93">
        <f>P12</f>
        <v>10.168200000000001</v>
      </c>
      <c r="G12" s="52" t="str">
        <f>CONCATENATE(M13,"
(40 ~ 100)")</f>
        <v>自信
(40 ~ 100)</v>
      </c>
      <c r="H12" s="101">
        <f>R13</f>
        <v>44.521999999999998</v>
      </c>
      <c r="I12" s="104">
        <f>N13</f>
        <v>66.237700000000004</v>
      </c>
      <c r="J12" s="101">
        <f>T13</f>
        <v>77.751800000000003</v>
      </c>
      <c r="K12" s="95">
        <f>P13</f>
        <v>11.1227</v>
      </c>
      <c r="L12" s="4"/>
      <c r="M12" s="27" t="str">
        <f>lang!B18</f>
        <v>平衡</v>
      </c>
      <c r="N12" s="59">
        <f>M!B9*1</f>
        <v>68.658600000000007</v>
      </c>
      <c r="O12" s="59">
        <f>M!C9*1</f>
        <v>6.9813700000000001</v>
      </c>
      <c r="P12" s="59">
        <f>M!D9*1</f>
        <v>10.168200000000001</v>
      </c>
      <c r="Q12" s="59">
        <f>M!E9*1</f>
        <v>50</v>
      </c>
      <c r="R12" s="59">
        <f>M!F9*1</f>
        <v>52.016800000000003</v>
      </c>
      <c r="S12" s="59">
        <f>M!G9*1</f>
        <v>100</v>
      </c>
      <c r="T12" s="59">
        <f>M!H9*1</f>
        <v>88.728200000000001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5.2926900000000003</v>
      </c>
      <c r="D13" s="102">
        <f>N14</f>
        <v>20.232199999999999</v>
      </c>
      <c r="E13" s="103">
        <f>T14</f>
        <v>25.642499999999998</v>
      </c>
      <c r="F13" s="94">
        <f>P14</f>
        <v>21.778199999999998</v>
      </c>
      <c r="G13" s="52" t="str">
        <f>CONCATENATE(M15,"
(50 ~ 100)")</f>
        <v>自我调节
(50 ~ 100)</v>
      </c>
      <c r="H13" s="101">
        <f>R15</f>
        <v>56.920400000000001</v>
      </c>
      <c r="I13" s="104">
        <f>N15</f>
        <v>67.077200000000005</v>
      </c>
      <c r="J13" s="101">
        <f>T15</f>
        <v>76.5685</v>
      </c>
      <c r="K13" s="95">
        <f>P15</f>
        <v>6.2982500000000003</v>
      </c>
      <c r="L13" s="4"/>
      <c r="M13" s="27" t="str">
        <f>lang!B19</f>
        <v>自信</v>
      </c>
      <c r="N13" s="59">
        <f>M!B10*1</f>
        <v>66.237700000000004</v>
      </c>
      <c r="O13" s="59">
        <f>M!C10*1</f>
        <v>7.3674299999999997</v>
      </c>
      <c r="P13" s="59">
        <f>M!D10*1</f>
        <v>11.1227</v>
      </c>
      <c r="Q13" s="59">
        <f>M!E10*1</f>
        <v>40</v>
      </c>
      <c r="R13" s="59">
        <f>M!F10*1</f>
        <v>44.521999999999998</v>
      </c>
      <c r="S13" s="59">
        <f>M!G10*1</f>
        <v>100</v>
      </c>
      <c r="T13" s="59">
        <f>M!H10*1</f>
        <v>77.751800000000003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13.906599999999999</v>
      </c>
      <c r="D14" s="106">
        <f>N16</f>
        <v>20.1097</v>
      </c>
      <c r="E14" s="107">
        <f>T16</f>
        <v>36.331499999999998</v>
      </c>
      <c r="F14" s="96">
        <f>P16</f>
        <v>21.532299999999999</v>
      </c>
      <c r="G14" s="112" t="str">
        <f>CONCATENATE(M17,"
(10 ~ 50)")</f>
        <v>神经质
(10 ~ 50)</v>
      </c>
      <c r="H14" s="105">
        <f>R17</f>
        <v>1.8792500000000001</v>
      </c>
      <c r="I14" s="106">
        <f>N17</f>
        <v>43.300899999999999</v>
      </c>
      <c r="J14" s="107">
        <f>T17</f>
        <v>59.817999999999998</v>
      </c>
      <c r="K14" s="97">
        <f>P17</f>
        <v>36.019300000000001</v>
      </c>
      <c r="M14" s="27" t="str">
        <f>lang!B20</f>
        <v>活力</v>
      </c>
      <c r="N14" s="59">
        <f>M!B11*1</f>
        <v>20.232199999999999</v>
      </c>
      <c r="O14" s="59">
        <f>M!C11*1</f>
        <v>4.4062000000000001</v>
      </c>
      <c r="P14" s="59">
        <f>M!D11*1</f>
        <v>21.778199999999998</v>
      </c>
      <c r="Q14" s="59">
        <f>M!E11*1</f>
        <v>10</v>
      </c>
      <c r="R14" s="59">
        <f>M!F11*1</f>
        <v>5.2926900000000003</v>
      </c>
      <c r="S14" s="59">
        <f>M!G11*1</f>
        <v>50</v>
      </c>
      <c r="T14" s="59">
        <f>M!H11*1</f>
        <v>25.642499999999998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67.077200000000005</v>
      </c>
      <c r="O15" s="59">
        <f>M!C12*1</f>
        <v>4.2246899999999998</v>
      </c>
      <c r="P15" s="59">
        <f>M!D12*1</f>
        <v>6.2982500000000003</v>
      </c>
      <c r="Q15" s="59">
        <f>M!E12*1</f>
        <v>50</v>
      </c>
      <c r="R15" s="59">
        <f>M!F12*1</f>
        <v>56.920400000000001</v>
      </c>
      <c r="S15" s="59">
        <f>M!G12*1</f>
        <v>100</v>
      </c>
      <c r="T15" s="59">
        <f>M!H12*1</f>
        <v>76.5685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20.1097</v>
      </c>
      <c r="O16" s="59">
        <f>M!C13*1</f>
        <v>4.3300900000000002</v>
      </c>
      <c r="P16" s="59">
        <f>M!D13*1</f>
        <v>21.532299999999999</v>
      </c>
      <c r="Q16" s="59">
        <f>M!E13*1</f>
        <v>10</v>
      </c>
      <c r="R16" s="59">
        <f>M!F13*1</f>
        <v>13.906599999999999</v>
      </c>
      <c r="S16" s="59">
        <f>M!G13*1</f>
        <v>25</v>
      </c>
      <c r="T16" s="59">
        <f>M!H13*1</f>
        <v>36.331499999999998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43.300899999999999</v>
      </c>
      <c r="O17" s="59">
        <f>M!C14*1</f>
        <v>15.5967</v>
      </c>
      <c r="P17" s="59">
        <f>M!D14*1</f>
        <v>36.019300000000001</v>
      </c>
      <c r="Q17" s="59">
        <f>M!E14*1</f>
        <v>10</v>
      </c>
      <c r="R17" s="59">
        <f>M!F14*1</f>
        <v>1.8792500000000001</v>
      </c>
      <c r="S17" s="59">
        <f>M!G14*1</f>
        <v>50</v>
      </c>
      <c r="T17" s="59">
        <f>M!H14*1</f>
        <v>59.817999999999998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55.551425000000002</v>
      </c>
      <c r="O18" s="22">
        <f>N18/(N18+N19+N20)</f>
        <v>0.49113504098949462</v>
      </c>
      <c r="P18" s="65">
        <f>SUM(P12:P15)/4</f>
        <v>12.3418375</v>
      </c>
      <c r="Q18" s="22">
        <f>P18/(P18+P19+P20)</f>
        <v>0.18408137512178754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25.851524999999999</v>
      </c>
      <c r="O19" s="22">
        <f>N19/(N18+N19+N20)</f>
        <v>0.22855560933884134</v>
      </c>
      <c r="P19" s="18">
        <f>SUM(P8:P11)/4</f>
        <v>25.927914999999999</v>
      </c>
      <c r="Q19" s="22">
        <f>P19/(P18+P19+P20)</f>
        <v>0.38672087906203767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31.705300000000001</v>
      </c>
      <c r="O20" s="22">
        <f>N20/(N18+N19+N20)</f>
        <v>0.2803093496716641</v>
      </c>
      <c r="P20" s="18">
        <f>(P16+P17)/2</f>
        <v>28.7758</v>
      </c>
      <c r="Q20" s="22">
        <f>P20/(P18+P19+P20)</f>
        <v>0.42919774581617476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-1.8266067567567879E-2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1.4479252582539599</v>
      </c>
      <c r="D25" s="44" t="str">
        <f>lang!B11</f>
        <v>频率方差</v>
      </c>
      <c r="E25" s="182">
        <f ca="1">FH!L3</f>
        <v>0.51182553988501955</v>
      </c>
      <c r="F25" s="183"/>
      <c r="G25" s="174" t="str">
        <f>lang!B12</f>
        <v>生理变化率</v>
      </c>
      <c r="H25" s="175"/>
      <c r="I25" s="62" t="str">
        <f ca="1">CONCATENATE(info!M7,"-",info!M8)</f>
        <v>46.2-64.5</v>
      </c>
      <c r="J25" s="42" t="str">
        <f>lang!B13</f>
        <v>千卡l/分钟</v>
      </c>
      <c r="K25" s="41" t="str">
        <f ca="1">CONCATENATE(info!M5,"-",info!M6)</f>
        <v>1.8-3.3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60.103899999999996</v>
      </c>
      <c r="F28" s="121"/>
      <c r="G28" s="135" t="str">
        <f>lang!B33</f>
        <v>稳定性</v>
      </c>
      <c r="H28" s="136"/>
      <c r="I28" s="137"/>
      <c r="J28" s="138">
        <f>M!B19*100</f>
        <v>67.123800000000003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43605.737847222219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1.3023999999999987</v>
      </c>
      <c r="O7" s="59">
        <f t="shared" ref="O7:T7" si="2">AG7-X7</f>
        <v>-6.2596799999999995</v>
      </c>
      <c r="P7" s="59">
        <f t="shared" si="2"/>
        <v>-19.66386</v>
      </c>
      <c r="Q7" s="59">
        <f t="shared" si="2"/>
        <v>0</v>
      </c>
      <c r="R7" s="59">
        <f t="shared" si="2"/>
        <v>20.176299999999998</v>
      </c>
      <c r="S7" s="59">
        <f t="shared" si="2"/>
        <v>0</v>
      </c>
      <c r="T7" s="59">
        <f t="shared" si="2"/>
        <v>-3.654200000000003</v>
      </c>
      <c r="U7" s="14"/>
      <c r="V7" s="27" t="str">
        <f>M7</f>
        <v>攻击性</v>
      </c>
      <c r="W7" s="59">
        <f>'M1'!B5*1</f>
        <v>32.246299999999998</v>
      </c>
      <c r="X7" s="59">
        <f>'M1'!C5*1</f>
        <v>8.3508899999999997</v>
      </c>
      <c r="Y7" s="59">
        <f>'M1'!D5*1</f>
        <v>25.897200000000002</v>
      </c>
      <c r="Z7" s="59">
        <f>'M1'!E5*1</f>
        <v>20</v>
      </c>
      <c r="AA7" s="59">
        <f>'M1'!F5*1</f>
        <v>9.2081999999999997</v>
      </c>
      <c r="AB7" s="59">
        <f>'M1'!G5*1</f>
        <v>50</v>
      </c>
      <c r="AC7" s="59">
        <f>'M1'!H5*1</f>
        <v>42.060400000000001</v>
      </c>
      <c r="AE7" s="27" t="str">
        <f>V7</f>
        <v>攻击性</v>
      </c>
      <c r="AF7" s="59">
        <f>'M2'!B5*1</f>
        <v>33.548699999999997</v>
      </c>
      <c r="AG7" s="59">
        <f>'M2'!C5*1</f>
        <v>2.0912099999999998</v>
      </c>
      <c r="AH7" s="59">
        <f>'M2'!D5*1</f>
        <v>6.2333400000000001</v>
      </c>
      <c r="AI7" s="59">
        <f>'M2'!E5*1</f>
        <v>20</v>
      </c>
      <c r="AJ7" s="59">
        <f>'M2'!F5*1</f>
        <v>29.384499999999999</v>
      </c>
      <c r="AK7" s="59">
        <f>'M2'!G5*1</f>
        <v>50</v>
      </c>
      <c r="AL7" s="59">
        <f>'M2'!H5*1</f>
        <v>38.406199999999998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-2.8648999999999987</v>
      </c>
      <c r="O8" s="59">
        <f t="shared" ref="O8:O16" si="5">AG8-X8</f>
        <v>0.19398999999999988</v>
      </c>
      <c r="P8" s="59">
        <f t="shared" ref="P8:P16" si="6">AH8-Y8</f>
        <v>1.5205399999999996</v>
      </c>
      <c r="Q8" s="59">
        <f t="shared" ref="Q8:Q16" si="7">AI8-Z8</f>
        <v>0</v>
      </c>
      <c r="R8" s="59">
        <f t="shared" ref="R8:R16" si="8">AJ8-AA8</f>
        <v>-3.0372000000000021</v>
      </c>
      <c r="S8" s="59">
        <f t="shared" ref="S8:S16" si="9">AK8-AB8</f>
        <v>0</v>
      </c>
      <c r="T8" s="59">
        <f t="shared" ref="T8:T16" si="10">AL8-AC8</f>
        <v>-2.5315000000000047</v>
      </c>
      <c r="U8" s="15"/>
      <c r="V8" s="27" t="str">
        <f t="shared" ref="V8:V16" si="11">M8</f>
        <v>压力</v>
      </c>
      <c r="W8" s="59">
        <f>'M1'!B6*1</f>
        <v>29.0245</v>
      </c>
      <c r="X8" s="59">
        <f>'M1'!C6*1</f>
        <v>2.06447</v>
      </c>
      <c r="Y8" s="59">
        <f>'M1'!D6*1</f>
        <v>7.1128600000000004</v>
      </c>
      <c r="Z8" s="59">
        <f>'M1'!E6*1</f>
        <v>20</v>
      </c>
      <c r="AA8" s="59">
        <f>'M1'!F6*1</f>
        <v>24.857500000000002</v>
      </c>
      <c r="AB8" s="59">
        <f>'M1'!G6*1</f>
        <v>40</v>
      </c>
      <c r="AC8" s="59">
        <f>'M1'!H6*1</f>
        <v>32.696800000000003</v>
      </c>
      <c r="AE8" s="27" t="str">
        <f t="shared" ref="AE8:AE16" si="12">V8</f>
        <v>压力</v>
      </c>
      <c r="AF8" s="59">
        <f>'M2'!B6*1</f>
        <v>26.159600000000001</v>
      </c>
      <c r="AG8" s="59">
        <f>'M2'!C6*1</f>
        <v>2.2584599999999999</v>
      </c>
      <c r="AH8" s="59">
        <f>'M2'!D6*1</f>
        <v>8.6334</v>
      </c>
      <c r="AI8" s="59">
        <f>'M2'!E6*1</f>
        <v>20</v>
      </c>
      <c r="AJ8" s="59">
        <f>'M2'!F6*1</f>
        <v>21.8203</v>
      </c>
      <c r="AK8" s="59">
        <f>'M2'!G6*1</f>
        <v>40</v>
      </c>
      <c r="AL8" s="59">
        <f>'M2'!H6*1</f>
        <v>30.165299999999998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20.176299999999998</v>
      </c>
      <c r="D9" s="78">
        <f>N7</f>
        <v>1.3023999999999987</v>
      </c>
      <c r="E9" s="79">
        <f>T7</f>
        <v>-3.654200000000003</v>
      </c>
      <c r="F9" s="79">
        <f>P7</f>
        <v>-19.66386</v>
      </c>
      <c r="G9" s="80" t="str">
        <f>CONCATENATE(M8,"
(20 ~ 40)")</f>
        <v>压力
(20 ~ 40)</v>
      </c>
      <c r="H9" s="77">
        <f>R8</f>
        <v>-3.0372000000000021</v>
      </c>
      <c r="I9" s="81">
        <f>N8</f>
        <v>-2.8648999999999987</v>
      </c>
      <c r="J9" s="77">
        <f>T8</f>
        <v>-2.5315000000000047</v>
      </c>
      <c r="K9" s="82">
        <f>P8</f>
        <v>1.5205399999999996</v>
      </c>
      <c r="L9" s="6"/>
      <c r="M9" s="27" t="str">
        <f>lang!B16</f>
        <v>焦虑</v>
      </c>
      <c r="N9" s="59">
        <f t="shared" si="4"/>
        <v>-4.0558999999999994</v>
      </c>
      <c r="O9" s="59">
        <f t="shared" si="5"/>
        <v>5.4678100000000001</v>
      </c>
      <c r="P9" s="59">
        <f t="shared" si="6"/>
        <v>45.863099999999996</v>
      </c>
      <c r="Q9" s="59">
        <f t="shared" si="7"/>
        <v>0</v>
      </c>
      <c r="R9" s="59">
        <f t="shared" si="8"/>
        <v>-3.3441599999999996</v>
      </c>
      <c r="S9" s="59">
        <f t="shared" si="9"/>
        <v>0</v>
      </c>
      <c r="T9" s="59">
        <f t="shared" si="10"/>
        <v>1.8956000000000017</v>
      </c>
      <c r="U9" s="14"/>
      <c r="V9" s="27" t="str">
        <f t="shared" si="11"/>
        <v>焦虑</v>
      </c>
      <c r="W9" s="59">
        <f>'M1'!B7*1</f>
        <v>19.424199999999999</v>
      </c>
      <c r="X9" s="59">
        <f>'M1'!C7*1</f>
        <v>7.5695899999999998</v>
      </c>
      <c r="Y9" s="59">
        <f>'M1'!D7*1</f>
        <v>38.969799999999999</v>
      </c>
      <c r="Z9" s="59">
        <f>'M1'!E7*1</f>
        <v>15</v>
      </c>
      <c r="AA9" s="59">
        <f>'M1'!F7*1</f>
        <v>6.8354999999999997</v>
      </c>
      <c r="AB9" s="59">
        <f>'M1'!G7*1</f>
        <v>40</v>
      </c>
      <c r="AC9" s="59">
        <f>'M1'!H7*1</f>
        <v>50.475099999999998</v>
      </c>
      <c r="AE9" s="27" t="str">
        <f t="shared" si="12"/>
        <v>焦虑</v>
      </c>
      <c r="AF9" s="59">
        <f>'M2'!B7*1</f>
        <v>15.3683</v>
      </c>
      <c r="AG9" s="59">
        <f>'M2'!C7*1</f>
        <v>13.0374</v>
      </c>
      <c r="AH9" s="59">
        <f>'M2'!D7*1</f>
        <v>84.832899999999995</v>
      </c>
      <c r="AI9" s="59">
        <f>'M2'!E7*1</f>
        <v>15</v>
      </c>
      <c r="AJ9" s="59">
        <f>'M2'!F7*1</f>
        <v>3.4913400000000001</v>
      </c>
      <c r="AK9" s="59">
        <f>'M2'!G7*1</f>
        <v>40</v>
      </c>
      <c r="AL9" s="59">
        <f>'M2'!H7*1</f>
        <v>52.370699999999999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-3.3441599999999996</v>
      </c>
      <c r="D10" s="51">
        <f>N9</f>
        <v>-4.0558999999999994</v>
      </c>
      <c r="E10" s="53">
        <f>T9</f>
        <v>1.8956000000000017</v>
      </c>
      <c r="F10" s="53">
        <f>P9</f>
        <v>45.863099999999996</v>
      </c>
      <c r="G10" s="73" t="str">
        <f>CONCATENATE(M10,"
(20 ~ 50)")</f>
        <v>可疑
(20 ~ 50)</v>
      </c>
      <c r="H10" s="24">
        <f>R10</f>
        <v>2.3285000000000018</v>
      </c>
      <c r="I10" s="52">
        <f>N10</f>
        <v>-0.23760000000000048</v>
      </c>
      <c r="J10" s="24">
        <f>T10</f>
        <v>5.1724999999999994</v>
      </c>
      <c r="K10" s="25">
        <f>P10</f>
        <v>7.8753399999999996</v>
      </c>
      <c r="L10" s="4"/>
      <c r="M10" s="27" t="str">
        <f>lang!B17</f>
        <v>可疑</v>
      </c>
      <c r="N10" s="59">
        <f t="shared" si="4"/>
        <v>-0.23760000000000048</v>
      </c>
      <c r="O10" s="59">
        <f t="shared" si="5"/>
        <v>1.97357</v>
      </c>
      <c r="P10" s="59">
        <f t="shared" si="6"/>
        <v>7.8753399999999996</v>
      </c>
      <c r="Q10" s="59">
        <f t="shared" si="7"/>
        <v>0</v>
      </c>
      <c r="R10" s="59">
        <f t="shared" si="8"/>
        <v>2.3285000000000018</v>
      </c>
      <c r="S10" s="59">
        <f t="shared" si="9"/>
        <v>0</v>
      </c>
      <c r="T10" s="59">
        <f t="shared" si="10"/>
        <v>5.1724999999999994</v>
      </c>
      <c r="U10" s="14"/>
      <c r="V10" s="27" t="str">
        <f t="shared" si="11"/>
        <v>可疑</v>
      </c>
      <c r="W10" s="59">
        <f>'M1'!B8*1</f>
        <v>25.580200000000001</v>
      </c>
      <c r="X10" s="59">
        <f>'M1'!C8*1</f>
        <v>2.3954200000000001</v>
      </c>
      <c r="Y10" s="59">
        <f>'M1'!D8*1</f>
        <v>9.3643599999999996</v>
      </c>
      <c r="Z10" s="59">
        <f>'M1'!E8*1</f>
        <v>20</v>
      </c>
      <c r="AA10" s="59">
        <f>'M1'!F8*1</f>
        <v>19.218699999999998</v>
      </c>
      <c r="AB10" s="59">
        <f>'M1'!G8*1</f>
        <v>50</v>
      </c>
      <c r="AC10" s="59">
        <f>'M1'!H8*1</f>
        <v>32.189900000000002</v>
      </c>
      <c r="AE10" s="27" t="str">
        <f t="shared" si="12"/>
        <v>可疑</v>
      </c>
      <c r="AF10" s="59">
        <f>'M2'!B8*1</f>
        <v>25.342600000000001</v>
      </c>
      <c r="AG10" s="59">
        <f>'M2'!C8*1</f>
        <v>4.3689900000000002</v>
      </c>
      <c r="AH10" s="59">
        <f>'M2'!D8*1</f>
        <v>17.239699999999999</v>
      </c>
      <c r="AI10" s="59">
        <f>'M2'!E8*1</f>
        <v>20</v>
      </c>
      <c r="AJ10" s="59">
        <f>'M2'!F8*1</f>
        <v>21.5472</v>
      </c>
      <c r="AK10" s="59">
        <f>'M2'!G8*1</f>
        <v>50</v>
      </c>
      <c r="AL10" s="59">
        <f>'M2'!H8*1</f>
        <v>37.362400000000001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3.3771999999999949</v>
      </c>
      <c r="D11" s="52">
        <f>N11</f>
        <v>0.88809999999999434</v>
      </c>
      <c r="E11" s="24">
        <f>T11</f>
        <v>-9.1094000000000079</v>
      </c>
      <c r="F11" s="24">
        <f>P11</f>
        <v>-4.0112100000000002</v>
      </c>
      <c r="G11" s="73" t="str">
        <f>CONCATENATE(M12,"
(40 ~ 100)")</f>
        <v>自信
(40 ~ 100)</v>
      </c>
      <c r="H11" s="24">
        <f>R12</f>
        <v>6.427500000000002</v>
      </c>
      <c r="I11" s="52">
        <f>N12</f>
        <v>5.3649999999999949</v>
      </c>
      <c r="J11" s="24">
        <f>T12</f>
        <v>8.042500000000004</v>
      </c>
      <c r="K11" s="25">
        <f>P12</f>
        <v>-2.9268200000000002</v>
      </c>
      <c r="L11" s="4"/>
      <c r="M11" s="27" t="str">
        <f>lang!B18</f>
        <v>平衡</v>
      </c>
      <c r="N11" s="59">
        <f t="shared" si="4"/>
        <v>0.88809999999999434</v>
      </c>
      <c r="O11" s="59">
        <f t="shared" si="5"/>
        <v>-2.6614599999999999</v>
      </c>
      <c r="P11" s="59">
        <f t="shared" si="6"/>
        <v>-4.0112100000000002</v>
      </c>
      <c r="Q11" s="59">
        <f t="shared" si="7"/>
        <v>0</v>
      </c>
      <c r="R11" s="59">
        <f t="shared" si="8"/>
        <v>3.3771999999999949</v>
      </c>
      <c r="S11" s="59">
        <f t="shared" si="9"/>
        <v>0</v>
      </c>
      <c r="T11" s="59">
        <f t="shared" si="10"/>
        <v>-9.1094000000000079</v>
      </c>
      <c r="U11" s="14"/>
      <c r="V11" s="27" t="str">
        <f t="shared" si="11"/>
        <v>平衡</v>
      </c>
      <c r="W11" s="59">
        <f>'M1'!B9*1</f>
        <v>68.119200000000006</v>
      </c>
      <c r="X11" s="59">
        <f>'M1'!C9*1</f>
        <v>8.17272</v>
      </c>
      <c r="Y11" s="59">
        <f>'M1'!D9*1</f>
        <v>11.9977</v>
      </c>
      <c r="Z11" s="59">
        <f>'M1'!E9*1</f>
        <v>50</v>
      </c>
      <c r="AA11" s="59">
        <f>'M1'!F9*1</f>
        <v>52.016800000000003</v>
      </c>
      <c r="AB11" s="59">
        <f>'M1'!G9*1</f>
        <v>100</v>
      </c>
      <c r="AC11" s="59">
        <f>'M1'!H9*1</f>
        <v>88.728200000000001</v>
      </c>
      <c r="AE11" s="27" t="str">
        <f t="shared" si="12"/>
        <v>平衡</v>
      </c>
      <c r="AF11" s="59">
        <f>'M2'!B9*1</f>
        <v>69.007300000000001</v>
      </c>
      <c r="AG11" s="59">
        <f>'M2'!C9*1</f>
        <v>5.51126</v>
      </c>
      <c r="AH11" s="59">
        <f>'M2'!D9*1</f>
        <v>7.9864899999999999</v>
      </c>
      <c r="AI11" s="59">
        <f>'M2'!E9*1</f>
        <v>50</v>
      </c>
      <c r="AJ11" s="59">
        <f>'M2'!F9*1</f>
        <v>55.393999999999998</v>
      </c>
      <c r="AK11" s="59">
        <f>'M2'!G9*1</f>
        <v>100</v>
      </c>
      <c r="AL11" s="59">
        <f>'M2'!H9*1</f>
        <v>79.618799999999993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12.474309999999999</v>
      </c>
      <c r="D12" s="51">
        <f>N13</f>
        <v>3.7158999999999978</v>
      </c>
      <c r="E12" s="53">
        <f>T13</f>
        <v>1.688799999999997</v>
      </c>
      <c r="F12" s="53">
        <f>P13</f>
        <v>-16.067039999999999</v>
      </c>
      <c r="G12" s="73" t="str">
        <f>CONCATENATE(M14,"
(50 ~ 100)")</f>
        <v>自我调节
(50 ~ 100)</v>
      </c>
      <c r="H12" s="24">
        <f>R14</f>
        <v>4.3109999999999999</v>
      </c>
      <c r="I12" s="52">
        <f>N14</f>
        <v>4.9763999999999982</v>
      </c>
      <c r="J12" s="24">
        <f>T14</f>
        <v>5.2916000000000025</v>
      </c>
      <c r="K12" s="25">
        <f>P14</f>
        <v>0.15061000000000035</v>
      </c>
      <c r="L12" s="4"/>
      <c r="M12" s="27" t="str">
        <f>lang!B19</f>
        <v>自信</v>
      </c>
      <c r="N12" s="59">
        <f t="shared" si="4"/>
        <v>5.3649999999999949</v>
      </c>
      <c r="O12" s="59">
        <f t="shared" si="5"/>
        <v>-1.5287799999999994</v>
      </c>
      <c r="P12" s="59">
        <f t="shared" si="6"/>
        <v>-2.9268200000000002</v>
      </c>
      <c r="Q12" s="59">
        <f t="shared" si="7"/>
        <v>0</v>
      </c>
      <c r="R12" s="59">
        <f t="shared" si="8"/>
        <v>6.427500000000002</v>
      </c>
      <c r="S12" s="59">
        <f t="shared" si="9"/>
        <v>0</v>
      </c>
      <c r="T12" s="59">
        <f t="shared" si="10"/>
        <v>8.042500000000004</v>
      </c>
      <c r="U12" s="15"/>
      <c r="V12" s="27" t="str">
        <f t="shared" si="11"/>
        <v>自信</v>
      </c>
      <c r="W12" s="59">
        <f>'M1'!B10*1</f>
        <v>65.535600000000002</v>
      </c>
      <c r="X12" s="59">
        <f>'M1'!C10*1</f>
        <v>6.6742999999999997</v>
      </c>
      <c r="Y12" s="59">
        <f>'M1'!D10*1</f>
        <v>10.184200000000001</v>
      </c>
      <c r="Z12" s="59">
        <f>'M1'!E10*1</f>
        <v>40</v>
      </c>
      <c r="AA12" s="59">
        <f>'M1'!F10*1</f>
        <v>44.521999999999998</v>
      </c>
      <c r="AB12" s="59">
        <f>'M1'!G10*1</f>
        <v>100</v>
      </c>
      <c r="AC12" s="59">
        <f>'M1'!H10*1</f>
        <v>69.709299999999999</v>
      </c>
      <c r="AE12" s="27" t="str">
        <f t="shared" si="12"/>
        <v>自信</v>
      </c>
      <c r="AF12" s="59">
        <f>'M2'!B10*1</f>
        <v>70.900599999999997</v>
      </c>
      <c r="AG12" s="59">
        <f>'M2'!C10*1</f>
        <v>5.1455200000000003</v>
      </c>
      <c r="AH12" s="59">
        <f>'M2'!D10*1</f>
        <v>7.2573800000000004</v>
      </c>
      <c r="AI12" s="59">
        <f>'M2'!E10*1</f>
        <v>40</v>
      </c>
      <c r="AJ12" s="59">
        <f>'M2'!F10*1</f>
        <v>50.9495</v>
      </c>
      <c r="AK12" s="59">
        <f>'M2'!G10*1</f>
        <v>100</v>
      </c>
      <c r="AL12" s="59">
        <f>'M2'!H10*1</f>
        <v>77.751800000000003</v>
      </c>
    </row>
    <row r="13" spans="2:38" ht="25.5" customHeight="1" thickBot="1">
      <c r="B13" s="72" t="str">
        <f>CONCATENATE(M15,"
(10 ~ 25)")</f>
        <v>抑郁
(10 ~ 25)</v>
      </c>
      <c r="C13" s="54">
        <f>R15</f>
        <v>3.3326000000000011</v>
      </c>
      <c r="D13" s="55">
        <f>N15</f>
        <v>4.4511000000000003</v>
      </c>
      <c r="E13" s="56">
        <f>T15</f>
        <v>9.3641999999999967</v>
      </c>
      <c r="F13" s="56">
        <f>P15</f>
        <v>-0.77620000000000289</v>
      </c>
      <c r="G13" s="74" t="str">
        <f>CONCATENATE(M16,"
(10 ~ 50)")</f>
        <v>神经质
(10 ~ 50)</v>
      </c>
      <c r="H13" s="54">
        <f>R16</f>
        <v>1.4076699999999998</v>
      </c>
      <c r="I13" s="55">
        <f>N16</f>
        <v>6.742200000000004</v>
      </c>
      <c r="J13" s="56">
        <f>T16</f>
        <v>21.455500000000001</v>
      </c>
      <c r="K13" s="57">
        <f>P16</f>
        <v>9.0801000000000016</v>
      </c>
      <c r="M13" s="27" t="str">
        <f>lang!B20</f>
        <v>活力</v>
      </c>
      <c r="N13" s="59">
        <f t="shared" si="4"/>
        <v>3.7158999999999978</v>
      </c>
      <c r="O13" s="59">
        <f t="shared" si="5"/>
        <v>-2.6456100000000005</v>
      </c>
      <c r="P13" s="59">
        <f t="shared" si="6"/>
        <v>-16.067039999999999</v>
      </c>
      <c r="Q13" s="59">
        <f t="shared" si="7"/>
        <v>0</v>
      </c>
      <c r="R13" s="59">
        <f t="shared" si="8"/>
        <v>12.474309999999999</v>
      </c>
      <c r="S13" s="59">
        <f t="shared" si="9"/>
        <v>0</v>
      </c>
      <c r="T13" s="59">
        <f t="shared" si="10"/>
        <v>1.688799999999997</v>
      </c>
      <c r="U13" s="14"/>
      <c r="V13" s="27" t="str">
        <f t="shared" si="11"/>
        <v>活力</v>
      </c>
      <c r="W13" s="59">
        <f>'M1'!B11*1</f>
        <v>18.778500000000001</v>
      </c>
      <c r="X13" s="59">
        <f>'M1'!C11*1</f>
        <v>4.8947000000000003</v>
      </c>
      <c r="Y13" s="59">
        <f>'M1'!D11*1</f>
        <v>26.0655</v>
      </c>
      <c r="Z13" s="59">
        <f>'M1'!E11*1</f>
        <v>10</v>
      </c>
      <c r="AA13" s="59">
        <f>'M1'!F11*1</f>
        <v>5.2926900000000003</v>
      </c>
      <c r="AB13" s="59">
        <f>'M1'!G11*1</f>
        <v>50</v>
      </c>
      <c r="AC13" s="59">
        <f>'M1'!H11*1</f>
        <v>23.953700000000001</v>
      </c>
      <c r="AE13" s="27" t="str">
        <f t="shared" si="12"/>
        <v>活力</v>
      </c>
      <c r="AF13" s="59">
        <f>'M2'!B11*1</f>
        <v>22.494399999999999</v>
      </c>
      <c r="AG13" s="59">
        <f>'M2'!C11*1</f>
        <v>2.2490899999999998</v>
      </c>
      <c r="AH13" s="59">
        <f>'M2'!D11*1</f>
        <v>9.9984599999999997</v>
      </c>
      <c r="AI13" s="59">
        <f>'M2'!E11*1</f>
        <v>10</v>
      </c>
      <c r="AJ13" s="59">
        <f>'M2'!F11*1</f>
        <v>17.766999999999999</v>
      </c>
      <c r="AK13" s="59">
        <f>'M2'!G11*1</f>
        <v>50</v>
      </c>
      <c r="AL13" s="59">
        <f>'M2'!H11*1</f>
        <v>25.642499999999998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4.9763999999999982</v>
      </c>
      <c r="O14" s="59">
        <f t="shared" si="5"/>
        <v>0.35855999999999977</v>
      </c>
      <c r="P14" s="59">
        <f t="shared" si="6"/>
        <v>0.15061000000000035</v>
      </c>
      <c r="Q14" s="59">
        <f t="shared" si="7"/>
        <v>0</v>
      </c>
      <c r="R14" s="59">
        <f t="shared" si="8"/>
        <v>4.3109999999999999</v>
      </c>
      <c r="S14" s="59">
        <f t="shared" si="9"/>
        <v>0</v>
      </c>
      <c r="T14" s="59">
        <f t="shared" si="10"/>
        <v>5.2916000000000025</v>
      </c>
      <c r="U14" s="14"/>
      <c r="V14" s="27" t="str">
        <f t="shared" si="11"/>
        <v>自我调节</v>
      </c>
      <c r="W14" s="59">
        <f>'M1'!B12*1</f>
        <v>65.357799999999997</v>
      </c>
      <c r="X14" s="59">
        <f>'M1'!C12*1</f>
        <v>3.3178200000000002</v>
      </c>
      <c r="Y14" s="59">
        <f>'M1'!D12*1</f>
        <v>5.0763999999999996</v>
      </c>
      <c r="Z14" s="59">
        <f>'M1'!E12*1</f>
        <v>50</v>
      </c>
      <c r="AA14" s="59">
        <f>'M1'!F12*1</f>
        <v>56.920400000000001</v>
      </c>
      <c r="AB14" s="59">
        <f>'M1'!G12*1</f>
        <v>100</v>
      </c>
      <c r="AC14" s="59">
        <f>'M1'!H12*1</f>
        <v>71.276899999999998</v>
      </c>
      <c r="AE14" s="27" t="str">
        <f t="shared" si="12"/>
        <v>自我调节</v>
      </c>
      <c r="AF14" s="59">
        <f>'M2'!B12*1</f>
        <v>70.334199999999996</v>
      </c>
      <c r="AG14" s="59">
        <f>'M2'!C12*1</f>
        <v>3.67638</v>
      </c>
      <c r="AH14" s="59">
        <f>'M2'!D12*1</f>
        <v>5.2270099999999999</v>
      </c>
      <c r="AI14" s="59">
        <f>'M2'!E12*1</f>
        <v>50</v>
      </c>
      <c r="AJ14" s="59">
        <f>'M2'!F12*1</f>
        <v>61.231400000000001</v>
      </c>
      <c r="AK14" s="59">
        <f>'M2'!G12*1</f>
        <v>100</v>
      </c>
      <c r="AL14" s="59">
        <f>'M2'!H12*1</f>
        <v>76.5685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4.4511000000000003</v>
      </c>
      <c r="O15" s="59">
        <f t="shared" si="5"/>
        <v>0.67422000000000004</v>
      </c>
      <c r="P15" s="59">
        <f t="shared" si="6"/>
        <v>-0.77620000000000289</v>
      </c>
      <c r="Q15" s="59">
        <f t="shared" si="7"/>
        <v>0</v>
      </c>
      <c r="R15" s="59">
        <f t="shared" si="8"/>
        <v>3.3326000000000011</v>
      </c>
      <c r="S15" s="59">
        <f t="shared" si="9"/>
        <v>0</v>
      </c>
      <c r="T15" s="59">
        <f t="shared" si="10"/>
        <v>9.3641999999999967</v>
      </c>
      <c r="U15" s="14"/>
      <c r="V15" s="27" t="str">
        <f t="shared" si="11"/>
        <v>抑郁</v>
      </c>
      <c r="W15" s="59">
        <f>'M1'!B13*1</f>
        <v>18.188099999999999</v>
      </c>
      <c r="X15" s="59">
        <f>'M1'!C13*1</f>
        <v>3.4730699999999999</v>
      </c>
      <c r="Y15" s="59">
        <f>'M1'!D13*1</f>
        <v>19.095300000000002</v>
      </c>
      <c r="Z15" s="59">
        <f>'M1'!E13*1</f>
        <v>10</v>
      </c>
      <c r="AA15" s="59">
        <f>'M1'!F13*1</f>
        <v>13.906599999999999</v>
      </c>
      <c r="AB15" s="59">
        <f>'M1'!G13*1</f>
        <v>25</v>
      </c>
      <c r="AC15" s="59">
        <f>'M1'!H13*1</f>
        <v>26.967300000000002</v>
      </c>
      <c r="AE15" s="27" t="str">
        <f t="shared" si="12"/>
        <v>抑郁</v>
      </c>
      <c r="AF15" s="59">
        <f>'M2'!B13*1</f>
        <v>22.639199999999999</v>
      </c>
      <c r="AG15" s="59">
        <f>'M2'!C13*1</f>
        <v>4.1472899999999999</v>
      </c>
      <c r="AH15" s="59">
        <f>'M2'!D13*1</f>
        <v>18.319099999999999</v>
      </c>
      <c r="AI15" s="59">
        <f>'M2'!E13*1</f>
        <v>10</v>
      </c>
      <c r="AJ15" s="59">
        <f>'M2'!F13*1</f>
        <v>17.2392</v>
      </c>
      <c r="AK15" s="59">
        <f>'M2'!G13*1</f>
        <v>25</v>
      </c>
      <c r="AL15" s="59">
        <f>'M2'!H13*1</f>
        <v>36.331499999999998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6.742200000000004</v>
      </c>
      <c r="O16" s="59">
        <f t="shared" si="5"/>
        <v>5.9777000000000005</v>
      </c>
      <c r="P16" s="59">
        <f t="shared" si="6"/>
        <v>9.0801000000000016</v>
      </c>
      <c r="Q16" s="59">
        <f t="shared" si="7"/>
        <v>0</v>
      </c>
      <c r="R16" s="59">
        <f t="shared" si="8"/>
        <v>1.4076699999999998</v>
      </c>
      <c r="S16" s="59">
        <f t="shared" si="9"/>
        <v>0</v>
      </c>
      <c r="T16" s="59">
        <f t="shared" si="10"/>
        <v>21.455500000000001</v>
      </c>
      <c r="U16" s="15"/>
      <c r="V16" s="27" t="str">
        <f t="shared" si="11"/>
        <v>神经质</v>
      </c>
      <c r="W16" s="59">
        <f>'M1'!B14*1</f>
        <v>34.730699999999999</v>
      </c>
      <c r="X16" s="59">
        <f>'M1'!C14*1</f>
        <v>11.394299999999999</v>
      </c>
      <c r="Y16" s="59">
        <f>'M1'!D14*1</f>
        <v>32.807499999999997</v>
      </c>
      <c r="Z16" s="59">
        <f>'M1'!E14*1</f>
        <v>10</v>
      </c>
      <c r="AA16" s="59">
        <f>'M1'!F14*1</f>
        <v>1.8792500000000001</v>
      </c>
      <c r="AB16" s="59">
        <f>'M1'!G14*1</f>
        <v>50</v>
      </c>
      <c r="AC16" s="59">
        <f>'M1'!H14*1</f>
        <v>38.362499999999997</v>
      </c>
      <c r="AE16" s="27" t="str">
        <f t="shared" si="12"/>
        <v>神经质</v>
      </c>
      <c r="AF16" s="59">
        <f>'M2'!B14*1</f>
        <v>41.472900000000003</v>
      </c>
      <c r="AG16" s="59">
        <f>'M2'!C14*1</f>
        <v>17.372</v>
      </c>
      <c r="AH16" s="59">
        <f>'M2'!D14*1</f>
        <v>41.887599999999999</v>
      </c>
      <c r="AI16" s="59">
        <f>'M2'!E14*1</f>
        <v>10</v>
      </c>
      <c r="AJ16" s="59">
        <f>'M2'!F14*1</f>
        <v>3.2869199999999998</v>
      </c>
      <c r="AK16" s="59">
        <f>'M2'!G14*1</f>
        <v>50</v>
      </c>
      <c r="AL16" s="59">
        <f>'M2'!H14*1</f>
        <v>59.817999999999998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3.7363499999999963</v>
      </c>
      <c r="O17" s="22">
        <f>N17/(N17+N18+N19)</f>
        <v>0.47481890964544382</v>
      </c>
      <c r="P17" s="65">
        <f>SUM(P11:P14)/4</f>
        <v>-5.7136149999999999</v>
      </c>
      <c r="Q17" s="22">
        <f>P17/(P17+P18+P19)</f>
        <v>-0.77872774244372633</v>
      </c>
      <c r="R17" s="14"/>
      <c r="S17" s="14"/>
      <c r="T17" s="14"/>
      <c r="U17" s="14"/>
      <c r="V17" s="21" t="str">
        <f>M17</f>
        <v>Positive</v>
      </c>
      <c r="W17" s="65">
        <f>SUM(W11:W14)/4</f>
        <v>54.447775000000007</v>
      </c>
      <c r="X17" s="22">
        <f>W17/(W17+W18+W19)</f>
        <v>0.50660415036941986</v>
      </c>
      <c r="Y17" s="65">
        <f>SUM(Y11:Y14)/4</f>
        <v>13.33095</v>
      </c>
      <c r="Z17" s="22">
        <f>Y17/(Y17+Y18+Y19)</f>
        <v>0.22360460666467005</v>
      </c>
      <c r="AA17" s="14"/>
      <c r="AB17" s="14"/>
      <c r="AC17" s="14"/>
      <c r="AE17" s="21" t="str">
        <f>V17</f>
        <v>Positive</v>
      </c>
      <c r="AF17" s="65">
        <f>SUM(AF11:AF14)/4</f>
        <v>58.184124999999995</v>
      </c>
      <c r="AG17" s="22">
        <f>AF17/(AF17+AF18+AF19)</f>
        <v>0.50443571555674616</v>
      </c>
      <c r="AH17" s="65">
        <f>SUM(AH11:AH14)/4</f>
        <v>7.6173350000000006</v>
      </c>
      <c r="AI17" s="22">
        <f>AH17/(AH17+AH18+AH19)</f>
        <v>0.1137670949310826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-1.464</v>
      </c>
      <c r="O18" s="22">
        <f>N18/(N17+N18+N19)</f>
        <v>-0.18604651162790703</v>
      </c>
      <c r="P18" s="18">
        <f>SUM(P7:P10)/4</f>
        <v>8.8987799999999986</v>
      </c>
      <c r="Q18" s="22">
        <f>P18/(P17+P18+P19)</f>
        <v>1.2128445581131004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26.5688</v>
      </c>
      <c r="X18" s="22">
        <f>W18/(W17+W18+W19)</f>
        <v>0.2472068757692126</v>
      </c>
      <c r="Y18" s="18">
        <f>SUM(Y7:Y10)/4</f>
        <v>20.336055000000002</v>
      </c>
      <c r="Z18" s="22">
        <f>Y18/(Y17+Y18+Y19)</f>
        <v>0.34110364072973776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25.104800000000001</v>
      </c>
      <c r="AG18" s="22">
        <f>AF18/(AF17+AF18+AF19)</f>
        <v>0.21764970689013546</v>
      </c>
      <c r="AH18" s="18">
        <f>SUM(AH7:AH10)/4</f>
        <v>29.234834999999997</v>
      </c>
      <c r="AI18" s="22">
        <f>AH18/(AH17+AH18+AH19)</f>
        <v>0.43663069153969669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5.5966500000000021</v>
      </c>
      <c r="O19" s="22">
        <f>N19/(N17+N18+N19)</f>
        <v>0.71122760198246326</v>
      </c>
      <c r="P19" s="18">
        <f>(P15+P16)/2</f>
        <v>4.1519499999999994</v>
      </c>
      <c r="Q19" s="22">
        <f>P19/(P17+P18+P19)</f>
        <v>0.5658831843306259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26.459399999999999</v>
      </c>
      <c r="X19" s="22">
        <f>W19/(W17+W18+W19)</f>
        <v>0.24618897386136759</v>
      </c>
      <c r="Y19" s="18">
        <f>(Y15+Y16)/2</f>
        <v>25.9514</v>
      </c>
      <c r="Z19" s="22">
        <f>Y19/(Y17+Y18+Y19)</f>
        <v>0.43529175260559216</v>
      </c>
      <c r="AA19" s="14"/>
      <c r="AB19" s="14"/>
      <c r="AC19" s="14"/>
      <c r="AE19" s="21" t="str">
        <f t="shared" si="14"/>
        <v>Physiological</v>
      </c>
      <c r="AF19" s="18">
        <f>(AF15+AF16)/2</f>
        <v>32.056049999999999</v>
      </c>
      <c r="AG19" s="22">
        <f>AF19/(AF17+AF18+AF19)</f>
        <v>0.27791457755311838</v>
      </c>
      <c r="AH19" s="18">
        <f>(AH15+AH16)/2</f>
        <v>30.103349999999999</v>
      </c>
      <c r="AI19" s="22">
        <f>AH19/(AH17+AH18+AH19)</f>
        <v>0.44960221352922053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1.3/1.55</v>
      </c>
      <c r="D24" s="44" t="str">
        <f>lang!B11</f>
        <v>频率方差</v>
      </c>
      <c r="E24" s="182" t="str">
        <f ca="1">CONCATENATE(ROUND('FH1'!L3,2),"/",ROUND('FH2'!L3,2))</f>
        <v>0.54/0.46</v>
      </c>
      <c r="F24" s="183"/>
      <c r="G24" s="174" t="str">
        <f>lang!B12</f>
        <v>生理变化率</v>
      </c>
      <c r="H24" s="175"/>
      <c r="I24" s="62" t="str">
        <f ca="1">CONCATENATE(info!M7,"-",info!M8)</f>
        <v>46.2-64.5</v>
      </c>
      <c r="J24" s="42" t="str">
        <f>lang!B13</f>
        <v>千卡l/分钟</v>
      </c>
      <c r="K24" s="41" t="str">
        <f ca="1">CONCATENATE(info!M5,"-",info!M6)</f>
        <v>1.8-3.3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-5.7109999999999994</v>
      </c>
      <c r="F27" s="121"/>
      <c r="G27" s="135" t="str">
        <f>lang!B33</f>
        <v>稳定性</v>
      </c>
      <c r="H27" s="136"/>
      <c r="I27" s="137"/>
      <c r="J27" s="138">
        <f>dM!B19*100</f>
        <v>5.9064000000000005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-0.86731320684704083</v>
      </c>
      <c r="C2">
        <f t="array" aca="1" ref="C2" ca="1">CORREL(FT_E02,FT_PH02)</f>
        <v>0.92906574205100001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1.7691100000000002</v>
      </c>
      <c r="G2" s="61">
        <f>IF(FT!B2&lt;&gt;"",FT!B2*100,"")</f>
        <v>64.527699999999996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1.82169</v>
      </c>
      <c r="G3" s="61">
        <f>IF(FT!B3&lt;&gt;"",FT!B3*100,"")</f>
        <v>64.023399999999995</v>
      </c>
      <c r="H3" s="61">
        <f t="shared" ref="H3:H66" si="1">(IF(F3&lt;&gt;"",1,""))</f>
        <v>1</v>
      </c>
      <c r="I3" t="str">
        <f>IF(FT!B3&lt;&gt;"",FT!E3,"")</f>
        <v>1 [0.398917]</v>
      </c>
      <c r="J3">
        <f>IF(FT!B3&lt;&gt;"",FT!C3,"")</f>
        <v>0.39891700000000002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0.51977355405405423</v>
      </c>
      <c r="V3">
        <f ca="1">AVERAGE(OFFSET(FT!B2,info!$L$3/2,0,info!$L$3/2,1))</f>
        <v>0.52673686486486471</v>
      </c>
      <c r="W3">
        <f ca="1">AVERAGE(OFFSET(FT!A2,0,0,info!$L$3/2,1))</f>
        <v>0.28515863513513517</v>
      </c>
      <c r="X3">
        <f ca="1">AVERAGE(OFFSET(FT!A2,info!$L$3/2,0,info!$L$3/2,1))</f>
        <v>0.31038801351351353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1.8757699999999999</v>
      </c>
      <c r="G4" s="61">
        <f>IF(FT!B4&lt;&gt;"",FT!B4*100,"")</f>
        <v>63.429500000000004</v>
      </c>
      <c r="H4" s="61">
        <f t="shared" si="1"/>
        <v>1</v>
      </c>
      <c r="I4" t="str">
        <f>IF(FT!B4&lt;&gt;"",FT!E4,"")</f>
        <v>1 [0.803963]</v>
      </c>
      <c r="J4">
        <f>IF(FT!B4&lt;&gt;"",FT!C4,"")</f>
        <v>0.80396299999999998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14.939025000000001</v>
      </c>
      <c r="V4">
        <f>U4*3</f>
        <v>44.817075000000003</v>
      </c>
      <c r="W4">
        <f>U4</f>
        <v>14.939025000000001</v>
      </c>
      <c r="X4">
        <f>V4</f>
        <v>44.817075000000003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1.931</v>
      </c>
      <c r="G5" s="61">
        <f>IF(FT!B5&lt;&gt;"",FT!B5*100,"")</f>
        <v>62.825699999999998</v>
      </c>
      <c r="H5" s="61">
        <f t="shared" si="1"/>
        <v>1</v>
      </c>
      <c r="I5" t="str">
        <f>IF(FT!B5&lt;&gt;"",FT!E5,"")</f>
        <v>1 [1.212712]</v>
      </c>
      <c r="J5">
        <f>IF(FT!B5&lt;&gt;"",FT!C5,"")</f>
        <v>1.21271</v>
      </c>
      <c r="K5" t="s">
        <v>53</v>
      </c>
      <c r="L5" s="63">
        <f ca="1">MIN(FT_E)</f>
        <v>1.7691100000000002</v>
      </c>
      <c r="M5" s="63">
        <f ca="1">ROUND(L5,1)</f>
        <v>1.8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51.977355405405426</v>
      </c>
      <c r="V5">
        <f ca="1">V3*100</f>
        <v>52.673686486486474</v>
      </c>
      <c r="W5">
        <f ca="1">W3*10</f>
        <v>2.8515863513513517</v>
      </c>
      <c r="X5">
        <f ca="1">X3*10</f>
        <v>3.1038801351351353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1.98912</v>
      </c>
      <c r="G6" s="61">
        <f>IF(FT!B6&lt;&gt;"",FT!B6*100,"")</f>
        <v>62.104099999999995</v>
      </c>
      <c r="H6" s="61">
        <f t="shared" si="1"/>
        <v>1</v>
      </c>
      <c r="I6" t="str">
        <f>IF(FT!B6&lt;&gt;"",FT!E6,"")</f>
        <v>1 [1.620597]</v>
      </c>
      <c r="J6">
        <f>IF(FT!B6&lt;&gt;"",FT!C6,"")</f>
        <v>1.6206</v>
      </c>
      <c r="K6" t="s">
        <v>54</v>
      </c>
      <c r="L6" s="63">
        <f ca="1">MAX(FT_E)</f>
        <v>3.3071200000000003</v>
      </c>
      <c r="M6" s="63">
        <f ca="1">ROUND(L6,1)</f>
        <v>3.3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2.0479600000000002</v>
      </c>
      <c r="G7" s="61">
        <f>IF(FT!B7&lt;&gt;"",FT!B7*100,"")</f>
        <v>61.462600000000002</v>
      </c>
      <c r="H7" s="61">
        <f t="shared" si="1"/>
        <v>1</v>
      </c>
      <c r="I7" t="str">
        <f>IF(FT!B7&lt;&gt;"",FT!E7,"")</f>
        <v>1 [2.024994]</v>
      </c>
      <c r="J7">
        <f>IF(FT!B7&lt;&gt;"",FT!C7,"")</f>
        <v>2.0249899999999998</v>
      </c>
      <c r="K7" t="s">
        <v>55</v>
      </c>
      <c r="L7" s="63">
        <f ca="1">MIN(FT_PH)</f>
        <v>46.182699999999997</v>
      </c>
      <c r="M7" s="63">
        <f ca="1">ROUND(L7,1)</f>
        <v>46.2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9813</v>
      </c>
      <c r="D8" s="61">
        <f>FH!B8*1</f>
        <v>9813</v>
      </c>
      <c r="E8">
        <f t="shared" si="3"/>
        <v>6</v>
      </c>
      <c r="F8" s="61">
        <f>IF(FT!A8&lt;&gt;"",FT!A8*10,"")</f>
        <v>2.1060300000000001</v>
      </c>
      <c r="G8" s="61">
        <f>IF(FT!B8&lt;&gt;"",FT!B8*100,"")</f>
        <v>60.926600000000001</v>
      </c>
      <c r="H8" s="61">
        <f t="shared" si="1"/>
        <v>1</v>
      </c>
      <c r="I8" t="str">
        <f>IF(FT!B8&lt;&gt;"",FT!E8,"")</f>
        <v>1 [2.430486]</v>
      </c>
      <c r="J8">
        <f>IF(FT!B8&lt;&gt;"",FT!C8,"")</f>
        <v>2.4304899999999998</v>
      </c>
      <c r="K8" t="s">
        <v>56</v>
      </c>
      <c r="L8" s="63">
        <f ca="1">MAX(FT_PH)</f>
        <v>64.527699999999996</v>
      </c>
      <c r="M8" s="63">
        <f ca="1">ROUND(L8,1)</f>
        <v>64.5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2.1633200000000001</v>
      </c>
      <c r="G9" s="61">
        <f>IF(FT!B9&lt;&gt;"",FT!B9*100,"")</f>
        <v>60.531700000000001</v>
      </c>
      <c r="H9" s="61">
        <f t="shared" si="1"/>
        <v>1</v>
      </c>
      <c r="I9" t="str">
        <f>IF(FT!B9&lt;&gt;"",FT!E9,"")</f>
        <v>1 [2.836829]</v>
      </c>
      <c r="J9">
        <f>IF(FT!B9&lt;&gt;"",FT!C9,"")</f>
        <v>2.83683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13220</v>
      </c>
      <c r="D10" s="61">
        <f>FH!B10*1</f>
        <v>13220</v>
      </c>
      <c r="E10">
        <f t="shared" si="3"/>
        <v>8</v>
      </c>
      <c r="F10" s="61">
        <f>IF(FT!A10&lt;&gt;"",FT!A10*10,"")</f>
        <v>2.2230300000000001</v>
      </c>
      <c r="G10" s="61">
        <f>IF(FT!B10&lt;&gt;"",FT!B10*100,"")</f>
        <v>59.9666</v>
      </c>
      <c r="H10" s="61">
        <f t="shared" si="1"/>
        <v>1</v>
      </c>
      <c r="I10" t="str">
        <f>IF(FT!B10&lt;&gt;"",FT!E10,"")</f>
        <v>1 [3.240054]</v>
      </c>
      <c r="J10">
        <f>IF(FT!B10&lt;&gt;"",FT!C10,"")</f>
        <v>3.2400500000000001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2.2854299999999999</v>
      </c>
      <c r="G11" s="61">
        <f>IF(FT!B11&lt;&gt;"",FT!B11*100,"")</f>
        <v>59.258999999999993</v>
      </c>
      <c r="H11" s="61">
        <f t="shared" si="1"/>
        <v>1</v>
      </c>
      <c r="I11" t="str">
        <f>IF(FT!B11&lt;&gt;"",FT!E11,"")</f>
        <v>1 [3.651256]</v>
      </c>
      <c r="J11">
        <f>IF(FT!B11&lt;&gt;"",FT!C11,"")</f>
        <v>3.6512600000000002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2.3502999999999998</v>
      </c>
      <c r="G12" s="61">
        <f>IF(FT!B12&lt;&gt;"",FT!B12*100,"")</f>
        <v>58.565800000000003</v>
      </c>
      <c r="H12" s="61">
        <f t="shared" si="1"/>
        <v>1</v>
      </c>
      <c r="I12" t="str">
        <f>IF(FT!B12&lt;&gt;"",FT!E12,"")</f>
        <v>1 [4.056237]</v>
      </c>
      <c r="J12">
        <f>IF(FT!B12&lt;&gt;"",FT!C12,"")</f>
        <v>4.0562399999999998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19165</v>
      </c>
      <c r="D13" s="61">
        <f>FH!B13*1</f>
        <v>19165</v>
      </c>
      <c r="E13">
        <f t="shared" si="3"/>
        <v>11</v>
      </c>
      <c r="F13" s="61">
        <f>IF(FT!A13&lt;&gt;"",FT!A13*10,"")</f>
        <v>2.4194299999999997</v>
      </c>
      <c r="G13" s="61">
        <f>IF(FT!B13&lt;&gt;"",FT!B13*100,"")</f>
        <v>57.736900000000006</v>
      </c>
      <c r="H13" s="61">
        <f t="shared" si="1"/>
        <v>1</v>
      </c>
      <c r="I13" t="str">
        <f>IF(FT!B13&lt;&gt;"",FT!E13,"")</f>
        <v>1 [4.460044]</v>
      </c>
      <c r="J13">
        <f>IF(FT!B13&lt;&gt;"",FT!C13,"")</f>
        <v>4.4600400000000002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2.4883299999999999</v>
      </c>
      <c r="G14" s="61">
        <f>IF(FT!B14&lt;&gt;"",FT!B14*100,"")</f>
        <v>56.8932</v>
      </c>
      <c r="H14" s="61">
        <f t="shared" si="1"/>
        <v>1</v>
      </c>
      <c r="I14" t="str">
        <f>IF(FT!B14&lt;&gt;"",FT!E14,"")</f>
        <v>1 [4.864913]</v>
      </c>
      <c r="J14">
        <f>IF(FT!B14&lt;&gt;"",FT!C14,"")</f>
        <v>4.8649100000000001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23637</v>
      </c>
      <c r="D15" s="61">
        <f>FH!B15*1</f>
        <v>23637</v>
      </c>
      <c r="E15">
        <f t="shared" si="3"/>
        <v>13</v>
      </c>
      <c r="F15" s="61">
        <f>IF(FT!A15&lt;&gt;"",FT!A15*10,"")</f>
        <v>2.5549400000000002</v>
      </c>
      <c r="G15" s="61">
        <f>IF(FT!B15&lt;&gt;"",FT!B15*100,"")</f>
        <v>56.190100000000001</v>
      </c>
      <c r="H15" s="61">
        <f t="shared" si="1"/>
        <v>1</v>
      </c>
      <c r="I15" t="str">
        <f>IF(FT!B15&lt;&gt;"",FT!E15,"")</f>
        <v>1 [5.272919]</v>
      </c>
      <c r="J15">
        <f>IF(FT!B15&lt;&gt;"",FT!C15,"")</f>
        <v>5.2729200000000001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2.61958</v>
      </c>
      <c r="G16" s="61">
        <f>IF(FT!B16&lt;&gt;"",FT!B16*100,"")</f>
        <v>55.597099999999998</v>
      </c>
      <c r="H16" s="61">
        <f t="shared" si="1"/>
        <v>1</v>
      </c>
      <c r="I16" t="str">
        <f>IF(FT!B16&lt;&gt;"",FT!E16,"")</f>
        <v>1 [5.679775]</v>
      </c>
      <c r="J16">
        <f>IF(FT!B16&lt;&gt;"",FT!C16,"")</f>
        <v>5.6797800000000001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2.6836799999999998</v>
      </c>
      <c r="G17" s="61">
        <f>IF(FT!B17&lt;&gt;"",FT!B17*100,"")</f>
        <v>54.953300000000006</v>
      </c>
      <c r="H17" s="61">
        <f t="shared" si="1"/>
        <v>1</v>
      </c>
      <c r="I17" t="str">
        <f>IF(FT!B17&lt;&gt;"",FT!E17,"")</f>
        <v>1 [6.087140]</v>
      </c>
      <c r="J17">
        <f>IF(FT!B17&lt;&gt;"",FT!C17,"")</f>
        <v>6.0871399999999998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26739</v>
      </c>
      <c r="D18" s="61">
        <f>FH!B18*1</f>
        <v>26739</v>
      </c>
      <c r="E18">
        <f t="shared" si="3"/>
        <v>16</v>
      </c>
      <c r="F18" s="61">
        <f>IF(FT!A18&lt;&gt;"",FT!A18*10,"")</f>
        <v>2.7478200000000004</v>
      </c>
      <c r="G18" s="61">
        <f>IF(FT!B18&lt;&gt;"",FT!B18*100,"")</f>
        <v>54.289200000000001</v>
      </c>
      <c r="H18" s="61">
        <f t="shared" si="1"/>
        <v>1</v>
      </c>
      <c r="I18" t="str">
        <f>IF(FT!B18&lt;&gt;"",FT!E18,"")</f>
        <v>1 [6.487150]</v>
      </c>
      <c r="J18">
        <f>IF(FT!B18&lt;&gt;"",FT!C18,"")</f>
        <v>6.4871499999999997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2.8029199999999999</v>
      </c>
      <c r="G19" s="61">
        <f>IF(FT!B19&lt;&gt;"",FT!B19*100,"")</f>
        <v>53.9497</v>
      </c>
      <c r="H19" s="61">
        <f t="shared" si="1"/>
        <v>1</v>
      </c>
      <c r="I19" t="str">
        <f>IF(FT!B19&lt;&gt;"",FT!E19,"")</f>
        <v>1 [6.893499]</v>
      </c>
      <c r="J19">
        <f>IF(FT!B19&lt;&gt;"",FT!C19,"")</f>
        <v>6.8935000000000004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2.8581699999999999</v>
      </c>
      <c r="G20" s="61">
        <f>IF(FT!B20&lt;&gt;"",FT!B20*100,"")</f>
        <v>53.647599999999997</v>
      </c>
      <c r="H20" s="61">
        <f t="shared" si="1"/>
        <v>1</v>
      </c>
      <c r="I20" t="str">
        <f>IF(FT!B20&lt;&gt;"",FT!E20,"")</f>
        <v>1 [7.304439]</v>
      </c>
      <c r="J20">
        <f>IF(FT!B20&lt;&gt;"",FT!C20,"")</f>
        <v>7.3044399999999996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31697</v>
      </c>
      <c r="D21" s="61">
        <f>FH!B21*1</f>
        <v>31697</v>
      </c>
      <c r="E21">
        <f t="shared" si="3"/>
        <v>19</v>
      </c>
      <c r="F21" s="61">
        <f>IF(FT!A21&lt;&gt;"",FT!A21*10,"")</f>
        <v>2.9102899999999998</v>
      </c>
      <c r="G21" s="61">
        <f>IF(FT!B21&lt;&gt;"",FT!B21*100,"")</f>
        <v>53.395400000000002</v>
      </c>
      <c r="H21" s="61">
        <f t="shared" si="1"/>
        <v>1</v>
      </c>
      <c r="I21" t="str">
        <f>IF(FT!B21&lt;&gt;"",FT!E21,"")</f>
        <v>1 [7.709820]</v>
      </c>
      <c r="J21">
        <f>IF(FT!B21&lt;&gt;"",FT!C21,"")</f>
        <v>7.7098199999999997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2.9582199999999998</v>
      </c>
      <c r="G22" s="61">
        <f>IF(FT!B22&lt;&gt;"",FT!B22*100,"")</f>
        <v>53.212600000000002</v>
      </c>
      <c r="H22" s="61">
        <f t="shared" si="1"/>
        <v>1</v>
      </c>
      <c r="I22" t="str">
        <f>IF(FT!B22&lt;&gt;"",FT!E22,"")</f>
        <v>1 [8.115449]</v>
      </c>
      <c r="J22">
        <f>IF(FT!B22&lt;&gt;"",FT!C22,"")</f>
        <v>8.1154499999999992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34947</v>
      </c>
      <c r="D23" s="61">
        <f>FH!B23*1</f>
        <v>34947</v>
      </c>
      <c r="E23">
        <f t="shared" si="3"/>
        <v>21</v>
      </c>
      <c r="F23" s="61">
        <f>IF(FT!A23&lt;&gt;"",FT!A23*10,"")</f>
        <v>3.00305</v>
      </c>
      <c r="G23" s="61">
        <f>IF(FT!B23&lt;&gt;"",FT!B23*100,"")</f>
        <v>53.113900000000001</v>
      </c>
      <c r="H23" s="61">
        <f t="shared" si="1"/>
        <v>1</v>
      </c>
      <c r="I23" t="str">
        <f>IF(FT!B23&lt;&gt;"",FT!E23,"")</f>
        <v>1 [8.524500]</v>
      </c>
      <c r="J23">
        <f>IF(FT!B23&lt;&gt;"",FT!C23,"")</f>
        <v>8.5244999999999997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3.04271</v>
      </c>
      <c r="G24" s="61">
        <f>IF(FT!B24&lt;&gt;"",FT!B24*100,"")</f>
        <v>52.955200000000005</v>
      </c>
      <c r="H24" s="61">
        <f t="shared" si="1"/>
        <v>1</v>
      </c>
      <c r="I24" t="str">
        <f>IF(FT!B24&lt;&gt;"",FT!E24,"")</f>
        <v>1 [8.926903]</v>
      </c>
      <c r="J24">
        <f>IF(FT!B24&lt;&gt;"",FT!C24,"")</f>
        <v>8.9268999999999998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3.0790699999999998</v>
      </c>
      <c r="G25" s="61">
        <f>IF(FT!B25&lt;&gt;"",FT!B25*100,"")</f>
        <v>52.757100000000001</v>
      </c>
      <c r="H25" s="61">
        <f t="shared" si="1"/>
        <v>1</v>
      </c>
      <c r="I25" t="str">
        <f>IF(FT!B25&lt;&gt;"",FT!E25,"")</f>
        <v>1 [9.335933]</v>
      </c>
      <c r="J25">
        <f>IF(FT!B25&lt;&gt;"",FT!C25,"")</f>
        <v>9.3359299999999994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36104</v>
      </c>
      <c r="D26" s="61">
        <f>FH!B26*1</f>
        <v>36104</v>
      </c>
      <c r="E26">
        <f t="shared" si="3"/>
        <v>24</v>
      </c>
      <c r="F26" s="61">
        <f>IF(FT!A26&lt;&gt;"",FT!A26*10,"")</f>
        <v>3.1038900000000003</v>
      </c>
      <c r="G26" s="61">
        <f>IF(FT!B26&lt;&gt;"",FT!B26*100,"")</f>
        <v>52.468899999999998</v>
      </c>
      <c r="H26" s="61">
        <f t="shared" si="1"/>
        <v>1</v>
      </c>
      <c r="I26" t="str">
        <f>IF(FT!B26&lt;&gt;"",FT!E26,"")</f>
        <v>1 [9.739919]</v>
      </c>
      <c r="J26">
        <f>IF(FT!B26&lt;&gt;"",FT!C26,"")</f>
        <v>9.7399199999999997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3.1217499999999996</v>
      </c>
      <c r="G27" s="61">
        <f>IF(FT!B27&lt;&gt;"",FT!B27*100,"")</f>
        <v>52.204399999999993</v>
      </c>
      <c r="H27" s="61">
        <f t="shared" si="1"/>
        <v>1</v>
      </c>
      <c r="I27" t="str">
        <f>IF(FT!B27&lt;&gt;"",FT!E27,"")</f>
        <v>1 [10.147013]</v>
      </c>
      <c r="J27">
        <f>IF(FT!B27&lt;&gt;"",FT!C27,"")</f>
        <v>10.147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44254</v>
      </c>
      <c r="D28" s="61">
        <f>FH!B28*1</f>
        <v>44254</v>
      </c>
      <c r="E28">
        <f t="shared" si="3"/>
        <v>26</v>
      </c>
      <c r="F28" s="61">
        <f>IF(FT!A28&lt;&gt;"",FT!A28*10,"")</f>
        <v>3.1333799999999998</v>
      </c>
      <c r="G28" s="61">
        <f>IF(FT!B28&lt;&gt;"",FT!B28*100,"")</f>
        <v>51.851499999999994</v>
      </c>
      <c r="H28" s="61">
        <f t="shared" si="1"/>
        <v>1</v>
      </c>
      <c r="I28" t="str">
        <f>IF(FT!B28&lt;&gt;"",FT!E28,"")</f>
        <v>1 [10.558097]</v>
      </c>
      <c r="J28">
        <f>IF(FT!B28&lt;&gt;"",FT!C28,"")</f>
        <v>10.5581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3.1426100000000003</v>
      </c>
      <c r="G29" s="61">
        <f>IF(FT!B29&lt;&gt;"",FT!B29*100,"")</f>
        <v>51.476699999999994</v>
      </c>
      <c r="H29" s="61">
        <f t="shared" si="1"/>
        <v>1</v>
      </c>
      <c r="I29" t="str">
        <f>IF(FT!B29&lt;&gt;"",FT!E29,"")</f>
        <v>1 [10.959791]</v>
      </c>
      <c r="J29">
        <f>IF(FT!B29&lt;&gt;"",FT!C29,"")</f>
        <v>10.9598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3.1520100000000002</v>
      </c>
      <c r="G30" s="61">
        <f>IF(FT!B30&lt;&gt;"",FT!B30*100,"")</f>
        <v>50.981299999999997</v>
      </c>
      <c r="H30" s="61">
        <f t="shared" si="1"/>
        <v>1</v>
      </c>
      <c r="I30" t="str">
        <f>IF(FT!B30&lt;&gt;"",FT!E30,"")</f>
        <v>1 [11.365506]</v>
      </c>
      <c r="J30">
        <f>IF(FT!B30&lt;&gt;"",FT!C30,"")</f>
        <v>11.365500000000001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49221</v>
      </c>
      <c r="D31" s="61">
        <f>FH!B31*1</f>
        <v>49221</v>
      </c>
      <c r="E31">
        <f t="shared" si="3"/>
        <v>29</v>
      </c>
      <c r="F31" s="61">
        <f>IF(FT!A31&lt;&gt;"",FT!A31*10,"")</f>
        <v>3.1583600000000001</v>
      </c>
      <c r="G31" s="61">
        <f>IF(FT!B31&lt;&gt;"",FT!B31*100,"")</f>
        <v>50.444800000000001</v>
      </c>
      <c r="H31" s="61">
        <f t="shared" si="1"/>
        <v>1</v>
      </c>
      <c r="I31" t="str">
        <f>IF(FT!B31&lt;&gt;"",FT!E31,"")</f>
        <v>1 [11.773427]</v>
      </c>
      <c r="J31">
        <f>IF(FT!B31&lt;&gt;"",FT!C31,"")</f>
        <v>11.773400000000001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3.1629200000000002</v>
      </c>
      <c r="G32" s="61">
        <f>IF(FT!B32&lt;&gt;"",FT!B32*100,"")</f>
        <v>49.910399999999996</v>
      </c>
      <c r="H32" s="61">
        <f t="shared" si="1"/>
        <v>1</v>
      </c>
      <c r="I32" t="str">
        <f>IF(FT!B32&lt;&gt;"",FT!E32,"")</f>
        <v>1 [12.179547]</v>
      </c>
      <c r="J32">
        <f>IF(FT!B32&lt;&gt;"",FT!C32,"")</f>
        <v>12.179500000000001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51412</v>
      </c>
      <c r="D33" s="61">
        <f>FH!B33*1</f>
        <v>51412</v>
      </c>
      <c r="E33">
        <f t="shared" si="3"/>
        <v>31</v>
      </c>
      <c r="F33" s="61">
        <f>IF(FT!A33&lt;&gt;"",FT!A33*10,"")</f>
        <v>3.1650800000000001</v>
      </c>
      <c r="G33" s="61">
        <f>IF(FT!B33&lt;&gt;"",FT!B33*100,"")</f>
        <v>49.433199999999999</v>
      </c>
      <c r="H33" s="61">
        <f t="shared" si="1"/>
        <v>1</v>
      </c>
      <c r="I33" t="str">
        <f>IF(FT!B33&lt;&gt;"",FT!E33,"")</f>
        <v>1 [12.589284]</v>
      </c>
      <c r="J33">
        <f>IF(FT!B33&lt;&gt;"",FT!C33,"")</f>
        <v>12.5893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3.1654399999999998</v>
      </c>
      <c r="G34" s="61">
        <f>IF(FT!B34&lt;&gt;"",FT!B34*100,"")</f>
        <v>48.97</v>
      </c>
      <c r="H34" s="61">
        <f t="shared" si="1"/>
        <v>1</v>
      </c>
      <c r="I34" t="str">
        <f>IF(FT!B34&lt;&gt;"",FT!E34,"")</f>
        <v>1 [12.988166]</v>
      </c>
      <c r="J34">
        <f>IF(FT!B34&lt;&gt;"",FT!C34,"")</f>
        <v>12.988200000000001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3.1616</v>
      </c>
      <c r="G35" s="61">
        <f>IF(FT!B35&lt;&gt;"",FT!B35*100,"")</f>
        <v>48.479499999999994</v>
      </c>
      <c r="H35" s="61">
        <f t="shared" si="1"/>
        <v>1</v>
      </c>
      <c r="I35" t="str">
        <f>IF(FT!B35&lt;&gt;"",FT!E35,"")</f>
        <v>1 [13.395100]</v>
      </c>
      <c r="J35">
        <f>IF(FT!B35&lt;&gt;"",FT!C35,"")</f>
        <v>13.395099999999999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65707</v>
      </c>
      <c r="D36" s="61">
        <f>FH!B36*1</f>
        <v>65707</v>
      </c>
      <c r="E36">
        <f t="shared" si="3"/>
        <v>34</v>
      </c>
      <c r="F36" s="61">
        <f>IF(FT!A36&lt;&gt;"",FT!A36*10,"")</f>
        <v>3.1561899999999996</v>
      </c>
      <c r="G36" s="61">
        <f>IF(FT!B36&lt;&gt;"",FT!B36*100,"")</f>
        <v>47.952399999999997</v>
      </c>
      <c r="H36" s="61">
        <f t="shared" si="1"/>
        <v>1</v>
      </c>
      <c r="I36" t="str">
        <f>IF(FT!B36&lt;&gt;"",FT!E36,"")</f>
        <v>1 [13.804029]</v>
      </c>
      <c r="J36">
        <f>IF(FT!B36&lt;&gt;"",FT!C36,"")</f>
        <v>13.804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3.1492599999999999</v>
      </c>
      <c r="G37" s="61">
        <f>IF(FT!B37&lt;&gt;"",FT!B37*100,"")</f>
        <v>47.450299999999999</v>
      </c>
      <c r="H37" s="61">
        <f t="shared" si="1"/>
        <v>1</v>
      </c>
      <c r="I37" t="str">
        <f>IF(FT!B37&lt;&gt;"",FT!E37,"")</f>
        <v>1 [14.205993]</v>
      </c>
      <c r="J37">
        <f>IF(FT!B37&lt;&gt;"",FT!C37,"")</f>
        <v>14.206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3.13733</v>
      </c>
      <c r="G38" s="61">
        <f>IF(FT!B38&lt;&gt;"",FT!B38*100,"")</f>
        <v>47.019199999999998</v>
      </c>
      <c r="H38" s="61">
        <f t="shared" si="1"/>
        <v>1</v>
      </c>
      <c r="I38" t="str">
        <f>IF(FT!B38&lt;&gt;"",FT!E38,"")</f>
        <v>1 [14.613219]</v>
      </c>
      <c r="J38">
        <f>IF(FT!B38&lt;&gt;"",FT!C38,"")</f>
        <v>14.613200000000001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63342</v>
      </c>
      <c r="D39" s="61">
        <f>FH!B39*1</f>
        <v>63342</v>
      </c>
      <c r="E39">
        <f t="shared" si="3"/>
        <v>37</v>
      </c>
      <c r="F39" s="61">
        <f>IF(FT!A39&lt;&gt;"",FT!A39*10,"")</f>
        <v>3.1227800000000001</v>
      </c>
      <c r="G39" s="61">
        <f>IF(FT!B39&lt;&gt;"",FT!B39*100,"")</f>
        <v>46.654899999999998</v>
      </c>
      <c r="H39" s="61">
        <f t="shared" si="1"/>
        <v>1</v>
      </c>
      <c r="I39" t="str">
        <f>IF(FT!B39&lt;&gt;"",FT!E39,"")</f>
        <v>1 [15.025922]</v>
      </c>
      <c r="J39">
        <f>IF(FT!B39&lt;&gt;"",FT!C39,"")</f>
        <v>15.0259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3.1067400000000003</v>
      </c>
      <c r="G40" s="61">
        <f>IF(FT!B40&lt;&gt;"",FT!B40*100,"")</f>
        <v>46.351799999999997</v>
      </c>
      <c r="H40" s="61">
        <f t="shared" si="1"/>
        <v>1</v>
      </c>
      <c r="I40" t="str">
        <f>IF(FT!B40&lt;&gt;"",FT!E40,"")</f>
        <v>1 [15.431789]</v>
      </c>
      <c r="J40">
        <f>IF(FT!B40&lt;&gt;"",FT!C40,"")</f>
        <v>15.431800000000001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73684</v>
      </c>
      <c r="D41" s="61">
        <f>FH!B41*1</f>
        <v>73684</v>
      </c>
      <c r="E41">
        <f t="shared" si="3"/>
        <v>39</v>
      </c>
      <c r="F41" s="61">
        <f>IF(FT!A41&lt;&gt;"",FT!A41*10,"")</f>
        <v>3.0869400000000002</v>
      </c>
      <c r="G41" s="61">
        <f>IF(FT!B41&lt;&gt;"",FT!B41*100,"")</f>
        <v>46.196300000000001</v>
      </c>
      <c r="H41" s="61">
        <f t="shared" si="1"/>
        <v>1</v>
      </c>
      <c r="I41" t="str">
        <f>IF(FT!B41&lt;&gt;"",FT!E41,"")</f>
        <v>1 [15.836729]</v>
      </c>
      <c r="J41">
        <f>IF(FT!B41&lt;&gt;"",FT!C41,"")</f>
        <v>15.8367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3.0634000000000001</v>
      </c>
      <c r="G42" s="61">
        <f>IF(FT!B42&lt;&gt;"",FT!B42*100,"")</f>
        <v>46.182699999999997</v>
      </c>
      <c r="H42" s="61">
        <f t="shared" si="1"/>
        <v>1</v>
      </c>
      <c r="I42" t="str">
        <f>IF(FT!B42&lt;&gt;"",FT!E42,"")</f>
        <v>1 [16.240691]</v>
      </c>
      <c r="J42">
        <f>IF(FT!B42&lt;&gt;"",FT!C42,"")</f>
        <v>16.2407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3.04061</v>
      </c>
      <c r="G43" s="61">
        <f>IF(FT!B43&lt;&gt;"",FT!B43*100,"")</f>
        <v>46.273399999999995</v>
      </c>
      <c r="H43" s="61">
        <f t="shared" si="1"/>
        <v>1</v>
      </c>
      <c r="I43" t="str">
        <f>IF(FT!B43&lt;&gt;"",FT!E43,"")</f>
        <v>1 [16.647382]</v>
      </c>
      <c r="J43">
        <f>IF(FT!B43&lt;&gt;"",FT!C43,"")</f>
        <v>16.647400000000001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88201</v>
      </c>
      <c r="D44" s="61">
        <f>FH!B44*1</f>
        <v>88201</v>
      </c>
      <c r="E44">
        <f t="shared" si="3"/>
        <v>42</v>
      </c>
      <c r="F44" s="61">
        <f>IF(FT!A44&lt;&gt;"",FT!A44*10,"")</f>
        <v>3.0282</v>
      </c>
      <c r="G44" s="61">
        <f>IF(FT!B44&lt;&gt;"",FT!B44*100,"")</f>
        <v>46.317500000000003</v>
      </c>
      <c r="H44" s="61">
        <f t="shared" si="1"/>
        <v>1</v>
      </c>
      <c r="I44" t="str">
        <f>IF(FT!B44&lt;&gt;"",FT!E44,"")</f>
        <v>1 [17.053266]</v>
      </c>
      <c r="J44">
        <f>IF(FT!B44&lt;&gt;"",FT!C44,"")</f>
        <v>17.0533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3.0144599999999997</v>
      </c>
      <c r="G45" s="61">
        <f>IF(FT!B45&lt;&gt;"",FT!B45*100,"")</f>
        <v>46.435700000000004</v>
      </c>
      <c r="H45" s="61">
        <f t="shared" si="1"/>
        <v>1</v>
      </c>
      <c r="I45" t="str">
        <f>IF(FT!B45&lt;&gt;"",FT!E45,"")</f>
        <v>1 [17.461511]</v>
      </c>
      <c r="J45">
        <f>IF(FT!B45&lt;&gt;"",FT!C45,"")</f>
        <v>17.461500000000001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105670</v>
      </c>
      <c r="D46" s="61">
        <f>FH!B46*1</f>
        <v>105670</v>
      </c>
      <c r="E46">
        <f t="shared" si="3"/>
        <v>44</v>
      </c>
      <c r="F46" s="61">
        <f>IF(FT!A46&lt;&gt;"",FT!A46*10,"")</f>
        <v>3.0016500000000002</v>
      </c>
      <c r="G46" s="61">
        <f>IF(FT!B46&lt;&gt;"",FT!B46*100,"")</f>
        <v>46.483999999999995</v>
      </c>
      <c r="H46" s="61">
        <f t="shared" si="1"/>
        <v>1</v>
      </c>
      <c r="I46" t="str">
        <f>IF(FT!B46&lt;&gt;"",FT!E46,"")</f>
        <v>1 [17.868478]</v>
      </c>
      <c r="J46">
        <f>IF(FT!B46&lt;&gt;"",FT!C46,"")</f>
        <v>17.868500000000001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2.9921100000000003</v>
      </c>
      <c r="G47" s="61">
        <f>IF(FT!B47&lt;&gt;"",FT!B47*100,"")</f>
        <v>46.430700000000002</v>
      </c>
      <c r="H47" s="61">
        <f t="shared" si="1"/>
        <v>1</v>
      </c>
      <c r="I47" t="str">
        <f>IF(FT!B47&lt;&gt;"",FT!E47,"")</f>
        <v>1 [18.275226]</v>
      </c>
      <c r="J47">
        <f>IF(FT!B47&lt;&gt;"",FT!C47,"")</f>
        <v>18.275200000000002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2.9830399999999999</v>
      </c>
      <c r="G48" s="61">
        <f>IF(FT!B48&lt;&gt;"",FT!B48*100,"")</f>
        <v>46.397300000000001</v>
      </c>
      <c r="H48" s="61">
        <f t="shared" si="1"/>
        <v>1</v>
      </c>
      <c r="I48" t="str">
        <f>IF(FT!B48&lt;&gt;"",FT!E48,"")</f>
        <v>1 [18.681998]</v>
      </c>
      <c r="J48">
        <f>IF(FT!B48&lt;&gt;"",FT!C48,"")</f>
        <v>18.681999999999999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110789</v>
      </c>
      <c r="D49" s="61">
        <f>FH!B49*1</f>
        <v>110789</v>
      </c>
      <c r="E49">
        <f t="shared" si="3"/>
        <v>47</v>
      </c>
      <c r="F49" s="61">
        <f>IF(FT!A49&lt;&gt;"",FT!A49*10,"")</f>
        <v>2.9731299999999998</v>
      </c>
      <c r="G49" s="61">
        <f>IF(FT!B49&lt;&gt;"",FT!B49*100,"")</f>
        <v>46.429299999999998</v>
      </c>
      <c r="H49" s="61">
        <f t="shared" si="1"/>
        <v>1</v>
      </c>
      <c r="I49" t="str">
        <f>IF(FT!B49&lt;&gt;"",FT!E49,"")</f>
        <v>1 [19.084863]</v>
      </c>
      <c r="J49">
        <f>IF(FT!B49&lt;&gt;"",FT!C49,"")</f>
        <v>19.084900000000001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2.9651399999999999</v>
      </c>
      <c r="G50" s="61">
        <f>IF(FT!B50&lt;&gt;"",FT!B50*100,"")</f>
        <v>46.471299999999999</v>
      </c>
      <c r="H50" s="61">
        <f t="shared" si="1"/>
        <v>1</v>
      </c>
      <c r="I50" t="str">
        <f>IF(FT!B50&lt;&gt;"",FT!E50,"")</f>
        <v>1 [19.494016]</v>
      </c>
      <c r="J50">
        <f>IF(FT!B50&lt;&gt;"",FT!C50,"")</f>
        <v>19.494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125499</v>
      </c>
      <c r="D51" s="61">
        <f>FH!B51*1</f>
        <v>125499</v>
      </c>
      <c r="E51">
        <f t="shared" si="3"/>
        <v>49</v>
      </c>
      <c r="F51" s="61">
        <f>IF(FT!A51&lt;&gt;"",FT!A51*10,"")</f>
        <v>2.9559800000000003</v>
      </c>
      <c r="G51" s="61">
        <f>IF(FT!B51&lt;&gt;"",FT!B51*100,"")</f>
        <v>46.544000000000004</v>
      </c>
      <c r="H51" s="61">
        <f t="shared" si="1"/>
        <v>1</v>
      </c>
      <c r="I51" t="str">
        <f>IF(FT!B51&lt;&gt;"",FT!E51,"")</f>
        <v>1 [19.897705]</v>
      </c>
      <c r="J51">
        <f>IF(FT!B51&lt;&gt;"",FT!C51,"")</f>
        <v>19.8977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2.94895</v>
      </c>
      <c r="G52" s="61">
        <f>IF(FT!B52&lt;&gt;"",FT!B52*100,"")</f>
        <v>46.576099999999997</v>
      </c>
      <c r="H52" s="61">
        <f t="shared" si="1"/>
        <v>1</v>
      </c>
      <c r="I52" t="str">
        <f>IF(FT!B52&lt;&gt;"",FT!E52,"")</f>
        <v>1 [20.304596]</v>
      </c>
      <c r="J52">
        <f>IF(FT!B52&lt;&gt;"",FT!C52,"")</f>
        <v>20.304600000000001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2.9438599999999999</v>
      </c>
      <c r="G53" s="61">
        <f>IF(FT!B53&lt;&gt;"",FT!B53*100,"")</f>
        <v>46.726199999999999</v>
      </c>
      <c r="H53" s="61">
        <f t="shared" si="1"/>
        <v>1</v>
      </c>
      <c r="I53" t="str">
        <f>IF(FT!B53&lt;&gt;"",FT!E53,"")</f>
        <v>1 [20.711615]</v>
      </c>
      <c r="J53">
        <f>IF(FT!B53&lt;&gt;"",FT!C53,"")</f>
        <v>20.711600000000001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144660</v>
      </c>
      <c r="D54" s="61">
        <f>FH!B54*1</f>
        <v>144660</v>
      </c>
      <c r="E54">
        <f t="shared" si="3"/>
        <v>52</v>
      </c>
      <c r="F54" s="61">
        <f>IF(FT!A54&lt;&gt;"",FT!A54*10,"")</f>
        <v>2.9404599999999999</v>
      </c>
      <c r="G54" s="61">
        <f>IF(FT!B54&lt;&gt;"",FT!B54*100,"")</f>
        <v>46.994</v>
      </c>
      <c r="H54" s="61">
        <f t="shared" si="1"/>
        <v>1</v>
      </c>
      <c r="I54" t="str">
        <f>IF(FT!B54&lt;&gt;"",FT!E54,"")</f>
        <v>1 [21.117431]</v>
      </c>
      <c r="J54">
        <f>IF(FT!B54&lt;&gt;"",FT!C54,"")</f>
        <v>21.1174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2.9363999999999999</v>
      </c>
      <c r="G55" s="61">
        <f>IF(FT!B55&lt;&gt;"",FT!B55*100,"")</f>
        <v>47.466000000000001</v>
      </c>
      <c r="H55" s="61">
        <f t="shared" si="1"/>
        <v>1</v>
      </c>
      <c r="I55" t="str">
        <f>IF(FT!B55&lt;&gt;"",FT!E55,"")</f>
        <v>1 [21.521722]</v>
      </c>
      <c r="J55">
        <f>IF(FT!B55&lt;&gt;"",FT!C55,"")</f>
        <v>21.521699999999999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2.93371</v>
      </c>
      <c r="G56" s="61">
        <f>IF(FT!B56&lt;&gt;"",FT!B56*100,"")</f>
        <v>48.019099999999995</v>
      </c>
      <c r="H56" s="61">
        <f t="shared" si="1"/>
        <v>1</v>
      </c>
      <c r="I56" t="str">
        <f>IF(FT!B56&lt;&gt;"",FT!E56,"")</f>
        <v>1 [21.927343]</v>
      </c>
      <c r="J56">
        <f>IF(FT!B56&lt;&gt;"",FT!C56,"")</f>
        <v>21.927299999999999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155232</v>
      </c>
      <c r="D57" s="61">
        <f>FH!B57*1</f>
        <v>155232</v>
      </c>
      <c r="E57">
        <f t="shared" si="3"/>
        <v>55</v>
      </c>
      <c r="F57" s="61">
        <f>IF(FT!A57&lt;&gt;"",FT!A57*10,"")</f>
        <v>2.93248</v>
      </c>
      <c r="G57" s="61">
        <f>IF(FT!B57&lt;&gt;"",FT!B57*100,"")</f>
        <v>48.641800000000003</v>
      </c>
      <c r="H57" s="61">
        <f t="shared" si="1"/>
        <v>1</v>
      </c>
      <c r="I57" t="str">
        <f>IF(FT!B57&lt;&gt;"",FT!E57,"")</f>
        <v>1 [22.337259]</v>
      </c>
      <c r="J57">
        <f>IF(FT!B57&lt;&gt;"",FT!C57,"")</f>
        <v>22.337299999999999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2.9323199999999998</v>
      </c>
      <c r="G58" s="61">
        <f>IF(FT!B58&lt;&gt;"",FT!B58*100,"")</f>
        <v>48.8748</v>
      </c>
      <c r="H58" s="61">
        <f t="shared" si="1"/>
        <v>1</v>
      </c>
      <c r="I58" t="str">
        <f>IF(FT!B58&lt;&gt;"",FT!E58,"")</f>
        <v>1 [22.738179]</v>
      </c>
      <c r="J58">
        <f>IF(FT!B58&lt;&gt;"",FT!C58,"")</f>
        <v>22.738199999999999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170150</v>
      </c>
      <c r="D59" s="61">
        <f>FH!B59*1</f>
        <v>170150</v>
      </c>
      <c r="E59">
        <f t="shared" si="3"/>
        <v>57</v>
      </c>
      <c r="F59" s="61">
        <f>IF(FT!A59&lt;&gt;"",FT!A59*10,"")</f>
        <v>2.9346100000000002</v>
      </c>
      <c r="G59" s="61">
        <f>IF(FT!B59&lt;&gt;"",FT!B59*100,"")</f>
        <v>49.167000000000002</v>
      </c>
      <c r="H59" s="61">
        <f t="shared" si="1"/>
        <v>1</v>
      </c>
      <c r="I59" t="str">
        <f>IF(FT!B59&lt;&gt;"",FT!E59,"")</f>
        <v>1 [23.147058]</v>
      </c>
      <c r="J59">
        <f>IF(FT!B59&lt;&gt;"",FT!C59,"")</f>
        <v>23.147099999999998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2.9430000000000001</v>
      </c>
      <c r="G60" s="61">
        <f>IF(FT!B60&lt;&gt;"",FT!B60*100,"")</f>
        <v>49.648900000000005</v>
      </c>
      <c r="H60" s="61">
        <f t="shared" si="1"/>
        <v>1</v>
      </c>
      <c r="I60" t="str">
        <f>IF(FT!B60&lt;&gt;"",FT!E60,"")</f>
        <v>1 [23.559051]</v>
      </c>
      <c r="J60">
        <f>IF(FT!B60&lt;&gt;"",FT!C60,"")</f>
        <v>23.559100000000001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2.9523000000000001</v>
      </c>
      <c r="G61" s="61">
        <f>IF(FT!B61&lt;&gt;"",FT!B61*100,"")</f>
        <v>50.080599999999997</v>
      </c>
      <c r="H61" s="61">
        <f t="shared" si="1"/>
        <v>1</v>
      </c>
      <c r="I61" t="str">
        <f>IF(FT!B61&lt;&gt;"",FT!E61,"")</f>
        <v>1 [23.962811]</v>
      </c>
      <c r="J61">
        <f>IF(FT!B61&lt;&gt;"",FT!C61,"")</f>
        <v>23.962800000000001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167187</v>
      </c>
      <c r="D62" s="61">
        <f>FH!B62*1</f>
        <v>167187</v>
      </c>
      <c r="E62">
        <f t="shared" si="3"/>
        <v>60</v>
      </c>
      <c r="F62" s="61">
        <f>IF(FT!A62&lt;&gt;"",FT!A62*10,"")</f>
        <v>2.9565900000000003</v>
      </c>
      <c r="G62" s="61">
        <f>IF(FT!B62&lt;&gt;"",FT!B62*100,"")</f>
        <v>50.442399999999999</v>
      </c>
      <c r="H62" s="61">
        <f t="shared" si="1"/>
        <v>1</v>
      </c>
      <c r="I62" t="str">
        <f>IF(FT!B62&lt;&gt;"",FT!E62,"")</f>
        <v>1 [24.365492]</v>
      </c>
      <c r="J62">
        <f>IF(FT!B62&lt;&gt;"",FT!C62,"")</f>
        <v>24.365500000000001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2.9671799999999999</v>
      </c>
      <c r="G63" s="61">
        <f>IF(FT!B63&lt;&gt;"",FT!B63*100,"")</f>
        <v>50.911799999999999</v>
      </c>
      <c r="H63" s="61">
        <f t="shared" si="1"/>
        <v>1</v>
      </c>
      <c r="I63" t="str">
        <f>IF(FT!B63&lt;&gt;"",FT!E63,"")</f>
        <v>1 [24.775704]</v>
      </c>
      <c r="J63">
        <f>IF(FT!B63&lt;&gt;"",FT!C63,"")</f>
        <v>24.775700000000001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179709</v>
      </c>
      <c r="D64" s="61">
        <f>FH!B64*1</f>
        <v>179709</v>
      </c>
      <c r="E64">
        <f t="shared" si="3"/>
        <v>62</v>
      </c>
      <c r="F64" s="61">
        <f>IF(FT!A64&lt;&gt;"",FT!A64*10,"")</f>
        <v>2.9796899999999997</v>
      </c>
      <c r="G64" s="61">
        <f>IF(FT!B64&lt;&gt;"",FT!B64*100,"")</f>
        <v>51.319600000000001</v>
      </c>
      <c r="H64" s="61">
        <f t="shared" si="1"/>
        <v>1</v>
      </c>
      <c r="I64" t="str">
        <f>IF(FT!B64&lt;&gt;"",FT!E64,"")</f>
        <v>1 [25.177634]</v>
      </c>
      <c r="J64">
        <f>IF(FT!B64&lt;&gt;"",FT!C64,"")</f>
        <v>25.177600000000002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2.9941599999999999</v>
      </c>
      <c r="G65" s="61">
        <f>IF(FT!B65&lt;&gt;"",FT!B65*100,"")</f>
        <v>51.627100000000006</v>
      </c>
      <c r="H65" s="61">
        <f t="shared" si="1"/>
        <v>1</v>
      </c>
      <c r="I65" t="str">
        <f>IF(FT!B65&lt;&gt;"",FT!E65,"")</f>
        <v>1 [25.588290]</v>
      </c>
      <c r="J65">
        <f>IF(FT!B65&lt;&gt;"",FT!C65,"")</f>
        <v>25.5883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3.0114900000000002</v>
      </c>
      <c r="G66" s="61">
        <f>IF(FT!B66&lt;&gt;"",FT!B66*100,"")</f>
        <v>51.776800000000001</v>
      </c>
      <c r="H66" s="61">
        <f t="shared" si="1"/>
        <v>1</v>
      </c>
      <c r="I66" t="str">
        <f>IF(FT!B66&lt;&gt;"",FT!E66,"")</f>
        <v>1 [25.992494]</v>
      </c>
      <c r="J66">
        <f>IF(FT!B66&lt;&gt;"",FT!C66,"")</f>
        <v>25.9925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194678</v>
      </c>
      <c r="D67" s="61">
        <f>FH!B67*1</f>
        <v>194678</v>
      </c>
      <c r="E67">
        <f t="shared" si="3"/>
        <v>65</v>
      </c>
      <c r="F67" s="61">
        <f>IF(FT!A67&lt;&gt;"",FT!A67*10,"")</f>
        <v>3.0298000000000003</v>
      </c>
      <c r="G67" s="61">
        <f>IF(FT!B67&lt;&gt;"",FT!B67*100,"")</f>
        <v>51.8489</v>
      </c>
      <c r="H67" s="61">
        <f t="shared" ref="H67:H130" si="9">(IF(F67&lt;&gt;"",1,""))</f>
        <v>1</v>
      </c>
      <c r="I67" t="str">
        <f>IF(FT!B67&lt;&gt;"",FT!E67,"")</f>
        <v>1 [26.396314]</v>
      </c>
      <c r="J67">
        <f>IF(FT!B67&lt;&gt;"",FT!C67,"")</f>
        <v>26.3963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3.0465599999999999</v>
      </c>
      <c r="G68" s="61">
        <f>IF(FT!B68&lt;&gt;"",FT!B68*100,"")</f>
        <v>51.935099999999998</v>
      </c>
      <c r="H68" s="61">
        <f t="shared" si="9"/>
        <v>1</v>
      </c>
      <c r="I68" t="str">
        <f>IF(FT!B68&lt;&gt;"",FT!E68,"")</f>
        <v>1 [26.804841]</v>
      </c>
      <c r="J68">
        <f>IF(FT!B68&lt;&gt;"",FT!C68,"")</f>
        <v>26.8048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194433</v>
      </c>
      <c r="D69" s="61">
        <f>FH!B69*1</f>
        <v>194433</v>
      </c>
      <c r="E69">
        <f t="shared" si="11"/>
        <v>67</v>
      </c>
      <c r="F69" s="61">
        <f>IF(FT!A69&lt;&gt;"",FT!A69*10,"")</f>
        <v>3.0587499999999999</v>
      </c>
      <c r="G69" s="61">
        <f>IF(FT!B69&lt;&gt;"",FT!B69*100,"")</f>
        <v>52.0991</v>
      </c>
      <c r="H69" s="61">
        <f t="shared" si="9"/>
        <v>1</v>
      </c>
      <c r="I69" t="str">
        <f>IF(FT!B69&lt;&gt;"",FT!E69,"")</f>
        <v>1 [27.212247]</v>
      </c>
      <c r="J69">
        <f>IF(FT!B69&lt;&gt;"",FT!C69,"")</f>
        <v>27.212199999999999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3.07606</v>
      </c>
      <c r="G70" s="61">
        <f>IF(FT!B70&lt;&gt;"",FT!B70*100,"")</f>
        <v>52.112199999999994</v>
      </c>
      <c r="H70" s="61">
        <f t="shared" si="9"/>
        <v>1</v>
      </c>
      <c r="I70" t="str">
        <f>IF(FT!B70&lt;&gt;"",FT!E70,"")</f>
        <v>1 [27.620053]</v>
      </c>
      <c r="J70">
        <f>IF(FT!B70&lt;&gt;"",FT!C70,"")</f>
        <v>27.620100000000001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3.0829299999999997</v>
      </c>
      <c r="G71" s="61">
        <f>IF(FT!B71&lt;&gt;"",FT!B71*100,"")</f>
        <v>52.242599999999996</v>
      </c>
      <c r="H71" s="61">
        <f t="shared" si="9"/>
        <v>1</v>
      </c>
      <c r="I71" t="str">
        <f>IF(FT!B71&lt;&gt;"",FT!E71,"")</f>
        <v>1 [28.022136]</v>
      </c>
      <c r="J71">
        <f>IF(FT!B71&lt;&gt;"",FT!C71,"")</f>
        <v>28.022099999999998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195918</v>
      </c>
      <c r="D72" s="61">
        <f>FH!B72*1</f>
        <v>195918</v>
      </c>
      <c r="E72">
        <f t="shared" si="11"/>
        <v>70</v>
      </c>
      <c r="F72" s="61">
        <f>IF(FT!A72&lt;&gt;"",FT!A72*10,"")</f>
        <v>3.0948700000000002</v>
      </c>
      <c r="G72" s="61">
        <f>IF(FT!B72&lt;&gt;"",FT!B72*100,"")</f>
        <v>52.234800000000007</v>
      </c>
      <c r="H72" s="61">
        <f t="shared" si="9"/>
        <v>1</v>
      </c>
      <c r="I72" t="str">
        <f>IF(FT!B72&lt;&gt;"",FT!E72,"")</f>
        <v>1 [28.429893]</v>
      </c>
      <c r="J72">
        <f>IF(FT!B72&lt;&gt;"",FT!C72,"")</f>
        <v>28.4299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3.1038600000000001</v>
      </c>
      <c r="G73" s="61">
        <f>IF(FT!B73&lt;&gt;"",FT!B73*100,"")</f>
        <v>52.362900000000003</v>
      </c>
      <c r="H73" s="61">
        <f t="shared" si="9"/>
        <v>1</v>
      </c>
      <c r="I73" t="str">
        <f>IF(FT!B73&lt;&gt;"",FT!E73,"")</f>
        <v>1 [28.834864]</v>
      </c>
      <c r="J73">
        <f>IF(FT!B73&lt;&gt;"",FT!C73,"")</f>
        <v>28.834900000000001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3.1148599999999997</v>
      </c>
      <c r="G74" s="61">
        <f>IF(FT!B74&lt;&gt;"",FT!B74*100,"")</f>
        <v>52.485400000000006</v>
      </c>
      <c r="H74" s="61">
        <f t="shared" si="9"/>
        <v>1</v>
      </c>
      <c r="I74" t="str">
        <f>IF(FT!B74&lt;&gt;"",FT!E74,"")</f>
        <v>1 [29.246641]</v>
      </c>
      <c r="J74">
        <f>IF(FT!B74&lt;&gt;"",FT!C74,"")</f>
        <v>29.246600000000001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209623</v>
      </c>
      <c r="D75" s="61">
        <f>FH!B75*1</f>
        <v>209623</v>
      </c>
      <c r="E75">
        <f t="shared" si="11"/>
        <v>73</v>
      </c>
      <c r="F75" s="61">
        <f>IF(FT!A75&lt;&gt;"",FT!A75*10,"")</f>
        <v>3.1275300000000001</v>
      </c>
      <c r="G75" s="61">
        <f>IF(FT!B75&lt;&gt;"",FT!B75*100,"")</f>
        <v>52.605599999999995</v>
      </c>
      <c r="H75" s="61">
        <f t="shared" si="9"/>
        <v>1</v>
      </c>
      <c r="I75" t="str">
        <f>IF(FT!B75&lt;&gt;"",FT!E75,"")</f>
        <v>1 [29.650636]</v>
      </c>
      <c r="J75">
        <f>IF(FT!B75&lt;&gt;"",FT!C75,"")</f>
        <v>29.650600000000001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3.1403799999999999</v>
      </c>
      <c r="G76" s="61">
        <f>IF(FT!B76&lt;&gt;"",FT!B76*100,"")</f>
        <v>52.811600000000006</v>
      </c>
      <c r="H76" s="61">
        <f t="shared" si="9"/>
        <v>1</v>
      </c>
      <c r="I76" t="str">
        <f>IF(FT!B76&lt;&gt;"",FT!E76,"")</f>
        <v>2 [30.057760]</v>
      </c>
      <c r="J76">
        <f>IF(FT!B76&lt;&gt;"",FT!C76,"")</f>
        <v>30.0578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211378</v>
      </c>
      <c r="D77" s="61">
        <f>FH!B77*1</f>
        <v>211378</v>
      </c>
      <c r="E77">
        <f t="shared" si="11"/>
        <v>75</v>
      </c>
      <c r="F77" s="61">
        <f>IF(FT!A77&lt;&gt;"",FT!A77*10,"")</f>
        <v>3.1528400000000003</v>
      </c>
      <c r="G77" s="61">
        <f>IF(FT!B77&lt;&gt;"",FT!B77*100,"")</f>
        <v>53.032800000000002</v>
      </c>
      <c r="H77" s="61">
        <f t="shared" si="9"/>
        <v>1</v>
      </c>
      <c r="I77" t="str">
        <f>IF(FT!B77&lt;&gt;"",FT!E77,"")</f>
        <v>2 [30.634018]</v>
      </c>
      <c r="J77">
        <f>IF(FT!B77&lt;&gt;"",FT!C77,"")</f>
        <v>30.634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3.1643300000000001</v>
      </c>
      <c r="G78" s="61">
        <f>IF(FT!B78&lt;&gt;"",FT!B78*100,"")</f>
        <v>53.183100000000003</v>
      </c>
      <c r="H78" s="61">
        <f t="shared" si="9"/>
        <v>1</v>
      </c>
      <c r="I78" t="str">
        <f>IF(FT!B78&lt;&gt;"",FT!E78,"")</f>
        <v>2 [31.006992]</v>
      </c>
      <c r="J78">
        <f>IF(FT!B78&lt;&gt;"",FT!C78,"")</f>
        <v>31.007000000000001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3.1725599999999998</v>
      </c>
      <c r="G79" s="61">
        <f>IF(FT!B79&lt;&gt;"",FT!B79*100,"")</f>
        <v>53.303699999999999</v>
      </c>
      <c r="H79" s="61">
        <f t="shared" si="9"/>
        <v>1</v>
      </c>
      <c r="I79" t="str">
        <f>IF(FT!B79&lt;&gt;"",FT!E79,"")</f>
        <v>2 [31.384004]</v>
      </c>
      <c r="J79">
        <f>IF(FT!B79&lt;&gt;"",FT!C79,"")</f>
        <v>31.384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210439</v>
      </c>
      <c r="D80" s="61">
        <f>FH!B80*1</f>
        <v>210439</v>
      </c>
      <c r="E80">
        <f t="shared" si="11"/>
        <v>78</v>
      </c>
      <c r="F80" s="61">
        <f>IF(FT!A80&lt;&gt;"",FT!A80*10,"")</f>
        <v>3.1808700000000001</v>
      </c>
      <c r="G80" s="61">
        <f>IF(FT!B80&lt;&gt;"",FT!B80*100,"")</f>
        <v>53.374900000000004</v>
      </c>
      <c r="H80" s="61">
        <f t="shared" si="9"/>
        <v>1</v>
      </c>
      <c r="I80" t="str">
        <f>IF(FT!B80&lt;&gt;"",FT!E80,"")</f>
        <v>2 [31.759763]</v>
      </c>
      <c r="J80">
        <f>IF(FT!B80&lt;&gt;"",FT!C80,"")</f>
        <v>31.759799999999998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3.1907299999999998</v>
      </c>
      <c r="G81" s="61">
        <f>IF(FT!B81&lt;&gt;"",FT!B81*100,"")</f>
        <v>53.463499999999996</v>
      </c>
      <c r="H81" s="61">
        <f t="shared" si="9"/>
        <v>1</v>
      </c>
      <c r="I81" t="str">
        <f>IF(FT!B81&lt;&gt;"",FT!E81,"")</f>
        <v>2 [32.131059]</v>
      </c>
      <c r="J81">
        <f>IF(FT!B81&lt;&gt;"",FT!C81,"")</f>
        <v>32.131100000000004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201539</v>
      </c>
      <c r="D82" s="61">
        <f>FH!B82*1</f>
        <v>201539</v>
      </c>
      <c r="E82">
        <f t="shared" si="11"/>
        <v>80</v>
      </c>
      <c r="F82" s="61">
        <f>IF(FT!A82&lt;&gt;"",FT!A82*10,"")</f>
        <v>3.2012200000000002</v>
      </c>
      <c r="G82" s="61">
        <f>IF(FT!B82&lt;&gt;"",FT!B82*100,"")</f>
        <v>53.6678</v>
      </c>
      <c r="H82" s="61">
        <f t="shared" si="9"/>
        <v>1</v>
      </c>
      <c r="I82" t="str">
        <f>IF(FT!B82&lt;&gt;"",FT!E82,"")</f>
        <v>2 [32.539942]</v>
      </c>
      <c r="J82">
        <f>IF(FT!B82&lt;&gt;"",FT!C82,"")</f>
        <v>32.539900000000003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3.2108599999999998</v>
      </c>
      <c r="G83" s="61">
        <f>IF(FT!B83&lt;&gt;"",FT!B83*100,"")</f>
        <v>53.901900000000005</v>
      </c>
      <c r="H83" s="61">
        <f t="shared" si="9"/>
        <v>1</v>
      </c>
      <c r="I83" t="str">
        <f>IF(FT!B83&lt;&gt;"",FT!E83,"")</f>
        <v>2 [32.947880]</v>
      </c>
      <c r="J83">
        <f>IF(FT!B83&lt;&gt;"",FT!C83,"")</f>
        <v>32.947899999999997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3.2192100000000003</v>
      </c>
      <c r="G84" s="61">
        <f>IF(FT!B84&lt;&gt;"",FT!B84*100,"")</f>
        <v>54.187700000000007</v>
      </c>
      <c r="H84" s="61">
        <f t="shared" si="9"/>
        <v>1</v>
      </c>
      <c r="I84" t="str">
        <f>IF(FT!B84&lt;&gt;"",FT!E84,"")</f>
        <v>2 [33.352714]</v>
      </c>
      <c r="J84">
        <f>IF(FT!B84&lt;&gt;"",FT!C84,"")</f>
        <v>33.352699999999999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207929</v>
      </c>
      <c r="D85" s="61">
        <f>FH!B85*1</f>
        <v>207929</v>
      </c>
      <c r="E85">
        <f t="shared" si="11"/>
        <v>83</v>
      </c>
      <c r="F85" s="61">
        <f>IF(FT!A85&lt;&gt;"",FT!A85*10,"")</f>
        <v>3.2232100000000004</v>
      </c>
      <c r="G85" s="61">
        <f>IF(FT!B85&lt;&gt;"",FT!B85*100,"")</f>
        <v>54.4223</v>
      </c>
      <c r="H85" s="61">
        <f t="shared" si="9"/>
        <v>1</v>
      </c>
      <c r="I85" t="str">
        <f>IF(FT!B85&lt;&gt;"",FT!E85,"")</f>
        <v>2 [33.756652]</v>
      </c>
      <c r="J85">
        <f>IF(FT!B85&lt;&gt;"",FT!C85,"")</f>
        <v>33.756700000000002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3.2239400000000002</v>
      </c>
      <c r="G86" s="61">
        <f>IF(FT!B86&lt;&gt;"",FT!B86*100,"")</f>
        <v>54.630599999999994</v>
      </c>
      <c r="H86" s="61">
        <f t="shared" si="9"/>
        <v>1</v>
      </c>
      <c r="I86" t="str">
        <f>IF(FT!B86&lt;&gt;"",FT!E86,"")</f>
        <v>2 [34.160559]</v>
      </c>
      <c r="J86">
        <f>IF(FT!B86&lt;&gt;"",FT!C86,"")</f>
        <v>34.160600000000002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3.2265899999999998</v>
      </c>
      <c r="G87" s="61">
        <f>IF(FT!B87&lt;&gt;"",FT!B87*100,"")</f>
        <v>54.805499999999995</v>
      </c>
      <c r="H87" s="61">
        <f t="shared" si="9"/>
        <v>1</v>
      </c>
      <c r="I87" t="str">
        <f>IF(FT!B87&lt;&gt;"",FT!E87,"")</f>
        <v>2 [34.566578]</v>
      </c>
      <c r="J87">
        <f>IF(FT!B87&lt;&gt;"",FT!C87,"")</f>
        <v>34.566600000000001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208516</v>
      </c>
      <c r="D88" s="61">
        <f>FH!B88*1</f>
        <v>208516</v>
      </c>
      <c r="E88">
        <f t="shared" si="11"/>
        <v>86</v>
      </c>
      <c r="F88" s="61">
        <f>IF(FT!A88&lt;&gt;"",FT!A88*10,"")</f>
        <v>3.2318000000000002</v>
      </c>
      <c r="G88" s="61">
        <f>IF(FT!B88&lt;&gt;"",FT!B88*100,"")</f>
        <v>55.018999999999998</v>
      </c>
      <c r="H88" s="61">
        <f t="shared" si="9"/>
        <v>1</v>
      </c>
      <c r="I88" t="str">
        <f>IF(FT!B88&lt;&gt;"",FT!E88,"")</f>
        <v>2 [34.978442]</v>
      </c>
      <c r="J88">
        <f>IF(FT!B88&lt;&gt;"",FT!C88,"")</f>
        <v>34.978400000000001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3.23977</v>
      </c>
      <c r="G89" s="61">
        <f>IF(FT!B89&lt;&gt;"",FT!B89*100,"")</f>
        <v>55.204299999999996</v>
      </c>
      <c r="H89" s="61">
        <f t="shared" si="9"/>
        <v>1</v>
      </c>
      <c r="I89" t="str">
        <f>IF(FT!B89&lt;&gt;"",FT!E89,"")</f>
        <v>2 [35.385348]</v>
      </c>
      <c r="J89">
        <f>IF(FT!B89&lt;&gt;"",FT!C89,"")</f>
        <v>35.385300000000001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184756</v>
      </c>
      <c r="D90" s="61">
        <f>FH!B90*1</f>
        <v>184756</v>
      </c>
      <c r="E90">
        <f t="shared" si="11"/>
        <v>88</v>
      </c>
      <c r="F90" s="61">
        <f>IF(FT!A90&lt;&gt;"",FT!A90*10,"")</f>
        <v>3.2498800000000001</v>
      </c>
      <c r="G90" s="61">
        <f>IF(FT!B90&lt;&gt;"",FT!B90*100,"")</f>
        <v>55.293899999999994</v>
      </c>
      <c r="H90" s="61">
        <f t="shared" si="9"/>
        <v>1</v>
      </c>
      <c r="I90" t="str">
        <f>IF(FT!B90&lt;&gt;"",FT!E90,"")</f>
        <v>2 [35.789208]</v>
      </c>
      <c r="J90">
        <f>IF(FT!B90&lt;&gt;"",FT!C90,"")</f>
        <v>35.789200000000001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3.2580999999999998</v>
      </c>
      <c r="G91" s="61">
        <f>IF(FT!B91&lt;&gt;"",FT!B91*100,"")</f>
        <v>55.433799999999998</v>
      </c>
      <c r="H91" s="61">
        <f t="shared" si="9"/>
        <v>1</v>
      </c>
      <c r="I91" t="str">
        <f>IF(FT!B91&lt;&gt;"",FT!E91,"")</f>
        <v>2 [36.198099]</v>
      </c>
      <c r="J91">
        <f>IF(FT!B91&lt;&gt;"",FT!C91,"")</f>
        <v>36.198099999999997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3.2658199999999997</v>
      </c>
      <c r="G92" s="61">
        <f>IF(FT!B92&lt;&gt;"",FT!B92*100,"")</f>
        <v>55.595500000000001</v>
      </c>
      <c r="H92" s="61">
        <f t="shared" si="9"/>
        <v>1</v>
      </c>
      <c r="I92" t="str">
        <f>IF(FT!B92&lt;&gt;"",FT!E92,"")</f>
        <v>2 [36.599035]</v>
      </c>
      <c r="J92">
        <f>IF(FT!B92&lt;&gt;"",FT!C92,"")</f>
        <v>36.598999999999997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177492</v>
      </c>
      <c r="D93" s="61">
        <f>FH!B93*1</f>
        <v>177492</v>
      </c>
      <c r="E93">
        <f t="shared" si="11"/>
        <v>91</v>
      </c>
      <c r="F93" s="61">
        <f>IF(FT!A93&lt;&gt;"",FT!A93*10,"")</f>
        <v>3.27067</v>
      </c>
      <c r="G93" s="61">
        <f>IF(FT!B93&lt;&gt;"",FT!B93*100,"")</f>
        <v>55.809200000000004</v>
      </c>
      <c r="H93" s="61">
        <f t="shared" si="9"/>
        <v>1</v>
      </c>
      <c r="I93" t="str">
        <f>IF(FT!B93&lt;&gt;"",FT!E93,"")</f>
        <v>2 [37.005989]</v>
      </c>
      <c r="J93">
        <f>IF(FT!B93&lt;&gt;"",FT!C93,"")</f>
        <v>37.006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3.2763199999999997</v>
      </c>
      <c r="G94" s="61">
        <f>IF(FT!B94&lt;&gt;"",FT!B94*100,"")</f>
        <v>56.031399999999998</v>
      </c>
      <c r="H94" s="61">
        <f t="shared" si="9"/>
        <v>1</v>
      </c>
      <c r="I94" t="str">
        <f>IF(FT!B94&lt;&gt;"",FT!E94,"")</f>
        <v>2 [37.415914]</v>
      </c>
      <c r="J94">
        <f>IF(FT!B94&lt;&gt;"",FT!C94,"")</f>
        <v>37.415900000000001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176324</v>
      </c>
      <c r="D95" s="61">
        <f>FH!B95*1</f>
        <v>176324</v>
      </c>
      <c r="E95">
        <f t="shared" si="11"/>
        <v>93</v>
      </c>
      <c r="F95" s="61">
        <f>IF(FT!A95&lt;&gt;"",FT!A95*10,"")</f>
        <v>3.28118</v>
      </c>
      <c r="G95" s="61">
        <f>IF(FT!B95&lt;&gt;"",FT!B95*100,"")</f>
        <v>56.255099999999999</v>
      </c>
      <c r="H95" s="61">
        <f t="shared" si="9"/>
        <v>1</v>
      </c>
      <c r="I95" t="str">
        <f>IF(FT!B95&lt;&gt;"",FT!E95,"")</f>
        <v>2 [37.817747]</v>
      </c>
      <c r="J95">
        <f>IF(FT!B95&lt;&gt;"",FT!C95,"")</f>
        <v>37.817700000000002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3.2858499999999999</v>
      </c>
      <c r="G96" s="61">
        <f>IF(FT!B96&lt;&gt;"",FT!B96*100,"")</f>
        <v>56.524799999999999</v>
      </c>
      <c r="H96" s="61">
        <f t="shared" si="9"/>
        <v>1</v>
      </c>
      <c r="I96" t="str">
        <f>IF(FT!B96&lt;&gt;"",FT!E96,"")</f>
        <v>2 [38.227664]</v>
      </c>
      <c r="J96">
        <f>IF(FT!B96&lt;&gt;"",FT!C96,"")</f>
        <v>38.227699999999999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3.2895799999999999</v>
      </c>
      <c r="G97" s="61">
        <f>IF(FT!B97&lt;&gt;"",FT!B97*100,"")</f>
        <v>56.652899999999995</v>
      </c>
      <c r="H97" s="61">
        <f t="shared" si="9"/>
        <v>1</v>
      </c>
      <c r="I97" t="str">
        <f>IF(FT!B97&lt;&gt;"",FT!E97,"")</f>
        <v>2 [38.631037]</v>
      </c>
      <c r="J97">
        <f>IF(FT!B97&lt;&gt;"",FT!C97,"")</f>
        <v>38.631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172926</v>
      </c>
      <c r="D98" s="61">
        <f>FH!B98*1</f>
        <v>172926</v>
      </c>
      <c r="E98">
        <f t="shared" si="11"/>
        <v>96</v>
      </c>
      <c r="F98" s="61">
        <f>IF(FT!A98&lt;&gt;"",FT!A98*10,"")</f>
        <v>3.29426</v>
      </c>
      <c r="G98" s="61">
        <f>IF(FT!B98&lt;&gt;"",FT!B98*100,"")</f>
        <v>56.664999999999999</v>
      </c>
      <c r="H98" s="61">
        <f t="shared" si="9"/>
        <v>1</v>
      </c>
      <c r="I98" t="str">
        <f>IF(FT!B98&lt;&gt;"",FT!E98,"")</f>
        <v>2 [39.039464]</v>
      </c>
      <c r="J98">
        <f>IF(FT!B98&lt;&gt;"",FT!C98,"")</f>
        <v>39.039499999999997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3.29942</v>
      </c>
      <c r="G99" s="61">
        <f>IF(FT!B99&lt;&gt;"",FT!B99*100,"")</f>
        <v>56.561300000000003</v>
      </c>
      <c r="H99" s="61">
        <f t="shared" si="9"/>
        <v>1</v>
      </c>
      <c r="I99" t="str">
        <f>IF(FT!B99&lt;&gt;"",FT!E99,"")</f>
        <v>2 [39.446521]</v>
      </c>
      <c r="J99">
        <f>IF(FT!B99&lt;&gt;"",FT!C99,"")</f>
        <v>39.4465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161807</v>
      </c>
      <c r="D100" s="61">
        <f>FH!B100*1</f>
        <v>161807</v>
      </c>
      <c r="E100">
        <f t="shared" si="11"/>
        <v>98</v>
      </c>
      <c r="F100" s="61">
        <f>IF(FT!A100&lt;&gt;"",FT!A100*10,"")</f>
        <v>3.3033899999999998</v>
      </c>
      <c r="G100" s="61">
        <f>IF(FT!B100&lt;&gt;"",FT!B100*100,"")</f>
        <v>56.393800000000006</v>
      </c>
      <c r="H100" s="61">
        <f t="shared" si="9"/>
        <v>1</v>
      </c>
      <c r="I100" t="str">
        <f>IF(FT!B100&lt;&gt;"",FT!E100,"")</f>
        <v>2 [39.848435]</v>
      </c>
      <c r="J100">
        <f>IF(FT!B100&lt;&gt;"",FT!C100,"")</f>
        <v>39.848399999999998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3.3071200000000003</v>
      </c>
      <c r="G101" s="61">
        <f>IF(FT!B101&lt;&gt;"",FT!B101*100,"")</f>
        <v>56.174599999999998</v>
      </c>
      <c r="H101" s="61">
        <f t="shared" si="9"/>
        <v>1</v>
      </c>
      <c r="I101" t="str">
        <f>IF(FT!B101&lt;&gt;"",FT!E101,"")</f>
        <v>2 [40.258579]</v>
      </c>
      <c r="J101">
        <f>IF(FT!B101&lt;&gt;"",FT!C101,"")</f>
        <v>40.258600000000001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3.3069199999999999</v>
      </c>
      <c r="G102" s="61">
        <f>IF(FT!B102&lt;&gt;"",FT!B102*100,"")</f>
        <v>55.977699999999999</v>
      </c>
      <c r="H102" s="61">
        <f t="shared" si="9"/>
        <v>1</v>
      </c>
      <c r="I102" t="str">
        <f>IF(FT!B102&lt;&gt;"",FT!E102,"")</f>
        <v>2 [40.663200]</v>
      </c>
      <c r="J102">
        <f>IF(FT!B102&lt;&gt;"",FT!C102,"")</f>
        <v>40.663200000000003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134818</v>
      </c>
      <c r="D103" s="61">
        <f>FH!B103*1</f>
        <v>134818</v>
      </c>
      <c r="E103">
        <f t="shared" si="11"/>
        <v>101</v>
      </c>
      <c r="F103" s="61">
        <f>IF(FT!A103&lt;&gt;"",FT!A103*10,"")</f>
        <v>3.3029599999999997</v>
      </c>
      <c r="G103" s="61">
        <f>IF(FT!B103&lt;&gt;"",FT!B103*100,"")</f>
        <v>55.809299999999993</v>
      </c>
      <c r="H103" s="61">
        <f t="shared" si="9"/>
        <v>1</v>
      </c>
      <c r="I103" t="str">
        <f>IF(FT!B103&lt;&gt;"",FT!E103,"")</f>
        <v>2 [41.073103]</v>
      </c>
      <c r="J103">
        <f>IF(FT!B103&lt;&gt;"",FT!C103,"")</f>
        <v>41.073099999999997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3.2978100000000001</v>
      </c>
      <c r="G104" s="61">
        <f>IF(FT!B104&lt;&gt;"",FT!B104*100,"")</f>
        <v>55.589700000000001</v>
      </c>
      <c r="H104" s="61">
        <f t="shared" si="9"/>
        <v>1</v>
      </c>
      <c r="I104" t="str">
        <f>IF(FT!B104&lt;&gt;"",FT!E104,"")</f>
        <v>2 [41.475334]</v>
      </c>
      <c r="J104">
        <f>IF(FT!B104&lt;&gt;"",FT!C104,"")</f>
        <v>41.475299999999997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3.2896900000000002</v>
      </c>
      <c r="G105" s="61">
        <f>IF(FT!B105&lt;&gt;"",FT!B105*100,"")</f>
        <v>55.298499999999997</v>
      </c>
      <c r="H105" s="61">
        <f t="shared" si="9"/>
        <v>1</v>
      </c>
      <c r="I105" t="str">
        <f>IF(FT!B105&lt;&gt;"",FT!E105,"")</f>
        <v>2 [41.878086]</v>
      </c>
      <c r="J105">
        <f>IF(FT!B105&lt;&gt;"",FT!C105,"")</f>
        <v>41.878100000000003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119573</v>
      </c>
      <c r="D106" s="61">
        <f>FH!B106*1</f>
        <v>119573</v>
      </c>
      <c r="E106">
        <f t="shared" si="11"/>
        <v>104</v>
      </c>
      <c r="F106" s="61">
        <f>IF(FT!A106&lt;&gt;"",FT!A106*10,"")</f>
        <v>3.2798799999999999</v>
      </c>
      <c r="G106" s="61">
        <f>IF(FT!B106&lt;&gt;"",FT!B106*100,"")</f>
        <v>54.975200000000001</v>
      </c>
      <c r="H106" s="61">
        <f t="shared" si="9"/>
        <v>1</v>
      </c>
      <c r="I106" t="str">
        <f>IF(FT!B106&lt;&gt;"",FT!E106,"")</f>
        <v>2 [42.289968]</v>
      </c>
      <c r="J106">
        <f>IF(FT!B106&lt;&gt;"",FT!C106,"")</f>
        <v>42.29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3.27067</v>
      </c>
      <c r="G107" s="61">
        <f>IF(FT!B107&lt;&gt;"",FT!B107*100,"")</f>
        <v>54.686199999999999</v>
      </c>
      <c r="H107" s="61">
        <f t="shared" si="9"/>
        <v>1</v>
      </c>
      <c r="I107" t="str">
        <f>IF(FT!B107&lt;&gt;"",FT!E107,"")</f>
        <v>2 [42.695743]</v>
      </c>
      <c r="J107">
        <f>IF(FT!B107&lt;&gt;"",FT!C107,"")</f>
        <v>42.695700000000002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99473</v>
      </c>
      <c r="D108" s="61">
        <f>FH!B108*1</f>
        <v>99473</v>
      </c>
      <c r="E108">
        <f t="shared" si="11"/>
        <v>106</v>
      </c>
      <c r="F108" s="61">
        <f>IF(FT!A108&lt;&gt;"",FT!A108*10,"")</f>
        <v>3.2625700000000002</v>
      </c>
      <c r="G108" s="61">
        <f>IF(FT!B108&lt;&gt;"",FT!B108*100,"")</f>
        <v>54.348100000000002</v>
      </c>
      <c r="H108" s="61">
        <f t="shared" si="9"/>
        <v>1</v>
      </c>
      <c r="I108" t="str">
        <f>IF(FT!B108&lt;&gt;"",FT!E108,"")</f>
        <v>2 [43.100626]</v>
      </c>
      <c r="J108">
        <f>IF(FT!B108&lt;&gt;"",FT!C108,"")</f>
        <v>43.1006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3.2531599999999998</v>
      </c>
      <c r="G109" s="61">
        <f>IF(FT!B109&lt;&gt;"",FT!B109*100,"")</f>
        <v>53.9953</v>
      </c>
      <c r="H109" s="61">
        <f t="shared" si="9"/>
        <v>1</v>
      </c>
      <c r="I109" t="str">
        <f>IF(FT!B109&lt;&gt;"",FT!E109,"")</f>
        <v>2 [43.506614]</v>
      </c>
      <c r="J109">
        <f>IF(FT!B109&lt;&gt;"",FT!C109,"")</f>
        <v>43.506599999999999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3.2444800000000003</v>
      </c>
      <c r="G110" s="61">
        <f>IF(FT!B110&lt;&gt;"",FT!B110*100,"")</f>
        <v>53.596800000000002</v>
      </c>
      <c r="H110" s="61">
        <f t="shared" si="9"/>
        <v>1</v>
      </c>
      <c r="I110" t="str">
        <f>IF(FT!B110&lt;&gt;"",FT!E110,"")</f>
        <v>2 [43.913502]</v>
      </c>
      <c r="J110">
        <f>IF(FT!B110&lt;&gt;"",FT!C110,"")</f>
        <v>43.913499999999999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96829</v>
      </c>
      <c r="D111" s="61">
        <f>FH!B111*1</f>
        <v>96829</v>
      </c>
      <c r="E111">
        <f t="shared" si="11"/>
        <v>109</v>
      </c>
      <c r="F111" s="61">
        <f>IF(FT!A111&lt;&gt;"",FT!A111*10,"")</f>
        <v>3.2356400000000001</v>
      </c>
      <c r="G111" s="61">
        <f>IF(FT!B111&lt;&gt;"",FT!B111*100,"")</f>
        <v>53.222700000000003</v>
      </c>
      <c r="H111" s="61">
        <f t="shared" si="9"/>
        <v>1</v>
      </c>
      <c r="I111" t="str">
        <f>IF(FT!B111&lt;&gt;"",FT!E111,"")</f>
        <v>2 [44.314549]</v>
      </c>
      <c r="J111">
        <f>IF(FT!B111&lt;&gt;"",FT!C111,"")</f>
        <v>44.314500000000002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3.2234800000000003</v>
      </c>
      <c r="G112" s="61">
        <f>IF(FT!B112&lt;&gt;"",FT!B112*100,"")</f>
        <v>52.862200000000001</v>
      </c>
      <c r="H112" s="61">
        <f t="shared" si="9"/>
        <v>1</v>
      </c>
      <c r="I112" t="str">
        <f>IF(FT!B112&lt;&gt;"",FT!E112,"")</f>
        <v>2 [44.727325]</v>
      </c>
      <c r="J112">
        <f>IF(FT!B112&lt;&gt;"",FT!C112,"")</f>
        <v>44.7273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79324</v>
      </c>
      <c r="D113" s="61">
        <f>FH!B113*1</f>
        <v>79324</v>
      </c>
      <c r="E113">
        <f t="shared" si="11"/>
        <v>111</v>
      </c>
      <c r="F113" s="61">
        <f>IF(FT!A113&lt;&gt;"",FT!A113*10,"")</f>
        <v>3.20777</v>
      </c>
      <c r="G113" s="61">
        <f>IF(FT!B113&lt;&gt;"",FT!B113*100,"")</f>
        <v>52.445</v>
      </c>
      <c r="H113" s="61">
        <f t="shared" si="9"/>
        <v>1</v>
      </c>
      <c r="I113" t="str">
        <f>IF(FT!B113&lt;&gt;"",FT!E113,"")</f>
        <v>2 [45.129989]</v>
      </c>
      <c r="J113">
        <f>IF(FT!B113&lt;&gt;"",FT!C113,"")</f>
        <v>45.13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3.1885699999999999</v>
      </c>
      <c r="G114" s="61">
        <f>IF(FT!B114&lt;&gt;"",FT!B114*100,"")</f>
        <v>52.061500000000002</v>
      </c>
      <c r="H114" s="61">
        <f t="shared" si="9"/>
        <v>1</v>
      </c>
      <c r="I114" t="str">
        <f>IF(FT!B114&lt;&gt;"",FT!E114,"")</f>
        <v>2 [45.539189]</v>
      </c>
      <c r="J114">
        <f>IF(FT!B114&lt;&gt;"",FT!C114,"")</f>
        <v>45.539200000000001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3.1659900000000003</v>
      </c>
      <c r="G115" s="61">
        <f>IF(FT!B115&lt;&gt;"",FT!B115*100,"")</f>
        <v>51.799799999999998</v>
      </c>
      <c r="H115" s="61">
        <f t="shared" si="9"/>
        <v>1</v>
      </c>
      <c r="I115" t="str">
        <f>IF(FT!B115&lt;&gt;"",FT!E115,"")</f>
        <v>2 [45.945051]</v>
      </c>
      <c r="J115">
        <f>IF(FT!B115&lt;&gt;"",FT!C115,"")</f>
        <v>45.945099999999996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66151</v>
      </c>
      <c r="D116" s="61">
        <f>FH!B116*1</f>
        <v>66151</v>
      </c>
      <c r="E116">
        <f t="shared" si="11"/>
        <v>114</v>
      </c>
      <c r="F116" s="61">
        <f>IF(FT!A116&lt;&gt;"",FT!A116*10,"")</f>
        <v>3.1441699999999999</v>
      </c>
      <c r="G116" s="61">
        <f>IF(FT!B116&lt;&gt;"",FT!B116*100,"")</f>
        <v>51.509300000000003</v>
      </c>
      <c r="H116" s="61">
        <f t="shared" si="9"/>
        <v>1</v>
      </c>
      <c r="I116" t="str">
        <f>IF(FT!B116&lt;&gt;"",FT!E116,"")</f>
        <v>2 [46.353026]</v>
      </c>
      <c r="J116">
        <f>IF(FT!B116&lt;&gt;"",FT!C116,"")</f>
        <v>46.353000000000002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3.12222</v>
      </c>
      <c r="G117" s="61">
        <f>IF(FT!B117&lt;&gt;"",FT!B117*100,"")</f>
        <v>51.262799999999999</v>
      </c>
      <c r="H117" s="61">
        <f t="shared" si="9"/>
        <v>1</v>
      </c>
      <c r="I117" t="str">
        <f>IF(FT!B117&lt;&gt;"",FT!E117,"")</f>
        <v>2 [46.754167]</v>
      </c>
      <c r="J117">
        <f>IF(FT!B117&lt;&gt;"",FT!C117,"")</f>
        <v>46.754199999999997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58290</v>
      </c>
      <c r="D118" s="61">
        <f>FH!B118*1</f>
        <v>58290</v>
      </c>
      <c r="E118">
        <f t="shared" si="11"/>
        <v>116</v>
      </c>
      <c r="F118" s="61">
        <f>IF(FT!A118&lt;&gt;"",FT!A118*10,"")</f>
        <v>3.1039699999999999</v>
      </c>
      <c r="G118" s="61">
        <f>IF(FT!B118&lt;&gt;"",FT!B118*100,"")</f>
        <v>51.036000000000001</v>
      </c>
      <c r="H118" s="61">
        <f t="shared" si="9"/>
        <v>1</v>
      </c>
      <c r="I118" t="str">
        <f>IF(FT!B118&lt;&gt;"",FT!E118,"")</f>
        <v>2 [47.164776]</v>
      </c>
      <c r="J118">
        <f>IF(FT!B118&lt;&gt;"",FT!C118,"")</f>
        <v>47.1648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3.08643</v>
      </c>
      <c r="G119" s="61">
        <f>IF(FT!B119&lt;&gt;"",FT!B119*100,"")</f>
        <v>50.854299999999995</v>
      </c>
      <c r="H119" s="61">
        <f t="shared" si="9"/>
        <v>1</v>
      </c>
      <c r="I119" t="str">
        <f>IF(FT!B119&lt;&gt;"",FT!E119,"")</f>
        <v>2 [47.570773]</v>
      </c>
      <c r="J119">
        <f>IF(FT!B119&lt;&gt;"",FT!C119,"")</f>
        <v>47.570799999999998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3.069</v>
      </c>
      <c r="G120" s="61">
        <f>IF(FT!B120&lt;&gt;"",FT!B120*100,"")</f>
        <v>50.7209</v>
      </c>
      <c r="H120" s="61">
        <f t="shared" si="9"/>
        <v>1</v>
      </c>
      <c r="I120" t="str">
        <f>IF(FT!B120&lt;&gt;"",FT!E120,"")</f>
        <v>2 [47.975629]</v>
      </c>
      <c r="J120">
        <f>IF(FT!B120&lt;&gt;"",FT!C120,"")</f>
        <v>47.9756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48882</v>
      </c>
      <c r="D121" s="61">
        <f>FH!B121*1</f>
        <v>48882</v>
      </c>
      <c r="E121">
        <f t="shared" si="11"/>
        <v>119</v>
      </c>
      <c r="F121" s="61">
        <f>IF(FT!A121&lt;&gt;"",FT!A121*10,"")</f>
        <v>3.0529600000000001</v>
      </c>
      <c r="G121" s="61">
        <f>IF(FT!B121&lt;&gt;"",FT!B121*100,"")</f>
        <v>50.551400000000001</v>
      </c>
      <c r="H121" s="61">
        <f t="shared" si="9"/>
        <v>1</v>
      </c>
      <c r="I121" t="str">
        <f>IF(FT!B121&lt;&gt;"",FT!E121,"")</f>
        <v>2 [48.380554]</v>
      </c>
      <c r="J121">
        <f>IF(FT!B121&lt;&gt;"",FT!C121,"")</f>
        <v>48.380600000000001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3.0350300000000003</v>
      </c>
      <c r="G122" s="61">
        <f>IF(FT!B122&lt;&gt;"",FT!B122*100,"")</f>
        <v>50.463100000000004</v>
      </c>
      <c r="H122" s="61">
        <f t="shared" si="9"/>
        <v>1</v>
      </c>
      <c r="I122" t="str">
        <f>IF(FT!B122&lt;&gt;"",FT!E122,"")</f>
        <v>2 [48.792029]</v>
      </c>
      <c r="J122">
        <f>IF(FT!B122&lt;&gt;"",FT!C122,"")</f>
        <v>48.792000000000002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3.0146299999999999</v>
      </c>
      <c r="G123" s="61">
        <f>IF(FT!B123&lt;&gt;"",FT!B123*100,"")</f>
        <v>50.447900000000004</v>
      </c>
      <c r="H123" s="61">
        <f t="shared" si="9"/>
        <v>1</v>
      </c>
      <c r="I123" t="str">
        <f>IF(FT!B123&lt;&gt;"",FT!E123,"")</f>
        <v>2 [49.196377]</v>
      </c>
      <c r="J123">
        <f>IF(FT!B123&lt;&gt;"",FT!C123,"")</f>
        <v>49.196399999999997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40443</v>
      </c>
      <c r="D124" s="61">
        <f>FH!B124*1</f>
        <v>40443</v>
      </c>
      <c r="E124">
        <f t="shared" si="11"/>
        <v>122</v>
      </c>
      <c r="F124" s="61">
        <f>IF(FT!A124&lt;&gt;"",FT!A124*10,"")</f>
        <v>2.9912200000000002</v>
      </c>
      <c r="G124" s="61">
        <f>IF(FT!B124&lt;&gt;"",FT!B124*100,"")</f>
        <v>50.442100000000003</v>
      </c>
      <c r="H124" s="61">
        <f t="shared" si="9"/>
        <v>1</v>
      </c>
      <c r="I124" t="str">
        <f>IF(FT!B124&lt;&gt;"",FT!E124,"")</f>
        <v>2 [49.602281]</v>
      </c>
      <c r="J124">
        <f>IF(FT!B124&lt;&gt;"",FT!C124,"")</f>
        <v>49.6023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2.96522</v>
      </c>
      <c r="G125" s="61">
        <f>IF(FT!B125&lt;&gt;"",FT!B125*100,"")</f>
        <v>50.535499999999999</v>
      </c>
      <c r="H125" s="61">
        <f t="shared" si="9"/>
        <v>1</v>
      </c>
      <c r="I125" t="str">
        <f>IF(FT!B125&lt;&gt;"",FT!E125,"")</f>
        <v>2 [50.009204]</v>
      </c>
      <c r="J125">
        <f>IF(FT!B125&lt;&gt;"",FT!C125,"")</f>
        <v>50.0092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36391</v>
      </c>
      <c r="D126" s="61">
        <f>FH!B126*1</f>
        <v>36391</v>
      </c>
      <c r="E126">
        <f t="shared" si="11"/>
        <v>124</v>
      </c>
      <c r="F126" s="61">
        <f>IF(FT!A126&lt;&gt;"",FT!A126*10,"")</f>
        <v>2.9425299999999996</v>
      </c>
      <c r="G126" s="61">
        <f>IF(FT!B126&lt;&gt;"",FT!B126*100,"")</f>
        <v>50.747799999999998</v>
      </c>
      <c r="H126" s="61">
        <f t="shared" si="9"/>
        <v>1</v>
      </c>
      <c r="I126" t="str">
        <f>IF(FT!B126&lt;&gt;"",FT!E126,"")</f>
        <v>2 [50.409140]</v>
      </c>
      <c r="J126">
        <f>IF(FT!B126&lt;&gt;"",FT!C126,"")</f>
        <v>50.409100000000002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2.9231499999999997</v>
      </c>
      <c r="G127" s="61">
        <f>IF(FT!B127&lt;&gt;"",FT!B127*100,"")</f>
        <v>50.8553</v>
      </c>
      <c r="H127" s="61">
        <f t="shared" si="9"/>
        <v>1</v>
      </c>
      <c r="I127" t="str">
        <f>IF(FT!B127&lt;&gt;"",FT!E127,"")</f>
        <v>2 [50.820786]</v>
      </c>
      <c r="J127">
        <f>IF(FT!B127&lt;&gt;"",FT!C127,"")</f>
        <v>50.820799999999998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2.90876</v>
      </c>
      <c r="G128" s="61">
        <f>IF(FT!B128&lt;&gt;"",FT!B128*100,"")</f>
        <v>50.830500000000001</v>
      </c>
      <c r="H128" s="61">
        <f t="shared" si="9"/>
        <v>1</v>
      </c>
      <c r="I128" t="str">
        <f>IF(FT!B128&lt;&gt;"",FT!E128,"")</f>
        <v>2 [51.227970]</v>
      </c>
      <c r="J128">
        <f>IF(FT!B128&lt;&gt;"",FT!C128,"")</f>
        <v>51.228000000000002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32094</v>
      </c>
      <c r="D129" s="61">
        <f>FH!B129*1</f>
        <v>32094</v>
      </c>
      <c r="E129">
        <f t="shared" si="11"/>
        <v>127</v>
      </c>
      <c r="F129" s="61">
        <f>IF(FT!A129&lt;&gt;"",FT!A129*10,"")</f>
        <v>2.8991499999999997</v>
      </c>
      <c r="G129" s="61">
        <f>IF(FT!B129&lt;&gt;"",FT!B129*100,"")</f>
        <v>50.773199999999996</v>
      </c>
      <c r="H129" s="61">
        <f t="shared" si="9"/>
        <v>1</v>
      </c>
      <c r="I129" t="str">
        <f>IF(FT!B129&lt;&gt;"",FT!E129,"")</f>
        <v>2 [51.634830]</v>
      </c>
      <c r="J129">
        <f>IF(FT!B129&lt;&gt;"",FT!C129,"")</f>
        <v>51.634799999999998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2.8937299999999997</v>
      </c>
      <c r="G130" s="61">
        <f>IF(FT!B130&lt;&gt;"",FT!B130*100,"")</f>
        <v>50.719800000000006</v>
      </c>
      <c r="H130" s="61">
        <f t="shared" si="9"/>
        <v>1</v>
      </c>
      <c r="I130" t="str">
        <f>IF(FT!B130&lt;&gt;"",FT!E130,"")</f>
        <v>2 [52.040906]</v>
      </c>
      <c r="J130">
        <f>IF(FT!B130&lt;&gt;"",FT!C130,"")</f>
        <v>52.040900000000001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26948</v>
      </c>
      <c r="D131" s="61">
        <f>FH!B131*1</f>
        <v>26948</v>
      </c>
      <c r="E131">
        <f t="shared" si="11"/>
        <v>129</v>
      </c>
      <c r="F131" s="61">
        <f>IF(FT!A131&lt;&gt;"",FT!A131*10,"")</f>
        <v>2.8882500000000002</v>
      </c>
      <c r="G131" s="61">
        <f>IF(FT!B131&lt;&gt;"",FT!B131*100,"")</f>
        <v>50.673000000000002</v>
      </c>
      <c r="H131" s="61">
        <f t="shared" ref="H131:H194" si="13">(IF(F131&lt;&gt;"",1,""))</f>
        <v>1</v>
      </c>
      <c r="I131" t="str">
        <f>IF(FT!B131&lt;&gt;"",FT!E131,"")</f>
        <v>2 [52.442689]</v>
      </c>
      <c r="J131">
        <f>IF(FT!B131&lt;&gt;"",FT!C131,"")</f>
        <v>52.442700000000002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2.8817300000000001</v>
      </c>
      <c r="G132" s="61">
        <f>IF(FT!B132&lt;&gt;"",FT!B132*100,"")</f>
        <v>50.567700000000002</v>
      </c>
      <c r="H132" s="61">
        <f t="shared" si="13"/>
        <v>1</v>
      </c>
      <c r="I132" t="str">
        <f>IF(FT!B132&lt;&gt;"",FT!E132,"")</f>
        <v>2 [52.847624]</v>
      </c>
      <c r="J132">
        <f>IF(FT!B132&lt;&gt;"",FT!C132,"")</f>
        <v>52.8476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2.8734299999999999</v>
      </c>
      <c r="G133" s="61">
        <f>IF(FT!B133&lt;&gt;"",FT!B133*100,"")</f>
        <v>50.558099999999996</v>
      </c>
      <c r="H133" s="61">
        <f t="shared" si="13"/>
        <v>1</v>
      </c>
      <c r="I133" t="str">
        <f>IF(FT!B133&lt;&gt;"",FT!E133,"")</f>
        <v>2 [53.259589]</v>
      </c>
      <c r="J133">
        <f>IF(FT!B133&lt;&gt;"",FT!C133,"")</f>
        <v>53.259599999999999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20711</v>
      </c>
      <c r="D134" s="61">
        <f>FH!B134*1</f>
        <v>20711</v>
      </c>
      <c r="E134">
        <f t="shared" si="15"/>
        <v>132</v>
      </c>
      <c r="F134" s="61">
        <f>IF(FT!A134&lt;&gt;"",FT!A134*10,"")</f>
        <v>2.8698600000000001</v>
      </c>
      <c r="G134" s="61">
        <f>IF(FT!B134&lt;&gt;"",FT!B134*100,"")</f>
        <v>50.463499999999996</v>
      </c>
      <c r="H134" s="61">
        <f t="shared" si="13"/>
        <v>1</v>
      </c>
      <c r="I134" t="str">
        <f>IF(FT!B134&lt;&gt;"",FT!E134,"")</f>
        <v>2 [53.664373]</v>
      </c>
      <c r="J134">
        <f>IF(FT!B134&lt;&gt;"",FT!C134,"")</f>
        <v>53.664400000000001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2.8718599999999999</v>
      </c>
      <c r="G135" s="61">
        <f>IF(FT!B135&lt;&gt;"",FT!B135*100,"")</f>
        <v>50.366299999999995</v>
      </c>
      <c r="H135" s="61">
        <f t="shared" si="13"/>
        <v>1</v>
      </c>
      <c r="I135" t="str">
        <f>IF(FT!B135&lt;&gt;"",FT!E135,"")</f>
        <v>2 [54.070400]</v>
      </c>
      <c r="J135">
        <f>IF(FT!B135&lt;&gt;"",FT!C135,"")</f>
        <v>54.070399999999999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16629</v>
      </c>
      <c r="D136" s="61">
        <f>FH!B136*1</f>
        <v>16629</v>
      </c>
      <c r="E136">
        <f t="shared" si="15"/>
        <v>134</v>
      </c>
      <c r="F136" s="61">
        <f>IF(FT!A136&lt;&gt;"",FT!A136*10,"")</f>
        <v>2.8763000000000001</v>
      </c>
      <c r="G136" s="61">
        <f>IF(FT!B136&lt;&gt;"",FT!B136*100,"")</f>
        <v>50.207599999999999</v>
      </c>
      <c r="H136" s="61">
        <f t="shared" si="13"/>
        <v>1</v>
      </c>
      <c r="I136" t="str">
        <f>IF(FT!B136&lt;&gt;"",FT!E136,"")</f>
        <v>2 [54.472439]</v>
      </c>
      <c r="J136">
        <f>IF(FT!B136&lt;&gt;"",FT!C136,"")</f>
        <v>54.4724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2.8830800000000001</v>
      </c>
      <c r="G137" s="61">
        <f>IF(FT!B137&lt;&gt;"",FT!B137*100,"")</f>
        <v>50.0687</v>
      </c>
      <c r="H137" s="61">
        <f t="shared" si="13"/>
        <v>1</v>
      </c>
      <c r="I137" t="str">
        <f>IF(FT!B137&lt;&gt;"",FT!E137,"")</f>
        <v>2 [54.883181]</v>
      </c>
      <c r="J137">
        <f>IF(FT!B137&lt;&gt;"",FT!C137,"")</f>
        <v>54.883200000000002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2.8908200000000002</v>
      </c>
      <c r="G138" s="61">
        <f>IF(FT!B138&lt;&gt;"",FT!B138*100,"")</f>
        <v>50.031599999999997</v>
      </c>
      <c r="H138" s="61">
        <f t="shared" si="13"/>
        <v>1</v>
      </c>
      <c r="I138" t="str">
        <f>IF(FT!B138&lt;&gt;"",FT!E138,"")</f>
        <v>2 [55.287110]</v>
      </c>
      <c r="J138">
        <f>IF(FT!B138&lt;&gt;"",FT!C138,"")</f>
        <v>55.287100000000002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10809</v>
      </c>
      <c r="D139" s="61">
        <f>FH!B139*1</f>
        <v>10809</v>
      </c>
      <c r="E139">
        <f t="shared" si="15"/>
        <v>137</v>
      </c>
      <c r="F139" s="61">
        <f>IF(FT!A139&lt;&gt;"",FT!A139*10,"")</f>
        <v>2.89906</v>
      </c>
      <c r="G139" s="61">
        <f>IF(FT!B139&lt;&gt;"",FT!B139*100,"")</f>
        <v>50.044499999999999</v>
      </c>
      <c r="H139" s="61">
        <f t="shared" si="13"/>
        <v>1</v>
      </c>
      <c r="I139" t="str">
        <f>IF(FT!B139&lt;&gt;"",FT!E139,"")</f>
        <v>2 [55.694016]</v>
      </c>
      <c r="J139">
        <f>IF(FT!B139&lt;&gt;"",FT!C139,"")</f>
        <v>55.694000000000003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2.9086800000000004</v>
      </c>
      <c r="G140" s="61">
        <f>IF(FT!B140&lt;&gt;"",FT!B140*100,"")</f>
        <v>50.06</v>
      </c>
      <c r="H140" s="61">
        <f t="shared" si="13"/>
        <v>1</v>
      </c>
      <c r="I140" t="str">
        <f>IF(FT!B140&lt;&gt;"",FT!E140,"")</f>
        <v>2 [56.101035]</v>
      </c>
      <c r="J140">
        <f>IF(FT!B140&lt;&gt;"",FT!C140,"")</f>
        <v>56.100999999999999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2.9207300000000003</v>
      </c>
      <c r="G141" s="61">
        <f>IF(FT!B141&lt;&gt;"",FT!B141*100,"")</f>
        <v>50.103500000000004</v>
      </c>
      <c r="H141" s="61">
        <f t="shared" si="13"/>
        <v>1</v>
      </c>
      <c r="I141" t="str">
        <f>IF(FT!B141&lt;&gt;"",FT!E141,"")</f>
        <v>2 [56.504865]</v>
      </c>
      <c r="J141">
        <f>IF(FT!B141&lt;&gt;"",FT!C141,"")</f>
        <v>56.504899999999999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10092</v>
      </c>
      <c r="D142" s="61">
        <f>FH!B142*1</f>
        <v>10092</v>
      </c>
      <c r="E142">
        <f t="shared" si="15"/>
        <v>140</v>
      </c>
      <c r="F142" s="61">
        <f>IF(FT!A142&lt;&gt;"",FT!A142*10,"")</f>
        <v>2.9315600000000002</v>
      </c>
      <c r="G142" s="61">
        <f>IF(FT!B142&lt;&gt;"",FT!B142*100,"")</f>
        <v>50.139900000000004</v>
      </c>
      <c r="H142" s="61">
        <f t="shared" si="13"/>
        <v>1</v>
      </c>
      <c r="I142" t="str">
        <f>IF(FT!B142&lt;&gt;"",FT!E142,"")</f>
        <v>2 [56.916713]</v>
      </c>
      <c r="J142">
        <f>IF(FT!B142&lt;&gt;"",FT!C142,"")</f>
        <v>56.916699999999999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2.9315000000000002</v>
      </c>
      <c r="G143" s="61">
        <f>IF(FT!B143&lt;&gt;"",FT!B143*100,"")</f>
        <v>50.143000000000001</v>
      </c>
      <c r="H143" s="61">
        <f t="shared" si="13"/>
        <v>1</v>
      </c>
      <c r="I143" t="str">
        <f>IF(FT!B143&lt;&gt;"",FT!E143,"")</f>
        <v>2 [57.319723]</v>
      </c>
      <c r="J143">
        <f>IF(FT!B143&lt;&gt;"",FT!C143,"")</f>
        <v>57.319699999999997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6628</v>
      </c>
      <c r="D144" s="61">
        <f>FH!B144*1</f>
        <v>6628</v>
      </c>
      <c r="E144">
        <f t="shared" si="15"/>
        <v>142</v>
      </c>
      <c r="F144" s="61">
        <f>IF(FT!A144&lt;&gt;"",FT!A144*10,"")</f>
        <v>2.9230899999999997</v>
      </c>
      <c r="G144" s="61">
        <f>IF(FT!B144&lt;&gt;"",FT!B144*100,"")</f>
        <v>50.036800000000007</v>
      </c>
      <c r="H144" s="61">
        <f t="shared" si="13"/>
        <v>1</v>
      </c>
      <c r="I144" t="str">
        <f>IF(FT!B144&lt;&gt;"",FT!E144,"")</f>
        <v>2 [57.721727]</v>
      </c>
      <c r="J144">
        <f>IF(FT!B144&lt;&gt;"",FT!C144,"")</f>
        <v>57.721699999999998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2.9052299999999995</v>
      </c>
      <c r="G145" s="61">
        <f>IF(FT!B145&lt;&gt;"",FT!B145*100,"")</f>
        <v>49.876899999999999</v>
      </c>
      <c r="H145" s="61">
        <f t="shared" si="13"/>
        <v>1</v>
      </c>
      <c r="I145" t="str">
        <f>IF(FT!B145&lt;&gt;"",FT!E145,"")</f>
        <v>2 [58.132867]</v>
      </c>
      <c r="J145">
        <f>IF(FT!B145&lt;&gt;"",FT!C145,"")</f>
        <v>58.132899999999999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2.8797699999999997</v>
      </c>
      <c r="G146" s="61">
        <f>IF(FT!B146&lt;&gt;"",FT!B146*100,"")</f>
        <v>49.851800000000004</v>
      </c>
      <c r="H146" s="61">
        <f t="shared" si="13"/>
        <v>1</v>
      </c>
      <c r="I146" t="str">
        <f>IF(FT!B146&lt;&gt;"",FT!E146,"")</f>
        <v>2 [58.540367]</v>
      </c>
      <c r="J146">
        <f>IF(FT!B146&lt;&gt;"",FT!C146,"")</f>
        <v>58.540399999999998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8309</v>
      </c>
      <c r="D147" s="61">
        <f>FH!B147*1</f>
        <v>8309</v>
      </c>
      <c r="E147">
        <f t="shared" si="15"/>
        <v>145</v>
      </c>
      <c r="F147" s="61">
        <f>IF(FT!A147&lt;&gt;"",FT!A147*10,"")</f>
        <v>2.8571400000000002</v>
      </c>
      <c r="G147" s="61">
        <f>IF(FT!B147&lt;&gt;"",FT!B147*100,"")</f>
        <v>49.730699999999999</v>
      </c>
      <c r="H147" s="61">
        <f t="shared" si="13"/>
        <v>1</v>
      </c>
      <c r="I147" t="str">
        <f>IF(FT!B147&lt;&gt;"",FT!E147,"")</f>
        <v>2 [58.951329]</v>
      </c>
      <c r="J147">
        <f>IF(FT!B147&lt;&gt;"",FT!C147,"")</f>
        <v>58.951300000000003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2.8347299999999995</v>
      </c>
      <c r="G148" s="61">
        <f>IF(FT!B148&lt;&gt;"",FT!B148*100,"")</f>
        <v>48.976100000000002</v>
      </c>
      <c r="H148" s="61">
        <f t="shared" si="13"/>
        <v>1</v>
      </c>
      <c r="I148" t="str">
        <f>IF(FT!B148&lt;&gt;"",FT!E148,"")</f>
        <v>2 [59.349396]</v>
      </c>
      <c r="J148">
        <f>IF(FT!B148&lt;&gt;"",FT!C148,"")</f>
        <v>59.349400000000003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5724</v>
      </c>
      <c r="D149" s="61">
        <f>FH!B149*1</f>
        <v>5724</v>
      </c>
      <c r="E149">
        <f t="shared" si="15"/>
        <v>147</v>
      </c>
      <c r="F149" s="61">
        <f>IF(FT!A149&lt;&gt;"",FT!A149*10,"")</f>
        <v>2.8186499999999999</v>
      </c>
      <c r="G149" s="61">
        <f>IF(FT!B149&lt;&gt;"",FT!B149*100,"")</f>
        <v>49.135199999999998</v>
      </c>
      <c r="H149" s="61">
        <f t="shared" si="13"/>
        <v>1</v>
      </c>
      <c r="I149" t="str">
        <f>IF(FT!B149&lt;&gt;"",FT!E149,"")</f>
        <v>2 [59.756132]</v>
      </c>
      <c r="J149">
        <f>IF(FT!B149&lt;&gt;"",FT!C149,"")</f>
        <v>59.756100000000004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5303</v>
      </c>
      <c r="D152" s="61">
        <f>FH!B152*1</f>
        <v>5303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3082</v>
      </c>
      <c r="D154" s="61">
        <f>FH!B154*1</f>
        <v>3082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1929</v>
      </c>
      <c r="D157" s="61">
        <f>FH!B157*1</f>
        <v>1929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1583</v>
      </c>
      <c r="D160" s="61">
        <f>FH!B160*1</f>
        <v>1583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1073</v>
      </c>
      <c r="D162" s="61">
        <f>FH!B162*1</f>
        <v>1073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652</v>
      </c>
      <c r="D165" s="61">
        <f>FH!B165*1</f>
        <v>652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431</v>
      </c>
      <c r="D167" s="61">
        <f>FH!B167*1</f>
        <v>431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60</v>
      </c>
      <c r="D170" s="61">
        <f>FH!B170*1</f>
        <v>60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0</v>
      </c>
      <c r="D173" s="61">
        <f>FH!B173*1</f>
        <v>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0</v>
      </c>
      <c r="D175" s="61">
        <f>FH!B175*1</f>
        <v>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0</v>
      </c>
      <c r="D178" s="61">
        <f>FH!B178*1</f>
        <v>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33.108499999999999</v>
      </c>
      <c r="C5" s="66">
        <v>6.5916499999999996</v>
      </c>
      <c r="D5" s="66">
        <v>19.909300000000002</v>
      </c>
      <c r="E5" s="66">
        <v>20</v>
      </c>
      <c r="F5" s="66">
        <v>9.2081999999999997</v>
      </c>
      <c r="G5" s="66">
        <v>50</v>
      </c>
      <c r="H5" s="66">
        <v>42.060400000000001</v>
      </c>
    </row>
    <row r="6" spans="1:8">
      <c r="A6" s="58" t="s">
        <v>303</v>
      </c>
      <c r="B6" s="66">
        <v>27.137</v>
      </c>
      <c r="C6" s="66">
        <v>2.50569</v>
      </c>
      <c r="D6" s="66">
        <v>9.2334599999999991</v>
      </c>
      <c r="E6" s="66">
        <v>20</v>
      </c>
      <c r="F6" s="66">
        <v>21.8203</v>
      </c>
      <c r="G6" s="66">
        <v>40</v>
      </c>
      <c r="H6" s="66">
        <v>32.696800000000003</v>
      </c>
    </row>
    <row r="7" spans="1:8">
      <c r="A7" s="58" t="s">
        <v>304</v>
      </c>
      <c r="B7" s="66">
        <v>17.635899999999999</v>
      </c>
      <c r="C7" s="66">
        <v>10.657</v>
      </c>
      <c r="D7" s="66">
        <v>60.427700000000002</v>
      </c>
      <c r="E7" s="66">
        <v>15</v>
      </c>
      <c r="F7" s="66">
        <v>3.4913400000000001</v>
      </c>
      <c r="G7" s="66">
        <v>40</v>
      </c>
      <c r="H7" s="66">
        <v>52.370699999999999</v>
      </c>
    </row>
    <row r="8" spans="1:8">
      <c r="A8" s="58" t="s">
        <v>305</v>
      </c>
      <c r="B8" s="66">
        <v>25.524699999999999</v>
      </c>
      <c r="C8" s="66">
        <v>3.6094900000000001</v>
      </c>
      <c r="D8" s="66">
        <v>14.1412</v>
      </c>
      <c r="E8" s="66">
        <v>20</v>
      </c>
      <c r="F8" s="66">
        <v>19.218699999999998</v>
      </c>
      <c r="G8" s="66">
        <v>50</v>
      </c>
      <c r="H8" s="66">
        <v>37.362400000000001</v>
      </c>
    </row>
    <row r="9" spans="1:8">
      <c r="A9" s="58" t="s">
        <v>306</v>
      </c>
      <c r="B9" s="66">
        <v>68.658600000000007</v>
      </c>
      <c r="C9" s="66">
        <v>6.9813700000000001</v>
      </c>
      <c r="D9" s="66">
        <v>10.168200000000001</v>
      </c>
      <c r="E9" s="66">
        <v>50</v>
      </c>
      <c r="F9" s="66">
        <v>52.016800000000003</v>
      </c>
      <c r="G9" s="66">
        <v>100</v>
      </c>
      <c r="H9" s="66">
        <v>88.728200000000001</v>
      </c>
    </row>
    <row r="10" spans="1:8">
      <c r="A10" s="58" t="s">
        <v>307</v>
      </c>
      <c r="B10" s="66">
        <v>66.237700000000004</v>
      </c>
      <c r="C10" s="66">
        <v>7.3674299999999997</v>
      </c>
      <c r="D10" s="66">
        <v>11.1227</v>
      </c>
      <c r="E10" s="66">
        <v>40</v>
      </c>
      <c r="F10" s="66">
        <v>44.521999999999998</v>
      </c>
      <c r="G10" s="66">
        <v>100</v>
      </c>
      <c r="H10" s="66">
        <v>77.751800000000003</v>
      </c>
    </row>
    <row r="11" spans="1:8">
      <c r="A11" s="58" t="s">
        <v>308</v>
      </c>
      <c r="B11" s="66">
        <v>20.232199999999999</v>
      </c>
      <c r="C11" s="66">
        <v>4.4062000000000001</v>
      </c>
      <c r="D11" s="66">
        <v>21.778199999999998</v>
      </c>
      <c r="E11" s="66">
        <v>10</v>
      </c>
      <c r="F11" s="66">
        <v>5.2926900000000003</v>
      </c>
      <c r="G11" s="66">
        <v>50</v>
      </c>
      <c r="H11" s="66">
        <v>25.642499999999998</v>
      </c>
    </row>
    <row r="12" spans="1:8">
      <c r="A12" s="58" t="s">
        <v>309</v>
      </c>
      <c r="B12" s="66">
        <v>67.077200000000005</v>
      </c>
      <c r="C12" s="66">
        <v>4.2246899999999998</v>
      </c>
      <c r="D12" s="66">
        <v>6.2982500000000003</v>
      </c>
      <c r="E12" s="66">
        <v>50</v>
      </c>
      <c r="F12" s="66">
        <v>56.920400000000001</v>
      </c>
      <c r="G12" s="66">
        <v>100</v>
      </c>
      <c r="H12" s="66">
        <v>76.5685</v>
      </c>
    </row>
    <row r="13" spans="1:8">
      <c r="A13" s="58" t="s">
        <v>310</v>
      </c>
      <c r="B13" s="66">
        <v>20.1097</v>
      </c>
      <c r="C13" s="66">
        <v>4.3300900000000002</v>
      </c>
      <c r="D13" s="66">
        <v>21.532299999999999</v>
      </c>
      <c r="E13" s="66">
        <v>10</v>
      </c>
      <c r="F13" s="66">
        <v>13.906599999999999</v>
      </c>
      <c r="G13" s="66">
        <v>25</v>
      </c>
      <c r="H13" s="66">
        <v>36.331499999999998</v>
      </c>
    </row>
    <row r="14" spans="1:8">
      <c r="A14" s="58" t="s">
        <v>311</v>
      </c>
      <c r="B14" s="66">
        <v>43.300899999999999</v>
      </c>
      <c r="C14" s="66">
        <v>15.5967</v>
      </c>
      <c r="D14" s="66">
        <v>36.019300000000001</v>
      </c>
      <c r="E14" s="66">
        <v>10</v>
      </c>
      <c r="F14" s="66">
        <v>1.8792500000000001</v>
      </c>
      <c r="G14" s="66">
        <v>50</v>
      </c>
      <c r="H14" s="66">
        <v>59.817999999999998</v>
      </c>
    </row>
    <row r="15" spans="1:8">
      <c r="A15" s="58" t="s">
        <v>312</v>
      </c>
      <c r="B15" s="66">
        <v>2.0808799999999999E-2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7.5465699999999997E-2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21.063099999999999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0.60103899999999999</v>
      </c>
      <c r="C18" s="66">
        <v>3.9432200000000001E-2</v>
      </c>
      <c r="D18" s="66">
        <v>6.5606700000000004E-2</v>
      </c>
      <c r="E18" s="66">
        <v>0</v>
      </c>
      <c r="F18" s="66">
        <v>0.56160699999999997</v>
      </c>
      <c r="G18" s="66">
        <v>0</v>
      </c>
      <c r="H18" s="66">
        <v>0.64047100000000001</v>
      </c>
    </row>
    <row r="19" spans="1:8">
      <c r="A19" s="58" t="s">
        <v>316</v>
      </c>
      <c r="B19" s="66">
        <v>0.671238</v>
      </c>
      <c r="C19" s="66">
        <v>2.48407E-2</v>
      </c>
      <c r="D19" s="66">
        <v>3.70073E-2</v>
      </c>
      <c r="E19" s="66">
        <v>0</v>
      </c>
      <c r="F19" s="66">
        <v>0.646397</v>
      </c>
      <c r="G19" s="66">
        <v>0</v>
      </c>
      <c r="H19" s="66">
        <v>0.69607799999999997</v>
      </c>
    </row>
    <row r="20" spans="1:8">
      <c r="A20" s="58" t="s">
        <v>317</v>
      </c>
      <c r="B20" s="66">
        <v>2.6057800000000002E-4</v>
      </c>
      <c r="C20" s="66">
        <v>7.3232199999999997E-2</v>
      </c>
      <c r="D20" s="66">
        <v>281.03800000000001</v>
      </c>
      <c r="E20" s="66">
        <v>0</v>
      </c>
      <c r="F20" s="66">
        <v>0</v>
      </c>
      <c r="G20" s="66">
        <v>0</v>
      </c>
      <c r="H20" s="66">
        <v>0.48635</v>
      </c>
    </row>
    <row r="21" spans="1:8">
      <c r="A21" s="58" t="s">
        <v>318</v>
      </c>
      <c r="B21" s="66">
        <v>3.3460200000000002E-2</v>
      </c>
      <c r="C21" s="66">
        <v>0.63728200000000002</v>
      </c>
      <c r="D21" s="66">
        <v>19.045999999999999</v>
      </c>
      <c r="E21" s="66">
        <v>0</v>
      </c>
      <c r="F21" s="196">
        <v>7.3657099999999997E-5</v>
      </c>
      <c r="G21" s="66">
        <v>0</v>
      </c>
      <c r="H21" s="66">
        <v>3.4552</v>
      </c>
    </row>
    <row r="22" spans="1:8">
      <c r="A22" s="58" t="s">
        <v>319</v>
      </c>
      <c r="B22" s="66">
        <v>43.120199999999997</v>
      </c>
      <c r="C22" s="66">
        <v>29.5474</v>
      </c>
      <c r="D22" s="66">
        <v>0.68523199999999995</v>
      </c>
      <c r="E22" s="66">
        <v>0</v>
      </c>
      <c r="F22" s="66">
        <v>15.8345</v>
      </c>
      <c r="G22" s="66">
        <v>0</v>
      </c>
      <c r="H22" s="66">
        <v>133.18600000000001</v>
      </c>
    </row>
    <row r="23" spans="1:8">
      <c r="A23" s="58" t="s">
        <v>320</v>
      </c>
      <c r="B23" s="66">
        <v>17.867000000000001</v>
      </c>
      <c r="C23" s="66">
        <v>12.261200000000001</v>
      </c>
      <c r="D23" s="66">
        <v>0.68625100000000006</v>
      </c>
      <c r="E23" s="66">
        <v>0</v>
      </c>
      <c r="F23" s="66">
        <v>6.9372600000000002</v>
      </c>
      <c r="G23" s="66">
        <v>0</v>
      </c>
      <c r="H23" s="66">
        <v>48.721600000000002</v>
      </c>
    </row>
    <row r="24" spans="1:8">
      <c r="A24" s="58" t="s">
        <v>321</v>
      </c>
      <c r="B24" s="66">
        <v>1.2879499999999999E-3</v>
      </c>
      <c r="C24" s="66">
        <v>6.5326599999999999E-2</v>
      </c>
      <c r="D24" s="66">
        <v>50.721499999999999</v>
      </c>
      <c r="E24" s="66">
        <v>0</v>
      </c>
      <c r="F24" s="196">
        <v>2.52408E-6</v>
      </c>
      <c r="G24" s="66">
        <v>0</v>
      </c>
      <c r="H24" s="66">
        <v>0.38849800000000001</v>
      </c>
    </row>
    <row r="25" spans="1:8">
      <c r="A25" s="58" t="s">
        <v>322</v>
      </c>
      <c r="B25" s="66">
        <v>7.8801499999999997E-2</v>
      </c>
      <c r="C25" s="66">
        <v>0.442548</v>
      </c>
      <c r="D25" s="66">
        <v>5.6159800000000004</v>
      </c>
      <c r="E25" s="66">
        <v>0</v>
      </c>
      <c r="F25" s="66">
        <v>8.7742099999999993E-3</v>
      </c>
      <c r="G25" s="66">
        <v>0</v>
      </c>
      <c r="H25" s="66">
        <v>1.6957199999999999</v>
      </c>
    </row>
    <row r="26" spans="1:8">
      <c r="A26" s="58" t="s">
        <v>323</v>
      </c>
      <c r="B26" s="66">
        <v>1.26379E-4</v>
      </c>
      <c r="C26" s="66">
        <v>6.7802799999999996E-3</v>
      </c>
      <c r="D26" s="66">
        <v>53.650500000000001</v>
      </c>
      <c r="E26" s="66">
        <v>0</v>
      </c>
      <c r="F26" s="66">
        <v>0</v>
      </c>
      <c r="G26" s="66">
        <v>0</v>
      </c>
      <c r="H26" s="66">
        <v>5.6998399999999998E-2</v>
      </c>
    </row>
    <row r="27" spans="1:8">
      <c r="A27" s="58" t="s">
        <v>324</v>
      </c>
      <c r="B27" s="196">
        <v>-3.2825599999999999E-6</v>
      </c>
      <c r="C27" s="66">
        <v>2.9929100000000001E-3</v>
      </c>
      <c r="D27" s="66">
        <v>-911.76</v>
      </c>
      <c r="E27" s="66">
        <v>0</v>
      </c>
      <c r="F27" s="66">
        <v>-5.6985300000000003E-2</v>
      </c>
      <c r="G27" s="66">
        <v>0</v>
      </c>
      <c r="H27" s="66">
        <v>5.6998399999999998E-2</v>
      </c>
    </row>
    <row r="28" spans="1:8">
      <c r="A28" s="58" t="s">
        <v>325</v>
      </c>
      <c r="B28" s="66">
        <v>6.37858E-3</v>
      </c>
      <c r="C28" s="66">
        <v>3.1310299999999999E-2</v>
      </c>
      <c r="D28" s="66">
        <v>4.9086600000000002</v>
      </c>
      <c r="E28" s="66">
        <v>0</v>
      </c>
      <c r="F28" s="196">
        <v>1.6276000000000001E-5</v>
      </c>
      <c r="G28" s="66">
        <v>0</v>
      </c>
      <c r="H28" s="66">
        <v>0.17321300000000001</v>
      </c>
    </row>
    <row r="29" spans="1:8">
      <c r="A29" s="58" t="s">
        <v>326</v>
      </c>
      <c r="B29" s="66">
        <v>67.871799999999993</v>
      </c>
      <c r="C29" s="66">
        <v>12.9931</v>
      </c>
      <c r="D29" s="66">
        <v>0.191436</v>
      </c>
      <c r="E29" s="66">
        <v>0</v>
      </c>
      <c r="F29" s="66">
        <v>35.322000000000003</v>
      </c>
      <c r="G29" s="66">
        <v>0</v>
      </c>
      <c r="H29" s="66">
        <v>104.907</v>
      </c>
    </row>
    <row r="30" spans="1:8">
      <c r="A30" s="58" t="s">
        <v>327</v>
      </c>
      <c r="B30" s="66">
        <v>21.766500000000001</v>
      </c>
      <c r="C30" s="66">
        <v>8.1937300000000004</v>
      </c>
      <c r="D30" s="66">
        <v>0.37643700000000002</v>
      </c>
      <c r="E30" s="66">
        <v>0</v>
      </c>
      <c r="F30" s="66">
        <v>9.8655899999999992</v>
      </c>
      <c r="G30" s="66">
        <v>0</v>
      </c>
      <c r="H30" s="66">
        <v>40.661499999999997</v>
      </c>
    </row>
    <row r="31" spans="1:8">
      <c r="A31" s="58" t="s">
        <v>328</v>
      </c>
      <c r="B31" s="66">
        <v>106.696</v>
      </c>
      <c r="C31" s="66">
        <v>43.405999999999999</v>
      </c>
      <c r="D31" s="66">
        <v>0.40682000000000001</v>
      </c>
      <c r="E31" s="66">
        <v>0</v>
      </c>
      <c r="F31" s="66">
        <v>29.071200000000001</v>
      </c>
      <c r="G31" s="66">
        <v>0</v>
      </c>
      <c r="H31" s="66">
        <v>199.58600000000001</v>
      </c>
    </row>
    <row r="32" spans="1:8">
      <c r="A32" s="58" t="s">
        <v>329</v>
      </c>
      <c r="B32" s="66">
        <v>0.17635899999999999</v>
      </c>
      <c r="C32" s="66">
        <v>0.10657</v>
      </c>
      <c r="D32" s="66">
        <v>0.60427699999999995</v>
      </c>
      <c r="E32" s="66">
        <v>0.15</v>
      </c>
      <c r="F32" s="66">
        <v>3.4913399999999997E-2</v>
      </c>
      <c r="G32" s="66">
        <v>0.4</v>
      </c>
      <c r="H32" s="66">
        <v>0.52370700000000003</v>
      </c>
    </row>
    <row r="33" spans="1:8">
      <c r="A33" s="58" t="s">
        <v>330</v>
      </c>
      <c r="B33" s="66">
        <v>0.28063399999999999</v>
      </c>
      <c r="C33" s="66">
        <v>6.3545400000000002E-2</v>
      </c>
      <c r="D33" s="66">
        <v>0.226435</v>
      </c>
      <c r="E33" s="66">
        <v>0</v>
      </c>
      <c r="F33" s="66">
        <v>0.16108700000000001</v>
      </c>
      <c r="G33" s="66">
        <v>0</v>
      </c>
      <c r="H33" s="66">
        <v>0.42053499999999999</v>
      </c>
    </row>
    <row r="34" spans="1:8">
      <c r="A34" s="58" t="s">
        <v>331</v>
      </c>
      <c r="B34" s="66">
        <v>0.201097</v>
      </c>
      <c r="C34" s="66">
        <v>4.3300900000000003E-2</v>
      </c>
      <c r="D34" s="66">
        <v>0.21532299999999999</v>
      </c>
      <c r="E34" s="66">
        <v>0.1</v>
      </c>
      <c r="F34" s="66">
        <v>0.139066</v>
      </c>
      <c r="G34" s="66">
        <v>0.25</v>
      </c>
      <c r="H34" s="66">
        <v>0.363315</v>
      </c>
    </row>
    <row r="35" spans="1:8">
      <c r="A35" s="58" t="s">
        <v>332</v>
      </c>
      <c r="B35" s="66">
        <v>8.1958400000000001E-2</v>
      </c>
      <c r="C35" s="66">
        <v>2.4216600000000001E-2</v>
      </c>
      <c r="D35" s="66">
        <v>0.29547499999999999</v>
      </c>
      <c r="E35" s="66">
        <v>0</v>
      </c>
      <c r="F35" s="66">
        <v>3.4746399999999997E-2</v>
      </c>
      <c r="G35" s="66">
        <v>0</v>
      </c>
      <c r="H35" s="66">
        <v>0.171628</v>
      </c>
    </row>
    <row r="36" spans="1:8">
      <c r="A36" s="58" t="s">
        <v>333</v>
      </c>
      <c r="B36" s="66">
        <v>0.19144900000000001</v>
      </c>
      <c r="C36" s="66">
        <v>0.100853</v>
      </c>
      <c r="D36" s="66">
        <v>0.52678999999999998</v>
      </c>
      <c r="E36" s="66">
        <v>0</v>
      </c>
      <c r="F36" s="66">
        <v>4.15272E-2</v>
      </c>
      <c r="G36" s="66">
        <v>0</v>
      </c>
      <c r="H36" s="66">
        <v>0.56785699999999995</v>
      </c>
    </row>
    <row r="37" spans="1:8">
      <c r="A37" s="58" t="s">
        <v>334</v>
      </c>
      <c r="B37" s="66">
        <v>0.43300899999999998</v>
      </c>
      <c r="C37" s="66">
        <v>0.15596699999999999</v>
      </c>
      <c r="D37" s="66">
        <v>0.36019299999999999</v>
      </c>
      <c r="E37" s="66">
        <v>0.1</v>
      </c>
      <c r="F37" s="66">
        <v>1.87925E-2</v>
      </c>
      <c r="G37" s="66">
        <v>0.5</v>
      </c>
      <c r="H37" s="66">
        <v>0.59818000000000005</v>
      </c>
    </row>
    <row r="38" spans="1:8">
      <c r="A38" s="58" t="s">
        <v>335</v>
      </c>
      <c r="B38" s="66">
        <v>-8.2884499999999992</v>
      </c>
      <c r="C38" s="66">
        <v>54.402299999999997</v>
      </c>
      <c r="D38" s="66">
        <v>-6.5636299999999999</v>
      </c>
      <c r="E38" s="66">
        <v>0</v>
      </c>
      <c r="F38" s="66">
        <v>-342.10399999999998</v>
      </c>
      <c r="G38" s="66">
        <v>0</v>
      </c>
      <c r="H38" s="66">
        <v>312.05599999999998</v>
      </c>
    </row>
    <row r="39" spans="1:8">
      <c r="A39" s="58" t="s">
        <v>336</v>
      </c>
      <c r="B39" s="66">
        <v>-5.9680600000000004</v>
      </c>
      <c r="C39" s="66">
        <v>13.4392</v>
      </c>
      <c r="D39" s="66">
        <v>-2.2518600000000002</v>
      </c>
      <c r="E39" s="66">
        <v>0</v>
      </c>
      <c r="F39" s="66">
        <v>-71.059899999999999</v>
      </c>
      <c r="G39" s="66">
        <v>0</v>
      </c>
      <c r="H39" s="66">
        <v>48.3005</v>
      </c>
    </row>
    <row r="40" spans="1:8">
      <c r="A40" s="58" t="s">
        <v>337</v>
      </c>
      <c r="B40" s="66">
        <v>-5.6127000000000002</v>
      </c>
      <c r="C40" s="66">
        <v>3.2406100000000002</v>
      </c>
      <c r="D40" s="66">
        <v>-0.57737000000000005</v>
      </c>
      <c r="E40" s="66">
        <v>0</v>
      </c>
      <c r="F40" s="66">
        <v>-14.940200000000001</v>
      </c>
      <c r="G40" s="66">
        <v>0</v>
      </c>
      <c r="H40" s="66">
        <v>-1.25803</v>
      </c>
    </row>
    <row r="41" spans="1:8">
      <c r="A41" s="58" t="s">
        <v>338</v>
      </c>
      <c r="B41" s="66">
        <v>-5.3298999999999999E-2</v>
      </c>
      <c r="C41" s="66">
        <v>0.35509800000000002</v>
      </c>
      <c r="D41" s="66">
        <v>-6.6623799999999997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-0.13397300000000001</v>
      </c>
      <c r="C42" s="66">
        <v>0.174956</v>
      </c>
      <c r="D42" s="66">
        <v>-1.3059099999999999</v>
      </c>
      <c r="E42" s="66">
        <v>0</v>
      </c>
      <c r="F42" s="66">
        <v>-0.77402099999999996</v>
      </c>
      <c r="G42" s="66">
        <v>0</v>
      </c>
      <c r="H42" s="66">
        <v>0.58403899999999997</v>
      </c>
    </row>
    <row r="43" spans="1:8">
      <c r="A43" s="58" t="s">
        <v>340</v>
      </c>
      <c r="B43" s="66">
        <v>-0.29448200000000002</v>
      </c>
      <c r="C43" s="66">
        <v>0.13274</v>
      </c>
      <c r="D43" s="66">
        <v>-0.45075900000000002</v>
      </c>
      <c r="E43" s="66">
        <v>0</v>
      </c>
      <c r="F43" s="66">
        <v>-0.47411300000000001</v>
      </c>
      <c r="G43" s="66">
        <v>0</v>
      </c>
      <c r="H43" s="66">
        <v>-1.1018399999999999E-2</v>
      </c>
    </row>
    <row r="44" spans="1:8">
      <c r="A44" s="58" t="s">
        <v>341</v>
      </c>
      <c r="B44" s="66">
        <v>-9.8354400000000002</v>
      </c>
      <c r="C44" s="66">
        <v>12.898</v>
      </c>
      <c r="D44" s="66">
        <v>-1.31138</v>
      </c>
      <c r="E44" s="66">
        <v>0</v>
      </c>
      <c r="F44" s="66">
        <v>-54.999600000000001</v>
      </c>
      <c r="G44" s="66">
        <v>0</v>
      </c>
      <c r="H44" s="66">
        <v>16.636299999999999</v>
      </c>
    </row>
    <row r="45" spans="1:8">
      <c r="A45" s="58" t="s">
        <v>342</v>
      </c>
      <c r="B45" s="66">
        <v>53.115000000000002</v>
      </c>
      <c r="C45" s="66">
        <v>7.6021099999999997</v>
      </c>
      <c r="D45" s="66">
        <v>0.143126</v>
      </c>
      <c r="E45" s="66">
        <v>0</v>
      </c>
      <c r="F45" s="66">
        <v>31.100999999999999</v>
      </c>
      <c r="G45" s="66">
        <v>0</v>
      </c>
      <c r="H45" s="66">
        <v>80.889499999999998</v>
      </c>
    </row>
    <row r="46" spans="1:8">
      <c r="A46" s="58" t="s">
        <v>343</v>
      </c>
      <c r="B46" s="66">
        <v>30.1752</v>
      </c>
      <c r="C46" s="66">
        <v>5.9106500000000004</v>
      </c>
      <c r="D46" s="66">
        <v>0.195877</v>
      </c>
      <c r="E46" s="66">
        <v>0</v>
      </c>
      <c r="F46" s="66">
        <v>8.4501799999999996</v>
      </c>
      <c r="G46" s="66">
        <v>0</v>
      </c>
      <c r="H46" s="66">
        <v>33.483499999999999</v>
      </c>
    </row>
    <row r="47" spans="1:8">
      <c r="A47" s="58" t="s">
        <v>344</v>
      </c>
      <c r="B47" s="66">
        <v>0.81900200000000001</v>
      </c>
      <c r="C47" s="66">
        <v>0.45275599999999999</v>
      </c>
      <c r="D47" s="66">
        <v>0.55281400000000003</v>
      </c>
      <c r="E47" s="66">
        <v>0</v>
      </c>
      <c r="F47" s="66">
        <v>0.30284800000000001</v>
      </c>
      <c r="G47" s="66">
        <v>0</v>
      </c>
      <c r="H47" s="66">
        <v>2.7896800000000002</v>
      </c>
    </row>
    <row r="48" spans="1:8">
      <c r="A48" s="58" t="s">
        <v>345</v>
      </c>
      <c r="B48" s="66">
        <v>0.91257900000000003</v>
      </c>
      <c r="C48" s="66">
        <v>0.12671099999999999</v>
      </c>
      <c r="D48" s="66">
        <v>0.138849</v>
      </c>
      <c r="E48" s="66">
        <v>0</v>
      </c>
      <c r="F48" s="66">
        <v>0.66989200000000004</v>
      </c>
      <c r="G48" s="66">
        <v>0</v>
      </c>
      <c r="H48" s="66">
        <v>1.2583200000000001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1.3023999999999987</v>
      </c>
      <c r="C5" s="66">
        <f>'M2'!C5-'M1'!C5</f>
        <v>-6.2596799999999995</v>
      </c>
      <c r="D5" s="66">
        <f>'M2'!D5-'M1'!D5</f>
        <v>-19.66386</v>
      </c>
      <c r="E5" s="66">
        <f>'M2'!E5-'M1'!E5</f>
        <v>0</v>
      </c>
      <c r="F5" s="66">
        <f>'M2'!F5-'M1'!F5</f>
        <v>20.176299999999998</v>
      </c>
      <c r="G5" s="66">
        <f>'M2'!G5-'M1'!G5</f>
        <v>0</v>
      </c>
      <c r="H5" s="66">
        <f>'M2'!H5-'M1'!H5</f>
        <v>-3.654200000000003</v>
      </c>
    </row>
    <row r="6" spans="1:8">
      <c r="A6" s="66" t="s">
        <v>244</v>
      </c>
      <c r="B6" s="66">
        <f>'M2'!B6-'M1'!B6</f>
        <v>-2.8648999999999987</v>
      </c>
      <c r="C6" s="66">
        <f>'M2'!C6-'M1'!C6</f>
        <v>0.19398999999999988</v>
      </c>
      <c r="D6" s="66">
        <f>'M2'!D6-'M1'!D6</f>
        <v>1.5205399999999996</v>
      </c>
      <c r="E6" s="66">
        <f>'M2'!E6-'M1'!E6</f>
        <v>0</v>
      </c>
      <c r="F6" s="66">
        <f>'M2'!F6-'M1'!F6</f>
        <v>-3.0372000000000021</v>
      </c>
      <c r="G6" s="66">
        <f>'M2'!G6-'M1'!G6</f>
        <v>0</v>
      </c>
      <c r="H6" s="66">
        <f>'M2'!H6-'M1'!H6</f>
        <v>-2.5315000000000047</v>
      </c>
    </row>
    <row r="7" spans="1:8">
      <c r="A7" s="66" t="s">
        <v>245</v>
      </c>
      <c r="B7" s="66">
        <f>'M2'!B7-'M1'!B7</f>
        <v>-4.0558999999999994</v>
      </c>
      <c r="C7" s="66">
        <f>'M2'!C7-'M1'!C7</f>
        <v>5.4678100000000001</v>
      </c>
      <c r="D7" s="66">
        <f>'M2'!D7-'M1'!D7</f>
        <v>45.863099999999996</v>
      </c>
      <c r="E7" s="66">
        <f>'M2'!E7-'M1'!E7</f>
        <v>0</v>
      </c>
      <c r="F7" s="66">
        <f>'M2'!F7-'M1'!F7</f>
        <v>-3.3441599999999996</v>
      </c>
      <c r="G7" s="66">
        <f>'M2'!G7-'M1'!G7</f>
        <v>0</v>
      </c>
      <c r="H7" s="66">
        <f>'M2'!H7-'M1'!H7</f>
        <v>1.8956000000000017</v>
      </c>
    </row>
    <row r="8" spans="1:8">
      <c r="A8" s="66" t="s">
        <v>246</v>
      </c>
      <c r="B8" s="66">
        <f>'M2'!B8-'M1'!B8</f>
        <v>-0.23760000000000048</v>
      </c>
      <c r="C8" s="66">
        <f>'M2'!C8-'M1'!C8</f>
        <v>1.97357</v>
      </c>
      <c r="D8" s="66">
        <f>'M2'!D8-'M1'!D8</f>
        <v>7.8753399999999996</v>
      </c>
      <c r="E8" s="66">
        <f>'M2'!E8-'M1'!E8</f>
        <v>0</v>
      </c>
      <c r="F8" s="66">
        <f>'M2'!F8-'M1'!F8</f>
        <v>2.3285000000000018</v>
      </c>
      <c r="G8" s="66">
        <f>'M2'!G8-'M1'!G8</f>
        <v>0</v>
      </c>
      <c r="H8" s="66">
        <f>'M2'!H8-'M1'!H8</f>
        <v>5.1724999999999994</v>
      </c>
    </row>
    <row r="9" spans="1:8">
      <c r="A9" s="66" t="s">
        <v>247</v>
      </c>
      <c r="B9" s="66">
        <f>'M2'!B9-'M1'!B9</f>
        <v>0.88809999999999434</v>
      </c>
      <c r="C9" s="66">
        <f>'M2'!C9-'M1'!C9</f>
        <v>-2.6614599999999999</v>
      </c>
      <c r="D9" s="66">
        <f>'M2'!D9-'M1'!D9</f>
        <v>-4.0112100000000002</v>
      </c>
      <c r="E9" s="66">
        <f>'M2'!E9-'M1'!E9</f>
        <v>0</v>
      </c>
      <c r="F9" s="66">
        <f>'M2'!F9-'M1'!F9</f>
        <v>3.3771999999999949</v>
      </c>
      <c r="G9" s="66">
        <f>'M2'!G9-'M1'!G9</f>
        <v>0</v>
      </c>
      <c r="H9" s="66">
        <f>'M2'!H9-'M1'!H9</f>
        <v>-9.1094000000000079</v>
      </c>
    </row>
    <row r="10" spans="1:8">
      <c r="A10" s="66" t="s">
        <v>248</v>
      </c>
      <c r="B10" s="66">
        <f>'M2'!B10-'M1'!B10</f>
        <v>5.3649999999999949</v>
      </c>
      <c r="C10" s="66">
        <f>'M2'!C10-'M1'!C10</f>
        <v>-1.5287799999999994</v>
      </c>
      <c r="D10" s="66">
        <f>'M2'!D10-'M1'!D10</f>
        <v>-2.9268200000000002</v>
      </c>
      <c r="E10" s="66">
        <f>'M2'!E10-'M1'!E10</f>
        <v>0</v>
      </c>
      <c r="F10" s="66">
        <f>'M2'!F10-'M1'!F10</f>
        <v>6.427500000000002</v>
      </c>
      <c r="G10" s="66">
        <f>'M2'!G10-'M1'!G10</f>
        <v>0</v>
      </c>
      <c r="H10" s="66">
        <f>'M2'!H10-'M1'!H10</f>
        <v>8.042500000000004</v>
      </c>
    </row>
    <row r="11" spans="1:8">
      <c r="A11" s="66" t="s">
        <v>249</v>
      </c>
      <c r="B11" s="66">
        <f>'M2'!B11-'M1'!B11</f>
        <v>3.7158999999999978</v>
      </c>
      <c r="C11" s="66">
        <f>'M2'!C11-'M1'!C11</f>
        <v>-2.6456100000000005</v>
      </c>
      <c r="D11" s="66">
        <f>'M2'!D11-'M1'!D11</f>
        <v>-16.067039999999999</v>
      </c>
      <c r="E11" s="66">
        <f>'M2'!E11-'M1'!E11</f>
        <v>0</v>
      </c>
      <c r="F11" s="66">
        <f>'M2'!F11-'M1'!F11</f>
        <v>12.474309999999999</v>
      </c>
      <c r="G11" s="66">
        <f>'M2'!G11-'M1'!G11</f>
        <v>0</v>
      </c>
      <c r="H11" s="66">
        <f>'M2'!H11-'M1'!H11</f>
        <v>1.688799999999997</v>
      </c>
    </row>
    <row r="12" spans="1:8">
      <c r="A12" s="66" t="s">
        <v>250</v>
      </c>
      <c r="B12" s="66">
        <f>'M2'!B12-'M1'!B12</f>
        <v>4.9763999999999982</v>
      </c>
      <c r="C12" s="66">
        <f>'M2'!C12-'M1'!C12</f>
        <v>0.35855999999999977</v>
      </c>
      <c r="D12" s="66">
        <f>'M2'!D12-'M1'!D12</f>
        <v>0.15061000000000035</v>
      </c>
      <c r="E12" s="66">
        <f>'M2'!E12-'M1'!E12</f>
        <v>0</v>
      </c>
      <c r="F12" s="66">
        <f>'M2'!F12-'M1'!F12</f>
        <v>4.3109999999999999</v>
      </c>
      <c r="G12" s="66">
        <f>'M2'!G12-'M1'!G12</f>
        <v>0</v>
      </c>
      <c r="H12" s="66">
        <f>'M2'!H12-'M1'!H12</f>
        <v>5.2916000000000025</v>
      </c>
    </row>
    <row r="13" spans="1:8">
      <c r="A13" s="66" t="s">
        <v>251</v>
      </c>
      <c r="B13" s="66">
        <f>'M2'!B13-'M1'!B13</f>
        <v>4.4511000000000003</v>
      </c>
      <c r="C13" s="66">
        <f>'M2'!C13-'M1'!C13</f>
        <v>0.67422000000000004</v>
      </c>
      <c r="D13" s="66">
        <f>'M2'!D13-'M1'!D13</f>
        <v>-0.77620000000000289</v>
      </c>
      <c r="E13" s="66">
        <f>'M2'!E13-'M1'!E13</f>
        <v>0</v>
      </c>
      <c r="F13" s="66">
        <f>'M2'!F13-'M1'!F13</f>
        <v>3.3326000000000011</v>
      </c>
      <c r="G13" s="66">
        <f>'M2'!G13-'M1'!G13</f>
        <v>0</v>
      </c>
      <c r="H13" s="66">
        <f>'M2'!H13-'M1'!H13</f>
        <v>9.3641999999999967</v>
      </c>
    </row>
    <row r="14" spans="1:8">
      <c r="A14" s="66" t="s">
        <v>252</v>
      </c>
      <c r="B14" s="66">
        <f>'M2'!B14-'M1'!B14</f>
        <v>6.742200000000004</v>
      </c>
      <c r="C14" s="66">
        <f>'M2'!C14-'M1'!C14</f>
        <v>5.9777000000000005</v>
      </c>
      <c r="D14" s="66">
        <f>'M2'!D14-'M1'!D14</f>
        <v>9.0801000000000016</v>
      </c>
      <c r="E14" s="66">
        <f>'M2'!E14-'M1'!E14</f>
        <v>0</v>
      </c>
      <c r="F14" s="66">
        <f>'M2'!F14-'M1'!F14</f>
        <v>1.4076699999999998</v>
      </c>
      <c r="G14" s="66">
        <f>'M2'!G14-'M1'!G14</f>
        <v>0</v>
      </c>
      <c r="H14" s="66">
        <f>'M2'!H14-'M1'!H14</f>
        <v>21.455500000000001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-5.7109999999999994E-2</v>
      </c>
      <c r="C18" s="66">
        <f>'M2'!C18-'M1'!C18</f>
        <v>3.9432200000000001E-2</v>
      </c>
      <c r="D18" s="66">
        <f>'M2'!D18-'M1'!D18</f>
        <v>6.5606700000000004E-2</v>
      </c>
      <c r="E18" s="66">
        <f>'M2'!E18-'M1'!E18</f>
        <v>0</v>
      </c>
      <c r="F18" s="66">
        <f>'M2'!F18-'M1'!F18</f>
        <v>0.56160699999999997</v>
      </c>
      <c r="G18" s="66">
        <f>'M2'!G18-'M1'!G18</f>
        <v>0</v>
      </c>
      <c r="H18" s="66">
        <f>'M2'!H18-'M1'!H18</f>
        <v>0.64047100000000001</v>
      </c>
    </row>
    <row r="19" spans="1:8">
      <c r="A19" s="66" t="s">
        <v>256</v>
      </c>
      <c r="B19" s="66">
        <f>'M2'!B19-'M1'!B19</f>
        <v>5.9064000000000005E-2</v>
      </c>
      <c r="C19" s="66">
        <f>'M2'!C19-'M1'!C19</f>
        <v>2.48407E-2</v>
      </c>
      <c r="D19" s="66">
        <f>'M2'!D19-'M1'!D19</f>
        <v>3.70073E-2</v>
      </c>
      <c r="E19" s="66">
        <f>'M2'!E19-'M1'!E19</f>
        <v>0</v>
      </c>
      <c r="F19" s="66">
        <f>'M2'!F19-'M1'!F19</f>
        <v>0.646397</v>
      </c>
      <c r="G19" s="66">
        <f>'M2'!G19-'M1'!G19</f>
        <v>0</v>
      </c>
      <c r="H19" s="66">
        <f>'M2'!H19-'M1'!H19</f>
        <v>0.69607799999999997</v>
      </c>
    </row>
    <row r="20" spans="1:8">
      <c r="A20" s="66" t="s">
        <v>63</v>
      </c>
      <c r="B20" s="66">
        <f>'M2'!B20-'M1'!B20</f>
        <v>4.4252799999999998E-4</v>
      </c>
      <c r="C20" s="66">
        <f>'M2'!C20-'M1'!C20</f>
        <v>5.4101200000000002E-2</v>
      </c>
      <c r="D20" s="66">
        <f>'M2'!D20-'M1'!D20</f>
        <v>-94.03400000000002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-5.1387999999999989E-2</v>
      </c>
    </row>
    <row r="21" spans="1:8">
      <c r="A21" s="66" t="s">
        <v>64</v>
      </c>
      <c r="B21" s="66">
        <f>'M2'!B21-'M1'!B21</f>
        <v>4.1200100000000003E-2</v>
      </c>
      <c r="C21" s="66">
        <f>'M2'!C21-'M1'!C21</f>
        <v>0.51025699999999996</v>
      </c>
      <c r="D21" s="66">
        <f>'M2'!D21-'M1'!D21</f>
        <v>0.26430000000000042</v>
      </c>
      <c r="E21" s="66">
        <f>'M2'!E21-'M1'!E21</f>
        <v>0</v>
      </c>
      <c r="F21" s="66">
        <f>'M2'!F21-'M1'!F21</f>
        <v>2.3616000000000012E-6</v>
      </c>
      <c r="G21" s="66">
        <f>'M2'!G21-'M1'!G21</f>
        <v>0</v>
      </c>
      <c r="H21" s="66">
        <f>'M2'!H21-'M1'!H21</f>
        <v>1.56643</v>
      </c>
    </row>
    <row r="22" spans="1:8">
      <c r="A22" s="66" t="s">
        <v>65</v>
      </c>
      <c r="B22" s="66">
        <f>'M2'!B22-'M1'!B22</f>
        <v>14.638799999999996</v>
      </c>
      <c r="C22" s="66">
        <f>'M2'!C22-'M1'!C22</f>
        <v>16.034400000000002</v>
      </c>
      <c r="D22" s="66">
        <f>'M2'!D22-'M1'!D22</f>
        <v>0.16924799999999995</v>
      </c>
      <c r="E22" s="66">
        <f>'M2'!E22-'M1'!E22</f>
        <v>0</v>
      </c>
      <c r="F22" s="66">
        <f>'M2'!F22-'M1'!F22</f>
        <v>1.5699999999998937E-2</v>
      </c>
      <c r="G22" s="66">
        <f>'M2'!G22-'M1'!G22</f>
        <v>0</v>
      </c>
      <c r="H22" s="66">
        <f>'M2'!H22-'M1'!H22</f>
        <v>26.885000000000005</v>
      </c>
    </row>
    <row r="23" spans="1:8">
      <c r="A23" s="66" t="s">
        <v>66</v>
      </c>
      <c r="B23" s="66">
        <f>'M2'!B23-'M1'!B23</f>
        <v>21.692300000000003</v>
      </c>
      <c r="C23" s="66">
        <f>'M2'!C23-'M1'!C23</f>
        <v>5.2305600000000005</v>
      </c>
      <c r="D23" s="66">
        <f>'M2'!D23-'M1'!D23</f>
        <v>-1.7759000000000025E-2</v>
      </c>
      <c r="E23" s="66">
        <f>'M2'!E23-'M1'!E23</f>
        <v>0</v>
      </c>
      <c r="F23" s="66">
        <f>'M2'!F23-'M1'!F23</f>
        <v>8.2209400000000006</v>
      </c>
      <c r="G23" s="66">
        <f>'M2'!G23-'M1'!G23</f>
        <v>0</v>
      </c>
      <c r="H23" s="66">
        <f>'M2'!H23-'M1'!H23</f>
        <v>30.808700000000002</v>
      </c>
    </row>
    <row r="24" spans="1:8">
      <c r="A24" s="66" t="s">
        <v>67</v>
      </c>
      <c r="B24" s="66">
        <f>'M2'!B24-'M1'!B24</f>
        <v>3.6384120000000002E-3</v>
      </c>
      <c r="C24" s="66">
        <f>'M2'!C24-'M1'!C24</f>
        <v>5.6514600000000005E-2</v>
      </c>
      <c r="D24" s="66">
        <f>'M2'!D24-'M1'!D24</f>
        <v>-29.169</v>
      </c>
      <c r="E24" s="66">
        <f>'M2'!E24-'M1'!E24</f>
        <v>0</v>
      </c>
      <c r="F24" s="66">
        <f>'M2'!F24-'M1'!F24</f>
        <v>-5.1657700000000002E-6</v>
      </c>
      <c r="G24" s="66">
        <f>'M2'!G24-'M1'!G24</f>
        <v>0</v>
      </c>
      <c r="H24" s="66">
        <f>'M2'!H24-'M1'!H24</f>
        <v>0.146755</v>
      </c>
    </row>
    <row r="25" spans="1:8">
      <c r="A25" s="66" t="s">
        <v>68</v>
      </c>
      <c r="B25" s="66">
        <f>'M2'!B25-'M1'!B25</f>
        <v>0.31455949999999999</v>
      </c>
      <c r="C25" s="66">
        <f>'M2'!C25-'M1'!C25</f>
        <v>0.33480099999999996</v>
      </c>
      <c r="D25" s="66">
        <f>'M2'!D25-'M1'!D25</f>
        <v>-2.7514600000000007</v>
      </c>
      <c r="E25" s="66">
        <f>'M2'!E25-'M1'!E25</f>
        <v>0</v>
      </c>
      <c r="F25" s="66">
        <f>'M2'!F25-'M1'!F25</f>
        <v>-1.78999E-3</v>
      </c>
      <c r="G25" s="66">
        <f>'M2'!G25-'M1'!G25</f>
        <v>0</v>
      </c>
      <c r="H25" s="66">
        <f>'M2'!H25-'M1'!H25</f>
        <v>0.74178399999999989</v>
      </c>
    </row>
    <row r="26" spans="1:8">
      <c r="A26" s="66" t="s">
        <v>69</v>
      </c>
      <c r="B26" s="66">
        <f>'M2'!B26-'M1'!B26</f>
        <v>1.6741019999999998E-4</v>
      </c>
      <c r="C26" s="66">
        <f>'M2'!C26-'M1'!C26</f>
        <v>4.8233999999999994E-3</v>
      </c>
      <c r="D26" s="66">
        <f>'M2'!D26-'M1'!D26</f>
        <v>-7.4118999999999957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-3.3776999999999974E-3</v>
      </c>
    </row>
    <row r="27" spans="1:8">
      <c r="A27" s="66" t="s">
        <v>70</v>
      </c>
      <c r="B27" s="66">
        <f>'M2'!B27-'M1'!B27</f>
        <v>0</v>
      </c>
      <c r="C27" s="66">
        <f>'M2'!C27-'M1'!C27</f>
        <v>5.9920000000000199E-5</v>
      </c>
      <c r="D27" s="66">
        <f>'M2'!D27-'M1'!D27</f>
        <v>-18.254000000000019</v>
      </c>
      <c r="E27" s="66">
        <f>'M2'!E27-'M1'!E27</f>
        <v>0</v>
      </c>
      <c r="F27" s="66">
        <f>'M2'!F27-'M1'!F27</f>
        <v>3.4631000000000037E-3</v>
      </c>
      <c r="G27" s="66">
        <f>'M2'!G27-'M1'!G27</f>
        <v>0</v>
      </c>
      <c r="H27" s="66">
        <f>'M2'!H27-'M1'!H27</f>
        <v>-3.446699999999997E-3</v>
      </c>
    </row>
    <row r="28" spans="1:8">
      <c r="A28" s="66" t="s">
        <v>71</v>
      </c>
      <c r="B28" s="66">
        <f>'M2'!B28-'M1'!B28</f>
        <v>5.1415799999999998E-3</v>
      </c>
      <c r="C28" s="66">
        <f>'M2'!C28-'M1'!C28</f>
        <v>2.0523000000000003E-2</v>
      </c>
      <c r="D28" s="66">
        <f>'M2'!D28-'M1'!D28</f>
        <v>0.22431000000000001</v>
      </c>
      <c r="E28" s="66">
        <f>'M2'!E28-'M1'!E28</f>
        <v>0</v>
      </c>
      <c r="F28" s="66">
        <f>'M2'!F28-'M1'!F28</f>
        <v>-9.765699999999997E-6</v>
      </c>
      <c r="G28" s="66">
        <f>'M2'!G28-'M1'!G28</f>
        <v>0</v>
      </c>
      <c r="H28" s="66">
        <f>'M2'!H28-'M1'!H28</f>
        <v>7.629240000000001E-2</v>
      </c>
    </row>
    <row r="29" spans="1:8">
      <c r="A29" s="66" t="s">
        <v>72</v>
      </c>
      <c r="B29" s="66">
        <f>'M2'!B29-'M1'!B29</f>
        <v>4.1739000000000033</v>
      </c>
      <c r="C29" s="66">
        <f>'M2'!C29-'M1'!C29</f>
        <v>3.7126000000000001</v>
      </c>
      <c r="D29" s="66">
        <f>'M2'!D29-'M1'!D29</f>
        <v>4.2986999999999997E-2</v>
      </c>
      <c r="E29" s="66">
        <f>'M2'!E29-'M1'!E29</f>
        <v>0</v>
      </c>
      <c r="F29" s="66">
        <f>'M2'!F29-'M1'!F29</f>
        <v>1.3391999999999982</v>
      </c>
      <c r="G29" s="66">
        <f>'M2'!G29-'M1'!G29</f>
        <v>0</v>
      </c>
      <c r="H29" s="66">
        <f>'M2'!H29-'M1'!H29</f>
        <v>9.4953999999999894</v>
      </c>
    </row>
    <row r="30" spans="1:8">
      <c r="A30" s="66" t="s">
        <v>73</v>
      </c>
      <c r="B30" s="66">
        <f>'M2'!B30-'M1'!B30</f>
        <v>12.219100000000001</v>
      </c>
      <c r="C30" s="66">
        <f>'M2'!C30-'M1'!C30</f>
        <v>2.87609</v>
      </c>
      <c r="D30" s="66">
        <f>'M2'!D30-'M1'!D30</f>
        <v>2.7016999999999985E-2</v>
      </c>
      <c r="E30" s="66">
        <f>'M2'!E30-'M1'!E30</f>
        <v>0</v>
      </c>
      <c r="F30" s="66">
        <f>'M2'!F30-'M1'!F30</f>
        <v>7.48841</v>
      </c>
      <c r="G30" s="66">
        <f>'M2'!G30-'M1'!G30</f>
        <v>0</v>
      </c>
      <c r="H30" s="66">
        <f>'M2'!H30-'M1'!H30</f>
        <v>17.028799999999997</v>
      </c>
    </row>
    <row r="31" spans="1:8">
      <c r="A31" s="66" t="s">
        <v>74</v>
      </c>
      <c r="B31" s="66">
        <f>'M2'!B31-'M1'!B31</f>
        <v>62.6935</v>
      </c>
      <c r="C31" s="66">
        <f>'M2'!C31-'M1'!C31</f>
        <v>0.46980000000000288</v>
      </c>
      <c r="D31" s="66">
        <f>'M2'!D31-'M1'!D31</f>
        <v>-9.365699999999999E-2</v>
      </c>
      <c r="E31" s="66">
        <f>'M2'!E31-'M1'!E31</f>
        <v>0</v>
      </c>
      <c r="F31" s="66">
        <f>'M2'!F31-'M1'!F31</f>
        <v>60.982500000000002</v>
      </c>
      <c r="G31" s="66">
        <f>'M2'!G31-'M1'!G31</f>
        <v>0</v>
      </c>
      <c r="H31" s="66">
        <f>'M2'!H31-'M1'!H31</f>
        <v>89.162000000000006</v>
      </c>
    </row>
    <row r="32" spans="1:8">
      <c r="A32" s="66" t="s">
        <v>75</v>
      </c>
      <c r="B32" s="66">
        <f>'M2'!B32-'M1'!B32</f>
        <v>-4.0559000000000012E-2</v>
      </c>
      <c r="C32" s="66">
        <f>'M2'!C32-'M1'!C32</f>
        <v>5.4678099999999993E-2</v>
      </c>
      <c r="D32" s="66">
        <f>'M2'!D32-'M1'!D32</f>
        <v>0.45863100000000001</v>
      </c>
      <c r="E32" s="66">
        <f>'M2'!E32-'M1'!E32</f>
        <v>0</v>
      </c>
      <c r="F32" s="66">
        <f>'M2'!F32-'M1'!F32</f>
        <v>-3.3441600000000002E-2</v>
      </c>
      <c r="G32" s="66">
        <f>'M2'!G32-'M1'!G32</f>
        <v>0</v>
      </c>
      <c r="H32" s="66">
        <f>'M2'!H32-'M1'!H32</f>
        <v>1.8956000000000084E-2</v>
      </c>
    </row>
    <row r="33" spans="1:8">
      <c r="A33" s="66" t="s">
        <v>76</v>
      </c>
      <c r="B33" s="66">
        <f>'M2'!B33-'M1'!B33</f>
        <v>3.2393000000000005E-2</v>
      </c>
      <c r="C33" s="66">
        <f>'M2'!C33-'M1'!C33</f>
        <v>-3.0993300000000008E-2</v>
      </c>
      <c r="D33" s="66">
        <f>'M2'!D33-'M1'!D33</f>
        <v>-0.13836700000000002</v>
      </c>
      <c r="E33" s="66">
        <f>'M2'!E33-'M1'!E33</f>
        <v>0</v>
      </c>
      <c r="F33" s="66">
        <f>'M2'!F33-'M1'!F33</f>
        <v>5.1930000000000032E-3</v>
      </c>
      <c r="G33" s="66">
        <f>'M2'!G33-'M1'!G33</f>
        <v>0</v>
      </c>
      <c r="H33" s="66">
        <f>'M2'!H33-'M1'!H33</f>
        <v>-4.7880000000000145E-3</v>
      </c>
    </row>
    <row r="34" spans="1:8">
      <c r="A34" s="66" t="s">
        <v>77</v>
      </c>
      <c r="B34" s="66">
        <f>'M2'!B34-'M1'!B34</f>
        <v>4.4511000000000023E-2</v>
      </c>
      <c r="C34" s="66">
        <f>'M2'!C34-'M1'!C34</f>
        <v>6.7421999999999968E-3</v>
      </c>
      <c r="D34" s="66">
        <f>'M2'!D34-'M1'!D34</f>
        <v>-7.7620000000000189E-3</v>
      </c>
      <c r="E34" s="66">
        <f>'M2'!E34-'M1'!E34</f>
        <v>0</v>
      </c>
      <c r="F34" s="66">
        <f>'M2'!F34-'M1'!F34</f>
        <v>3.3325999999999995E-2</v>
      </c>
      <c r="G34" s="66">
        <f>'M2'!G34-'M1'!G34</f>
        <v>0</v>
      </c>
      <c r="H34" s="66">
        <f>'M2'!H34-'M1'!H34</f>
        <v>9.3642000000000003E-2</v>
      </c>
    </row>
    <row r="35" spans="1:8">
      <c r="A35" s="66" t="s">
        <v>78</v>
      </c>
      <c r="B35" s="66">
        <f>'M2'!B35-'M1'!B35</f>
        <v>1.6635800000000006E-2</v>
      </c>
      <c r="C35" s="66">
        <f>'M2'!C35-'M1'!C35</f>
        <v>8.3902999999999998E-3</v>
      </c>
      <c r="D35" s="66">
        <f>'M2'!D35-'M1'!D35</f>
        <v>4.7902999999999973E-2</v>
      </c>
      <c r="E35" s="66">
        <f>'M2'!E35-'M1'!E35</f>
        <v>0</v>
      </c>
      <c r="F35" s="66">
        <f>'M2'!F35-'M1'!F35</f>
        <v>-5.5044000000000065E-3</v>
      </c>
      <c r="G35" s="66">
        <f>'M2'!G35-'M1'!G35</f>
        <v>0</v>
      </c>
      <c r="H35" s="66">
        <f>'M2'!H35-'M1'!H35</f>
        <v>5.1810999999999996E-2</v>
      </c>
    </row>
    <row r="36" spans="1:8">
      <c r="A36" s="66" t="s">
        <v>79</v>
      </c>
      <c r="B36" s="66">
        <f>'M2'!B36-'M1'!B36</f>
        <v>2.5119000000000002E-2</v>
      </c>
      <c r="C36" s="66">
        <f>'M2'!C36-'M1'!C36</f>
        <v>2.2876800000000003E-2</v>
      </c>
      <c r="D36" s="66">
        <f>'M2'!D36-'M1'!D36</f>
        <v>5.1211000000000007E-2</v>
      </c>
      <c r="E36" s="66">
        <f>'M2'!E36-'M1'!E36</f>
        <v>0</v>
      </c>
      <c r="F36" s="66">
        <f>'M2'!F36-'M1'!F36</f>
        <v>-8.7228999999999987E-3</v>
      </c>
      <c r="G36" s="66">
        <f>'M2'!G36-'M1'!G36</f>
        <v>0</v>
      </c>
      <c r="H36" s="66">
        <f>'M2'!H36-'M1'!H36</f>
        <v>0.12679299999999993</v>
      </c>
    </row>
    <row r="37" spans="1:8">
      <c r="A37" s="66" t="s">
        <v>80</v>
      </c>
      <c r="B37" s="66">
        <f>'M2'!B37-'M1'!B37</f>
        <v>6.7422000000000037E-2</v>
      </c>
      <c r="C37" s="66">
        <f>'M2'!C37-'M1'!C37</f>
        <v>5.9777000000000011E-2</v>
      </c>
      <c r="D37" s="66">
        <f>'M2'!D37-'M1'!D37</f>
        <v>9.0801000000000021E-2</v>
      </c>
      <c r="E37" s="66">
        <f>'M2'!E37-'M1'!E37</f>
        <v>0</v>
      </c>
      <c r="F37" s="66">
        <f>'M2'!F37-'M1'!F37</f>
        <v>1.4076700000000001E-2</v>
      </c>
      <c r="G37" s="66">
        <f>'M2'!G37-'M1'!G37</f>
        <v>0</v>
      </c>
      <c r="H37" s="66">
        <f>'M2'!H37-'M1'!H37</f>
        <v>0.21455500000000005</v>
      </c>
    </row>
    <row r="38" spans="1:8">
      <c r="A38" s="66" t="s">
        <v>81</v>
      </c>
      <c r="B38" s="66">
        <f>'M2'!B38-'M1'!B38</f>
        <v>2.6191300000000002</v>
      </c>
      <c r="C38" s="66">
        <f>'M2'!C38-'M1'!C38</f>
        <v>-5.5367999999999995</v>
      </c>
      <c r="D38" s="66">
        <f>'M2'!D38-'M1'!D38</f>
        <v>-1.2409300000000005</v>
      </c>
      <c r="E38" s="66">
        <f>'M2'!E38-'M1'!E38</f>
        <v>0</v>
      </c>
      <c r="F38" s="66">
        <f>'M2'!F38-'M1'!F38</f>
        <v>168.75299999999999</v>
      </c>
      <c r="G38" s="66">
        <f>'M2'!G38-'M1'!G38</f>
        <v>0</v>
      </c>
      <c r="H38" s="66">
        <f>'M2'!H38-'M1'!H38</f>
        <v>-177.47699999999998</v>
      </c>
    </row>
    <row r="39" spans="1:8">
      <c r="A39" s="66" t="s">
        <v>82</v>
      </c>
      <c r="B39" s="66">
        <f>'M2'!B39-'M1'!B39</f>
        <v>1.7214799999999997</v>
      </c>
      <c r="C39" s="66">
        <f>'M2'!C39-'M1'!C39</f>
        <v>0.12550000000000061</v>
      </c>
      <c r="D39" s="66">
        <f>'M2'!D39-'M1'!D39</f>
        <v>-0.71208999999999989</v>
      </c>
      <c r="E39" s="66">
        <f>'M2'!E39-'M1'!E39</f>
        <v>0</v>
      </c>
      <c r="F39" s="66">
        <f>'M2'!F39-'M1'!F39</f>
        <v>26.668300000000002</v>
      </c>
      <c r="G39" s="66">
        <f>'M2'!G39-'M1'!G39</f>
        <v>0</v>
      </c>
      <c r="H39" s="66">
        <f>'M2'!H39-'M1'!H39</f>
        <v>44.905299999999997</v>
      </c>
    </row>
    <row r="40" spans="1:8">
      <c r="A40" s="66" t="s">
        <v>83</v>
      </c>
      <c r="B40" s="66">
        <f>'M2'!B40-'M1'!B40</f>
        <v>-3.1702599999999999</v>
      </c>
      <c r="C40" s="66">
        <f>'M2'!C40-'M1'!C40</f>
        <v>1.0890199999999997</v>
      </c>
      <c r="D40" s="66">
        <f>'M2'!D40-'M1'!D40</f>
        <v>7.522599999999996E-2</v>
      </c>
      <c r="E40" s="66">
        <f>'M2'!E40-'M1'!E40</f>
        <v>0</v>
      </c>
      <c r="F40" s="66">
        <f>'M2'!F40-'M1'!F40</f>
        <v>-6.2706400000000002</v>
      </c>
      <c r="G40" s="66">
        <f>'M2'!G40-'M1'!G40</f>
        <v>0</v>
      </c>
      <c r="H40" s="66">
        <f>'M2'!H40-'M1'!H40</f>
        <v>-2.0344199999999999</v>
      </c>
    </row>
    <row r="41" spans="1:8">
      <c r="A41" s="66" t="s">
        <v>84</v>
      </c>
      <c r="B41" s="66">
        <f>'M2'!B41-'M1'!B41</f>
        <v>4.5772900000000005E-2</v>
      </c>
      <c r="C41" s="66">
        <f>'M2'!C41-'M1'!C41</f>
        <v>-2.4011000000000005E-2</v>
      </c>
      <c r="D41" s="66">
        <f>'M2'!D41-'M1'!D41</f>
        <v>-3.7819500000000001</v>
      </c>
      <c r="E41" s="66">
        <f>'M2'!E41-'M1'!E41</f>
        <v>0</v>
      </c>
      <c r="F41" s="66">
        <f>'M2'!F41-'M1'!F41</f>
        <v>0.22950800000000005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0.14604919999999999</v>
      </c>
      <c r="C42" s="66">
        <f>'M2'!C42-'M1'!C42</f>
        <v>-2.7851999999999988E-2</v>
      </c>
      <c r="D42" s="66">
        <f>'M2'!D42-'M1'!D42</f>
        <v>-1.280362</v>
      </c>
      <c r="E42" s="66">
        <f>'M2'!E42-'M1'!E42</f>
        <v>0</v>
      </c>
      <c r="F42" s="66">
        <f>'M2'!F42-'M1'!F42</f>
        <v>0.26200599999999996</v>
      </c>
      <c r="G42" s="66">
        <f>'M2'!G42-'M1'!G42</f>
        <v>0</v>
      </c>
      <c r="H42" s="66">
        <f>'M2'!H42-'M1'!H42</f>
        <v>0.46330899999999997</v>
      </c>
    </row>
    <row r="43" spans="1:8">
      <c r="A43" s="66" t="s">
        <v>86</v>
      </c>
      <c r="B43" s="66">
        <f>'M2'!B43-'M1'!B43</f>
        <v>0.24240640000000002</v>
      </c>
      <c r="C43" s="66">
        <f>'M2'!C43-'M1'!C43</f>
        <v>5.3290200000000003E-2</v>
      </c>
      <c r="D43" s="66">
        <f>'M2'!D43-'M1'!D43</f>
        <v>-1.2158870000000002</v>
      </c>
      <c r="E43" s="66">
        <f>'M2'!E43-'M1'!E43</f>
        <v>0</v>
      </c>
      <c r="F43" s="66">
        <f>'M2'!F43-'M1'!F43</f>
        <v>0.13214100000000001</v>
      </c>
      <c r="G43" s="66">
        <f>'M2'!G43-'M1'!G43</f>
        <v>0</v>
      </c>
      <c r="H43" s="66">
        <f>'M2'!H43-'M1'!H43</f>
        <v>0.17966559999999998</v>
      </c>
    </row>
    <row r="44" spans="1:8">
      <c r="A44" s="66" t="s">
        <v>87</v>
      </c>
      <c r="B44" s="66">
        <f>'M2'!B44-'M1'!B44</f>
        <v>-13.67632</v>
      </c>
      <c r="C44" s="66">
        <f>'M2'!C44-'M1'!C44</f>
        <v>6.1393599999999999</v>
      </c>
      <c r="D44" s="66">
        <f>'M2'!D44-'M1'!D44</f>
        <v>1.7799280000000002</v>
      </c>
      <c r="E44" s="66">
        <f>'M2'!E44-'M1'!E44</f>
        <v>0</v>
      </c>
      <c r="F44" s="66">
        <f>'M2'!F44-'M1'!F44</f>
        <v>-33.7074</v>
      </c>
      <c r="G44" s="66">
        <f>'M2'!G44-'M1'!G44</f>
        <v>0</v>
      </c>
      <c r="H44" s="66">
        <f>'M2'!H44-'M1'!H44</f>
        <v>8.5326499999999985</v>
      </c>
    </row>
    <row r="45" spans="1:8">
      <c r="A45" s="66" t="s">
        <v>88</v>
      </c>
      <c r="B45" s="66">
        <f>'M2'!B45-'M1'!B45</f>
        <v>2.4632000000000005</v>
      </c>
      <c r="C45" s="66">
        <f>'M2'!C45-'M1'!C45</f>
        <v>-1.8773700000000009</v>
      </c>
      <c r="D45" s="66">
        <f>'M2'!D45-'M1'!D45</f>
        <v>-4.2136999999999994E-2</v>
      </c>
      <c r="E45" s="66">
        <f>'M2'!E45-'M1'!E45</f>
        <v>0</v>
      </c>
      <c r="F45" s="66">
        <f>'M2'!F45-'M1'!F45</f>
        <v>7.9541000000000039</v>
      </c>
      <c r="G45" s="66">
        <f>'M2'!G45-'M1'!G45</f>
        <v>0</v>
      </c>
      <c r="H45" s="66">
        <f>'M2'!H45-'M1'!H45</f>
        <v>-11.462699999999998</v>
      </c>
    </row>
    <row r="46" spans="1:8">
      <c r="A46" s="66" t="s">
        <v>89</v>
      </c>
      <c r="B46" s="66">
        <f>'M2'!B46-'M1'!B46</f>
        <v>2.2503999999999991</v>
      </c>
      <c r="C46" s="66">
        <f>'M2'!C46-'M1'!C46</f>
        <v>-5.6914600000000002</v>
      </c>
      <c r="D46" s="66">
        <f>'M2'!D46-'M1'!D46</f>
        <v>-0.20385829999999999</v>
      </c>
      <c r="E46" s="66">
        <f>'M2'!E46-'M1'!E46</f>
        <v>0</v>
      </c>
      <c r="F46" s="66">
        <f>'M2'!F46-'M1'!F46</f>
        <v>17.52412</v>
      </c>
      <c r="G46" s="66">
        <f>'M2'!G46-'M1'!G46</f>
        <v>0</v>
      </c>
      <c r="H46" s="66">
        <f>'M2'!H46-'M1'!H46</f>
        <v>0.97220000000000084</v>
      </c>
    </row>
    <row r="47" spans="1:8">
      <c r="A47" s="66" t="s">
        <v>90</v>
      </c>
      <c r="B47" s="66">
        <f>'M2'!B47-'M1'!B47</f>
        <v>0.37565599999999999</v>
      </c>
      <c r="C47" s="66">
        <f>'M2'!C47-'M1'!C47</f>
        <v>0.206428</v>
      </c>
      <c r="D47" s="66">
        <f>'M2'!D47-'M1'!D47</f>
        <v>4.1718999999999951E-2</v>
      </c>
      <c r="E47" s="66">
        <f>'M2'!E47-'M1'!E47</f>
        <v>0</v>
      </c>
      <c r="F47" s="66">
        <f>'M2'!F47-'M1'!F47</f>
        <v>9.9721999999999977E-2</v>
      </c>
      <c r="G47" s="66">
        <f>'M2'!G47-'M1'!G47</f>
        <v>0</v>
      </c>
      <c r="H47" s="66">
        <f>'M2'!H47-'M1'!H47</f>
        <v>0.98875000000000024</v>
      </c>
    </row>
    <row r="48" spans="1:8">
      <c r="A48" s="66" t="s">
        <v>91</v>
      </c>
      <c r="B48" s="66">
        <f>'M2'!B48-'M1'!B48</f>
        <v>0.10602800000000001</v>
      </c>
      <c r="C48" s="66">
        <f>'M2'!C48-'M1'!C48</f>
        <v>-8.1289999999999973E-3</v>
      </c>
      <c r="D48" s="66">
        <f>'M2'!D48-'M1'!D48</f>
        <v>-2.4811000000000014E-2</v>
      </c>
      <c r="E48" s="66">
        <f>'M2'!E48-'M1'!E48</f>
        <v>0</v>
      </c>
      <c r="F48" s="66">
        <f>'M2'!F48-'M1'!F48</f>
        <v>5.118199999999995E-2</v>
      </c>
      <c r="G48" s="66">
        <f>'M2'!G48-'M1'!G48</f>
        <v>0</v>
      </c>
      <c r="H48" s="66">
        <f>'M2'!H48-'M1'!H48</f>
        <v>0.10123000000000015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346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32.246299999999998</v>
      </c>
      <c r="C5" s="66">
        <v>8.3508899999999997</v>
      </c>
      <c r="D5" s="66">
        <v>25.897200000000002</v>
      </c>
      <c r="E5" s="66">
        <v>20</v>
      </c>
      <c r="F5" s="66">
        <v>9.2081999999999997</v>
      </c>
      <c r="G5" s="66">
        <v>50</v>
      </c>
      <c r="H5" s="66">
        <v>42.060400000000001</v>
      </c>
    </row>
    <row r="6" spans="1:8">
      <c r="A6" s="66" t="s">
        <v>303</v>
      </c>
      <c r="B6" s="66">
        <v>29.0245</v>
      </c>
      <c r="C6" s="66">
        <v>2.06447</v>
      </c>
      <c r="D6" s="66">
        <v>7.1128600000000004</v>
      </c>
      <c r="E6" s="66">
        <v>20</v>
      </c>
      <c r="F6" s="66">
        <v>24.857500000000002</v>
      </c>
      <c r="G6" s="66">
        <v>40</v>
      </c>
      <c r="H6" s="66">
        <v>32.696800000000003</v>
      </c>
    </row>
    <row r="7" spans="1:8">
      <c r="A7" s="66" t="s">
        <v>304</v>
      </c>
      <c r="B7" s="66">
        <v>19.424199999999999</v>
      </c>
      <c r="C7" s="66">
        <v>7.5695899999999998</v>
      </c>
      <c r="D7" s="66">
        <v>38.969799999999999</v>
      </c>
      <c r="E7" s="66">
        <v>15</v>
      </c>
      <c r="F7" s="66">
        <v>6.8354999999999997</v>
      </c>
      <c r="G7" s="66">
        <v>40</v>
      </c>
      <c r="H7" s="66">
        <v>50.475099999999998</v>
      </c>
    </row>
    <row r="8" spans="1:8">
      <c r="A8" s="66" t="s">
        <v>305</v>
      </c>
      <c r="B8" s="66">
        <v>25.580200000000001</v>
      </c>
      <c r="C8" s="66">
        <v>2.3954200000000001</v>
      </c>
      <c r="D8" s="66">
        <v>9.3643599999999996</v>
      </c>
      <c r="E8" s="66">
        <v>20</v>
      </c>
      <c r="F8" s="66">
        <v>19.218699999999998</v>
      </c>
      <c r="G8" s="66">
        <v>50</v>
      </c>
      <c r="H8" s="66">
        <v>32.189900000000002</v>
      </c>
    </row>
    <row r="9" spans="1:8">
      <c r="A9" s="66" t="s">
        <v>306</v>
      </c>
      <c r="B9" s="66">
        <v>68.119200000000006</v>
      </c>
      <c r="C9" s="66">
        <v>8.17272</v>
      </c>
      <c r="D9" s="66">
        <v>11.9977</v>
      </c>
      <c r="E9" s="66">
        <v>50</v>
      </c>
      <c r="F9" s="66">
        <v>52.016800000000003</v>
      </c>
      <c r="G9" s="66">
        <v>100</v>
      </c>
      <c r="H9" s="66">
        <v>88.728200000000001</v>
      </c>
    </row>
    <row r="10" spans="1:8">
      <c r="A10" s="66" t="s">
        <v>307</v>
      </c>
      <c r="B10" s="66">
        <v>65.535600000000002</v>
      </c>
      <c r="C10" s="66">
        <v>6.6742999999999997</v>
      </c>
      <c r="D10" s="66">
        <v>10.184200000000001</v>
      </c>
      <c r="E10" s="66">
        <v>40</v>
      </c>
      <c r="F10" s="66">
        <v>44.521999999999998</v>
      </c>
      <c r="G10" s="66">
        <v>100</v>
      </c>
      <c r="H10" s="66">
        <v>69.709299999999999</v>
      </c>
    </row>
    <row r="11" spans="1:8">
      <c r="A11" s="66" t="s">
        <v>308</v>
      </c>
      <c r="B11" s="66">
        <v>18.778500000000001</v>
      </c>
      <c r="C11" s="66">
        <v>4.8947000000000003</v>
      </c>
      <c r="D11" s="66">
        <v>26.0655</v>
      </c>
      <c r="E11" s="66">
        <v>10</v>
      </c>
      <c r="F11" s="66">
        <v>5.2926900000000003</v>
      </c>
      <c r="G11" s="66">
        <v>50</v>
      </c>
      <c r="H11" s="66">
        <v>23.953700000000001</v>
      </c>
    </row>
    <row r="12" spans="1:8">
      <c r="A12" s="66" t="s">
        <v>309</v>
      </c>
      <c r="B12" s="66">
        <v>65.357799999999997</v>
      </c>
      <c r="C12" s="66">
        <v>3.3178200000000002</v>
      </c>
      <c r="D12" s="66">
        <v>5.0763999999999996</v>
      </c>
      <c r="E12" s="66">
        <v>50</v>
      </c>
      <c r="F12" s="66">
        <v>56.920400000000001</v>
      </c>
      <c r="G12" s="66">
        <v>100</v>
      </c>
      <c r="H12" s="66">
        <v>71.276899999999998</v>
      </c>
    </row>
    <row r="13" spans="1:8">
      <c r="A13" s="66" t="s">
        <v>310</v>
      </c>
      <c r="B13" s="66">
        <v>18.188099999999999</v>
      </c>
      <c r="C13" s="66">
        <v>3.4730699999999999</v>
      </c>
      <c r="D13" s="66">
        <v>19.095300000000002</v>
      </c>
      <c r="E13" s="66">
        <v>10</v>
      </c>
      <c r="F13" s="66">
        <v>13.906599999999999</v>
      </c>
      <c r="G13" s="66">
        <v>25</v>
      </c>
      <c r="H13" s="66">
        <v>26.967300000000002</v>
      </c>
    </row>
    <row r="14" spans="1:8">
      <c r="A14" s="66" t="s">
        <v>311</v>
      </c>
      <c r="B14" s="66">
        <v>34.730699999999999</v>
      </c>
      <c r="C14" s="66">
        <v>11.394299999999999</v>
      </c>
      <c r="D14" s="66">
        <v>32.807499999999997</v>
      </c>
      <c r="E14" s="66">
        <v>10</v>
      </c>
      <c r="F14" s="66">
        <v>1.8792500000000001</v>
      </c>
      <c r="G14" s="66">
        <v>50</v>
      </c>
      <c r="H14" s="66">
        <v>38.362499999999997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0.65814899999999998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0.612174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1.55375E-4</v>
      </c>
      <c r="C20" s="66">
        <v>3.8735699999999998E-2</v>
      </c>
      <c r="D20" s="66">
        <v>249.30500000000001</v>
      </c>
      <c r="E20" s="66">
        <v>0</v>
      </c>
      <c r="F20" s="66">
        <v>0</v>
      </c>
      <c r="G20" s="66">
        <v>0</v>
      </c>
      <c r="H20" s="66">
        <v>0.48635</v>
      </c>
    </row>
    <row r="21" spans="1:8">
      <c r="A21" s="66" t="s">
        <v>318</v>
      </c>
      <c r="B21" s="66">
        <v>2.4969399999999999E-2</v>
      </c>
      <c r="C21" s="66">
        <v>0.29864400000000002</v>
      </c>
      <c r="D21" s="66">
        <v>11.9604</v>
      </c>
      <c r="E21" s="66">
        <v>0</v>
      </c>
      <c r="F21" s="196">
        <v>7.3657099999999997E-5</v>
      </c>
      <c r="G21" s="66">
        <v>0</v>
      </c>
      <c r="H21" s="66">
        <v>1.8887700000000001</v>
      </c>
    </row>
    <row r="22" spans="1:8">
      <c r="A22" s="66" t="s">
        <v>319</v>
      </c>
      <c r="B22" s="66">
        <v>38.254300000000001</v>
      </c>
      <c r="C22" s="66">
        <v>18.5076</v>
      </c>
      <c r="D22" s="66">
        <v>0.48380400000000001</v>
      </c>
      <c r="E22" s="66">
        <v>0</v>
      </c>
      <c r="F22" s="66">
        <v>15.8345</v>
      </c>
      <c r="G22" s="66">
        <v>0</v>
      </c>
      <c r="H22" s="66">
        <v>106.301</v>
      </c>
    </row>
    <row r="23" spans="1:8">
      <c r="A23" s="66" t="s">
        <v>320</v>
      </c>
      <c r="B23" s="66">
        <v>12.363799999999999</v>
      </c>
      <c r="C23" s="66">
        <v>3.3259300000000001</v>
      </c>
      <c r="D23" s="66">
        <v>0.26900600000000002</v>
      </c>
      <c r="E23" s="66">
        <v>0</v>
      </c>
      <c r="F23" s="66">
        <v>6.9372600000000002</v>
      </c>
      <c r="G23" s="66">
        <v>0</v>
      </c>
      <c r="H23" s="66">
        <v>17.9129</v>
      </c>
    </row>
    <row r="24" spans="1:8">
      <c r="A24" s="66" t="s">
        <v>321</v>
      </c>
      <c r="B24" s="66">
        <v>5.6766800000000001E-4</v>
      </c>
      <c r="C24" s="66">
        <v>2.7959299999999999E-2</v>
      </c>
      <c r="D24" s="66">
        <v>49.252800000000001</v>
      </c>
      <c r="E24" s="66">
        <v>0</v>
      </c>
      <c r="F24" s="196">
        <v>7.6898500000000006E-6</v>
      </c>
      <c r="G24" s="66">
        <v>0</v>
      </c>
      <c r="H24" s="66">
        <v>0.24174300000000001</v>
      </c>
    </row>
    <row r="25" spans="1:8">
      <c r="A25" s="66" t="s">
        <v>322</v>
      </c>
      <c r="B25" s="66">
        <v>4.6475500000000003E-2</v>
      </c>
      <c r="C25" s="66">
        <v>0.19623499999999999</v>
      </c>
      <c r="D25" s="66">
        <v>4.2223300000000004</v>
      </c>
      <c r="E25" s="66">
        <v>0</v>
      </c>
      <c r="F25" s="66">
        <v>1.0564199999999999E-2</v>
      </c>
      <c r="G25" s="66">
        <v>0</v>
      </c>
      <c r="H25" s="66">
        <v>0.95393600000000001</v>
      </c>
    </row>
    <row r="26" spans="1:8">
      <c r="A26" s="66" t="s">
        <v>323</v>
      </c>
      <c r="B26" s="196">
        <v>9.1911799999999996E-5</v>
      </c>
      <c r="C26" s="66">
        <v>3.7033999999999999E-3</v>
      </c>
      <c r="D26" s="66">
        <v>40.292999999999999</v>
      </c>
      <c r="E26" s="66">
        <v>0</v>
      </c>
      <c r="F26" s="66">
        <v>0</v>
      </c>
      <c r="G26" s="66">
        <v>0</v>
      </c>
      <c r="H26" s="66">
        <v>5.6998399999999998E-2</v>
      </c>
    </row>
    <row r="27" spans="1:8">
      <c r="A27" s="66" t="s">
        <v>324</v>
      </c>
      <c r="B27" s="196">
        <v>-3.2825599999999999E-6</v>
      </c>
      <c r="C27" s="66">
        <v>2.9645299999999999E-3</v>
      </c>
      <c r="D27" s="66">
        <v>-903.11400000000003</v>
      </c>
      <c r="E27" s="66">
        <v>0</v>
      </c>
      <c r="F27" s="66">
        <v>-5.6985300000000003E-2</v>
      </c>
      <c r="G27" s="66">
        <v>0</v>
      </c>
      <c r="H27" s="66">
        <v>5.6998399999999998E-2</v>
      </c>
    </row>
    <row r="28" spans="1:8">
      <c r="A28" s="66" t="s">
        <v>325</v>
      </c>
      <c r="B28" s="66">
        <v>5.01302E-3</v>
      </c>
      <c r="C28" s="66">
        <v>1.77889E-2</v>
      </c>
      <c r="D28" s="66">
        <v>3.54854</v>
      </c>
      <c r="E28" s="66">
        <v>0</v>
      </c>
      <c r="F28" s="196">
        <v>2.6041699999999998E-5</v>
      </c>
      <c r="G28" s="66">
        <v>0</v>
      </c>
      <c r="H28" s="66">
        <v>9.6920599999999996E-2</v>
      </c>
    </row>
    <row r="29" spans="1:8">
      <c r="A29" s="66" t="s">
        <v>326</v>
      </c>
      <c r="B29" s="66">
        <v>66.53</v>
      </c>
      <c r="C29" s="66">
        <v>10.7301</v>
      </c>
      <c r="D29" s="66">
        <v>0.16128300000000001</v>
      </c>
      <c r="E29" s="66">
        <v>0</v>
      </c>
      <c r="F29" s="66">
        <v>35.322000000000003</v>
      </c>
      <c r="G29" s="66">
        <v>0</v>
      </c>
      <c r="H29" s="66">
        <v>95.411600000000007</v>
      </c>
    </row>
    <row r="30" spans="1:8">
      <c r="A30" s="66" t="s">
        <v>327</v>
      </c>
      <c r="B30" s="66">
        <v>17.9941</v>
      </c>
      <c r="C30" s="66">
        <v>3.03335</v>
      </c>
      <c r="D30" s="66">
        <v>0.168574</v>
      </c>
      <c r="E30" s="66">
        <v>0</v>
      </c>
      <c r="F30" s="66">
        <v>9.8655899999999992</v>
      </c>
      <c r="G30" s="66">
        <v>0</v>
      </c>
      <c r="H30" s="66">
        <v>23.6327</v>
      </c>
    </row>
    <row r="31" spans="1:8">
      <c r="A31" s="66" t="s">
        <v>328</v>
      </c>
      <c r="B31" s="66">
        <v>97.293499999999995</v>
      </c>
      <c r="C31" s="66">
        <v>23.982199999999999</v>
      </c>
      <c r="D31" s="66">
        <v>0.24649399999999999</v>
      </c>
      <c r="E31" s="66">
        <v>0</v>
      </c>
      <c r="F31" s="66">
        <v>29.071200000000001</v>
      </c>
      <c r="G31" s="66">
        <v>0</v>
      </c>
      <c r="H31" s="66">
        <v>110.42400000000001</v>
      </c>
    </row>
    <row r="32" spans="1:8">
      <c r="A32" s="66" t="s">
        <v>329</v>
      </c>
      <c r="B32" s="66">
        <v>0.194242</v>
      </c>
      <c r="C32" s="66">
        <v>7.5695899999999997E-2</v>
      </c>
      <c r="D32" s="66">
        <v>0.38969799999999999</v>
      </c>
      <c r="E32" s="66">
        <v>0.15</v>
      </c>
      <c r="F32" s="66">
        <v>6.8354999999999999E-2</v>
      </c>
      <c r="G32" s="66">
        <v>0.4</v>
      </c>
      <c r="H32" s="66">
        <v>0.50475099999999995</v>
      </c>
    </row>
    <row r="33" spans="1:8">
      <c r="A33" s="66" t="s">
        <v>330</v>
      </c>
      <c r="B33" s="66">
        <v>0.26081399999999999</v>
      </c>
      <c r="C33" s="66">
        <v>7.7106400000000005E-2</v>
      </c>
      <c r="D33" s="66">
        <v>0.29563800000000001</v>
      </c>
      <c r="E33" s="66">
        <v>0</v>
      </c>
      <c r="F33" s="66">
        <v>0.16108700000000001</v>
      </c>
      <c r="G33" s="66">
        <v>0</v>
      </c>
      <c r="H33" s="66">
        <v>0.42053499999999999</v>
      </c>
    </row>
    <row r="34" spans="1:8">
      <c r="A34" s="66" t="s">
        <v>331</v>
      </c>
      <c r="B34" s="66">
        <v>0.18188099999999999</v>
      </c>
      <c r="C34" s="66">
        <v>3.4730700000000003E-2</v>
      </c>
      <c r="D34" s="66">
        <v>0.19095300000000001</v>
      </c>
      <c r="E34" s="66">
        <v>0.1</v>
      </c>
      <c r="F34" s="66">
        <v>0.139066</v>
      </c>
      <c r="G34" s="66">
        <v>0.25</v>
      </c>
      <c r="H34" s="66">
        <v>0.269673</v>
      </c>
    </row>
    <row r="35" spans="1:8">
      <c r="A35" s="66" t="s">
        <v>332</v>
      </c>
      <c r="B35" s="66">
        <v>7.5867299999999999E-2</v>
      </c>
      <c r="C35" s="66">
        <v>1.8055100000000001E-2</v>
      </c>
      <c r="D35" s="66">
        <v>0.237983</v>
      </c>
      <c r="E35" s="66">
        <v>0</v>
      </c>
      <c r="F35" s="66">
        <v>4.0250800000000003E-2</v>
      </c>
      <c r="G35" s="66">
        <v>0</v>
      </c>
      <c r="H35" s="66">
        <v>0.11981700000000001</v>
      </c>
    </row>
    <row r="36" spans="1:8">
      <c r="A36" s="66" t="s">
        <v>333</v>
      </c>
      <c r="B36" s="66">
        <v>0.17527599999999999</v>
      </c>
      <c r="C36" s="66">
        <v>8.80272E-2</v>
      </c>
      <c r="D36" s="66">
        <v>0.50221899999999997</v>
      </c>
      <c r="E36" s="66">
        <v>0</v>
      </c>
      <c r="F36" s="66">
        <v>5.0250099999999999E-2</v>
      </c>
      <c r="G36" s="66">
        <v>0</v>
      </c>
      <c r="H36" s="66">
        <v>0.44106400000000001</v>
      </c>
    </row>
    <row r="37" spans="1:8">
      <c r="A37" s="66" t="s">
        <v>334</v>
      </c>
      <c r="B37" s="66">
        <v>0.34730699999999998</v>
      </c>
      <c r="C37" s="66">
        <v>0.113943</v>
      </c>
      <c r="D37" s="66">
        <v>0.32807500000000001</v>
      </c>
      <c r="E37" s="66">
        <v>0.1</v>
      </c>
      <c r="F37" s="66">
        <v>1.87925E-2</v>
      </c>
      <c r="G37" s="66">
        <v>0.5</v>
      </c>
      <c r="H37" s="66">
        <v>0.38362499999999999</v>
      </c>
    </row>
    <row r="38" spans="1:8">
      <c r="A38" s="66" t="s">
        <v>335</v>
      </c>
      <c r="B38" s="66">
        <v>-10.088200000000001</v>
      </c>
      <c r="C38" s="66">
        <v>57.027299999999997</v>
      </c>
      <c r="D38" s="66">
        <v>-5.6528999999999998</v>
      </c>
      <c r="E38" s="66">
        <v>0</v>
      </c>
      <c r="F38" s="66">
        <v>-342.10399999999998</v>
      </c>
      <c r="G38" s="66">
        <v>0</v>
      </c>
      <c r="H38" s="66">
        <v>312.05599999999998</v>
      </c>
    </row>
    <row r="39" spans="1:8">
      <c r="A39" s="66" t="s">
        <v>336</v>
      </c>
      <c r="B39" s="66">
        <v>-6.6884699999999997</v>
      </c>
      <c r="C39" s="66">
        <v>13.254099999999999</v>
      </c>
      <c r="D39" s="66">
        <v>-1.98163</v>
      </c>
      <c r="E39" s="66">
        <v>0</v>
      </c>
      <c r="F39" s="66">
        <v>-71.059899999999999</v>
      </c>
      <c r="G39" s="66">
        <v>0</v>
      </c>
      <c r="H39" s="66">
        <v>3.3952</v>
      </c>
    </row>
    <row r="40" spans="1:8">
      <c r="A40" s="66" t="s">
        <v>337</v>
      </c>
      <c r="B40" s="66">
        <v>-4.0060900000000004</v>
      </c>
      <c r="C40" s="66">
        <v>2.0583200000000001</v>
      </c>
      <c r="D40" s="66">
        <v>-0.51379699999999995</v>
      </c>
      <c r="E40" s="66">
        <v>0</v>
      </c>
      <c r="F40" s="66">
        <v>-8.6695600000000006</v>
      </c>
      <c r="G40" s="66">
        <v>0</v>
      </c>
      <c r="H40" s="66">
        <v>-1.25803</v>
      </c>
    </row>
    <row r="41" spans="1:8">
      <c r="A41" s="66" t="s">
        <v>338</v>
      </c>
      <c r="B41" s="66">
        <v>-8.8813100000000006E-2</v>
      </c>
      <c r="C41" s="66">
        <v>0.362423</v>
      </c>
      <c r="D41" s="66">
        <v>-4.0807399999999996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-0.21512999999999999</v>
      </c>
      <c r="C42" s="66">
        <v>0.17130999999999999</v>
      </c>
      <c r="D42" s="66">
        <v>-0.79630800000000002</v>
      </c>
      <c r="E42" s="66">
        <v>0</v>
      </c>
      <c r="F42" s="66">
        <v>-0.77402099999999996</v>
      </c>
      <c r="G42" s="66">
        <v>0</v>
      </c>
      <c r="H42" s="66">
        <v>0.12073</v>
      </c>
    </row>
    <row r="43" spans="1:8">
      <c r="A43" s="66" t="s">
        <v>340</v>
      </c>
      <c r="B43" s="66">
        <v>-0.32330300000000001</v>
      </c>
      <c r="C43" s="66">
        <v>6.0112800000000001E-2</v>
      </c>
      <c r="D43" s="66">
        <v>-0.18593299999999999</v>
      </c>
      <c r="E43" s="66">
        <v>0</v>
      </c>
      <c r="F43" s="66">
        <v>-0.47411300000000001</v>
      </c>
      <c r="G43" s="66">
        <v>0</v>
      </c>
      <c r="H43" s="66">
        <v>-0.19068399999999999</v>
      </c>
    </row>
    <row r="44" spans="1:8">
      <c r="A44" s="66" t="s">
        <v>341</v>
      </c>
      <c r="B44" s="66">
        <v>-2.98068</v>
      </c>
      <c r="C44" s="66">
        <v>7.7997399999999999</v>
      </c>
      <c r="D44" s="66">
        <v>-2.6167600000000002</v>
      </c>
      <c r="E44" s="66">
        <v>0</v>
      </c>
      <c r="F44" s="66">
        <v>-21.292200000000001</v>
      </c>
      <c r="G44" s="66">
        <v>0</v>
      </c>
      <c r="H44" s="66">
        <v>8.10365</v>
      </c>
    </row>
    <row r="45" spans="1:8">
      <c r="A45" s="66" t="s">
        <v>342</v>
      </c>
      <c r="B45" s="66">
        <v>51.621600000000001</v>
      </c>
      <c r="C45" s="66">
        <v>8.4164600000000007</v>
      </c>
      <c r="D45" s="66">
        <v>0.16304099999999999</v>
      </c>
      <c r="E45" s="66">
        <v>0</v>
      </c>
      <c r="F45" s="66">
        <v>31.100999999999999</v>
      </c>
      <c r="G45" s="66">
        <v>0</v>
      </c>
      <c r="H45" s="66">
        <v>80.889499999999998</v>
      </c>
    </row>
    <row r="46" spans="1:8">
      <c r="A46" s="66" t="s">
        <v>343</v>
      </c>
      <c r="B46" s="66">
        <v>28.466699999999999</v>
      </c>
      <c r="C46" s="66">
        <v>7.2164000000000001</v>
      </c>
      <c r="D46" s="66">
        <v>0.25350299999999998</v>
      </c>
      <c r="E46" s="66">
        <v>0</v>
      </c>
      <c r="F46" s="66">
        <v>8.4501799999999996</v>
      </c>
      <c r="G46" s="66">
        <v>0</v>
      </c>
      <c r="H46" s="66">
        <v>32.511299999999999</v>
      </c>
    </row>
    <row r="47" spans="1:8">
      <c r="A47" s="66" t="s">
        <v>344</v>
      </c>
      <c r="B47" s="66">
        <v>0.700434</v>
      </c>
      <c r="C47" s="66">
        <v>0.30118899999999998</v>
      </c>
      <c r="D47" s="66">
        <v>0.43000300000000002</v>
      </c>
      <c r="E47" s="66">
        <v>0</v>
      </c>
      <c r="F47" s="66">
        <v>0.30284800000000001</v>
      </c>
      <c r="G47" s="66">
        <v>0</v>
      </c>
      <c r="H47" s="66">
        <v>1.8009299999999999</v>
      </c>
    </row>
    <row r="48" spans="1:8">
      <c r="A48" s="66" t="s">
        <v>345</v>
      </c>
      <c r="B48" s="66">
        <v>0.84489999999999998</v>
      </c>
      <c r="C48" s="66">
        <v>0.123233</v>
      </c>
      <c r="D48" s="66">
        <v>0.14585500000000001</v>
      </c>
      <c r="E48" s="66">
        <v>0</v>
      </c>
      <c r="F48" s="66">
        <v>0.66989200000000004</v>
      </c>
      <c r="G48" s="66">
        <v>0</v>
      </c>
      <c r="H48" s="66">
        <v>1.15709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347</v>
      </c>
      <c r="E1" s="66" t="s">
        <v>348</v>
      </c>
      <c r="F1" s="66" t="s">
        <v>297</v>
      </c>
      <c r="G1" s="66" t="s">
        <v>349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33.548699999999997</v>
      </c>
      <c r="C5" s="66">
        <v>2.0912099999999998</v>
      </c>
      <c r="D5" s="66">
        <v>6.2333400000000001</v>
      </c>
      <c r="E5" s="66">
        <v>20</v>
      </c>
      <c r="F5" s="66">
        <v>29.384499999999999</v>
      </c>
      <c r="G5" s="66">
        <v>50</v>
      </c>
      <c r="H5" s="66">
        <v>38.406199999999998</v>
      </c>
    </row>
    <row r="6" spans="1:8">
      <c r="A6" s="66" t="s">
        <v>303</v>
      </c>
      <c r="B6" s="66">
        <v>26.159600000000001</v>
      </c>
      <c r="C6" s="66">
        <v>2.2584599999999999</v>
      </c>
      <c r="D6" s="66">
        <v>8.6334</v>
      </c>
      <c r="E6" s="66">
        <v>20</v>
      </c>
      <c r="F6" s="66">
        <v>21.8203</v>
      </c>
      <c r="G6" s="66">
        <v>40</v>
      </c>
      <c r="H6" s="66">
        <v>30.165299999999998</v>
      </c>
    </row>
    <row r="7" spans="1:8">
      <c r="A7" s="66" t="s">
        <v>304</v>
      </c>
      <c r="B7" s="66">
        <v>15.3683</v>
      </c>
      <c r="C7" s="66">
        <v>13.0374</v>
      </c>
      <c r="D7" s="66">
        <v>84.832899999999995</v>
      </c>
      <c r="E7" s="66">
        <v>15</v>
      </c>
      <c r="F7" s="66">
        <v>3.4913400000000001</v>
      </c>
      <c r="G7" s="66">
        <v>40</v>
      </c>
      <c r="H7" s="66">
        <v>52.370699999999999</v>
      </c>
    </row>
    <row r="8" spans="1:8">
      <c r="A8" s="66" t="s">
        <v>305</v>
      </c>
      <c r="B8" s="66">
        <v>25.342600000000001</v>
      </c>
      <c r="C8" s="66">
        <v>4.3689900000000002</v>
      </c>
      <c r="D8" s="66">
        <v>17.239699999999999</v>
      </c>
      <c r="E8" s="66">
        <v>20</v>
      </c>
      <c r="F8" s="66">
        <v>21.5472</v>
      </c>
      <c r="G8" s="66">
        <v>50</v>
      </c>
      <c r="H8" s="66">
        <v>37.362400000000001</v>
      </c>
    </row>
    <row r="9" spans="1:8">
      <c r="A9" s="66" t="s">
        <v>306</v>
      </c>
      <c r="B9" s="66">
        <v>69.007300000000001</v>
      </c>
      <c r="C9" s="66">
        <v>5.51126</v>
      </c>
      <c r="D9" s="66">
        <v>7.9864899999999999</v>
      </c>
      <c r="E9" s="66">
        <v>50</v>
      </c>
      <c r="F9" s="66">
        <v>55.393999999999998</v>
      </c>
      <c r="G9" s="66">
        <v>100</v>
      </c>
      <c r="H9" s="66">
        <v>79.618799999999993</v>
      </c>
    </row>
    <row r="10" spans="1:8">
      <c r="A10" s="66" t="s">
        <v>307</v>
      </c>
      <c r="B10" s="66">
        <v>70.900599999999997</v>
      </c>
      <c r="C10" s="66">
        <v>5.1455200000000003</v>
      </c>
      <c r="D10" s="66">
        <v>7.2573800000000004</v>
      </c>
      <c r="E10" s="66">
        <v>40</v>
      </c>
      <c r="F10" s="66">
        <v>50.9495</v>
      </c>
      <c r="G10" s="66">
        <v>100</v>
      </c>
      <c r="H10" s="66">
        <v>77.751800000000003</v>
      </c>
    </row>
    <row r="11" spans="1:8">
      <c r="A11" s="66" t="s">
        <v>308</v>
      </c>
      <c r="B11" s="66">
        <v>22.494399999999999</v>
      </c>
      <c r="C11" s="66">
        <v>2.2490899999999998</v>
      </c>
      <c r="D11" s="66">
        <v>9.9984599999999997</v>
      </c>
      <c r="E11" s="66">
        <v>10</v>
      </c>
      <c r="F11" s="66">
        <v>17.766999999999999</v>
      </c>
      <c r="G11" s="66">
        <v>50</v>
      </c>
      <c r="H11" s="66">
        <v>25.642499999999998</v>
      </c>
    </row>
    <row r="12" spans="1:8">
      <c r="A12" s="66" t="s">
        <v>309</v>
      </c>
      <c r="B12" s="66">
        <v>70.334199999999996</v>
      </c>
      <c r="C12" s="66">
        <v>3.67638</v>
      </c>
      <c r="D12" s="66">
        <v>5.2270099999999999</v>
      </c>
      <c r="E12" s="66">
        <v>50</v>
      </c>
      <c r="F12" s="66">
        <v>61.231400000000001</v>
      </c>
      <c r="G12" s="66">
        <v>100</v>
      </c>
      <c r="H12" s="66">
        <v>76.5685</v>
      </c>
    </row>
    <row r="13" spans="1:8">
      <c r="A13" s="66" t="s">
        <v>310</v>
      </c>
      <c r="B13" s="66">
        <v>22.639199999999999</v>
      </c>
      <c r="C13" s="66">
        <v>4.1472899999999999</v>
      </c>
      <c r="D13" s="66">
        <v>18.319099999999999</v>
      </c>
      <c r="E13" s="66">
        <v>10</v>
      </c>
      <c r="F13" s="66">
        <v>17.2392</v>
      </c>
      <c r="G13" s="66">
        <v>25</v>
      </c>
      <c r="H13" s="66">
        <v>36.331499999999998</v>
      </c>
    </row>
    <row r="14" spans="1:8">
      <c r="A14" s="66" t="s">
        <v>311</v>
      </c>
      <c r="B14" s="66">
        <v>41.472900000000003</v>
      </c>
      <c r="C14" s="66">
        <v>17.372</v>
      </c>
      <c r="D14" s="66">
        <v>41.887599999999999</v>
      </c>
      <c r="E14" s="66">
        <v>10</v>
      </c>
      <c r="F14" s="66">
        <v>3.2869199999999998</v>
      </c>
      <c r="G14" s="66">
        <v>50</v>
      </c>
      <c r="H14" s="66">
        <v>59.817999999999998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0.60103899999999999</v>
      </c>
      <c r="C18" s="66">
        <v>3.9432200000000001E-2</v>
      </c>
      <c r="D18" s="66">
        <v>6.5606700000000004E-2</v>
      </c>
      <c r="E18" s="66">
        <v>0</v>
      </c>
      <c r="F18" s="66">
        <v>0.56160699999999997</v>
      </c>
      <c r="G18" s="66">
        <v>0</v>
      </c>
      <c r="H18" s="66">
        <v>0.64047100000000001</v>
      </c>
    </row>
    <row r="19" spans="1:8">
      <c r="A19" s="66" t="s">
        <v>316</v>
      </c>
      <c r="B19" s="66">
        <v>0.671238</v>
      </c>
      <c r="C19" s="66">
        <v>2.48407E-2</v>
      </c>
      <c r="D19" s="66">
        <v>3.70073E-2</v>
      </c>
      <c r="E19" s="66">
        <v>0</v>
      </c>
      <c r="F19" s="66">
        <v>0.646397</v>
      </c>
      <c r="G19" s="66">
        <v>0</v>
      </c>
      <c r="H19" s="66">
        <v>0.69607799999999997</v>
      </c>
    </row>
    <row r="20" spans="1:8">
      <c r="A20" s="66" t="s">
        <v>317</v>
      </c>
      <c r="B20" s="66">
        <v>5.97903E-4</v>
      </c>
      <c r="C20" s="66">
        <v>9.28369E-2</v>
      </c>
      <c r="D20" s="66">
        <v>155.27099999999999</v>
      </c>
      <c r="E20" s="66">
        <v>0</v>
      </c>
      <c r="F20" s="66">
        <v>0</v>
      </c>
      <c r="G20" s="66">
        <v>0</v>
      </c>
      <c r="H20" s="66">
        <v>0.43496200000000002</v>
      </c>
    </row>
    <row r="21" spans="1:8">
      <c r="A21" s="66" t="s">
        <v>318</v>
      </c>
      <c r="B21" s="66">
        <v>6.6169500000000006E-2</v>
      </c>
      <c r="C21" s="66">
        <v>0.80890099999999998</v>
      </c>
      <c r="D21" s="66">
        <v>12.2247</v>
      </c>
      <c r="E21" s="66">
        <v>0</v>
      </c>
      <c r="F21" s="196">
        <v>7.6018699999999998E-5</v>
      </c>
      <c r="G21" s="66">
        <v>0</v>
      </c>
      <c r="H21" s="66">
        <v>3.4552</v>
      </c>
    </row>
    <row r="22" spans="1:8">
      <c r="A22" s="66" t="s">
        <v>319</v>
      </c>
      <c r="B22" s="66">
        <v>52.893099999999997</v>
      </c>
      <c r="C22" s="66">
        <v>34.542000000000002</v>
      </c>
      <c r="D22" s="66">
        <v>0.65305199999999997</v>
      </c>
      <c r="E22" s="66">
        <v>0</v>
      </c>
      <c r="F22" s="66">
        <v>15.850199999999999</v>
      </c>
      <c r="G22" s="66">
        <v>0</v>
      </c>
      <c r="H22" s="66">
        <v>133.18600000000001</v>
      </c>
    </row>
    <row r="23" spans="1:8">
      <c r="A23" s="66" t="s">
        <v>320</v>
      </c>
      <c r="B23" s="66">
        <v>34.056100000000001</v>
      </c>
      <c r="C23" s="66">
        <v>8.5564900000000002</v>
      </c>
      <c r="D23" s="66">
        <v>0.251247</v>
      </c>
      <c r="E23" s="66">
        <v>0</v>
      </c>
      <c r="F23" s="66">
        <v>15.158200000000001</v>
      </c>
      <c r="G23" s="66">
        <v>0</v>
      </c>
      <c r="H23" s="66">
        <v>48.721600000000002</v>
      </c>
    </row>
    <row r="24" spans="1:8">
      <c r="A24" s="66" t="s">
        <v>321</v>
      </c>
      <c r="B24" s="66">
        <v>4.2060800000000001E-3</v>
      </c>
      <c r="C24" s="66">
        <v>8.4473900000000005E-2</v>
      </c>
      <c r="D24" s="66">
        <v>20.0838</v>
      </c>
      <c r="E24" s="66">
        <v>0</v>
      </c>
      <c r="F24" s="196">
        <v>2.52408E-6</v>
      </c>
      <c r="G24" s="66">
        <v>0</v>
      </c>
      <c r="H24" s="66">
        <v>0.38849800000000001</v>
      </c>
    </row>
    <row r="25" spans="1:8">
      <c r="A25" s="66" t="s">
        <v>322</v>
      </c>
      <c r="B25" s="66">
        <v>0.36103499999999999</v>
      </c>
      <c r="C25" s="66">
        <v>0.53103599999999995</v>
      </c>
      <c r="D25" s="66">
        <v>1.4708699999999999</v>
      </c>
      <c r="E25" s="66">
        <v>0</v>
      </c>
      <c r="F25" s="66">
        <v>8.7742099999999993E-3</v>
      </c>
      <c r="G25" s="66">
        <v>0</v>
      </c>
      <c r="H25" s="66">
        <v>1.6957199999999999</v>
      </c>
    </row>
    <row r="26" spans="1:8">
      <c r="A26" s="66" t="s">
        <v>323</v>
      </c>
      <c r="B26" s="66">
        <v>2.5932199999999998E-4</v>
      </c>
      <c r="C26" s="66">
        <v>8.5267999999999993E-3</v>
      </c>
      <c r="D26" s="66">
        <v>32.881100000000004</v>
      </c>
      <c r="E26" s="66">
        <v>0</v>
      </c>
      <c r="F26" s="66">
        <v>0</v>
      </c>
      <c r="G26" s="66">
        <v>0</v>
      </c>
      <c r="H26" s="66">
        <v>5.36207E-2</v>
      </c>
    </row>
    <row r="27" spans="1:8">
      <c r="A27" s="66" t="s">
        <v>324</v>
      </c>
      <c r="B27" s="196">
        <v>-3.2825599999999999E-6</v>
      </c>
      <c r="C27" s="66">
        <v>3.0244500000000001E-3</v>
      </c>
      <c r="D27" s="66">
        <v>-921.36800000000005</v>
      </c>
      <c r="E27" s="66">
        <v>0</v>
      </c>
      <c r="F27" s="66">
        <v>-5.3522199999999999E-2</v>
      </c>
      <c r="G27" s="66">
        <v>0</v>
      </c>
      <c r="H27" s="66">
        <v>5.3551700000000001E-2</v>
      </c>
    </row>
    <row r="28" spans="1:8">
      <c r="A28" s="66" t="s">
        <v>325</v>
      </c>
      <c r="B28" s="66">
        <v>1.01546E-2</v>
      </c>
      <c r="C28" s="66">
        <v>3.8311900000000003E-2</v>
      </c>
      <c r="D28" s="66">
        <v>3.77285</v>
      </c>
      <c r="E28" s="66">
        <v>0</v>
      </c>
      <c r="F28" s="196">
        <v>1.6276000000000001E-5</v>
      </c>
      <c r="G28" s="66">
        <v>0</v>
      </c>
      <c r="H28" s="66">
        <v>0.17321300000000001</v>
      </c>
    </row>
    <row r="29" spans="1:8">
      <c r="A29" s="66" t="s">
        <v>326</v>
      </c>
      <c r="B29" s="66">
        <v>70.703900000000004</v>
      </c>
      <c r="C29" s="66">
        <v>14.4427</v>
      </c>
      <c r="D29" s="66">
        <v>0.20427000000000001</v>
      </c>
      <c r="E29" s="66">
        <v>0</v>
      </c>
      <c r="F29" s="66">
        <v>36.661200000000001</v>
      </c>
      <c r="G29" s="66">
        <v>0</v>
      </c>
      <c r="H29" s="66">
        <v>104.907</v>
      </c>
    </row>
    <row r="30" spans="1:8">
      <c r="A30" s="66" t="s">
        <v>327</v>
      </c>
      <c r="B30" s="66">
        <v>30.213200000000001</v>
      </c>
      <c r="C30" s="66">
        <v>5.90944</v>
      </c>
      <c r="D30" s="66">
        <v>0.19559099999999999</v>
      </c>
      <c r="E30" s="66">
        <v>0</v>
      </c>
      <c r="F30" s="66">
        <v>17.353999999999999</v>
      </c>
      <c r="G30" s="66">
        <v>0</v>
      </c>
      <c r="H30" s="66">
        <v>40.661499999999997</v>
      </c>
    </row>
    <row r="31" spans="1:8">
      <c r="A31" s="66" t="s">
        <v>328</v>
      </c>
      <c r="B31" s="66">
        <v>159.98699999999999</v>
      </c>
      <c r="C31" s="66">
        <v>24.452000000000002</v>
      </c>
      <c r="D31" s="66">
        <v>0.152837</v>
      </c>
      <c r="E31" s="66">
        <v>0</v>
      </c>
      <c r="F31" s="66">
        <v>90.053700000000006</v>
      </c>
      <c r="G31" s="66">
        <v>0</v>
      </c>
      <c r="H31" s="66">
        <v>199.58600000000001</v>
      </c>
    </row>
    <row r="32" spans="1:8">
      <c r="A32" s="66" t="s">
        <v>329</v>
      </c>
      <c r="B32" s="66">
        <v>0.15368299999999999</v>
      </c>
      <c r="C32" s="66">
        <v>0.13037399999999999</v>
      </c>
      <c r="D32" s="66">
        <v>0.848329</v>
      </c>
      <c r="E32" s="66">
        <v>0.15</v>
      </c>
      <c r="F32" s="66">
        <v>3.4913399999999997E-2</v>
      </c>
      <c r="G32" s="66">
        <v>0.4</v>
      </c>
      <c r="H32" s="66">
        <v>0.52370700000000003</v>
      </c>
    </row>
    <row r="33" spans="1:8">
      <c r="A33" s="66" t="s">
        <v>330</v>
      </c>
      <c r="B33" s="66">
        <v>0.293207</v>
      </c>
      <c r="C33" s="66">
        <v>4.6113099999999997E-2</v>
      </c>
      <c r="D33" s="66">
        <v>0.15727099999999999</v>
      </c>
      <c r="E33" s="66">
        <v>0</v>
      </c>
      <c r="F33" s="66">
        <v>0.16628000000000001</v>
      </c>
      <c r="G33" s="66">
        <v>0</v>
      </c>
      <c r="H33" s="66">
        <v>0.41574699999999998</v>
      </c>
    </row>
    <row r="34" spans="1:8">
      <c r="A34" s="66" t="s">
        <v>331</v>
      </c>
      <c r="B34" s="66">
        <v>0.22639200000000001</v>
      </c>
      <c r="C34" s="66">
        <v>4.14729E-2</v>
      </c>
      <c r="D34" s="66">
        <v>0.18319099999999999</v>
      </c>
      <c r="E34" s="66">
        <v>0.1</v>
      </c>
      <c r="F34" s="66">
        <v>0.17239199999999999</v>
      </c>
      <c r="G34" s="66">
        <v>0.25</v>
      </c>
      <c r="H34" s="66">
        <v>0.363315</v>
      </c>
    </row>
    <row r="35" spans="1:8">
      <c r="A35" s="66" t="s">
        <v>332</v>
      </c>
      <c r="B35" s="66">
        <v>9.2503100000000005E-2</v>
      </c>
      <c r="C35" s="66">
        <v>2.6445400000000001E-2</v>
      </c>
      <c r="D35" s="66">
        <v>0.28588599999999997</v>
      </c>
      <c r="E35" s="66">
        <v>0</v>
      </c>
      <c r="F35" s="66">
        <v>3.4746399999999997E-2</v>
      </c>
      <c r="G35" s="66">
        <v>0</v>
      </c>
      <c r="H35" s="66">
        <v>0.171628</v>
      </c>
    </row>
    <row r="36" spans="1:8">
      <c r="A36" s="66" t="s">
        <v>333</v>
      </c>
      <c r="B36" s="66">
        <v>0.20039499999999999</v>
      </c>
      <c r="C36" s="66">
        <v>0.110904</v>
      </c>
      <c r="D36" s="66">
        <v>0.55342999999999998</v>
      </c>
      <c r="E36" s="66">
        <v>0</v>
      </c>
      <c r="F36" s="66">
        <v>4.15272E-2</v>
      </c>
      <c r="G36" s="66">
        <v>0</v>
      </c>
      <c r="H36" s="66">
        <v>0.56785699999999995</v>
      </c>
    </row>
    <row r="37" spans="1:8">
      <c r="A37" s="66" t="s">
        <v>334</v>
      </c>
      <c r="B37" s="66">
        <v>0.41472900000000001</v>
      </c>
      <c r="C37" s="66">
        <v>0.17372000000000001</v>
      </c>
      <c r="D37" s="66">
        <v>0.41887600000000003</v>
      </c>
      <c r="E37" s="66">
        <v>0.1</v>
      </c>
      <c r="F37" s="66">
        <v>3.2869200000000001E-2</v>
      </c>
      <c r="G37" s="66">
        <v>0.5</v>
      </c>
      <c r="H37" s="66">
        <v>0.59818000000000005</v>
      </c>
    </row>
    <row r="38" spans="1:8">
      <c r="A38" s="66" t="s">
        <v>335</v>
      </c>
      <c r="B38" s="66">
        <v>-7.4690700000000003</v>
      </c>
      <c r="C38" s="66">
        <v>51.490499999999997</v>
      </c>
      <c r="D38" s="66">
        <v>-6.8938300000000003</v>
      </c>
      <c r="E38" s="66">
        <v>0</v>
      </c>
      <c r="F38" s="66">
        <v>-173.351</v>
      </c>
      <c r="G38" s="66">
        <v>0</v>
      </c>
      <c r="H38" s="66">
        <v>134.57900000000001</v>
      </c>
    </row>
    <row r="39" spans="1:8">
      <c r="A39" s="66" t="s">
        <v>336</v>
      </c>
      <c r="B39" s="66">
        <v>-4.96699</v>
      </c>
      <c r="C39" s="66">
        <v>13.3796</v>
      </c>
      <c r="D39" s="66">
        <v>-2.6937199999999999</v>
      </c>
      <c r="E39" s="66">
        <v>0</v>
      </c>
      <c r="F39" s="66">
        <v>-44.391599999999997</v>
      </c>
      <c r="G39" s="66">
        <v>0</v>
      </c>
      <c r="H39" s="66">
        <v>48.3005</v>
      </c>
    </row>
    <row r="40" spans="1:8">
      <c r="A40" s="66" t="s">
        <v>337</v>
      </c>
      <c r="B40" s="66">
        <v>-7.1763500000000002</v>
      </c>
      <c r="C40" s="66">
        <v>3.1473399999999998</v>
      </c>
      <c r="D40" s="66">
        <v>-0.43857099999999999</v>
      </c>
      <c r="E40" s="66">
        <v>0</v>
      </c>
      <c r="F40" s="66">
        <v>-14.940200000000001</v>
      </c>
      <c r="G40" s="66">
        <v>0</v>
      </c>
      <c r="H40" s="66">
        <v>-3.2924500000000001</v>
      </c>
    </row>
    <row r="41" spans="1:8">
      <c r="A41" s="66" t="s">
        <v>338</v>
      </c>
      <c r="B41" s="66">
        <v>-4.3040200000000001E-2</v>
      </c>
      <c r="C41" s="66">
        <v>0.33841199999999999</v>
      </c>
      <c r="D41" s="66">
        <v>-7.8626899999999997</v>
      </c>
      <c r="E41" s="66">
        <v>0</v>
      </c>
      <c r="F41" s="66">
        <v>-0.77049199999999995</v>
      </c>
      <c r="G41" s="66">
        <v>0</v>
      </c>
      <c r="H41" s="66">
        <v>1</v>
      </c>
    </row>
    <row r="42" spans="1:8">
      <c r="A42" s="66" t="s">
        <v>339</v>
      </c>
      <c r="B42" s="66">
        <v>-6.9080799999999998E-2</v>
      </c>
      <c r="C42" s="66">
        <v>0.143458</v>
      </c>
      <c r="D42" s="66">
        <v>-2.07667</v>
      </c>
      <c r="E42" s="66">
        <v>0</v>
      </c>
      <c r="F42" s="66">
        <v>-0.512015</v>
      </c>
      <c r="G42" s="66">
        <v>0</v>
      </c>
      <c r="H42" s="66">
        <v>0.58403899999999997</v>
      </c>
    </row>
    <row r="43" spans="1:8">
      <c r="A43" s="66" t="s">
        <v>340</v>
      </c>
      <c r="B43" s="66">
        <v>-8.0896599999999999E-2</v>
      </c>
      <c r="C43" s="66">
        <v>0.113403</v>
      </c>
      <c r="D43" s="66">
        <v>-1.4018200000000001</v>
      </c>
      <c r="E43" s="66">
        <v>0</v>
      </c>
      <c r="F43" s="66">
        <v>-0.341972</v>
      </c>
      <c r="G43" s="66">
        <v>0</v>
      </c>
      <c r="H43" s="66">
        <v>-1.1018399999999999E-2</v>
      </c>
    </row>
    <row r="44" spans="1:8">
      <c r="A44" s="66" t="s">
        <v>341</v>
      </c>
      <c r="B44" s="66">
        <v>-16.657</v>
      </c>
      <c r="C44" s="66">
        <v>13.9391</v>
      </c>
      <c r="D44" s="66">
        <v>-0.83683200000000002</v>
      </c>
      <c r="E44" s="66">
        <v>0</v>
      </c>
      <c r="F44" s="66">
        <v>-54.999600000000001</v>
      </c>
      <c r="G44" s="66">
        <v>0</v>
      </c>
      <c r="H44" s="66">
        <v>16.636299999999999</v>
      </c>
    </row>
    <row r="45" spans="1:8">
      <c r="A45" s="66" t="s">
        <v>342</v>
      </c>
      <c r="B45" s="66">
        <v>54.084800000000001</v>
      </c>
      <c r="C45" s="66">
        <v>6.5390899999999998</v>
      </c>
      <c r="D45" s="66">
        <v>0.120904</v>
      </c>
      <c r="E45" s="66">
        <v>0</v>
      </c>
      <c r="F45" s="66">
        <v>39.055100000000003</v>
      </c>
      <c r="G45" s="66">
        <v>0</v>
      </c>
      <c r="H45" s="66">
        <v>69.4268</v>
      </c>
    </row>
    <row r="46" spans="1:8">
      <c r="A46" s="66" t="s">
        <v>343</v>
      </c>
      <c r="B46" s="66">
        <v>30.717099999999999</v>
      </c>
      <c r="C46" s="66">
        <v>1.52494</v>
      </c>
      <c r="D46" s="66">
        <v>4.96447E-2</v>
      </c>
      <c r="E46" s="66">
        <v>0</v>
      </c>
      <c r="F46" s="66">
        <v>25.974299999999999</v>
      </c>
      <c r="G46" s="66">
        <v>0</v>
      </c>
      <c r="H46" s="66">
        <v>33.483499999999999</v>
      </c>
    </row>
    <row r="47" spans="1:8">
      <c r="A47" s="66" t="s">
        <v>344</v>
      </c>
      <c r="B47" s="66">
        <v>1.07609</v>
      </c>
      <c r="C47" s="66">
        <v>0.50761699999999998</v>
      </c>
      <c r="D47" s="66">
        <v>0.47172199999999997</v>
      </c>
      <c r="E47" s="66">
        <v>0</v>
      </c>
      <c r="F47" s="66">
        <v>0.40256999999999998</v>
      </c>
      <c r="G47" s="66">
        <v>0</v>
      </c>
      <c r="H47" s="66">
        <v>2.7896800000000002</v>
      </c>
    </row>
    <row r="48" spans="1:8">
      <c r="A48" s="66" t="s">
        <v>345</v>
      </c>
      <c r="B48" s="66">
        <v>0.950928</v>
      </c>
      <c r="C48" s="66">
        <v>0.115104</v>
      </c>
      <c r="D48" s="66">
        <v>0.121044</v>
      </c>
      <c r="E48" s="66">
        <v>0</v>
      </c>
      <c r="F48" s="66">
        <v>0.72107399999999999</v>
      </c>
      <c r="G48" s="66">
        <v>0</v>
      </c>
      <c r="H48" s="66">
        <v>1.2583200000000001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350</v>
      </c>
      <c r="B1" s="60" t="s">
        <v>351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74.992929870711521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1.4479252582539599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0.51182553988501955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9813</v>
      </c>
      <c r="B8" s="66">
        <v>9813</v>
      </c>
      <c r="D8">
        <f t="shared" si="0"/>
        <v>4.6423941942870119E-2</v>
      </c>
      <c r="E8">
        <f t="shared" si="0"/>
        <v>4.6423941942870119E-2</v>
      </c>
      <c r="G8">
        <f t="shared" ca="1" si="1"/>
        <v>6</v>
      </c>
      <c r="H8">
        <f t="shared" ca="1" si="2"/>
        <v>0.27854365165722073</v>
      </c>
      <c r="I8">
        <f t="shared" ca="1" si="3"/>
        <v>220.97909509910247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13220</v>
      </c>
      <c r="B10" s="66">
        <v>13220</v>
      </c>
      <c r="D10">
        <f t="shared" si="0"/>
        <v>6.2541986394042903E-2</v>
      </c>
      <c r="E10">
        <f t="shared" si="0"/>
        <v>6.2541986394042903E-2</v>
      </c>
      <c r="G10">
        <f t="shared" ca="1" si="1"/>
        <v>8</v>
      </c>
      <c r="H10">
        <f t="shared" ca="1" si="2"/>
        <v>0.50033589115234323</v>
      </c>
      <c r="I10">
        <f t="shared" ca="1" si="3"/>
        <v>280.69172793853943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19165</v>
      </c>
      <c r="B13" s="66">
        <v>19165</v>
      </c>
      <c r="D13">
        <f t="shared" si="0"/>
        <v>9.0666956826159772E-2</v>
      </c>
      <c r="E13">
        <f t="shared" si="0"/>
        <v>9.0666956826159772E-2</v>
      </c>
      <c r="G13">
        <f t="shared" ca="1" si="1"/>
        <v>11</v>
      </c>
      <c r="H13">
        <f t="shared" ca="1" si="2"/>
        <v>0.9973365250877575</v>
      </c>
      <c r="I13">
        <f t="shared" ca="1" si="3"/>
        <v>371.28980822240487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23637</v>
      </c>
      <c r="B15" s="66">
        <v>23637</v>
      </c>
      <c r="D15">
        <f t="shared" si="0"/>
        <v>0.11182336856248049</v>
      </c>
      <c r="E15">
        <f t="shared" si="0"/>
        <v>0.11182336856248049</v>
      </c>
      <c r="G15">
        <f t="shared" ca="1" si="1"/>
        <v>13</v>
      </c>
      <c r="H15">
        <f t="shared" ca="1" si="2"/>
        <v>1.4537037913122464</v>
      </c>
      <c r="I15">
        <f t="shared" ca="1" si="3"/>
        <v>429.75099924038125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26739</v>
      </c>
      <c r="B18" s="66">
        <v>26739</v>
      </c>
      <c r="D18">
        <f t="shared" si="0"/>
        <v>0.12649850031696772</v>
      </c>
      <c r="E18">
        <f t="shared" si="0"/>
        <v>0.12649850031696772</v>
      </c>
      <c r="G18">
        <f t="shared" ca="1" si="1"/>
        <v>16</v>
      </c>
      <c r="H18">
        <f t="shared" ca="1" si="2"/>
        <v>2.0239760050714835</v>
      </c>
      <c r="I18">
        <f t="shared" ca="1" si="3"/>
        <v>440.23575135787007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31697</v>
      </c>
      <c r="B21" s="66">
        <v>31697</v>
      </c>
      <c r="D21">
        <f t="shared" si="0"/>
        <v>0.14995411064538411</v>
      </c>
      <c r="E21">
        <f t="shared" si="0"/>
        <v>0.14995411064538411</v>
      </c>
      <c r="G21">
        <f t="shared" ca="1" si="1"/>
        <v>19</v>
      </c>
      <c r="H21">
        <f t="shared" ca="1" si="2"/>
        <v>2.8491281022622981</v>
      </c>
      <c r="I21">
        <f t="shared" ca="1" si="3"/>
        <v>470.13735664528457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34947</v>
      </c>
      <c r="B23" s="66">
        <v>34947</v>
      </c>
      <c r="D23">
        <f t="shared" si="0"/>
        <v>0.16532940987236136</v>
      </c>
      <c r="E23">
        <f t="shared" si="0"/>
        <v>0.16532940987236136</v>
      </c>
      <c r="G23">
        <f t="shared" ca="1" si="1"/>
        <v>21</v>
      </c>
      <c r="H23">
        <f t="shared" ca="1" si="2"/>
        <v>3.4719176073195888</v>
      </c>
      <c r="I23">
        <f t="shared" ca="1" si="3"/>
        <v>481.97432621935957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36104</v>
      </c>
      <c r="B26" s="66">
        <v>36104</v>
      </c>
      <c r="D26">
        <f t="shared" si="0"/>
        <v>0.17080301639716527</v>
      </c>
      <c r="E26">
        <f t="shared" si="0"/>
        <v>0.17080301639716527</v>
      </c>
      <c r="G26">
        <f t="shared" ca="1" si="1"/>
        <v>24</v>
      </c>
      <c r="H26">
        <f t="shared" ca="1" si="2"/>
        <v>4.099272393531967</v>
      </c>
      <c r="I26">
        <f t="shared" ca="1" si="3"/>
        <v>444.13547904721423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44254</v>
      </c>
      <c r="B28" s="66">
        <v>44254</v>
      </c>
      <c r="D28">
        <f t="shared" si="0"/>
        <v>0.20935953599712365</v>
      </c>
      <c r="E28">
        <f t="shared" si="0"/>
        <v>0.20935953599712365</v>
      </c>
      <c r="G28">
        <f t="shared" ca="1" si="1"/>
        <v>26</v>
      </c>
      <c r="H28">
        <f t="shared" ca="1" si="2"/>
        <v>5.4433479359252148</v>
      </c>
      <c r="I28">
        <f t="shared" ca="1" si="3"/>
        <v>502.52719689353904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49221</v>
      </c>
      <c r="B31" s="66">
        <v>49221</v>
      </c>
      <c r="D31">
        <f t="shared" si="0"/>
        <v>0.2328577240772455</v>
      </c>
      <c r="E31">
        <f t="shared" si="0"/>
        <v>0.2328577240772455</v>
      </c>
      <c r="G31">
        <f t="shared" ca="1" si="1"/>
        <v>29</v>
      </c>
      <c r="H31">
        <f t="shared" ca="1" si="2"/>
        <v>6.75287399824012</v>
      </c>
      <c r="I31">
        <f t="shared" ca="1" si="3"/>
        <v>492.57549303946286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51412</v>
      </c>
      <c r="B33" s="66">
        <v>51412</v>
      </c>
      <c r="D33">
        <f t="shared" si="0"/>
        <v>0.24322304118687849</v>
      </c>
      <c r="E33">
        <f t="shared" si="0"/>
        <v>0.24322304118687849</v>
      </c>
      <c r="G33">
        <f t="shared" ca="1" si="1"/>
        <v>31</v>
      </c>
      <c r="H33">
        <f t="shared" ca="1" si="2"/>
        <v>7.5399142767932332</v>
      </c>
      <c r="I33">
        <f t="shared" ca="1" si="3"/>
        <v>470.72849348117347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65707</v>
      </c>
      <c r="B36" s="66">
        <v>65707</v>
      </c>
      <c r="D36">
        <f t="shared" si="0"/>
        <v>0.3108507034790754</v>
      </c>
      <c r="E36">
        <f t="shared" si="0"/>
        <v>0.3108507034790754</v>
      </c>
      <c r="G36">
        <f t="shared" ca="1" si="1"/>
        <v>34</v>
      </c>
      <c r="H36">
        <f t="shared" ca="1" si="2"/>
        <v>10.568923918288563</v>
      </c>
      <c r="I36">
        <f t="shared" ca="1" si="3"/>
        <v>522.35983220436844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63342</v>
      </c>
      <c r="B39" s="66">
        <v>63342</v>
      </c>
      <c r="D39">
        <f t="shared" si="0"/>
        <v>0.29966221650313657</v>
      </c>
      <c r="E39">
        <f t="shared" si="0"/>
        <v>0.29966221650313657</v>
      </c>
      <c r="G39">
        <f t="shared" ca="1" si="1"/>
        <v>37</v>
      </c>
      <c r="H39">
        <f t="shared" ca="1" si="2"/>
        <v>11.087502010616053</v>
      </c>
      <c r="I39">
        <f t="shared" ca="1" si="3"/>
        <v>432.55123816303319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73684</v>
      </c>
      <c r="B41" s="66">
        <v>73684</v>
      </c>
      <c r="D41">
        <f t="shared" si="0"/>
        <v>0.34858878407402849</v>
      </c>
      <c r="E41">
        <f t="shared" si="0"/>
        <v>0.34858878407402849</v>
      </c>
      <c r="G41">
        <f t="shared" ca="1" si="1"/>
        <v>39</v>
      </c>
      <c r="H41">
        <f t="shared" ca="1" si="2"/>
        <v>13.594962578887111</v>
      </c>
      <c r="I41">
        <f t="shared" ca="1" si="3"/>
        <v>451.59363270517565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88201</v>
      </c>
      <c r="B44" s="66">
        <v>88201</v>
      </c>
      <c r="D44">
        <f t="shared" si="0"/>
        <v>0.41726669757496049</v>
      </c>
      <c r="E44">
        <f t="shared" si="0"/>
        <v>0.41726669757496049</v>
      </c>
      <c r="G44">
        <f t="shared" ca="1" si="1"/>
        <v>42</v>
      </c>
      <c r="H44">
        <f t="shared" ca="1" si="2"/>
        <v>17.525201298148339</v>
      </c>
      <c r="I44">
        <f t="shared" ca="1" si="3"/>
        <v>454.20874596995327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105670</v>
      </c>
      <c r="B46" s="66">
        <v>105670</v>
      </c>
      <c r="D46">
        <f t="shared" si="0"/>
        <v>0.49991011363528842</v>
      </c>
      <c r="E46">
        <f t="shared" si="0"/>
        <v>0.49991011363528842</v>
      </c>
      <c r="G46">
        <f t="shared" ca="1" si="1"/>
        <v>44</v>
      </c>
      <c r="H46">
        <f t="shared" ca="1" si="2"/>
        <v>21.996044999952691</v>
      </c>
      <c r="I46">
        <f t="shared" ca="1" si="3"/>
        <v>480.1945095859499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110789</v>
      </c>
      <c r="B49" s="66">
        <v>110789</v>
      </c>
      <c r="D49">
        <f t="shared" si="0"/>
        <v>0.52412739263310282</v>
      </c>
      <c r="E49">
        <f t="shared" si="0"/>
        <v>0.52412739263310282</v>
      </c>
      <c r="G49">
        <f t="shared" ca="1" si="1"/>
        <v>47</v>
      </c>
      <c r="H49">
        <f t="shared" ca="1" si="2"/>
        <v>24.633987453755832</v>
      </c>
      <c r="I49">
        <f t="shared" ca="1" si="3"/>
        <v>410.70838571171134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125499</v>
      </c>
      <c r="B51" s="66">
        <v>125499</v>
      </c>
      <c r="D51">
        <f t="shared" si="0"/>
        <v>0.59371836236505215</v>
      </c>
      <c r="E51">
        <f t="shared" si="0"/>
        <v>0.59371836236505215</v>
      </c>
      <c r="G51">
        <f t="shared" ca="1" si="1"/>
        <v>49</v>
      </c>
      <c r="H51">
        <f t="shared" ca="1" si="2"/>
        <v>29.092199755887556</v>
      </c>
      <c r="I51">
        <f t="shared" ca="1" si="3"/>
        <v>401.13536402650465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144660</v>
      </c>
      <c r="B54" s="66">
        <v>144660</v>
      </c>
      <c r="D54">
        <f t="shared" si="0"/>
        <v>0.68436639574600955</v>
      </c>
      <c r="E54">
        <f t="shared" si="0"/>
        <v>0.68436639574600955</v>
      </c>
      <c r="G54">
        <f t="shared" ca="1" si="1"/>
        <v>52</v>
      </c>
      <c r="H54">
        <f t="shared" ca="1" si="2"/>
        <v>35.587052578792495</v>
      </c>
      <c r="I54">
        <f t="shared" ca="1" si="3"/>
        <v>361.80728384953977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155232</v>
      </c>
      <c r="B57" s="66">
        <v>155232</v>
      </c>
      <c r="D57">
        <f t="shared" si="0"/>
        <v>0.73438106141604143</v>
      </c>
      <c r="E57">
        <f t="shared" si="0"/>
        <v>0.73438106141604143</v>
      </c>
      <c r="G57">
        <f t="shared" ca="1" si="1"/>
        <v>55</v>
      </c>
      <c r="H57">
        <f t="shared" ca="1" si="2"/>
        <v>40.390958377882278</v>
      </c>
      <c r="I57">
        <f t="shared" ca="1" si="3"/>
        <v>293.54477451367416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170150</v>
      </c>
      <c r="B59" s="66">
        <v>170150</v>
      </c>
      <c r="D59">
        <f t="shared" si="0"/>
        <v>0.80495605029851736</v>
      </c>
      <c r="E59">
        <f t="shared" si="0"/>
        <v>0.80495605029851736</v>
      </c>
      <c r="G59">
        <f t="shared" ca="1" si="1"/>
        <v>57</v>
      </c>
      <c r="H59">
        <f t="shared" ca="1" si="2"/>
        <v>45.882494867015488</v>
      </c>
      <c r="I59">
        <f t="shared" ca="1" si="3"/>
        <v>260.6009193733413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167187</v>
      </c>
      <c r="B62" s="66">
        <v>167187</v>
      </c>
      <c r="D62">
        <f t="shared" si="0"/>
        <v>0.79093850826481471</v>
      </c>
      <c r="E62">
        <f t="shared" si="0"/>
        <v>0.79093850826481471</v>
      </c>
      <c r="G62">
        <f t="shared" ca="1" si="1"/>
        <v>60</v>
      </c>
      <c r="H62">
        <f t="shared" ca="1" si="2"/>
        <v>47.456310495888886</v>
      </c>
      <c r="I62">
        <f t="shared" ca="1" si="3"/>
        <v>177.79344277063143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179709</v>
      </c>
      <c r="B64" s="66">
        <v>179709</v>
      </c>
      <c r="D64">
        <f t="shared" si="0"/>
        <v>0.85017835347103299</v>
      </c>
      <c r="E64">
        <f t="shared" si="0"/>
        <v>0.85017835347103299</v>
      </c>
      <c r="G64">
        <f t="shared" ca="1" si="1"/>
        <v>62</v>
      </c>
      <c r="H64">
        <f t="shared" ca="1" si="2"/>
        <v>52.711057915204044</v>
      </c>
      <c r="I64">
        <f t="shared" ca="1" si="3"/>
        <v>143.52390159142885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194678</v>
      </c>
      <c r="B67" s="66">
        <v>194678</v>
      </c>
      <c r="D67">
        <f t="shared" ref="D67:E130" si="4">IFERROR( A67/MAX(A$2:A$257), 0 )</f>
        <v>0.92099461627983992</v>
      </c>
      <c r="E67">
        <f t="shared" si="4"/>
        <v>0.92099461627983992</v>
      </c>
      <c r="G67">
        <f t="shared" ref="G67:G130" ca="1" si="5">CELL("row",D67)-2</f>
        <v>65</v>
      </c>
      <c r="H67">
        <f t="shared" ref="H67:H130" ca="1" si="6">D67*G67</f>
        <v>59.864650058189596</v>
      </c>
      <c r="I67">
        <f t="shared" ref="I67:I130" ca="1" si="7">D67*((G67-$L$1)^2)</f>
        <v>91.969276645269673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194433</v>
      </c>
      <c r="B69" s="66">
        <v>194433</v>
      </c>
      <c r="D69">
        <f t="shared" si="4"/>
        <v>0.91983555526119087</v>
      </c>
      <c r="E69">
        <f t="shared" si="4"/>
        <v>0.91983555526119087</v>
      </c>
      <c r="G69">
        <f t="shared" ca="1" si="5"/>
        <v>67</v>
      </c>
      <c r="H69">
        <f t="shared" ca="1" si="6"/>
        <v>61.628982202499792</v>
      </c>
      <c r="I69">
        <f t="shared" ca="1" si="7"/>
        <v>58.765467815488677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195918</v>
      </c>
      <c r="B72" s="66">
        <v>195918</v>
      </c>
      <c r="D72">
        <f t="shared" si="4"/>
        <v>0.92686088429259428</v>
      </c>
      <c r="E72">
        <f t="shared" si="4"/>
        <v>0.92686088429259428</v>
      </c>
      <c r="G72">
        <f t="shared" ca="1" si="5"/>
        <v>70</v>
      </c>
      <c r="H72">
        <f t="shared" ca="1" si="6"/>
        <v>64.880261900481599</v>
      </c>
      <c r="I72">
        <f t="shared" ca="1" si="7"/>
        <v>23.106038175214088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209623</v>
      </c>
      <c r="B75" s="66">
        <v>209623</v>
      </c>
      <c r="D75">
        <f t="shared" si="4"/>
        <v>0.99169733841743224</v>
      </c>
      <c r="E75">
        <f t="shared" si="4"/>
        <v>0.99169733841743224</v>
      </c>
      <c r="G75">
        <f t="shared" ca="1" si="5"/>
        <v>73</v>
      </c>
      <c r="H75">
        <f t="shared" ca="1" si="6"/>
        <v>72.393905704472559</v>
      </c>
      <c r="I75">
        <f t="shared" ca="1" si="7"/>
        <v>3.9387932117843896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211378</v>
      </c>
      <c r="B77" s="66">
        <v>211378</v>
      </c>
      <c r="D77">
        <f t="shared" si="4"/>
        <v>1</v>
      </c>
      <c r="E77">
        <f t="shared" si="4"/>
        <v>1</v>
      </c>
      <c r="G77">
        <f t="shared" ca="1" si="5"/>
        <v>75</v>
      </c>
      <c r="H77">
        <f t="shared" ca="1" si="6"/>
        <v>75</v>
      </c>
      <c r="I77">
        <f t="shared" ca="1" si="7"/>
        <v>4.9986728155810915E-5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210439</v>
      </c>
      <c r="B80" s="66">
        <v>210439</v>
      </c>
      <c r="D80">
        <f t="shared" si="4"/>
        <v>0.99555772123872877</v>
      </c>
      <c r="E80">
        <f t="shared" si="4"/>
        <v>0.99555772123872877</v>
      </c>
      <c r="G80">
        <f t="shared" ca="1" si="5"/>
        <v>78</v>
      </c>
      <c r="H80">
        <f t="shared" ca="1" si="6"/>
        <v>77.65350225662084</v>
      </c>
      <c r="I80">
        <f t="shared" ca="1" si="7"/>
        <v>9.0023015866415435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201539</v>
      </c>
      <c r="B82" s="66">
        <v>201539</v>
      </c>
      <c r="D82">
        <f t="shared" si="4"/>
        <v>0.95345305566331406</v>
      </c>
      <c r="E82">
        <f t="shared" si="4"/>
        <v>0.95345305566331406</v>
      </c>
      <c r="G82">
        <f t="shared" ca="1" si="5"/>
        <v>80</v>
      </c>
      <c r="H82">
        <f t="shared" ca="1" si="6"/>
        <v>76.276244453065118</v>
      </c>
      <c r="I82">
        <f t="shared" ca="1" si="7"/>
        <v>23.903784415321905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207929</v>
      </c>
      <c r="B85" s="66">
        <v>207929</v>
      </c>
      <c r="D85">
        <f t="shared" si="4"/>
        <v>0.98368325937420165</v>
      </c>
      <c r="E85">
        <f t="shared" si="4"/>
        <v>0.98368325937420165</v>
      </c>
      <c r="G85">
        <f t="shared" ca="1" si="5"/>
        <v>83</v>
      </c>
      <c r="H85">
        <f t="shared" ca="1" si="6"/>
        <v>81.645710528058743</v>
      </c>
      <c r="I85">
        <f t="shared" ca="1" si="7"/>
        <v>63.067054056219597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208516</v>
      </c>
      <c r="B88" s="66">
        <v>208516</v>
      </c>
      <c r="D88">
        <f t="shared" si="4"/>
        <v>0.98646027495765876</v>
      </c>
      <c r="E88">
        <f t="shared" si="4"/>
        <v>0.98646027495765876</v>
      </c>
      <c r="G88">
        <f t="shared" ca="1" si="5"/>
        <v>86</v>
      </c>
      <c r="H88">
        <f t="shared" ca="1" si="6"/>
        <v>84.835583646358657</v>
      </c>
      <c r="I88">
        <f t="shared" ca="1" si="7"/>
        <v>119.51517941680009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184756</v>
      </c>
      <c r="B90" s="66">
        <v>184756</v>
      </c>
      <c r="D90">
        <f t="shared" si="4"/>
        <v>0.87405501045520351</v>
      </c>
      <c r="E90">
        <f t="shared" si="4"/>
        <v>0.87405501045520351</v>
      </c>
      <c r="G90">
        <f t="shared" ca="1" si="5"/>
        <v>88</v>
      </c>
      <c r="H90">
        <f t="shared" ca="1" si="6"/>
        <v>76.916840920057908</v>
      </c>
      <c r="I90">
        <f t="shared" ca="1" si="7"/>
        <v>147.87601218823778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177492</v>
      </c>
      <c r="B93" s="66">
        <v>177492</v>
      </c>
      <c r="D93">
        <f t="shared" si="4"/>
        <v>0.83969003396758413</v>
      </c>
      <c r="E93">
        <f t="shared" si="4"/>
        <v>0.83969003396758413</v>
      </c>
      <c r="G93">
        <f t="shared" ca="1" si="5"/>
        <v>91</v>
      </c>
      <c r="H93">
        <f t="shared" ca="1" si="6"/>
        <v>76.411793091050157</v>
      </c>
      <c r="I93">
        <f t="shared" ca="1" si="7"/>
        <v>215.15066561633571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176324</v>
      </c>
      <c r="B95" s="66">
        <v>176324</v>
      </c>
      <c r="D95">
        <f t="shared" si="4"/>
        <v>0.83416438796847359</v>
      </c>
      <c r="E95">
        <f t="shared" si="4"/>
        <v>0.83416438796847359</v>
      </c>
      <c r="G95">
        <f t="shared" ca="1" si="5"/>
        <v>93</v>
      </c>
      <c r="H95">
        <f t="shared" ca="1" si="6"/>
        <v>77.577288081068048</v>
      </c>
      <c r="I95">
        <f t="shared" ca="1" si="7"/>
        <v>270.48161880148206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172926</v>
      </c>
      <c r="B98" s="66">
        <v>172926</v>
      </c>
      <c r="D98">
        <f t="shared" si="4"/>
        <v>0.81808892126900623</v>
      </c>
      <c r="E98">
        <f t="shared" si="4"/>
        <v>0.81808892126900623</v>
      </c>
      <c r="G98">
        <f t="shared" ca="1" si="5"/>
        <v>96</v>
      </c>
      <c r="H98">
        <f t="shared" ca="1" si="6"/>
        <v>78.536536441824595</v>
      </c>
      <c r="I98">
        <f t="shared" ca="1" si="7"/>
        <v>361.02018293981968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161807</v>
      </c>
      <c r="B100" s="66">
        <v>161807</v>
      </c>
      <c r="D100">
        <f t="shared" si="4"/>
        <v>0.76548647446754159</v>
      </c>
      <c r="E100">
        <f t="shared" si="4"/>
        <v>0.76548647446754159</v>
      </c>
      <c r="G100">
        <f t="shared" ca="1" si="5"/>
        <v>98</v>
      </c>
      <c r="H100">
        <f t="shared" ca="1" si="6"/>
        <v>75.017674497819073</v>
      </c>
      <c r="I100">
        <f t="shared" ca="1" si="7"/>
        <v>405.19133932127494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134818</v>
      </c>
      <c r="B103" s="66">
        <v>134818</v>
      </c>
      <c r="D103">
        <f t="shared" si="4"/>
        <v>0.63780525882542172</v>
      </c>
      <c r="E103">
        <f t="shared" si="4"/>
        <v>0.63780525882542172</v>
      </c>
      <c r="G103">
        <f t="shared" ca="1" si="5"/>
        <v>101</v>
      </c>
      <c r="H103">
        <f t="shared" ca="1" si="6"/>
        <v>64.418331141367588</v>
      </c>
      <c r="I103">
        <f t="shared" ca="1" si="7"/>
        <v>431.3908738611031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119573</v>
      </c>
      <c r="B106" s="66">
        <v>119573</v>
      </c>
      <c r="D106">
        <f t="shared" si="4"/>
        <v>0.56568327829764686</v>
      </c>
      <c r="E106">
        <f t="shared" si="4"/>
        <v>0.56568327829764686</v>
      </c>
      <c r="G106">
        <f t="shared" ca="1" si="5"/>
        <v>104</v>
      </c>
      <c r="H106">
        <f t="shared" ca="1" si="6"/>
        <v>58.831060942955276</v>
      </c>
      <c r="I106">
        <f t="shared" ca="1" si="7"/>
        <v>475.97163365198321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99473</v>
      </c>
      <c r="B108" s="66">
        <v>99473</v>
      </c>
      <c r="D108">
        <f t="shared" si="4"/>
        <v>0.47059296615541824</v>
      </c>
      <c r="E108">
        <f t="shared" si="4"/>
        <v>0.47059296615541824</v>
      </c>
      <c r="G108">
        <f t="shared" ca="1" si="5"/>
        <v>106</v>
      </c>
      <c r="H108">
        <f t="shared" ca="1" si="6"/>
        <v>49.88285441247433</v>
      </c>
      <c r="I108">
        <f t="shared" ca="1" si="7"/>
        <v>452.44614749176361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96829</v>
      </c>
      <c r="B111" s="66">
        <v>96829</v>
      </c>
      <c r="D111">
        <f t="shared" si="4"/>
        <v>0.4580845688766097</v>
      </c>
      <c r="E111">
        <f t="shared" si="4"/>
        <v>0.4580845688766097</v>
      </c>
      <c r="G111">
        <f t="shared" ca="1" si="5"/>
        <v>109</v>
      </c>
      <c r="H111">
        <f t="shared" ca="1" si="6"/>
        <v>49.931218007550456</v>
      </c>
      <c r="I111">
        <f t="shared" ca="1" si="7"/>
        <v>529.76601728414664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79324</v>
      </c>
      <c r="B113" s="66">
        <v>79324</v>
      </c>
      <c r="D113">
        <f t="shared" si="4"/>
        <v>0.37527084180945985</v>
      </c>
      <c r="E113">
        <f t="shared" si="4"/>
        <v>0.37527084180945985</v>
      </c>
      <c r="G113">
        <f t="shared" ca="1" si="5"/>
        <v>111</v>
      </c>
      <c r="H113">
        <f t="shared" ca="1" si="6"/>
        <v>41.655063440850043</v>
      </c>
      <c r="I113">
        <f t="shared" ca="1" si="7"/>
        <v>486.54206110624631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66151</v>
      </c>
      <c r="B116" s="66">
        <v>66151</v>
      </c>
      <c r="D116">
        <f t="shared" si="4"/>
        <v>0.31295120589654551</v>
      </c>
      <c r="E116">
        <f t="shared" si="4"/>
        <v>0.31295120589654551</v>
      </c>
      <c r="G116">
        <f t="shared" ca="1" si="5"/>
        <v>114</v>
      </c>
      <c r="H116">
        <f t="shared" ca="1" si="6"/>
        <v>35.676437472206189</v>
      </c>
      <c r="I116">
        <f t="shared" ca="1" si="7"/>
        <v>476.17138304001315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58290</v>
      </c>
      <c r="B118" s="66">
        <v>58290</v>
      </c>
      <c r="D118">
        <f t="shared" si="4"/>
        <v>0.27576190521246297</v>
      </c>
      <c r="E118">
        <f t="shared" si="4"/>
        <v>0.27576190521246297</v>
      </c>
      <c r="G118">
        <f t="shared" ca="1" si="5"/>
        <v>116</v>
      </c>
      <c r="H118">
        <f t="shared" ca="1" si="6"/>
        <v>31.988381004645703</v>
      </c>
      <c r="I118">
        <f t="shared" ca="1" si="7"/>
        <v>463.71564957704618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48882</v>
      </c>
      <c r="B121" s="66">
        <v>48882</v>
      </c>
      <c r="D121">
        <f t="shared" si="4"/>
        <v>0.23125396209633925</v>
      </c>
      <c r="E121">
        <f t="shared" si="4"/>
        <v>0.23125396209633925</v>
      </c>
      <c r="G121">
        <f t="shared" ca="1" si="5"/>
        <v>119</v>
      </c>
      <c r="H121">
        <f t="shared" ca="1" si="6"/>
        <v>27.519221489464371</v>
      </c>
      <c r="I121">
        <f t="shared" ca="1" si="7"/>
        <v>447.85156177426518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40443</v>
      </c>
      <c r="B124" s="66">
        <v>40443</v>
      </c>
      <c r="D124">
        <f t="shared" si="4"/>
        <v>0.19133022358050505</v>
      </c>
      <c r="E124">
        <f t="shared" si="4"/>
        <v>0.19133022358050505</v>
      </c>
      <c r="G124">
        <f t="shared" ca="1" si="5"/>
        <v>122</v>
      </c>
      <c r="H124">
        <f t="shared" ca="1" si="6"/>
        <v>23.342287276821615</v>
      </c>
      <c r="I124">
        <f t="shared" ca="1" si="7"/>
        <v>422.77563001855322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36391</v>
      </c>
      <c r="B126" s="66">
        <v>36391</v>
      </c>
      <c r="D126">
        <f t="shared" si="4"/>
        <v>0.17216077359043988</v>
      </c>
      <c r="E126">
        <f t="shared" si="4"/>
        <v>0.17216077359043988</v>
      </c>
      <c r="G126">
        <f t="shared" ca="1" si="5"/>
        <v>124</v>
      </c>
      <c r="H126">
        <f t="shared" ca="1" si="6"/>
        <v>21.347935925214546</v>
      </c>
      <c r="I126">
        <f t="shared" ca="1" si="7"/>
        <v>413.47731149131346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32094</v>
      </c>
      <c r="B129" s="66">
        <v>32094</v>
      </c>
      <c r="D129">
        <f t="shared" si="4"/>
        <v>0.15183226258172564</v>
      </c>
      <c r="E129">
        <f t="shared" si="4"/>
        <v>0.15183226258172564</v>
      </c>
      <c r="G129">
        <f t="shared" ca="1" si="5"/>
        <v>127</v>
      </c>
      <c r="H129">
        <f t="shared" ca="1" si="6"/>
        <v>19.282697347879157</v>
      </c>
      <c r="I129">
        <f t="shared" ca="1" si="7"/>
        <v>410.66608687815216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26948</v>
      </c>
      <c r="B131" s="66">
        <v>26948</v>
      </c>
      <c r="D131">
        <f t="shared" ref="D131:E194" si="8">IFERROR( A131/MAX(A$2:A$257), 0 )</f>
        <v>0.12748725032879485</v>
      </c>
      <c r="E131">
        <f t="shared" si="8"/>
        <v>0.12748725032879485</v>
      </c>
      <c r="G131">
        <f t="shared" ref="G131:G194" ca="1" si="9">CELL("row",D131)-2</f>
        <v>129</v>
      </c>
      <c r="H131">
        <f t="shared" ref="H131:H194" ca="1" si="10">D131*G131</f>
        <v>16.445855292414535</v>
      </c>
      <c r="I131">
        <f t="shared" ref="I131:I194" ca="1" si="11">D131*((G131-$L$1)^2)</f>
        <v>371.85017427642168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20711</v>
      </c>
      <c r="B134" s="66">
        <v>20711</v>
      </c>
      <c r="D134">
        <f t="shared" si="8"/>
        <v>9.7980868396900345E-2</v>
      </c>
      <c r="E134">
        <f t="shared" si="8"/>
        <v>9.7980868396900345E-2</v>
      </c>
      <c r="G134">
        <f t="shared" ca="1" si="9"/>
        <v>132</v>
      </c>
      <c r="H134">
        <f t="shared" ca="1" si="10"/>
        <v>12.933474628390845</v>
      </c>
      <c r="I134">
        <f t="shared" ca="1" si="11"/>
        <v>318.41881838371171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16629</v>
      </c>
      <c r="B136" s="66">
        <v>16629</v>
      </c>
      <c r="D136">
        <f t="shared" si="8"/>
        <v>7.8669492567816898E-2</v>
      </c>
      <c r="E136">
        <f t="shared" si="8"/>
        <v>7.8669492567816898E-2</v>
      </c>
      <c r="G136">
        <f t="shared" ca="1" si="9"/>
        <v>134</v>
      </c>
      <c r="H136">
        <f t="shared" ca="1" si="10"/>
        <v>10.541712004087465</v>
      </c>
      <c r="I136">
        <f t="shared" ca="1" si="11"/>
        <v>273.91413957205572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10809</v>
      </c>
      <c r="B139" s="66">
        <v>10809</v>
      </c>
      <c r="D139">
        <f t="shared" si="8"/>
        <v>5.1135879798276072E-2</v>
      </c>
      <c r="E139">
        <f t="shared" si="8"/>
        <v>5.1135879798276072E-2</v>
      </c>
      <c r="G139">
        <f t="shared" ca="1" si="9"/>
        <v>137</v>
      </c>
      <c r="H139">
        <f t="shared" ca="1" si="10"/>
        <v>7.0056155323638221</v>
      </c>
      <c r="I139">
        <f t="shared" ca="1" si="11"/>
        <v>196.61115512358882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10092</v>
      </c>
      <c r="B142" s="66">
        <v>10092</v>
      </c>
      <c r="D142">
        <f t="shared" si="8"/>
        <v>4.7743852245739862E-2</v>
      </c>
      <c r="E142">
        <f t="shared" si="8"/>
        <v>4.7743852245739862E-2</v>
      </c>
      <c r="G142">
        <f t="shared" ca="1" si="9"/>
        <v>140</v>
      </c>
      <c r="H142">
        <f t="shared" ca="1" si="10"/>
        <v>6.6841393144035806</v>
      </c>
      <c r="I142">
        <f t="shared" ca="1" si="11"/>
        <v>201.76166030186386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6628</v>
      </c>
      <c r="B144" s="66">
        <v>6628</v>
      </c>
      <c r="D144">
        <f t="shared" si="8"/>
        <v>3.13561487004324E-2</v>
      </c>
      <c r="E144">
        <f t="shared" si="8"/>
        <v>3.13561487004324E-2</v>
      </c>
      <c r="G144">
        <f t="shared" ca="1" si="9"/>
        <v>142</v>
      </c>
      <c r="H144">
        <f t="shared" ca="1" si="10"/>
        <v>4.4525731154614006</v>
      </c>
      <c r="I144">
        <f t="shared" ca="1" si="11"/>
        <v>140.78745981502263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8309</v>
      </c>
      <c r="B147" s="66">
        <v>8309</v>
      </c>
      <c r="D147">
        <f t="shared" si="8"/>
        <v>3.9308726546755102E-2</v>
      </c>
      <c r="E147">
        <f t="shared" si="8"/>
        <v>3.9308726546755102E-2</v>
      </c>
      <c r="G147">
        <f t="shared" ca="1" si="9"/>
        <v>145</v>
      </c>
      <c r="H147">
        <f t="shared" ca="1" si="10"/>
        <v>5.69976534927949</v>
      </c>
      <c r="I147">
        <f t="shared" ca="1" si="11"/>
        <v>192.65167053305379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5724</v>
      </c>
      <c r="B149" s="66">
        <v>5724</v>
      </c>
      <c r="D149">
        <f t="shared" si="8"/>
        <v>2.7079450084682419E-2</v>
      </c>
      <c r="E149">
        <f t="shared" si="8"/>
        <v>2.7079450084682419E-2</v>
      </c>
      <c r="G149">
        <f t="shared" ca="1" si="9"/>
        <v>147</v>
      </c>
      <c r="H149">
        <f t="shared" ca="1" si="10"/>
        <v>3.9806791624483155</v>
      </c>
      <c r="I149">
        <f t="shared" ca="1" si="11"/>
        <v>140.40744014330176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5303</v>
      </c>
      <c r="B152" s="66">
        <v>5303</v>
      </c>
      <c r="D152">
        <f t="shared" si="8"/>
        <v>2.5087757477126285E-2</v>
      </c>
      <c r="E152">
        <f t="shared" si="8"/>
        <v>2.5087757477126285E-2</v>
      </c>
      <c r="G152">
        <f t="shared" ca="1" si="9"/>
        <v>150</v>
      </c>
      <c r="H152">
        <f t="shared" ca="1" si="10"/>
        <v>3.7631636215689426</v>
      </c>
      <c r="I152">
        <f t="shared" ca="1" si="11"/>
        <v>141.14524311622844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3082</v>
      </c>
      <c r="B154" s="66">
        <v>3082</v>
      </c>
      <c r="D154">
        <f t="shared" si="8"/>
        <v>1.4580514528475055E-2</v>
      </c>
      <c r="E154">
        <f t="shared" si="8"/>
        <v>1.4580514528475055E-2</v>
      </c>
      <c r="G154">
        <f t="shared" ca="1" si="9"/>
        <v>152</v>
      </c>
      <c r="H154">
        <f t="shared" ca="1" si="10"/>
        <v>2.2162382083282082</v>
      </c>
      <c r="I154">
        <f t="shared" ca="1" si="11"/>
        <v>86.463746631073377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1929</v>
      </c>
      <c r="B157" s="66">
        <v>1929</v>
      </c>
      <c r="D157">
        <f t="shared" si="8"/>
        <v>9.1258314488735816E-3</v>
      </c>
      <c r="E157">
        <f t="shared" si="8"/>
        <v>9.1258314488735816E-3</v>
      </c>
      <c r="G157">
        <f t="shared" ca="1" si="9"/>
        <v>155</v>
      </c>
      <c r="H157">
        <f t="shared" ca="1" si="10"/>
        <v>1.4145038745754051</v>
      </c>
      <c r="I157">
        <f t="shared" ca="1" si="11"/>
        <v>58.415645058274727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1583</v>
      </c>
      <c r="B160" s="66">
        <v>1583</v>
      </c>
      <c r="D160">
        <f t="shared" si="8"/>
        <v>7.4889534388630791E-3</v>
      </c>
      <c r="E160">
        <f t="shared" si="8"/>
        <v>7.4889534388630791E-3</v>
      </c>
      <c r="G160">
        <f t="shared" ca="1" si="9"/>
        <v>158</v>
      </c>
      <c r="H160">
        <f t="shared" ca="1" si="10"/>
        <v>1.1832546433403666</v>
      </c>
      <c r="I160">
        <f t="shared" ca="1" si="11"/>
        <v>51.600189960938025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1073</v>
      </c>
      <c r="B162" s="66">
        <v>1073</v>
      </c>
      <c r="D162">
        <f t="shared" si="8"/>
        <v>5.0762141755528014E-3</v>
      </c>
      <c r="E162">
        <f t="shared" si="8"/>
        <v>5.0762141755528014E-3</v>
      </c>
      <c r="G162">
        <f t="shared" ca="1" si="9"/>
        <v>160</v>
      </c>
      <c r="H162">
        <f t="shared" ca="1" si="10"/>
        <v>0.81219426808844819</v>
      </c>
      <c r="I162">
        <f t="shared" ca="1" si="11"/>
        <v>36.681748885500241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652</v>
      </c>
      <c r="B165" s="66">
        <v>652</v>
      </c>
      <c r="D165">
        <f t="shared" si="8"/>
        <v>3.0845215679966695E-3</v>
      </c>
      <c r="E165">
        <f t="shared" si="8"/>
        <v>3.0845215679966695E-3</v>
      </c>
      <c r="G165">
        <f t="shared" ca="1" si="9"/>
        <v>163</v>
      </c>
      <c r="H165">
        <f t="shared" ca="1" si="10"/>
        <v>0.50277701558345711</v>
      </c>
      <c r="I165">
        <f t="shared" ca="1" si="11"/>
        <v>23.890373378816424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431</v>
      </c>
      <c r="B167" s="66">
        <v>431</v>
      </c>
      <c r="D167">
        <f t="shared" si="8"/>
        <v>2.0390012205622155E-3</v>
      </c>
      <c r="E167">
        <f t="shared" si="8"/>
        <v>2.0390012205622155E-3</v>
      </c>
      <c r="G167">
        <f t="shared" ca="1" si="9"/>
        <v>165</v>
      </c>
      <c r="H167">
        <f t="shared" ca="1" si="10"/>
        <v>0.33643520139276556</v>
      </c>
      <c r="I167">
        <f t="shared" ca="1" si="11"/>
        <v>16.51850486888172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60</v>
      </c>
      <c r="B170" s="66">
        <v>60</v>
      </c>
      <c r="D170">
        <f t="shared" si="8"/>
        <v>2.838516780365033E-4</v>
      </c>
      <c r="E170">
        <f t="shared" si="8"/>
        <v>2.838516780365033E-4</v>
      </c>
      <c r="G170">
        <f t="shared" ca="1" si="9"/>
        <v>168</v>
      </c>
      <c r="H170">
        <f t="shared" ca="1" si="10"/>
        <v>4.7687081910132552E-2</v>
      </c>
      <c r="I170">
        <f t="shared" ca="1" si="11"/>
        <v>2.4554064549861532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0</v>
      </c>
      <c r="B173" s="66">
        <v>0</v>
      </c>
      <c r="D173">
        <f t="shared" si="8"/>
        <v>0</v>
      </c>
      <c r="E173">
        <f t="shared" si="8"/>
        <v>0</v>
      </c>
      <c r="G173">
        <f t="shared" ca="1" si="9"/>
        <v>171</v>
      </c>
      <c r="H173">
        <f t="shared" ca="1" si="10"/>
        <v>0</v>
      </c>
      <c r="I173">
        <f t="shared" ca="1" si="11"/>
        <v>0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0</v>
      </c>
      <c r="B175" s="66">
        <v>0</v>
      </c>
      <c r="D175">
        <f t="shared" si="8"/>
        <v>0</v>
      </c>
      <c r="E175">
        <f t="shared" si="8"/>
        <v>0</v>
      </c>
      <c r="G175">
        <f t="shared" ca="1" si="9"/>
        <v>173</v>
      </c>
      <c r="H175">
        <f t="shared" ca="1" si="10"/>
        <v>0</v>
      </c>
      <c r="I175">
        <f t="shared" ca="1" si="11"/>
        <v>0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0</v>
      </c>
      <c r="B178" s="66">
        <v>0</v>
      </c>
      <c r="D178">
        <f t="shared" si="8"/>
        <v>0</v>
      </c>
      <c r="E178">
        <f t="shared" si="8"/>
        <v>0</v>
      </c>
      <c r="G178">
        <f t="shared" ca="1" si="9"/>
        <v>176</v>
      </c>
      <c r="H178">
        <f t="shared" ca="1" si="10"/>
        <v>0</v>
      </c>
      <c r="I178">
        <f t="shared" ca="1" si="11"/>
        <v>0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350</v>
      </c>
      <c r="B1" s="66" t="s">
        <v>351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67.561154068140866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1.304436319806374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0.54095850604985096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4583</v>
      </c>
      <c r="B8" s="66">
        <v>4583</v>
      </c>
      <c r="D8">
        <f t="shared" si="0"/>
        <v>5.2673922787821672</v>
      </c>
      <c r="E8">
        <f t="shared" si="1"/>
        <v>5.2673922787821672</v>
      </c>
      <c r="G8">
        <f t="shared" ca="1" si="2"/>
        <v>6</v>
      </c>
      <c r="H8">
        <f t="shared" ca="1" si="3"/>
        <v>31.604353672693001</v>
      </c>
      <c r="I8">
        <f t="shared" ca="1" si="4"/>
        <v>19962.235208883088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6924</v>
      </c>
      <c r="B10" s="66">
        <v>6924</v>
      </c>
      <c r="D10">
        <f t="shared" si="0"/>
        <v>7.9579803923822219</v>
      </c>
      <c r="E10">
        <f t="shared" si="1"/>
        <v>7.9579803923822219</v>
      </c>
      <c r="G10">
        <f t="shared" ca="1" si="2"/>
        <v>8</v>
      </c>
      <c r="H10">
        <f t="shared" ca="1" si="3"/>
        <v>63.663843139057775</v>
      </c>
      <c r="I10">
        <f t="shared" ca="1" si="4"/>
        <v>28231.182727692143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8450</v>
      </c>
      <c r="B13" s="66">
        <v>8450</v>
      </c>
      <c r="D13">
        <f t="shared" si="0"/>
        <v>9.7118622639557728</v>
      </c>
      <c r="E13">
        <f t="shared" si="1"/>
        <v>9.7118622639557728</v>
      </c>
      <c r="G13">
        <f t="shared" ca="1" si="2"/>
        <v>11</v>
      </c>
      <c r="H13">
        <f t="shared" ca="1" si="3"/>
        <v>106.83048490351351</v>
      </c>
      <c r="I13">
        <f t="shared" ca="1" si="4"/>
        <v>31069.841579923141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12635</v>
      </c>
      <c r="B15" s="66">
        <v>12635</v>
      </c>
      <c r="D15">
        <f t="shared" si="0"/>
        <v>14.521820083441563</v>
      </c>
      <c r="E15">
        <f t="shared" si="1"/>
        <v>14.521820083441563</v>
      </c>
      <c r="G15">
        <f t="shared" ca="1" si="2"/>
        <v>13</v>
      </c>
      <c r="H15">
        <f t="shared" ca="1" si="3"/>
        <v>188.78366108474032</v>
      </c>
      <c r="I15">
        <f t="shared" ca="1" si="4"/>
        <v>43230.289864701641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15109</v>
      </c>
      <c r="B18" s="66">
        <v>15109</v>
      </c>
      <c r="D18">
        <f t="shared" si="0"/>
        <v>17.365269461077844</v>
      </c>
      <c r="E18">
        <f t="shared" si="1"/>
        <v>17.365269461077844</v>
      </c>
      <c r="G18">
        <f t="shared" ca="1" si="2"/>
        <v>16</v>
      </c>
      <c r="H18">
        <f t="shared" ca="1" si="3"/>
        <v>277.8443113772455</v>
      </c>
      <c r="I18">
        <f t="shared" ca="1" si="4"/>
        <v>46166.482428933072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20901</v>
      </c>
      <c r="B21" s="66">
        <v>20901</v>
      </c>
      <c r="D21">
        <f t="shared" si="0"/>
        <v>24.022205109933683</v>
      </c>
      <c r="E21">
        <f t="shared" si="1"/>
        <v>24.022205109933683</v>
      </c>
      <c r="G21">
        <f t="shared" ca="1" si="2"/>
        <v>19</v>
      </c>
      <c r="H21">
        <f t="shared" ca="1" si="3"/>
        <v>456.42189708873997</v>
      </c>
      <c r="I21">
        <f t="shared" ca="1" si="4"/>
        <v>56648.820198679932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24957</v>
      </c>
      <c r="B23" s="66">
        <v>24957</v>
      </c>
      <c r="D23">
        <f t="shared" si="0"/>
        <v>28.683898996632454</v>
      </c>
      <c r="E23">
        <f t="shared" si="1"/>
        <v>28.683898996632454</v>
      </c>
      <c r="G23">
        <f t="shared" ca="1" si="2"/>
        <v>21</v>
      </c>
      <c r="H23">
        <f t="shared" ca="1" si="3"/>
        <v>602.36187892928149</v>
      </c>
      <c r="I23">
        <f t="shared" ca="1" si="4"/>
        <v>62185.002629671188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26839</v>
      </c>
      <c r="B26" s="66">
        <v>26839</v>
      </c>
      <c r="D26">
        <f t="shared" si="0"/>
        <v>30.846943349385683</v>
      </c>
      <c r="E26">
        <f t="shared" si="1"/>
        <v>30.846943349385683</v>
      </c>
      <c r="G26">
        <f t="shared" ca="1" si="2"/>
        <v>24</v>
      </c>
      <c r="H26">
        <f t="shared" ca="1" si="3"/>
        <v>740.32664038525638</v>
      </c>
      <c r="I26">
        <f t="shared" ca="1" si="4"/>
        <v>58534.362113463023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33898</v>
      </c>
      <c r="B28" s="66">
        <v>33898</v>
      </c>
      <c r="D28">
        <f t="shared" si="0"/>
        <v>38.960083671428734</v>
      </c>
      <c r="E28">
        <f t="shared" si="1"/>
        <v>38.960083671428734</v>
      </c>
      <c r="G28">
        <f t="shared" ca="1" si="2"/>
        <v>26</v>
      </c>
      <c r="H28">
        <f t="shared" ca="1" si="3"/>
        <v>1012.9621754571471</v>
      </c>
      <c r="I28">
        <f t="shared" ca="1" si="4"/>
        <v>67296.902918584368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39199</v>
      </c>
      <c r="B31" s="66">
        <v>39199</v>
      </c>
      <c r="D31">
        <f t="shared" si="0"/>
        <v>45.052696909444066</v>
      </c>
      <c r="E31">
        <f t="shared" si="1"/>
        <v>45.052696909444066</v>
      </c>
      <c r="G31">
        <f t="shared" ca="1" si="2"/>
        <v>29</v>
      </c>
      <c r="H31">
        <f t="shared" ca="1" si="3"/>
        <v>1306.528210373878</v>
      </c>
      <c r="I31">
        <f t="shared" ca="1" si="4"/>
        <v>66991.675471650888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41723</v>
      </c>
      <c r="B33" s="66">
        <v>41723</v>
      </c>
      <c r="D33">
        <f t="shared" si="0"/>
        <v>47.953612927695474</v>
      </c>
      <c r="E33">
        <f t="shared" si="1"/>
        <v>47.953612927695474</v>
      </c>
      <c r="G33">
        <f t="shared" ca="1" si="2"/>
        <v>31</v>
      </c>
      <c r="H33">
        <f t="shared" ca="1" si="3"/>
        <v>1486.5620007585596</v>
      </c>
      <c r="I33">
        <f t="shared" ca="1" si="4"/>
        <v>64100.456932223817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50328</v>
      </c>
      <c r="B36" s="66">
        <v>50328</v>
      </c>
      <c r="D36">
        <f t="shared" si="0"/>
        <v>57.843621777558127</v>
      </c>
      <c r="E36">
        <f t="shared" si="1"/>
        <v>57.843621777558127</v>
      </c>
      <c r="G36">
        <f t="shared" ca="1" si="2"/>
        <v>34</v>
      </c>
      <c r="H36">
        <f t="shared" ca="1" si="3"/>
        <v>1966.6831404369764</v>
      </c>
      <c r="I36">
        <f t="shared" ca="1" si="4"/>
        <v>65152.224841376956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49846</v>
      </c>
      <c r="B39" s="66">
        <v>49846</v>
      </c>
      <c r="D39">
        <f t="shared" si="0"/>
        <v>57.289643362028343</v>
      </c>
      <c r="E39">
        <f t="shared" si="1"/>
        <v>57.289643362028343</v>
      </c>
      <c r="G39">
        <f t="shared" ca="1" si="2"/>
        <v>37</v>
      </c>
      <c r="H39">
        <f t="shared" ca="1" si="3"/>
        <v>2119.7168043950487</v>
      </c>
      <c r="I39">
        <f t="shared" ca="1" si="4"/>
        <v>53507.618170473346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56629</v>
      </c>
      <c r="B41" s="66">
        <v>56629</v>
      </c>
      <c r="D41">
        <f t="shared" si="0"/>
        <v>65.08556782787592</v>
      </c>
      <c r="E41">
        <f t="shared" si="1"/>
        <v>65.08556782787592</v>
      </c>
      <c r="G41">
        <f t="shared" ca="1" si="2"/>
        <v>39</v>
      </c>
      <c r="H41">
        <f t="shared" ca="1" si="3"/>
        <v>2538.3371452871611</v>
      </c>
      <c r="I41">
        <f t="shared" ca="1" si="4"/>
        <v>53092.869969749925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64171</v>
      </c>
      <c r="B44" s="66">
        <v>64171</v>
      </c>
      <c r="D44">
        <f t="shared" si="0"/>
        <v>73.753835898261059</v>
      </c>
      <c r="E44">
        <f t="shared" si="1"/>
        <v>73.753835898261059</v>
      </c>
      <c r="G44">
        <f t="shared" ca="1" si="2"/>
        <v>42</v>
      </c>
      <c r="H44">
        <f t="shared" ca="1" si="3"/>
        <v>3097.6611077269645</v>
      </c>
      <c r="I44">
        <f t="shared" ca="1" si="4"/>
        <v>48188.735321333319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68723</v>
      </c>
      <c r="B46" s="66">
        <v>68723</v>
      </c>
      <c r="D46">
        <f t="shared" si="0"/>
        <v>78.985598859861852</v>
      </c>
      <c r="E46">
        <f t="shared" si="1"/>
        <v>78.985598859861852</v>
      </c>
      <c r="G46">
        <f t="shared" ca="1" si="2"/>
        <v>44</v>
      </c>
      <c r="H46">
        <f t="shared" ca="1" si="3"/>
        <v>3475.3663498339215</v>
      </c>
      <c r="I46">
        <f t="shared" ca="1" si="4"/>
        <v>43847.116024941679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68617</v>
      </c>
      <c r="B49" s="66">
        <v>68617</v>
      </c>
      <c r="D49">
        <f t="shared" si="0"/>
        <v>78.863769581757794</v>
      </c>
      <c r="E49">
        <f t="shared" si="1"/>
        <v>78.863769581757794</v>
      </c>
      <c r="G49">
        <f t="shared" ca="1" si="2"/>
        <v>47</v>
      </c>
      <c r="H49">
        <f t="shared" ca="1" si="3"/>
        <v>3706.5971703426162</v>
      </c>
      <c r="I49">
        <f t="shared" ca="1" si="4"/>
        <v>33340.530556933205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75938</v>
      </c>
      <c r="B51" s="66">
        <v>75938</v>
      </c>
      <c r="D51">
        <f t="shared" si="0"/>
        <v>87.278035100624081</v>
      </c>
      <c r="E51">
        <f t="shared" si="1"/>
        <v>87.278035100624081</v>
      </c>
      <c r="G51">
        <f t="shared" ca="1" si="2"/>
        <v>49</v>
      </c>
      <c r="H51">
        <f t="shared" ca="1" si="3"/>
        <v>4276.6237199305797</v>
      </c>
      <c r="I51">
        <f t="shared" ca="1" si="4"/>
        <v>30068.717972846742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79058</v>
      </c>
      <c r="B54" s="66">
        <v>79058</v>
      </c>
      <c r="D54">
        <f t="shared" si="0"/>
        <v>90.863953475007762</v>
      </c>
      <c r="E54">
        <f t="shared" si="1"/>
        <v>90.863953475007762</v>
      </c>
      <c r="G54">
        <f t="shared" ca="1" si="2"/>
        <v>52</v>
      </c>
      <c r="H54">
        <f t="shared" ca="1" si="3"/>
        <v>4724.9255807004038</v>
      </c>
      <c r="I54">
        <f t="shared" ca="1" si="4"/>
        <v>22002.662349678791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80463</v>
      </c>
      <c r="B57" s="66">
        <v>80463</v>
      </c>
      <c r="D57">
        <f t="shared" si="0"/>
        <v>92.478766076292715</v>
      </c>
      <c r="E57">
        <f t="shared" si="1"/>
        <v>92.478766076292715</v>
      </c>
      <c r="G57">
        <f t="shared" ca="1" si="2"/>
        <v>55</v>
      </c>
      <c r="H57">
        <f t="shared" ca="1" si="3"/>
        <v>5086.3321341960991</v>
      </c>
      <c r="I57">
        <f t="shared" ca="1" si="4"/>
        <v>14591.539372419644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86624</v>
      </c>
      <c r="B59" s="66">
        <v>86624</v>
      </c>
      <c r="D59">
        <f t="shared" si="0"/>
        <v>99.559805532888163</v>
      </c>
      <c r="E59">
        <f t="shared" si="1"/>
        <v>99.559805532888163</v>
      </c>
      <c r="G59">
        <f t="shared" ca="1" si="2"/>
        <v>57</v>
      </c>
      <c r="H59">
        <f t="shared" ca="1" si="3"/>
        <v>5674.9089153746254</v>
      </c>
      <c r="I59">
        <f t="shared" ca="1" si="4"/>
        <v>11104.699125522484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78738</v>
      </c>
      <c r="B62" s="66">
        <v>78738</v>
      </c>
      <c r="D62">
        <f t="shared" si="0"/>
        <v>90.496166975070977</v>
      </c>
      <c r="E62">
        <f t="shared" si="1"/>
        <v>90.496166975070977</v>
      </c>
      <c r="G62">
        <f t="shared" ca="1" si="2"/>
        <v>60</v>
      </c>
      <c r="H62">
        <f t="shared" ca="1" si="3"/>
        <v>5429.7700185042586</v>
      </c>
      <c r="I62">
        <f t="shared" ca="1" si="4"/>
        <v>5173.7609631526693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87007</v>
      </c>
      <c r="B64" s="66">
        <v>87007</v>
      </c>
      <c r="D64">
        <f t="shared" si="0"/>
        <v>100</v>
      </c>
      <c r="E64">
        <f t="shared" si="1"/>
        <v>100</v>
      </c>
      <c r="G64">
        <f t="shared" ca="1" si="2"/>
        <v>62</v>
      </c>
      <c r="H64">
        <f t="shared" ca="1" si="3"/>
        <v>6200</v>
      </c>
      <c r="I64">
        <f t="shared" ca="1" si="4"/>
        <v>3092.6434569599701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86032</v>
      </c>
      <c r="B67" s="66">
        <v>86032</v>
      </c>
      <c r="D67">
        <f t="shared" ref="D67:D130" si="5">IFERROR( 100*A67/MAX(A$2:A$257), 0 )</f>
        <v>98.879400508005105</v>
      </c>
      <c r="E67">
        <f t="shared" ref="E67:E130" si="6">IFERROR( 100*B67/MAX(B$2:B$257), 0 )</f>
        <v>98.879400508005105</v>
      </c>
      <c r="G67">
        <f t="shared" ref="G67:G130" ca="1" si="7">CELL("row",D67)-2</f>
        <v>65</v>
      </c>
      <c r="H67">
        <f t="shared" ref="H67:H130" ca="1" si="8">D67*G67</f>
        <v>6427.1610330203321</v>
      </c>
      <c r="I67">
        <f t="shared" ref="I67:I130" ca="1" si="9">D67*((G67-$L$1)^2)</f>
        <v>648.60043232157363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78890</v>
      </c>
      <c r="B69" s="66">
        <v>78890</v>
      </c>
      <c r="D69">
        <f t="shared" si="5"/>
        <v>90.670865562540939</v>
      </c>
      <c r="E69">
        <f t="shared" si="6"/>
        <v>90.670865562540939</v>
      </c>
      <c r="G69">
        <f t="shared" ca="1" si="7"/>
        <v>67</v>
      </c>
      <c r="H69">
        <f t="shared" ca="1" si="8"/>
        <v>6074.9479926902432</v>
      </c>
      <c r="I69">
        <f t="shared" ca="1" si="9"/>
        <v>28.551701402635874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74880</v>
      </c>
      <c r="B72" s="66">
        <v>74880</v>
      </c>
      <c r="D72">
        <f t="shared" si="5"/>
        <v>86.062040985208085</v>
      </c>
      <c r="E72">
        <f t="shared" si="6"/>
        <v>86.062040985208085</v>
      </c>
      <c r="G72">
        <f t="shared" ca="1" si="7"/>
        <v>70</v>
      </c>
      <c r="H72">
        <f t="shared" ca="1" si="8"/>
        <v>6024.3428689645662</v>
      </c>
      <c r="I72">
        <f t="shared" ca="1" si="9"/>
        <v>511.89439311022932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74425</v>
      </c>
      <c r="B75" s="66">
        <v>74425</v>
      </c>
      <c r="D75">
        <f t="shared" si="5"/>
        <v>85.539094555610461</v>
      </c>
      <c r="E75">
        <f t="shared" si="6"/>
        <v>85.539094555610461</v>
      </c>
      <c r="G75">
        <f t="shared" ca="1" si="7"/>
        <v>73</v>
      </c>
      <c r="H75">
        <f t="shared" ca="1" si="8"/>
        <v>6244.3539025595637</v>
      </c>
      <c r="I75">
        <f t="shared" ca="1" si="9"/>
        <v>2530.3358113393306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69598</v>
      </c>
      <c r="B77" s="66">
        <v>69598</v>
      </c>
      <c r="D77">
        <f t="shared" si="5"/>
        <v>79.991265070626497</v>
      </c>
      <c r="E77">
        <f t="shared" si="6"/>
        <v>79.991265070626497</v>
      </c>
      <c r="G77">
        <f t="shared" ca="1" si="7"/>
        <v>75</v>
      </c>
      <c r="H77">
        <f t="shared" ca="1" si="8"/>
        <v>5999.344880296987</v>
      </c>
      <c r="I77">
        <f t="shared" ca="1" si="9"/>
        <v>4426.4309440376437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66173</v>
      </c>
      <c r="B80" s="66">
        <v>66173</v>
      </c>
      <c r="D80">
        <f t="shared" si="5"/>
        <v>76.054800188490574</v>
      </c>
      <c r="E80">
        <f t="shared" si="6"/>
        <v>76.054800188490574</v>
      </c>
      <c r="G80">
        <f t="shared" ca="1" si="7"/>
        <v>78</v>
      </c>
      <c r="H80">
        <f t="shared" ca="1" si="8"/>
        <v>5932.2744147022649</v>
      </c>
      <c r="I80">
        <f t="shared" ca="1" si="9"/>
        <v>8287.6538829512392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61174</v>
      </c>
      <c r="B82" s="66">
        <v>61174</v>
      </c>
      <c r="D82">
        <f t="shared" si="5"/>
        <v>70.309285459790587</v>
      </c>
      <c r="E82">
        <f t="shared" si="6"/>
        <v>70.309285459790587</v>
      </c>
      <c r="G82">
        <f t="shared" ca="1" si="7"/>
        <v>80</v>
      </c>
      <c r="H82">
        <f t="shared" ca="1" si="8"/>
        <v>5624.7428367832472</v>
      </c>
      <c r="I82">
        <f t="shared" ca="1" si="9"/>
        <v>10878.596326319166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62290</v>
      </c>
      <c r="B85" s="66">
        <v>62290</v>
      </c>
      <c r="D85">
        <f t="shared" si="5"/>
        <v>71.591940878320131</v>
      </c>
      <c r="E85">
        <f t="shared" si="6"/>
        <v>71.591940878320131</v>
      </c>
      <c r="G85">
        <f t="shared" ca="1" si="7"/>
        <v>83</v>
      </c>
      <c r="H85">
        <f t="shared" ca="1" si="8"/>
        <v>5942.1310929005713</v>
      </c>
      <c r="I85">
        <f t="shared" ca="1" si="9"/>
        <v>17064.50924563724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50744</v>
      </c>
      <c r="B88" s="66">
        <v>50744</v>
      </c>
      <c r="D88">
        <f t="shared" si="5"/>
        <v>58.321744227475953</v>
      </c>
      <c r="E88">
        <f t="shared" si="6"/>
        <v>58.321744227475953</v>
      </c>
      <c r="G88">
        <f t="shared" ca="1" si="7"/>
        <v>86</v>
      </c>
      <c r="H88">
        <f t="shared" ca="1" si="8"/>
        <v>5015.6700035629319</v>
      </c>
      <c r="I88">
        <f t="shared" ca="1" si="9"/>
        <v>19828.870433620563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43657</v>
      </c>
      <c r="B90" s="66">
        <v>43657</v>
      </c>
      <c r="D90">
        <f t="shared" si="5"/>
        <v>50.176422586688425</v>
      </c>
      <c r="E90">
        <f t="shared" si="6"/>
        <v>50.176422586688425</v>
      </c>
      <c r="G90">
        <f t="shared" ca="1" si="7"/>
        <v>88</v>
      </c>
      <c r="H90">
        <f t="shared" ca="1" si="8"/>
        <v>4415.5251876285811</v>
      </c>
      <c r="I90">
        <f t="shared" ca="1" si="9"/>
        <v>20961.021055843867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47257</v>
      </c>
      <c r="B93" s="66">
        <v>47257</v>
      </c>
      <c r="D93">
        <f t="shared" si="5"/>
        <v>54.314020710977275</v>
      </c>
      <c r="E93">
        <f t="shared" si="6"/>
        <v>54.314020710977275</v>
      </c>
      <c r="G93">
        <f t="shared" ca="1" si="7"/>
        <v>91</v>
      </c>
      <c r="H93">
        <f t="shared" ca="1" si="8"/>
        <v>4942.575884698932</v>
      </c>
      <c r="I93">
        <f t="shared" ca="1" si="9"/>
        <v>29839.009466093376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50539</v>
      </c>
      <c r="B95" s="66">
        <v>50539</v>
      </c>
      <c r="D95">
        <f t="shared" si="5"/>
        <v>58.086131000953948</v>
      </c>
      <c r="E95">
        <f t="shared" si="6"/>
        <v>58.086131000953948</v>
      </c>
      <c r="G95">
        <f t="shared" ca="1" si="7"/>
        <v>93</v>
      </c>
      <c r="H95">
        <f t="shared" ca="1" si="8"/>
        <v>5402.010183088717</v>
      </c>
      <c r="I95">
        <f t="shared" ca="1" si="9"/>
        <v>37589.561551170809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47063</v>
      </c>
      <c r="B98" s="66">
        <v>47063</v>
      </c>
      <c r="D98">
        <f t="shared" si="5"/>
        <v>54.091050145390604</v>
      </c>
      <c r="E98">
        <f t="shared" si="6"/>
        <v>54.091050145390604</v>
      </c>
      <c r="G98">
        <f t="shared" ca="1" si="7"/>
        <v>96</v>
      </c>
      <c r="H98">
        <f t="shared" ca="1" si="8"/>
        <v>5192.7408139574982</v>
      </c>
      <c r="I98">
        <f t="shared" ca="1" si="9"/>
        <v>43747.108168702463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46375</v>
      </c>
      <c r="B100" s="66">
        <v>46375</v>
      </c>
      <c r="D100">
        <f t="shared" si="5"/>
        <v>53.300309170526511</v>
      </c>
      <c r="E100">
        <f t="shared" si="6"/>
        <v>53.300309170526511</v>
      </c>
      <c r="G100">
        <f t="shared" ca="1" si="7"/>
        <v>98</v>
      </c>
      <c r="H100">
        <f t="shared" ca="1" si="8"/>
        <v>5223.430298711598</v>
      </c>
      <c r="I100">
        <f t="shared" ca="1" si="9"/>
        <v>49383.980564371646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46035</v>
      </c>
      <c r="B103" s="66">
        <v>46035</v>
      </c>
      <c r="D103">
        <f t="shared" si="5"/>
        <v>52.909536014343672</v>
      </c>
      <c r="E103">
        <f t="shared" si="6"/>
        <v>52.909536014343672</v>
      </c>
      <c r="G103">
        <f t="shared" ca="1" si="7"/>
        <v>101</v>
      </c>
      <c r="H103">
        <f t="shared" ca="1" si="8"/>
        <v>5343.8631374487113</v>
      </c>
      <c r="I103">
        <f t="shared" ca="1" si="9"/>
        <v>59161.137228402396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39170</v>
      </c>
      <c r="B106" s="66">
        <v>39170</v>
      </c>
      <c r="D106">
        <f t="shared" si="5"/>
        <v>45.019366257887299</v>
      </c>
      <c r="E106">
        <f t="shared" si="6"/>
        <v>45.019366257887299</v>
      </c>
      <c r="G106">
        <f t="shared" ca="1" si="7"/>
        <v>104</v>
      </c>
      <c r="H106">
        <f t="shared" ca="1" si="8"/>
        <v>4682.0140908202793</v>
      </c>
      <c r="I106">
        <f t="shared" ca="1" si="9"/>
        <v>59776.241491798013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33110</v>
      </c>
      <c r="B108" s="66">
        <v>33110</v>
      </c>
      <c r="D108">
        <f t="shared" si="5"/>
        <v>38.054409415334398</v>
      </c>
      <c r="E108">
        <f t="shared" si="6"/>
        <v>38.054409415334398</v>
      </c>
      <c r="G108">
        <f t="shared" ca="1" si="7"/>
        <v>106</v>
      </c>
      <c r="H108">
        <f t="shared" ca="1" si="8"/>
        <v>4033.7673980254463</v>
      </c>
      <c r="I108">
        <f t="shared" ca="1" si="9"/>
        <v>56227.097662646418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34377</v>
      </c>
      <c r="B111" s="66">
        <v>34377</v>
      </c>
      <c r="D111">
        <f t="shared" si="5"/>
        <v>39.510614088521613</v>
      </c>
      <c r="E111">
        <f t="shared" si="6"/>
        <v>39.510614088521613</v>
      </c>
      <c r="G111">
        <f t="shared" ca="1" si="7"/>
        <v>109</v>
      </c>
      <c r="H111">
        <f t="shared" ca="1" si="8"/>
        <v>4306.6569356488562</v>
      </c>
      <c r="I111">
        <f t="shared" ca="1" si="9"/>
        <v>67846.75538928379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26776</v>
      </c>
      <c r="B113" s="66">
        <v>26776</v>
      </c>
      <c r="D113">
        <f t="shared" si="5"/>
        <v>30.774535382210626</v>
      </c>
      <c r="E113">
        <f t="shared" si="6"/>
        <v>30.774535382210626</v>
      </c>
      <c r="G113">
        <f t="shared" ca="1" si="7"/>
        <v>111</v>
      </c>
      <c r="H113">
        <f t="shared" ca="1" si="8"/>
        <v>3415.9734274253797</v>
      </c>
      <c r="I113">
        <f t="shared" ca="1" si="9"/>
        <v>58069.496709274776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22235</v>
      </c>
      <c r="B116" s="66">
        <v>22235</v>
      </c>
      <c r="D116">
        <f t="shared" si="5"/>
        <v>25.555415081545164</v>
      </c>
      <c r="E116">
        <f t="shared" si="6"/>
        <v>25.555415081545164</v>
      </c>
      <c r="G116">
        <f t="shared" ca="1" si="7"/>
        <v>114</v>
      </c>
      <c r="H116">
        <f t="shared" ca="1" si="8"/>
        <v>2913.3173192961485</v>
      </c>
      <c r="I116">
        <f t="shared" ca="1" si="9"/>
        <v>55111.949796365101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19748</v>
      </c>
      <c r="B118" s="66">
        <v>19748</v>
      </c>
      <c r="D118">
        <f t="shared" si="5"/>
        <v>22.697024377348949</v>
      </c>
      <c r="E118">
        <f t="shared" si="6"/>
        <v>22.697024377348949</v>
      </c>
      <c r="G118">
        <f t="shared" ca="1" si="7"/>
        <v>116</v>
      </c>
      <c r="H118">
        <f t="shared" ca="1" si="8"/>
        <v>2632.8548277724781</v>
      </c>
      <c r="I118">
        <f t="shared" ca="1" si="9"/>
        <v>53254.522982995288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19814</v>
      </c>
      <c r="B121" s="66">
        <v>19814</v>
      </c>
      <c r="D121">
        <f t="shared" si="5"/>
        <v>22.77288034296091</v>
      </c>
      <c r="E121">
        <f t="shared" si="6"/>
        <v>22.77288034296091</v>
      </c>
      <c r="G121">
        <f t="shared" ca="1" si="7"/>
        <v>119</v>
      </c>
      <c r="H121">
        <f t="shared" ca="1" si="8"/>
        <v>2709.9727608123485</v>
      </c>
      <c r="I121">
        <f t="shared" ca="1" si="9"/>
        <v>60256.013665638086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16687</v>
      </c>
      <c r="B124" s="66">
        <v>16687</v>
      </c>
      <c r="D124">
        <f t="shared" si="5"/>
        <v>19.178916638891124</v>
      </c>
      <c r="E124">
        <f t="shared" si="6"/>
        <v>19.178916638891124</v>
      </c>
      <c r="G124">
        <f t="shared" ca="1" si="7"/>
        <v>122</v>
      </c>
      <c r="H124">
        <f t="shared" ca="1" si="8"/>
        <v>2339.827829944717</v>
      </c>
      <c r="I124">
        <f t="shared" ca="1" si="9"/>
        <v>56838.406175888049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14709</v>
      </c>
      <c r="B126" s="66">
        <v>14709</v>
      </c>
      <c r="D126">
        <f t="shared" si="5"/>
        <v>16.90553633615686</v>
      </c>
      <c r="E126">
        <f t="shared" si="6"/>
        <v>16.90553633615686</v>
      </c>
      <c r="G126">
        <f t="shared" ca="1" si="7"/>
        <v>124</v>
      </c>
      <c r="H126">
        <f t="shared" ca="1" si="8"/>
        <v>2096.2865056834507</v>
      </c>
      <c r="I126">
        <f t="shared" ca="1" si="9"/>
        <v>53849.937410480801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11794</v>
      </c>
      <c r="B129" s="66">
        <v>11794</v>
      </c>
      <c r="D129">
        <f t="shared" si="5"/>
        <v>13.555231188295195</v>
      </c>
      <c r="E129">
        <f t="shared" si="6"/>
        <v>13.555231188295195</v>
      </c>
      <c r="G129">
        <f t="shared" ca="1" si="7"/>
        <v>127</v>
      </c>
      <c r="H129">
        <f t="shared" ca="1" si="8"/>
        <v>1721.5143609134898</v>
      </c>
      <c r="I129">
        <f t="shared" ca="1" si="9"/>
        <v>47890.311962208696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11273</v>
      </c>
      <c r="B131" s="66">
        <v>11273</v>
      </c>
      <c r="D131">
        <f t="shared" ref="D131:D194" si="10">IFERROR( 100*A131/MAX(A$2:A$257), 0 )</f>
        <v>12.956428793085614</v>
      </c>
      <c r="E131">
        <f t="shared" ref="E131:E194" si="11">IFERROR( 100*B131/MAX(B$2:B$257), 0 )</f>
        <v>12.956428793085614</v>
      </c>
      <c r="G131">
        <f t="shared" ref="G131:G194" ca="1" si="12">CELL("row",D131)-2</f>
        <v>129</v>
      </c>
      <c r="H131">
        <f t="shared" ref="H131:H194" ca="1" si="13">D131*G131</f>
        <v>1671.3793143080443</v>
      </c>
      <c r="I131">
        <f t="shared" ref="I131:I194" ca="1" si="14">D131*((G131-$L$1)^2)</f>
        <v>48907.043642859462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8707</v>
      </c>
      <c r="B134" s="66">
        <v>8707</v>
      </c>
      <c r="D134">
        <f t="shared" si="10"/>
        <v>10.007240796717506</v>
      </c>
      <c r="E134">
        <f t="shared" si="11"/>
        <v>10.007240796717506</v>
      </c>
      <c r="G134">
        <f t="shared" ca="1" si="12"/>
        <v>132</v>
      </c>
      <c r="H134">
        <f t="shared" ca="1" si="13"/>
        <v>1320.9557851667107</v>
      </c>
      <c r="I134">
        <f t="shared" ca="1" si="14"/>
        <v>41553.715080183378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8003</v>
      </c>
      <c r="B136" s="66">
        <v>8003</v>
      </c>
      <c r="D136">
        <f t="shared" si="10"/>
        <v>9.1981104968565752</v>
      </c>
      <c r="E136">
        <f t="shared" si="11"/>
        <v>9.1981104968565752</v>
      </c>
      <c r="G136">
        <f t="shared" ca="1" si="12"/>
        <v>134</v>
      </c>
      <c r="H136">
        <f t="shared" ca="1" si="13"/>
        <v>1232.5468065787811</v>
      </c>
      <c r="I136">
        <f t="shared" ca="1" si="14"/>
        <v>40601.565794481823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4192</v>
      </c>
      <c r="B139" s="66">
        <v>4192</v>
      </c>
      <c r="D139">
        <f t="shared" si="10"/>
        <v>4.818003149171906</v>
      </c>
      <c r="E139">
        <f t="shared" si="11"/>
        <v>4.818003149171906</v>
      </c>
      <c r="G139">
        <f t="shared" ca="1" si="12"/>
        <v>137</v>
      </c>
      <c r="H139">
        <f t="shared" ca="1" si="13"/>
        <v>660.06643143655117</v>
      </c>
      <c r="I139">
        <f t="shared" ca="1" si="14"/>
        <v>23231.222701241033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3188</v>
      </c>
      <c r="B142" s="66">
        <v>3188</v>
      </c>
      <c r="D142">
        <f t="shared" si="10"/>
        <v>3.6640730056202373</v>
      </c>
      <c r="E142">
        <f t="shared" si="11"/>
        <v>3.6640730056202373</v>
      </c>
      <c r="G142">
        <f t="shared" ca="1" si="12"/>
        <v>140</v>
      </c>
      <c r="H142">
        <f t="shared" ca="1" si="13"/>
        <v>512.97022078683324</v>
      </c>
      <c r="I142">
        <f t="shared" ca="1" si="14"/>
        <v>19226.806858077536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1772</v>
      </c>
      <c r="B144" s="66">
        <v>1772</v>
      </c>
      <c r="D144">
        <f t="shared" si="10"/>
        <v>2.0366177433999564</v>
      </c>
      <c r="E144">
        <f t="shared" si="11"/>
        <v>2.0366177433999564</v>
      </c>
      <c r="G144">
        <f t="shared" ca="1" si="12"/>
        <v>142</v>
      </c>
      <c r="H144">
        <f t="shared" ca="1" si="13"/>
        <v>289.1997195627938</v>
      </c>
      <c r="I144">
        <f t="shared" ca="1" si="14"/>
        <v>11285.187675311221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2634</v>
      </c>
      <c r="B147" s="66">
        <v>2634</v>
      </c>
      <c r="D147">
        <f t="shared" si="10"/>
        <v>3.0273426276046753</v>
      </c>
      <c r="E147">
        <f t="shared" si="11"/>
        <v>3.0273426276046753</v>
      </c>
      <c r="G147">
        <f t="shared" ca="1" si="12"/>
        <v>145</v>
      </c>
      <c r="H147">
        <f t="shared" ca="1" si="13"/>
        <v>438.96468100267793</v>
      </c>
      <c r="I147">
        <f t="shared" ca="1" si="14"/>
        <v>18154.292159580422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1279</v>
      </c>
      <c r="B149" s="66">
        <v>1279</v>
      </c>
      <c r="D149">
        <f t="shared" si="10"/>
        <v>1.4699966669348443</v>
      </c>
      <c r="E149">
        <f t="shared" si="11"/>
        <v>1.4699966669348443</v>
      </c>
      <c r="G149">
        <f t="shared" ca="1" si="12"/>
        <v>147</v>
      </c>
      <c r="H149">
        <f t="shared" ca="1" si="13"/>
        <v>216.08951003942212</v>
      </c>
      <c r="I149">
        <f t="shared" ca="1" si="14"/>
        <v>9276.4584237804429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992</v>
      </c>
      <c r="B152" s="66">
        <v>992</v>
      </c>
      <c r="D152">
        <f t="shared" si="10"/>
        <v>1.1401381498040388</v>
      </c>
      <c r="E152">
        <f t="shared" si="11"/>
        <v>1.1401381498040388</v>
      </c>
      <c r="G152">
        <f t="shared" ca="1" si="12"/>
        <v>150</v>
      </c>
      <c r="H152">
        <f t="shared" ca="1" si="13"/>
        <v>171.02072247060582</v>
      </c>
      <c r="I152">
        <f t="shared" ca="1" si="14"/>
        <v>7748.5650718082379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577</v>
      </c>
      <c r="B154" s="66">
        <v>577</v>
      </c>
      <c r="D154">
        <f t="shared" si="10"/>
        <v>0.66316503269851856</v>
      </c>
      <c r="E154">
        <f t="shared" si="11"/>
        <v>0.66316503269851856</v>
      </c>
      <c r="G154">
        <f t="shared" ca="1" si="12"/>
        <v>152</v>
      </c>
      <c r="H154">
        <f t="shared" ca="1" si="13"/>
        <v>100.80108497017483</v>
      </c>
      <c r="I154">
        <f t="shared" ca="1" si="14"/>
        <v>4728.3127693513734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401</v>
      </c>
      <c r="B157" s="66">
        <v>401</v>
      </c>
      <c r="D157">
        <f t="shared" si="10"/>
        <v>0.46088245773328584</v>
      </c>
      <c r="E157">
        <f t="shared" si="11"/>
        <v>0.46088245773328584</v>
      </c>
      <c r="G157">
        <f t="shared" ca="1" si="12"/>
        <v>155</v>
      </c>
      <c r="H157">
        <f t="shared" ca="1" si="13"/>
        <v>71.436780948659305</v>
      </c>
      <c r="I157">
        <f t="shared" ca="1" si="14"/>
        <v>3523.7006941235245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476</v>
      </c>
      <c r="B160" s="66">
        <v>476</v>
      </c>
      <c r="D160">
        <f t="shared" si="10"/>
        <v>0.54708241865597018</v>
      </c>
      <c r="E160">
        <f t="shared" si="11"/>
        <v>0.54708241865597018</v>
      </c>
      <c r="G160">
        <f t="shared" ca="1" si="12"/>
        <v>158</v>
      </c>
      <c r="H160">
        <f t="shared" ca="1" si="13"/>
        <v>86.439022147643286</v>
      </c>
      <c r="I160">
        <f t="shared" ca="1" si="14"/>
        <v>4474.688232279701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597</v>
      </c>
      <c r="B162" s="66">
        <v>597</v>
      </c>
      <c r="D162">
        <f t="shared" si="10"/>
        <v>0.68615168894456768</v>
      </c>
      <c r="E162">
        <f t="shared" si="11"/>
        <v>0.68615168894456768</v>
      </c>
      <c r="G162">
        <f t="shared" ca="1" si="12"/>
        <v>160</v>
      </c>
      <c r="H162">
        <f t="shared" ca="1" si="13"/>
        <v>109.78427023113083</v>
      </c>
      <c r="I162">
        <f t="shared" ca="1" si="14"/>
        <v>5863.125175694774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216</v>
      </c>
      <c r="B165" s="66">
        <v>216</v>
      </c>
      <c r="D165">
        <f t="shared" si="10"/>
        <v>0.24825588745733101</v>
      </c>
      <c r="E165">
        <f t="shared" si="11"/>
        <v>0.24825588745733101</v>
      </c>
      <c r="G165">
        <f t="shared" ca="1" si="12"/>
        <v>163</v>
      </c>
      <c r="H165">
        <f t="shared" ca="1" si="13"/>
        <v>40.465709655544956</v>
      </c>
      <c r="I165">
        <f t="shared" ca="1" si="14"/>
        <v>2261.256951240603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431</v>
      </c>
      <c r="B167" s="66">
        <v>431</v>
      </c>
      <c r="D167">
        <f t="shared" si="10"/>
        <v>0.49536244210235958</v>
      </c>
      <c r="E167">
        <f t="shared" si="11"/>
        <v>0.49536244210235958</v>
      </c>
      <c r="G167">
        <f t="shared" ca="1" si="12"/>
        <v>165</v>
      </c>
      <c r="H167">
        <f t="shared" ca="1" si="13"/>
        <v>81.734802946889332</v>
      </c>
      <c r="I167">
        <f t="shared" ca="1" si="14"/>
        <v>4703.1338492368914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60</v>
      </c>
      <c r="B170" s="66">
        <v>60</v>
      </c>
      <c r="D170">
        <f t="shared" si="10"/>
        <v>6.8959968738147512E-2</v>
      </c>
      <c r="E170">
        <f t="shared" si="11"/>
        <v>6.8959968738147512E-2</v>
      </c>
      <c r="G170">
        <f t="shared" ca="1" si="12"/>
        <v>168</v>
      </c>
      <c r="H170">
        <f t="shared" ca="1" si="13"/>
        <v>11.585274748008782</v>
      </c>
      <c r="I170">
        <f t="shared" ca="1" si="14"/>
        <v>695.66552843727993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350</v>
      </c>
      <c r="B1" s="66" t="s">
        <v>351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80.210029609708826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1.5486543603166139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0.46384228433231856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5284</v>
      </c>
      <c r="B8" s="66">
        <v>5284</v>
      </c>
      <c r="D8">
        <f t="shared" si="0"/>
        <v>3.313392778760174</v>
      </c>
      <c r="E8">
        <f t="shared" si="1"/>
        <v>3.313392778760174</v>
      </c>
      <c r="G8">
        <f t="shared" ca="1" si="2"/>
        <v>6</v>
      </c>
      <c r="H8">
        <f t="shared" ca="1" si="3"/>
        <v>19.880356672561042</v>
      </c>
      <c r="I8">
        <f t="shared" ca="1" si="4"/>
        <v>18247.279785956758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6349</v>
      </c>
      <c r="B10" s="66">
        <v>6349</v>
      </c>
      <c r="D10">
        <f t="shared" si="0"/>
        <v>3.9812132385216401</v>
      </c>
      <c r="E10">
        <f t="shared" si="1"/>
        <v>3.9812132385216401</v>
      </c>
      <c r="G10">
        <f t="shared" ca="1" si="2"/>
        <v>8</v>
      </c>
      <c r="H10">
        <f t="shared" ca="1" si="3"/>
        <v>31.849705908173121</v>
      </c>
      <c r="I10">
        <f t="shared" ca="1" si="4"/>
        <v>20759.193912936389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10828</v>
      </c>
      <c r="B13" s="66">
        <v>10828</v>
      </c>
      <c r="D13">
        <f t="shared" si="0"/>
        <v>6.7898215383071845</v>
      </c>
      <c r="E13">
        <f t="shared" si="1"/>
        <v>6.7898215383071845</v>
      </c>
      <c r="G13">
        <f t="shared" ca="1" si="2"/>
        <v>11</v>
      </c>
      <c r="H13">
        <f t="shared" ca="1" si="3"/>
        <v>74.688036921379023</v>
      </c>
      <c r="I13">
        <f t="shared" ca="1" si="4"/>
        <v>32523.436631795332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11072</v>
      </c>
      <c r="B15" s="66">
        <v>11072</v>
      </c>
      <c r="D15">
        <f t="shared" si="0"/>
        <v>6.9428245356609857</v>
      </c>
      <c r="E15">
        <f t="shared" si="1"/>
        <v>6.9428245356609857</v>
      </c>
      <c r="G15">
        <f t="shared" ca="1" si="2"/>
        <v>13</v>
      </c>
      <c r="H15">
        <f t="shared" ca="1" si="3"/>
        <v>90.256718963592817</v>
      </c>
      <c r="I15">
        <f t="shared" ca="1" si="4"/>
        <v>31362.044234977016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11726</v>
      </c>
      <c r="B18" s="66">
        <v>11726</v>
      </c>
      <c r="D18">
        <f t="shared" si="0"/>
        <v>7.3529227334863361</v>
      </c>
      <c r="E18">
        <f t="shared" si="1"/>
        <v>7.3529227334863361</v>
      </c>
      <c r="G18">
        <f t="shared" ca="1" si="2"/>
        <v>16</v>
      </c>
      <c r="H18">
        <f t="shared" ca="1" si="3"/>
        <v>117.64676373578138</v>
      </c>
      <c r="I18">
        <f t="shared" ca="1" si="4"/>
        <v>30315.570302668006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10796</v>
      </c>
      <c r="B21" s="66">
        <v>10796</v>
      </c>
      <c r="D21">
        <f t="shared" si="0"/>
        <v>6.7697555714411131</v>
      </c>
      <c r="E21">
        <f t="shared" si="1"/>
        <v>6.7697555714411131</v>
      </c>
      <c r="G21">
        <f t="shared" ca="1" si="2"/>
        <v>19</v>
      </c>
      <c r="H21">
        <f t="shared" ca="1" si="3"/>
        <v>128.62535585738115</v>
      </c>
      <c r="I21">
        <f t="shared" ca="1" si="4"/>
        <v>25364.024704448486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10012</v>
      </c>
      <c r="B23" s="66">
        <v>10012</v>
      </c>
      <c r="D23">
        <f t="shared" si="0"/>
        <v>6.2781393832223431</v>
      </c>
      <c r="E23">
        <f t="shared" si="1"/>
        <v>6.2781393832223431</v>
      </c>
      <c r="G23">
        <f t="shared" ca="1" si="2"/>
        <v>21</v>
      </c>
      <c r="H23">
        <f t="shared" ca="1" si="3"/>
        <v>131.8409270476692</v>
      </c>
      <c r="I23">
        <f t="shared" ca="1" si="4"/>
        <v>22010.074366418696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9446</v>
      </c>
      <c r="B26" s="66">
        <v>9446</v>
      </c>
      <c r="D26">
        <f t="shared" si="0"/>
        <v>5.9232225942786911</v>
      </c>
      <c r="E26">
        <f t="shared" si="1"/>
        <v>5.9232225942786911</v>
      </c>
      <c r="G26">
        <f t="shared" ca="1" si="2"/>
        <v>24</v>
      </c>
      <c r="H26">
        <f t="shared" ca="1" si="3"/>
        <v>142.15734226268859</v>
      </c>
      <c r="I26">
        <f t="shared" ca="1" si="4"/>
        <v>18714.821181967054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10690</v>
      </c>
      <c r="B28" s="66">
        <v>10690</v>
      </c>
      <c r="D28">
        <f t="shared" si="0"/>
        <v>6.7032870561972482</v>
      </c>
      <c r="E28">
        <f t="shared" si="1"/>
        <v>6.7032870561972482</v>
      </c>
      <c r="G28">
        <f t="shared" ca="1" si="2"/>
        <v>26</v>
      </c>
      <c r="H28">
        <f t="shared" ca="1" si="3"/>
        <v>174.28546346112844</v>
      </c>
      <c r="I28">
        <f t="shared" ca="1" si="4"/>
        <v>19699.132740730198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10350</v>
      </c>
      <c r="B31" s="66">
        <v>10350</v>
      </c>
      <c r="D31">
        <f t="shared" si="0"/>
        <v>6.4900861582452309</v>
      </c>
      <c r="E31">
        <f t="shared" si="1"/>
        <v>6.4900861582452309</v>
      </c>
      <c r="G31">
        <f t="shared" ca="1" si="2"/>
        <v>29</v>
      </c>
      <c r="H31">
        <f t="shared" ca="1" si="3"/>
        <v>188.2124985891117</v>
      </c>
      <c r="I31">
        <f t="shared" ca="1" si="4"/>
        <v>17020.037637917205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10107</v>
      </c>
      <c r="B33" s="66">
        <v>10107</v>
      </c>
      <c r="D33">
        <f t="shared" si="0"/>
        <v>6.3377102223559953</v>
      </c>
      <c r="E33">
        <f t="shared" si="1"/>
        <v>6.3377102223559953</v>
      </c>
      <c r="G33">
        <f t="shared" ca="1" si="2"/>
        <v>31</v>
      </c>
      <c r="H33">
        <f t="shared" ca="1" si="3"/>
        <v>196.46901689303584</v>
      </c>
      <c r="I33">
        <f t="shared" ca="1" si="4"/>
        <v>15347.570282555371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16235</v>
      </c>
      <c r="B36" s="66">
        <v>16235</v>
      </c>
      <c r="D36">
        <f t="shared" si="0"/>
        <v>10.180342877208824</v>
      </c>
      <c r="E36">
        <f t="shared" si="1"/>
        <v>10.180342877208824</v>
      </c>
      <c r="G36">
        <f t="shared" ca="1" si="2"/>
        <v>34</v>
      </c>
      <c r="H36">
        <f t="shared" ca="1" si="3"/>
        <v>346.13165782510004</v>
      </c>
      <c r="I36">
        <f t="shared" ca="1" si="4"/>
        <v>21738.766564497819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14304</v>
      </c>
      <c r="B39" s="66">
        <v>14304</v>
      </c>
      <c r="D39">
        <f t="shared" si="0"/>
        <v>8.9694871891342789</v>
      </c>
      <c r="E39">
        <f t="shared" si="1"/>
        <v>8.9694871891342789</v>
      </c>
      <c r="G39">
        <f t="shared" ca="1" si="2"/>
        <v>37</v>
      </c>
      <c r="H39">
        <f t="shared" ca="1" si="3"/>
        <v>331.87102599796833</v>
      </c>
      <c r="I39">
        <f t="shared" ca="1" si="4"/>
        <v>16746.989257498932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17983</v>
      </c>
      <c r="B41" s="66">
        <v>17983</v>
      </c>
      <c r="D41">
        <f t="shared" si="0"/>
        <v>11.276446317268018</v>
      </c>
      <c r="E41">
        <f t="shared" si="1"/>
        <v>11.276446317268018</v>
      </c>
      <c r="G41">
        <f t="shared" ca="1" si="2"/>
        <v>39</v>
      </c>
      <c r="H41">
        <f t="shared" ca="1" si="3"/>
        <v>439.78140637345268</v>
      </c>
      <c r="I41">
        <f t="shared" ca="1" si="4"/>
        <v>19150.411475606084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25415</v>
      </c>
      <c r="B44" s="66">
        <v>25415</v>
      </c>
      <c r="D44">
        <f t="shared" si="0"/>
        <v>15.93676712191329</v>
      </c>
      <c r="E44">
        <f t="shared" si="1"/>
        <v>15.93676712191329</v>
      </c>
      <c r="G44">
        <f t="shared" ca="1" si="2"/>
        <v>42</v>
      </c>
      <c r="H44">
        <f t="shared" ca="1" si="3"/>
        <v>669.34421912035816</v>
      </c>
      <c r="I44">
        <f t="shared" ca="1" si="4"/>
        <v>23267.781400054042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38283</v>
      </c>
      <c r="B46" s="66">
        <v>38283</v>
      </c>
      <c r="D46">
        <f t="shared" si="0"/>
        <v>24.005794047932579</v>
      </c>
      <c r="E46">
        <f t="shared" si="1"/>
        <v>24.005794047932579</v>
      </c>
      <c r="G46">
        <f t="shared" ca="1" si="2"/>
        <v>44</v>
      </c>
      <c r="H46">
        <f t="shared" ca="1" si="3"/>
        <v>1056.2549381090334</v>
      </c>
      <c r="I46">
        <f t="shared" ca="1" si="4"/>
        <v>31475.58682413102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43453</v>
      </c>
      <c r="B49" s="66">
        <v>43453</v>
      </c>
      <c r="D49">
        <f t="shared" si="0"/>
        <v>27.24770181973237</v>
      </c>
      <c r="E49">
        <f t="shared" si="1"/>
        <v>27.24770181973237</v>
      </c>
      <c r="G49">
        <f t="shared" ca="1" si="2"/>
        <v>47</v>
      </c>
      <c r="H49">
        <f t="shared" ca="1" si="3"/>
        <v>1280.6419855274214</v>
      </c>
      <c r="I49">
        <f t="shared" ca="1" si="4"/>
        <v>30051.655640008845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51471</v>
      </c>
      <c r="B51" s="66">
        <v>51471</v>
      </c>
      <c r="D51">
        <f t="shared" si="0"/>
        <v>32.275480642612592</v>
      </c>
      <c r="E51">
        <f t="shared" si="1"/>
        <v>32.275480642612592</v>
      </c>
      <c r="G51">
        <f t="shared" ca="1" si="2"/>
        <v>49</v>
      </c>
      <c r="H51">
        <f t="shared" ca="1" si="3"/>
        <v>1581.498551488017</v>
      </c>
      <c r="I51">
        <f t="shared" ca="1" si="4"/>
        <v>31438.446657012752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68018</v>
      </c>
      <c r="B54" s="66">
        <v>68018</v>
      </c>
      <c r="D54">
        <f t="shared" si="0"/>
        <v>42.651466696765617</v>
      </c>
      <c r="E54">
        <f t="shared" si="1"/>
        <v>42.651466696765617</v>
      </c>
      <c r="G54">
        <f t="shared" ca="1" si="2"/>
        <v>52</v>
      </c>
      <c r="H54">
        <f t="shared" ca="1" si="3"/>
        <v>2217.876268231812</v>
      </c>
      <c r="I54">
        <f t="shared" ca="1" si="4"/>
        <v>33942.283321014438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77040</v>
      </c>
      <c r="B57" s="66">
        <v>77040</v>
      </c>
      <c r="D57">
        <f t="shared" si="0"/>
        <v>48.308815230068852</v>
      </c>
      <c r="E57">
        <f t="shared" si="1"/>
        <v>48.308815230068852</v>
      </c>
      <c r="G57">
        <f t="shared" ca="1" si="2"/>
        <v>55</v>
      </c>
      <c r="H57">
        <f t="shared" ca="1" si="3"/>
        <v>2656.9848376537871</v>
      </c>
      <c r="I57">
        <f t="shared" ca="1" si="4"/>
        <v>30702.454618772568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86672</v>
      </c>
      <c r="B59" s="66">
        <v>86672</v>
      </c>
      <c r="D59">
        <f t="shared" si="0"/>
        <v>54.348671256756589</v>
      </c>
      <c r="E59">
        <f t="shared" si="1"/>
        <v>54.348671256756589</v>
      </c>
      <c r="G59">
        <f t="shared" ca="1" si="2"/>
        <v>57</v>
      </c>
      <c r="H59">
        <f t="shared" ca="1" si="3"/>
        <v>3097.8742616351255</v>
      </c>
      <c r="I59">
        <f t="shared" ca="1" si="4"/>
        <v>29277.926736922102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91279</v>
      </c>
      <c r="B62" s="66">
        <v>91279</v>
      </c>
      <c r="D62">
        <f t="shared" si="0"/>
        <v>57.237543424006418</v>
      </c>
      <c r="E62">
        <f t="shared" si="1"/>
        <v>57.237543424006418</v>
      </c>
      <c r="G62">
        <f t="shared" ca="1" si="2"/>
        <v>60</v>
      </c>
      <c r="H62">
        <f t="shared" ca="1" si="3"/>
        <v>3434.2526054403852</v>
      </c>
      <c r="I62">
        <f t="shared" ca="1" si="4"/>
        <v>23378.405413369728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95629</v>
      </c>
      <c r="B64" s="66">
        <v>95629</v>
      </c>
      <c r="D64">
        <f t="shared" si="0"/>
        <v>59.965260794863113</v>
      </c>
      <c r="E64">
        <f t="shared" si="1"/>
        <v>59.965260794863113</v>
      </c>
      <c r="G64">
        <f t="shared" ca="1" si="2"/>
        <v>62</v>
      </c>
      <c r="H64">
        <f t="shared" ca="1" si="3"/>
        <v>3717.8461692815131</v>
      </c>
      <c r="I64">
        <f t="shared" ca="1" si="4"/>
        <v>19884.791002871909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111410</v>
      </c>
      <c r="B67" s="66">
        <v>111410</v>
      </c>
      <c r="D67">
        <f t="shared" ref="D67:D130" si="5">IFERROR(100*A67/MAX(A$2:A$257), 0 )</f>
        <v>69.860917767159535</v>
      </c>
      <c r="E67">
        <f t="shared" ref="E67:E130" si="6">IFERROR(100*B67/MAX(B$2:B$257), 0 )</f>
        <v>69.860917767159535</v>
      </c>
      <c r="G67">
        <f t="shared" ref="G67:G130" ca="1" si="7">CELL("row",D67)-2</f>
        <v>65</v>
      </c>
      <c r="H67">
        <f t="shared" ref="H67:H130" ca="1" si="8">D67*G67</f>
        <v>4540.9596548653699</v>
      </c>
      <c r="I67">
        <f t="shared" ref="I67:I130" ca="1" si="9">D67*((G67-$L$1)^2)</f>
        <v>16161.974071717586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118216</v>
      </c>
      <c r="B69" s="66">
        <v>118216</v>
      </c>
      <c r="D69">
        <f t="shared" si="5"/>
        <v>74.128698094987271</v>
      </c>
      <c r="E69">
        <f t="shared" si="6"/>
        <v>74.128698094987271</v>
      </c>
      <c r="G69">
        <f t="shared" ca="1" si="7"/>
        <v>67</v>
      </c>
      <c r="H69">
        <f t="shared" ca="1" si="8"/>
        <v>4966.6227723641468</v>
      </c>
      <c r="I69">
        <f t="shared" ca="1" si="9"/>
        <v>12935.819735331032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123265</v>
      </c>
      <c r="B72" s="66">
        <v>123265</v>
      </c>
      <c r="D72">
        <f t="shared" si="5"/>
        <v>77.294731429574725</v>
      </c>
      <c r="E72">
        <f t="shared" si="6"/>
        <v>77.294731429574725</v>
      </c>
      <c r="G72">
        <f t="shared" ca="1" si="7"/>
        <v>70</v>
      </c>
      <c r="H72">
        <f t="shared" ca="1" si="8"/>
        <v>5410.631200070231</v>
      </c>
      <c r="I72">
        <f t="shared" ca="1" si="9"/>
        <v>8057.5664474186115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136722</v>
      </c>
      <c r="B75" s="66">
        <v>136722</v>
      </c>
      <c r="D75">
        <f t="shared" si="5"/>
        <v>85.733097558222653</v>
      </c>
      <c r="E75">
        <f t="shared" si="6"/>
        <v>85.733097558222653</v>
      </c>
      <c r="G75">
        <f t="shared" ca="1" si="7"/>
        <v>73</v>
      </c>
      <c r="H75">
        <f t="shared" ca="1" si="8"/>
        <v>6258.5161217502537</v>
      </c>
      <c r="I75">
        <f t="shared" ca="1" si="9"/>
        <v>4456.7945224838068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143368</v>
      </c>
      <c r="B77" s="66">
        <v>143368</v>
      </c>
      <c r="D77">
        <f t="shared" si="5"/>
        <v>89.900548051720023</v>
      </c>
      <c r="E77">
        <f t="shared" si="6"/>
        <v>89.900548051720023</v>
      </c>
      <c r="G77">
        <f t="shared" ca="1" si="7"/>
        <v>75</v>
      </c>
      <c r="H77">
        <f t="shared" ca="1" si="8"/>
        <v>6742.5411038790016</v>
      </c>
      <c r="I77">
        <f t="shared" ca="1" si="9"/>
        <v>2440.297203750225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145759</v>
      </c>
      <c r="B80" s="66">
        <v>145759</v>
      </c>
      <c r="D80">
        <f t="shared" si="5"/>
        <v>91.399852013494367</v>
      </c>
      <c r="E80">
        <f t="shared" si="6"/>
        <v>91.399852013494367</v>
      </c>
      <c r="G80">
        <f t="shared" ca="1" si="7"/>
        <v>78</v>
      </c>
      <c r="H80">
        <f t="shared" ca="1" si="8"/>
        <v>7129.1884570525608</v>
      </c>
      <c r="I80">
        <f t="shared" ca="1" si="9"/>
        <v>446.41797924692281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142022</v>
      </c>
      <c r="B82" s="66">
        <v>142022</v>
      </c>
      <c r="D82">
        <f t="shared" si="5"/>
        <v>89.056523320415863</v>
      </c>
      <c r="E82">
        <f t="shared" si="6"/>
        <v>89.056523320415863</v>
      </c>
      <c r="G82">
        <f t="shared" ca="1" si="7"/>
        <v>80</v>
      </c>
      <c r="H82">
        <f t="shared" ca="1" si="8"/>
        <v>7124.521865633269</v>
      </c>
      <c r="I82">
        <f t="shared" ca="1" si="9"/>
        <v>3.9285002703536227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147869</v>
      </c>
      <c r="B85" s="66">
        <v>147869</v>
      </c>
      <c r="D85">
        <f t="shared" si="5"/>
        <v>92.722951703725997</v>
      </c>
      <c r="E85">
        <f t="shared" si="6"/>
        <v>92.722951703725997</v>
      </c>
      <c r="G85">
        <f t="shared" ca="1" si="7"/>
        <v>83</v>
      </c>
      <c r="H85">
        <f t="shared" ca="1" si="8"/>
        <v>7696.0049914092579</v>
      </c>
      <c r="I85">
        <f t="shared" ca="1" si="9"/>
        <v>721.7494085504909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159474</v>
      </c>
      <c r="B88" s="66">
        <v>159474</v>
      </c>
      <c r="D88">
        <f t="shared" si="5"/>
        <v>100</v>
      </c>
      <c r="E88">
        <f t="shared" si="6"/>
        <v>100</v>
      </c>
      <c r="G88">
        <f t="shared" ca="1" si="7"/>
        <v>86</v>
      </c>
      <c r="H88">
        <f t="shared" ca="1" si="8"/>
        <v>8600</v>
      </c>
      <c r="I88">
        <f t="shared" ca="1" si="9"/>
        <v>3352.3757120448531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142791</v>
      </c>
      <c r="B90" s="66">
        <v>142791</v>
      </c>
      <c r="D90">
        <f t="shared" si="5"/>
        <v>89.538733586666169</v>
      </c>
      <c r="E90">
        <f t="shared" si="6"/>
        <v>89.538733586666169</v>
      </c>
      <c r="G90">
        <f t="shared" ca="1" si="7"/>
        <v>88</v>
      </c>
      <c r="H90">
        <f t="shared" ca="1" si="8"/>
        <v>7879.4085556266227</v>
      </c>
      <c r="I90">
        <f t="shared" ca="1" si="9"/>
        <v>5433.5361569824763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132038</v>
      </c>
      <c r="B93" s="66">
        <v>132038</v>
      </c>
      <c r="D93">
        <f t="shared" si="5"/>
        <v>82.795941658201343</v>
      </c>
      <c r="E93">
        <f t="shared" si="6"/>
        <v>82.795941658201343</v>
      </c>
      <c r="G93">
        <f t="shared" ca="1" si="7"/>
        <v>91</v>
      </c>
      <c r="H93">
        <f t="shared" ca="1" si="8"/>
        <v>7534.4306908963226</v>
      </c>
      <c r="I93">
        <f t="shared" ca="1" si="9"/>
        <v>9639.3900865360138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129238</v>
      </c>
      <c r="B95" s="66">
        <v>129238</v>
      </c>
      <c r="D95">
        <f t="shared" si="5"/>
        <v>81.040169557420015</v>
      </c>
      <c r="E95">
        <f t="shared" si="6"/>
        <v>81.040169557420015</v>
      </c>
      <c r="G95">
        <f t="shared" ca="1" si="7"/>
        <v>93</v>
      </c>
      <c r="H95">
        <f t="shared" ca="1" si="8"/>
        <v>7536.7357688400616</v>
      </c>
      <c r="I95">
        <f t="shared" ca="1" si="9"/>
        <v>13256.821819819428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127011</v>
      </c>
      <c r="B98" s="66">
        <v>127011</v>
      </c>
      <c r="D98">
        <f t="shared" si="5"/>
        <v>79.643703675834303</v>
      </c>
      <c r="E98">
        <f t="shared" si="6"/>
        <v>79.643703675834303</v>
      </c>
      <c r="G98">
        <f t="shared" ca="1" si="7"/>
        <v>96</v>
      </c>
      <c r="H98">
        <f t="shared" ca="1" si="8"/>
        <v>7645.7955528800931</v>
      </c>
      <c r="I98">
        <f t="shared" ca="1" si="9"/>
        <v>19857.02026690917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117519</v>
      </c>
      <c r="B100" s="66">
        <v>117519</v>
      </c>
      <c r="D100">
        <f t="shared" si="5"/>
        <v>73.691636254185639</v>
      </c>
      <c r="E100">
        <f t="shared" si="6"/>
        <v>73.691636254185639</v>
      </c>
      <c r="G100">
        <f t="shared" ca="1" si="7"/>
        <v>98</v>
      </c>
      <c r="H100">
        <f t="shared" ca="1" si="8"/>
        <v>7221.780352910193</v>
      </c>
      <c r="I100">
        <f t="shared" ca="1" si="9"/>
        <v>23322.153542368709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90140</v>
      </c>
      <c r="B103" s="66">
        <v>90140</v>
      </c>
      <c r="D103">
        <f t="shared" si="5"/>
        <v>56.523320415867161</v>
      </c>
      <c r="E103">
        <f t="shared" si="6"/>
        <v>56.523320415867161</v>
      </c>
      <c r="G103">
        <f t="shared" ca="1" si="7"/>
        <v>101</v>
      </c>
      <c r="H103">
        <f t="shared" ca="1" si="8"/>
        <v>5708.8553620025832</v>
      </c>
      <c r="I103">
        <f t="shared" ca="1" si="9"/>
        <v>24430.671705897275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81417</v>
      </c>
      <c r="B106" s="66">
        <v>81417</v>
      </c>
      <c r="D106">
        <f t="shared" si="5"/>
        <v>51.053463260468789</v>
      </c>
      <c r="E106">
        <f t="shared" si="6"/>
        <v>51.053463260468789</v>
      </c>
      <c r="G106">
        <f t="shared" ca="1" si="7"/>
        <v>104</v>
      </c>
      <c r="H106">
        <f t="shared" ca="1" si="8"/>
        <v>5309.560179088754</v>
      </c>
      <c r="I106">
        <f t="shared" ca="1" si="9"/>
        <v>28894.355460491162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66649</v>
      </c>
      <c r="B108" s="66">
        <v>66649</v>
      </c>
      <c r="D108">
        <f t="shared" si="5"/>
        <v>41.793019551776467</v>
      </c>
      <c r="E108">
        <f t="shared" si="6"/>
        <v>41.793019551776467</v>
      </c>
      <c r="G108">
        <f t="shared" ca="1" si="7"/>
        <v>106</v>
      </c>
      <c r="H108">
        <f t="shared" ca="1" si="8"/>
        <v>4430.0600724883052</v>
      </c>
      <c r="I108">
        <f t="shared" ca="1" si="9"/>
        <v>27797.480686520332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63063</v>
      </c>
      <c r="B111" s="66">
        <v>63063</v>
      </c>
      <c r="D111">
        <f t="shared" si="5"/>
        <v>39.544377139847249</v>
      </c>
      <c r="E111">
        <f t="shared" si="6"/>
        <v>39.544377139847249</v>
      </c>
      <c r="G111">
        <f t="shared" ca="1" si="7"/>
        <v>109</v>
      </c>
      <c r="H111">
        <f t="shared" ca="1" si="8"/>
        <v>4310.3371082433505</v>
      </c>
      <c r="I111">
        <f t="shared" ca="1" si="9"/>
        <v>32776.847147837099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53089</v>
      </c>
      <c r="B113" s="66">
        <v>53089</v>
      </c>
      <c r="D113">
        <f t="shared" si="5"/>
        <v>33.290066092278366</v>
      </c>
      <c r="E113">
        <f t="shared" si="6"/>
        <v>33.290066092278366</v>
      </c>
      <c r="G113">
        <f t="shared" ca="1" si="7"/>
        <v>111</v>
      </c>
      <c r="H113">
        <f t="shared" ca="1" si="8"/>
        <v>3695.1973362428985</v>
      </c>
      <c r="I113">
        <f t="shared" ca="1" si="9"/>
        <v>31559.724246131595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44071</v>
      </c>
      <c r="B116" s="66">
        <v>44071</v>
      </c>
      <c r="D116">
        <f t="shared" si="5"/>
        <v>27.635225804833389</v>
      </c>
      <c r="E116">
        <f t="shared" si="6"/>
        <v>27.635225804833389</v>
      </c>
      <c r="G116">
        <f t="shared" ca="1" si="7"/>
        <v>114</v>
      </c>
      <c r="H116">
        <f t="shared" ca="1" si="8"/>
        <v>3150.4157417510064</v>
      </c>
      <c r="I116">
        <f t="shared" ca="1" si="9"/>
        <v>31552.853420623134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39251</v>
      </c>
      <c r="B118" s="66">
        <v>39251</v>
      </c>
      <c r="D118">
        <f t="shared" si="5"/>
        <v>24.612789545631262</v>
      </c>
      <c r="E118">
        <f t="shared" si="6"/>
        <v>24.612789545631262</v>
      </c>
      <c r="G118">
        <f t="shared" ca="1" si="7"/>
        <v>116</v>
      </c>
      <c r="H118">
        <f t="shared" ca="1" si="8"/>
        <v>2855.0835872932266</v>
      </c>
      <c r="I118">
        <f t="shared" ca="1" si="9"/>
        <v>31527.063131352981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29988</v>
      </c>
      <c r="B121" s="66">
        <v>29988</v>
      </c>
      <c r="D121">
        <f t="shared" si="5"/>
        <v>18.804319199367921</v>
      </c>
      <c r="E121">
        <f t="shared" si="6"/>
        <v>18.804319199367921</v>
      </c>
      <c r="G121">
        <f t="shared" ca="1" si="7"/>
        <v>119</v>
      </c>
      <c r="H121">
        <f t="shared" ca="1" si="8"/>
        <v>2237.7139847247827</v>
      </c>
      <c r="I121">
        <f t="shared" ca="1" si="9"/>
        <v>28294.140828445656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24599</v>
      </c>
      <c r="B124" s="66">
        <v>24599</v>
      </c>
      <c r="D124">
        <f t="shared" si="5"/>
        <v>15.425084966828448</v>
      </c>
      <c r="E124">
        <f t="shared" si="6"/>
        <v>15.425084966828448</v>
      </c>
      <c r="G124">
        <f t="shared" ca="1" si="7"/>
        <v>122</v>
      </c>
      <c r="H124">
        <f t="shared" ca="1" si="8"/>
        <v>1881.8603659530706</v>
      </c>
      <c r="I124">
        <f t="shared" ca="1" si="9"/>
        <v>26938.393455247588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22495</v>
      </c>
      <c r="B126" s="66">
        <v>22495</v>
      </c>
      <c r="D126">
        <f t="shared" si="5"/>
        <v>14.1057476453842</v>
      </c>
      <c r="E126">
        <f t="shared" si="6"/>
        <v>14.1057476453842</v>
      </c>
      <c r="G126">
        <f t="shared" ca="1" si="7"/>
        <v>124</v>
      </c>
      <c r="H126">
        <f t="shared" ca="1" si="8"/>
        <v>1749.1127080276408</v>
      </c>
      <c r="I126">
        <f t="shared" ca="1" si="9"/>
        <v>27048.638709177725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20652</v>
      </c>
      <c r="B129" s="66">
        <v>20652</v>
      </c>
      <c r="D129">
        <f t="shared" si="5"/>
        <v>12.950073366191354</v>
      </c>
      <c r="E129">
        <f t="shared" si="6"/>
        <v>12.950073366191354</v>
      </c>
      <c r="G129">
        <f t="shared" ca="1" si="7"/>
        <v>127</v>
      </c>
      <c r="H129">
        <f t="shared" ca="1" si="8"/>
        <v>1644.6593175063019</v>
      </c>
      <c r="I129">
        <f t="shared" ca="1" si="9"/>
        <v>28351.61283286025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16024</v>
      </c>
      <c r="B131" s="66">
        <v>16024</v>
      </c>
      <c r="D131">
        <f t="shared" ref="D131:D194" si="10">IFERROR(100*A131/MAX(A$2:A$257), 0 )</f>
        <v>10.048032908185661</v>
      </c>
      <c r="E131">
        <f t="shared" ref="E131:E194" si="11">IFERROR(100*B131/MAX(B$2:B$257), 0 )</f>
        <v>10.048032908185661</v>
      </c>
      <c r="G131">
        <f t="shared" ref="G131:G194" ca="1" si="12">CELL("row",D131)-2</f>
        <v>129</v>
      </c>
      <c r="H131">
        <f t="shared" ref="H131:H194" ca="1" si="13">D131*G131</f>
        <v>1296.1962451559502</v>
      </c>
      <c r="I131">
        <f t="shared" ref="I131:I194" ca="1" si="14">D131*((G131-$L$1)^2)</f>
        <v>23918.952581627276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12082</v>
      </c>
      <c r="B134" s="66">
        <v>12082</v>
      </c>
      <c r="D134">
        <f t="shared" si="10"/>
        <v>7.5761566148713895</v>
      </c>
      <c r="E134">
        <f t="shared" si="11"/>
        <v>7.5761566148713895</v>
      </c>
      <c r="G134">
        <f t="shared" ca="1" si="12"/>
        <v>132</v>
      </c>
      <c r="H134">
        <f t="shared" ca="1" si="13"/>
        <v>1000.0526731630234</v>
      </c>
      <c r="I134">
        <f t="shared" ca="1" si="14"/>
        <v>20320.775098784172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8691</v>
      </c>
      <c r="B136" s="66">
        <v>8691</v>
      </c>
      <c r="D136">
        <f t="shared" si="10"/>
        <v>5.4497911885323003</v>
      </c>
      <c r="E136">
        <f t="shared" si="11"/>
        <v>5.4497911885323003</v>
      </c>
      <c r="G136">
        <f t="shared" ca="1" si="12"/>
        <v>134</v>
      </c>
      <c r="H136">
        <f t="shared" ca="1" si="13"/>
        <v>730.27201926332827</v>
      </c>
      <c r="I136">
        <f t="shared" ca="1" si="14"/>
        <v>15768.212817567626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6881</v>
      </c>
      <c r="B139" s="66">
        <v>6881</v>
      </c>
      <c r="D139">
        <f t="shared" si="10"/>
        <v>4.3148099376700904</v>
      </c>
      <c r="E139">
        <f t="shared" si="11"/>
        <v>4.3148099376700904</v>
      </c>
      <c r="G139">
        <f t="shared" ca="1" si="12"/>
        <v>137</v>
      </c>
      <c r="H139">
        <f t="shared" ca="1" si="13"/>
        <v>591.12896146080243</v>
      </c>
      <c r="I139">
        <f t="shared" ca="1" si="14"/>
        <v>13915.696709693335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7098</v>
      </c>
      <c r="B142" s="66">
        <v>7098</v>
      </c>
      <c r="D142">
        <f t="shared" si="10"/>
        <v>4.4508822754806427</v>
      </c>
      <c r="E142">
        <f t="shared" si="11"/>
        <v>4.4508822754806427</v>
      </c>
      <c r="G142">
        <f t="shared" ca="1" si="12"/>
        <v>140</v>
      </c>
      <c r="H142">
        <f t="shared" ca="1" si="13"/>
        <v>623.12351856729003</v>
      </c>
      <c r="I142">
        <f t="shared" ca="1" si="14"/>
        <v>15911.194482932588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5013</v>
      </c>
      <c r="B144" s="66">
        <v>5013</v>
      </c>
      <c r="D144">
        <f t="shared" si="10"/>
        <v>3.1434591218631249</v>
      </c>
      <c r="E144">
        <f t="shared" si="11"/>
        <v>3.1434591218631249</v>
      </c>
      <c r="G144">
        <f t="shared" ca="1" si="12"/>
        <v>142</v>
      </c>
      <c r="H144">
        <f t="shared" ca="1" si="13"/>
        <v>446.37119530456374</v>
      </c>
      <c r="I144">
        <f t="shared" ca="1" si="14"/>
        <v>12001.728313014115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5748</v>
      </c>
      <c r="B147" s="66">
        <v>5748</v>
      </c>
      <c r="D147">
        <f t="shared" si="10"/>
        <v>3.6043492983182213</v>
      </c>
      <c r="E147">
        <f t="shared" si="11"/>
        <v>3.6043492983182213</v>
      </c>
      <c r="G147">
        <f t="shared" ca="1" si="12"/>
        <v>145</v>
      </c>
      <c r="H147">
        <f t="shared" ca="1" si="13"/>
        <v>522.63064825614208</v>
      </c>
      <c r="I147">
        <f t="shared" ca="1" si="14"/>
        <v>15130.122172096262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4445</v>
      </c>
      <c r="B149" s="66">
        <v>4445</v>
      </c>
      <c r="D149">
        <f t="shared" si="10"/>
        <v>2.7872882099903431</v>
      </c>
      <c r="E149">
        <f t="shared" si="11"/>
        <v>2.7872882099903431</v>
      </c>
      <c r="G149">
        <f t="shared" ca="1" si="12"/>
        <v>147</v>
      </c>
      <c r="H149">
        <f t="shared" ca="1" si="13"/>
        <v>409.73136686858044</v>
      </c>
      <c r="I149">
        <f t="shared" ca="1" si="14"/>
        <v>12433.814379366788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4311</v>
      </c>
      <c r="B152" s="66">
        <v>4311</v>
      </c>
      <c r="D152">
        <f t="shared" si="10"/>
        <v>2.7032619737386661</v>
      </c>
      <c r="E152">
        <f t="shared" si="11"/>
        <v>2.7032619737386661</v>
      </c>
      <c r="G152">
        <f t="shared" ca="1" si="12"/>
        <v>150</v>
      </c>
      <c r="H152">
        <f t="shared" ca="1" si="13"/>
        <v>405.48929606079992</v>
      </c>
      <c r="I152">
        <f t="shared" ca="1" si="14"/>
        <v>13166.615810772946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2505</v>
      </c>
      <c r="B154" s="66">
        <v>2505</v>
      </c>
      <c r="D154">
        <f t="shared" si="10"/>
        <v>1.5707889687347154</v>
      </c>
      <c r="E154">
        <f t="shared" si="11"/>
        <v>1.5707889687347154</v>
      </c>
      <c r="G154">
        <f t="shared" ca="1" si="12"/>
        <v>152</v>
      </c>
      <c r="H154">
        <f t="shared" ca="1" si="13"/>
        <v>238.75992324767674</v>
      </c>
      <c r="I154">
        <f t="shared" ca="1" si="14"/>
        <v>8095.5319493086035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1528</v>
      </c>
      <c r="B157" s="66">
        <v>1528</v>
      </c>
      <c r="D157">
        <f t="shared" si="10"/>
        <v>0.95814991785494819</v>
      </c>
      <c r="E157">
        <f t="shared" si="11"/>
        <v>0.95814991785494819</v>
      </c>
      <c r="G157">
        <f t="shared" ca="1" si="12"/>
        <v>155</v>
      </c>
      <c r="H157">
        <f t="shared" ca="1" si="13"/>
        <v>148.51323726751696</v>
      </c>
      <c r="I157">
        <f t="shared" ca="1" si="14"/>
        <v>5359.4495762684855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1107</v>
      </c>
      <c r="B160" s="66">
        <v>1107</v>
      </c>
      <c r="D160">
        <f t="shared" si="10"/>
        <v>0.69415704127318556</v>
      </c>
      <c r="E160">
        <f t="shared" si="11"/>
        <v>0.69415704127318556</v>
      </c>
      <c r="G160">
        <f t="shared" ca="1" si="12"/>
        <v>158</v>
      </c>
      <c r="H160">
        <f t="shared" ca="1" si="13"/>
        <v>109.67681252116331</v>
      </c>
      <c r="I160">
        <f t="shared" ca="1" si="14"/>
        <v>4200.5382690017632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476</v>
      </c>
      <c r="B162" s="66">
        <v>476</v>
      </c>
      <c r="D162">
        <f t="shared" si="10"/>
        <v>0.29848125713282414</v>
      </c>
      <c r="E162">
        <f t="shared" si="11"/>
        <v>0.29848125713282414</v>
      </c>
      <c r="G162">
        <f t="shared" ca="1" si="12"/>
        <v>160</v>
      </c>
      <c r="H162">
        <f t="shared" ca="1" si="13"/>
        <v>47.757001141251862</v>
      </c>
      <c r="I162">
        <f t="shared" ca="1" si="14"/>
        <v>1900.2628280751505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436</v>
      </c>
      <c r="B165" s="66">
        <v>436</v>
      </c>
      <c r="D165">
        <f t="shared" si="10"/>
        <v>0.27339879855023391</v>
      </c>
      <c r="E165">
        <f t="shared" si="11"/>
        <v>0.27339879855023391</v>
      </c>
      <c r="G165">
        <f t="shared" ca="1" si="12"/>
        <v>163</v>
      </c>
      <c r="H165">
        <f t="shared" ca="1" si="13"/>
        <v>44.564004163688125</v>
      </c>
      <c r="I165">
        <f t="shared" ca="1" si="14"/>
        <v>1873.9243575694009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352</v>
      </c>
      <c r="B1" s="68" t="s">
        <v>353</v>
      </c>
      <c r="C1" s="32" t="s">
        <v>354</v>
      </c>
      <c r="D1" s="32" t="s">
        <v>355</v>
      </c>
      <c r="E1" s="32" t="s">
        <v>356</v>
      </c>
    </row>
    <row r="2" spans="1:5">
      <c r="A2" s="68">
        <v>0.17691100000000001</v>
      </c>
      <c r="B2" s="68">
        <v>0.64527699999999999</v>
      </c>
      <c r="C2" s="68">
        <v>0</v>
      </c>
      <c r="D2" s="68">
        <v>1</v>
      </c>
      <c r="E2" s="68" t="s">
        <v>357</v>
      </c>
    </row>
    <row r="3" spans="1:5">
      <c r="A3" s="68">
        <v>0.182169</v>
      </c>
      <c r="B3" s="68">
        <v>0.64023399999999997</v>
      </c>
      <c r="C3" s="68">
        <v>0.39891700000000002</v>
      </c>
      <c r="D3" s="89">
        <v>1</v>
      </c>
      <c r="E3" s="68" t="s">
        <v>358</v>
      </c>
    </row>
    <row r="4" spans="1:5">
      <c r="A4" s="68">
        <v>0.18757699999999999</v>
      </c>
      <c r="B4" s="68">
        <v>0.63429500000000005</v>
      </c>
      <c r="C4" s="68">
        <v>0.80396299999999998</v>
      </c>
      <c r="D4" s="89">
        <v>1</v>
      </c>
      <c r="E4" s="68" t="s">
        <v>359</v>
      </c>
    </row>
    <row r="5" spans="1:5">
      <c r="A5" s="89">
        <v>0.19309999999999999</v>
      </c>
      <c r="B5" s="89">
        <v>0.62825699999999995</v>
      </c>
      <c r="C5" s="89">
        <v>1.21271</v>
      </c>
      <c r="D5" s="89">
        <v>1</v>
      </c>
      <c r="E5" s="68" t="s">
        <v>360</v>
      </c>
    </row>
    <row r="6" spans="1:5">
      <c r="A6" s="68">
        <v>0.19891200000000001</v>
      </c>
      <c r="B6" s="68">
        <v>0.62104099999999995</v>
      </c>
      <c r="C6" s="68">
        <v>1.6206</v>
      </c>
      <c r="D6" s="68">
        <v>1</v>
      </c>
      <c r="E6" s="68" t="s">
        <v>361</v>
      </c>
    </row>
    <row r="7" spans="1:5">
      <c r="A7" s="68">
        <v>0.20479600000000001</v>
      </c>
      <c r="B7" s="68">
        <v>0.61462600000000001</v>
      </c>
      <c r="C7" s="68">
        <v>2.0249899999999998</v>
      </c>
      <c r="D7" s="68">
        <v>1</v>
      </c>
      <c r="E7" s="68" t="s">
        <v>362</v>
      </c>
    </row>
    <row r="8" spans="1:5">
      <c r="A8" s="68">
        <v>0.21060300000000001</v>
      </c>
      <c r="B8" s="68">
        <v>0.60926599999999997</v>
      </c>
      <c r="C8" s="68">
        <v>2.4304899999999998</v>
      </c>
      <c r="D8" s="68">
        <v>1</v>
      </c>
      <c r="E8" s="68" t="s">
        <v>363</v>
      </c>
    </row>
    <row r="9" spans="1:5">
      <c r="A9" s="68">
        <v>0.216332</v>
      </c>
      <c r="B9" s="68">
        <v>0.60531699999999999</v>
      </c>
      <c r="C9" s="68">
        <v>2.83683</v>
      </c>
      <c r="D9" s="68">
        <v>1</v>
      </c>
      <c r="E9" s="68" t="s">
        <v>364</v>
      </c>
    </row>
    <row r="10" spans="1:5">
      <c r="A10" s="68">
        <v>0.222303</v>
      </c>
      <c r="B10" s="68">
        <v>0.59966600000000003</v>
      </c>
      <c r="C10" s="68">
        <v>3.2400500000000001</v>
      </c>
      <c r="D10" s="68">
        <v>1</v>
      </c>
      <c r="E10" s="68" t="s">
        <v>365</v>
      </c>
    </row>
    <row r="11" spans="1:5">
      <c r="A11" s="68">
        <v>0.228543</v>
      </c>
      <c r="B11" s="68">
        <v>0.59258999999999995</v>
      </c>
      <c r="C11" s="68">
        <v>3.6512600000000002</v>
      </c>
      <c r="D11" s="68">
        <v>1</v>
      </c>
      <c r="E11" s="68" t="s">
        <v>366</v>
      </c>
    </row>
    <row r="12" spans="1:5">
      <c r="A12" s="68">
        <v>0.23502999999999999</v>
      </c>
      <c r="B12" s="68">
        <v>0.58565800000000001</v>
      </c>
      <c r="C12" s="68">
        <v>4.0562399999999998</v>
      </c>
      <c r="D12" s="68">
        <v>1</v>
      </c>
      <c r="E12" s="68" t="s">
        <v>367</v>
      </c>
    </row>
    <row r="13" spans="1:5">
      <c r="A13" s="68">
        <v>0.24194299999999999</v>
      </c>
      <c r="B13" s="68">
        <v>0.57736900000000002</v>
      </c>
      <c r="C13" s="68">
        <v>4.4600400000000002</v>
      </c>
      <c r="D13" s="68">
        <v>1</v>
      </c>
      <c r="E13" s="68" t="s">
        <v>368</v>
      </c>
    </row>
    <row r="14" spans="1:5">
      <c r="A14" s="68">
        <v>0.248833</v>
      </c>
      <c r="B14" s="68">
        <v>0.56893199999999999</v>
      </c>
      <c r="C14" s="68">
        <v>4.8649100000000001</v>
      </c>
      <c r="D14" s="68">
        <v>1</v>
      </c>
      <c r="E14" s="68" t="s">
        <v>369</v>
      </c>
    </row>
    <row r="15" spans="1:5">
      <c r="A15" s="68">
        <v>0.255494</v>
      </c>
      <c r="B15" s="68">
        <v>0.56190099999999998</v>
      </c>
      <c r="C15" s="68">
        <v>5.2729200000000001</v>
      </c>
      <c r="D15" s="68">
        <v>1</v>
      </c>
      <c r="E15" s="68" t="s">
        <v>370</v>
      </c>
    </row>
    <row r="16" spans="1:5">
      <c r="A16" s="68">
        <v>0.26195800000000002</v>
      </c>
      <c r="B16" s="68">
        <v>0.55597099999999999</v>
      </c>
      <c r="C16" s="68">
        <v>5.6797800000000001</v>
      </c>
      <c r="D16" s="68">
        <v>1</v>
      </c>
      <c r="E16" s="68" t="s">
        <v>371</v>
      </c>
    </row>
    <row r="17" spans="1:5">
      <c r="A17" s="68">
        <v>0.268368</v>
      </c>
      <c r="B17" s="68">
        <v>0.54953300000000005</v>
      </c>
      <c r="C17" s="68">
        <v>6.0871399999999998</v>
      </c>
      <c r="D17" s="68">
        <v>1</v>
      </c>
      <c r="E17" s="68" t="s">
        <v>372</v>
      </c>
    </row>
    <row r="18" spans="1:5">
      <c r="A18" s="68">
        <v>0.27478200000000003</v>
      </c>
      <c r="B18" s="68">
        <v>0.54289200000000004</v>
      </c>
      <c r="C18" s="68">
        <v>6.4871499999999997</v>
      </c>
      <c r="D18" s="68">
        <v>1</v>
      </c>
      <c r="E18" s="68" t="s">
        <v>373</v>
      </c>
    </row>
    <row r="19" spans="1:5">
      <c r="A19" s="68">
        <v>0.28029199999999999</v>
      </c>
      <c r="B19" s="68">
        <v>0.539497</v>
      </c>
      <c r="C19" s="68">
        <v>6.8935000000000004</v>
      </c>
      <c r="D19" s="68">
        <v>1</v>
      </c>
      <c r="E19" s="68" t="s">
        <v>374</v>
      </c>
    </row>
    <row r="20" spans="1:5">
      <c r="A20" s="68">
        <v>0.28581699999999999</v>
      </c>
      <c r="B20" s="68">
        <v>0.53647599999999995</v>
      </c>
      <c r="C20" s="68">
        <v>7.3044399999999996</v>
      </c>
      <c r="D20" s="68">
        <v>1</v>
      </c>
      <c r="E20" s="68" t="s">
        <v>375</v>
      </c>
    </row>
    <row r="21" spans="1:5">
      <c r="A21" s="68">
        <v>0.29102899999999998</v>
      </c>
      <c r="B21" s="68">
        <v>0.53395400000000004</v>
      </c>
      <c r="C21" s="68">
        <v>7.7098199999999997</v>
      </c>
      <c r="D21" s="68">
        <v>1</v>
      </c>
      <c r="E21" s="68" t="s">
        <v>376</v>
      </c>
    </row>
    <row r="22" spans="1:5">
      <c r="A22" s="68">
        <v>0.29582199999999997</v>
      </c>
      <c r="B22" s="68">
        <v>0.53212599999999999</v>
      </c>
      <c r="C22" s="68">
        <v>8.1154499999999992</v>
      </c>
      <c r="D22" s="68">
        <v>1</v>
      </c>
      <c r="E22" s="68" t="s">
        <v>377</v>
      </c>
    </row>
    <row r="23" spans="1:5">
      <c r="A23" s="68">
        <v>0.30030499999999999</v>
      </c>
      <c r="B23" s="68">
        <v>0.53113900000000003</v>
      </c>
      <c r="C23" s="68">
        <v>8.5244999999999997</v>
      </c>
      <c r="D23" s="68">
        <v>1</v>
      </c>
      <c r="E23" s="68" t="s">
        <v>378</v>
      </c>
    </row>
    <row r="24" spans="1:5">
      <c r="A24" s="68">
        <v>0.30427100000000001</v>
      </c>
      <c r="B24" s="68">
        <v>0.52955200000000002</v>
      </c>
      <c r="C24" s="68">
        <v>8.9268999999999998</v>
      </c>
      <c r="D24" s="68">
        <v>1</v>
      </c>
      <c r="E24" s="68" t="s">
        <v>379</v>
      </c>
    </row>
    <row r="25" spans="1:5">
      <c r="A25" s="68">
        <v>0.30790699999999999</v>
      </c>
      <c r="B25" s="68">
        <v>0.52757100000000001</v>
      </c>
      <c r="C25" s="68">
        <v>9.3359299999999994</v>
      </c>
      <c r="D25" s="68">
        <v>1</v>
      </c>
      <c r="E25" s="68" t="s">
        <v>380</v>
      </c>
    </row>
    <row r="26" spans="1:5">
      <c r="A26" s="68">
        <v>0.31038900000000003</v>
      </c>
      <c r="B26" s="68">
        <v>0.52468899999999996</v>
      </c>
      <c r="C26" s="68">
        <v>9.7399199999999997</v>
      </c>
      <c r="D26" s="68">
        <v>1</v>
      </c>
      <c r="E26" s="68" t="s">
        <v>381</v>
      </c>
    </row>
    <row r="27" spans="1:5">
      <c r="A27" s="68">
        <v>0.31217499999999998</v>
      </c>
      <c r="B27" s="68">
        <v>0.52204399999999995</v>
      </c>
      <c r="C27" s="68">
        <v>10.147</v>
      </c>
      <c r="D27" s="68">
        <v>1</v>
      </c>
      <c r="E27" s="68" t="s">
        <v>382</v>
      </c>
    </row>
    <row r="28" spans="1:5">
      <c r="A28" s="68">
        <v>0.31333800000000001</v>
      </c>
      <c r="B28" s="68">
        <v>0.51851499999999995</v>
      </c>
      <c r="C28" s="68">
        <v>10.5581</v>
      </c>
      <c r="D28" s="68">
        <v>1</v>
      </c>
      <c r="E28" s="68" t="s">
        <v>383</v>
      </c>
    </row>
    <row r="29" spans="1:5">
      <c r="A29" s="68">
        <v>0.31426100000000001</v>
      </c>
      <c r="B29" s="68">
        <v>0.51476699999999997</v>
      </c>
      <c r="C29" s="68">
        <v>10.9598</v>
      </c>
      <c r="D29" s="68">
        <v>1</v>
      </c>
      <c r="E29" s="68" t="s">
        <v>384</v>
      </c>
    </row>
    <row r="30" spans="1:5">
      <c r="A30" s="68">
        <v>0.31520100000000001</v>
      </c>
      <c r="B30" s="68">
        <v>0.50981299999999996</v>
      </c>
      <c r="C30" s="68">
        <v>11.365500000000001</v>
      </c>
      <c r="D30" s="68">
        <v>1</v>
      </c>
      <c r="E30" s="68" t="s">
        <v>385</v>
      </c>
    </row>
    <row r="31" spans="1:5">
      <c r="A31" s="68">
        <v>0.31583600000000001</v>
      </c>
      <c r="B31" s="68">
        <v>0.50444800000000001</v>
      </c>
      <c r="C31" s="68">
        <v>11.773400000000001</v>
      </c>
      <c r="D31" s="68">
        <v>1</v>
      </c>
      <c r="E31" s="68" t="s">
        <v>386</v>
      </c>
    </row>
    <row r="32" spans="1:5">
      <c r="A32" s="68">
        <v>0.31629200000000002</v>
      </c>
      <c r="B32" s="68">
        <v>0.49910399999999999</v>
      </c>
      <c r="C32" s="68">
        <v>12.179500000000001</v>
      </c>
      <c r="D32" s="68">
        <v>1</v>
      </c>
      <c r="E32" s="68" t="s">
        <v>387</v>
      </c>
    </row>
    <row r="33" spans="1:5">
      <c r="A33" s="68">
        <v>0.31650800000000001</v>
      </c>
      <c r="B33" s="68">
        <v>0.49433199999999999</v>
      </c>
      <c r="C33" s="68">
        <v>12.5893</v>
      </c>
      <c r="D33" s="68">
        <v>1</v>
      </c>
      <c r="E33" s="68" t="s">
        <v>388</v>
      </c>
    </row>
    <row r="34" spans="1:5">
      <c r="A34" s="68">
        <v>0.31654399999999999</v>
      </c>
      <c r="B34" s="68">
        <v>0.48970000000000002</v>
      </c>
      <c r="C34" s="68">
        <v>12.988200000000001</v>
      </c>
      <c r="D34" s="68">
        <v>1</v>
      </c>
      <c r="E34" s="68" t="s">
        <v>389</v>
      </c>
    </row>
    <row r="35" spans="1:5">
      <c r="A35" s="68">
        <v>0.31616</v>
      </c>
      <c r="B35" s="68">
        <v>0.48479499999999998</v>
      </c>
      <c r="C35" s="68">
        <v>13.395099999999999</v>
      </c>
      <c r="D35" s="68">
        <v>1</v>
      </c>
      <c r="E35" s="68" t="s">
        <v>390</v>
      </c>
    </row>
    <row r="36" spans="1:5">
      <c r="A36" s="68">
        <v>0.31561899999999998</v>
      </c>
      <c r="B36" s="68">
        <v>0.47952400000000001</v>
      </c>
      <c r="C36" s="68">
        <v>13.804</v>
      </c>
      <c r="D36" s="68">
        <v>1</v>
      </c>
      <c r="E36" s="68" t="s">
        <v>391</v>
      </c>
    </row>
    <row r="37" spans="1:5">
      <c r="A37" s="68">
        <v>0.31492599999999998</v>
      </c>
      <c r="B37" s="68">
        <v>0.47450300000000001</v>
      </c>
      <c r="C37" s="68">
        <v>14.206</v>
      </c>
      <c r="D37" s="68">
        <v>1</v>
      </c>
      <c r="E37" s="68" t="s">
        <v>392</v>
      </c>
    </row>
    <row r="38" spans="1:5">
      <c r="A38" s="68">
        <v>0.31373299999999998</v>
      </c>
      <c r="B38" s="68">
        <v>0.470192</v>
      </c>
      <c r="C38" s="68">
        <v>14.613200000000001</v>
      </c>
      <c r="D38" s="68">
        <v>1</v>
      </c>
      <c r="E38" s="68" t="s">
        <v>393</v>
      </c>
    </row>
    <row r="39" spans="1:5">
      <c r="A39" s="68">
        <v>0.312278</v>
      </c>
      <c r="B39" s="68">
        <v>0.46654899999999999</v>
      </c>
      <c r="C39" s="68">
        <v>15.0259</v>
      </c>
      <c r="D39" s="68">
        <v>1</v>
      </c>
      <c r="E39" s="68" t="s">
        <v>394</v>
      </c>
    </row>
    <row r="40" spans="1:5">
      <c r="A40" s="68">
        <v>0.31067400000000001</v>
      </c>
      <c r="B40" s="68">
        <v>0.46351799999999999</v>
      </c>
      <c r="C40" s="68">
        <v>15.431800000000001</v>
      </c>
      <c r="D40" s="68">
        <v>1</v>
      </c>
      <c r="E40" s="68" t="s">
        <v>395</v>
      </c>
    </row>
    <row r="41" spans="1:5">
      <c r="A41" s="68">
        <v>0.30869400000000002</v>
      </c>
      <c r="B41" s="68">
        <v>0.46196300000000001</v>
      </c>
      <c r="C41" s="68">
        <v>15.8367</v>
      </c>
      <c r="D41" s="68">
        <v>1</v>
      </c>
      <c r="E41" s="68" t="s">
        <v>396</v>
      </c>
    </row>
    <row r="42" spans="1:5">
      <c r="A42" s="68">
        <v>0.30634</v>
      </c>
      <c r="B42" s="68">
        <v>0.46182699999999999</v>
      </c>
      <c r="C42" s="68">
        <v>16.2407</v>
      </c>
      <c r="D42" s="68">
        <v>1</v>
      </c>
      <c r="E42" s="68" t="s">
        <v>397</v>
      </c>
    </row>
    <row r="43" spans="1:5">
      <c r="A43" s="68">
        <v>0.30406100000000003</v>
      </c>
      <c r="B43" s="68">
        <v>0.46273399999999998</v>
      </c>
      <c r="C43" s="68">
        <v>16.647400000000001</v>
      </c>
      <c r="D43" s="68">
        <v>1</v>
      </c>
      <c r="E43" s="68" t="s">
        <v>398</v>
      </c>
    </row>
    <row r="44" spans="1:5">
      <c r="A44" s="68">
        <v>0.30281999999999998</v>
      </c>
      <c r="B44" s="68">
        <v>0.463175</v>
      </c>
      <c r="C44" s="68">
        <v>17.0533</v>
      </c>
      <c r="D44" s="68">
        <v>1</v>
      </c>
      <c r="E44" s="68" t="s">
        <v>399</v>
      </c>
    </row>
    <row r="45" spans="1:5">
      <c r="A45" s="68">
        <v>0.30144599999999999</v>
      </c>
      <c r="B45" s="68">
        <v>0.46435700000000002</v>
      </c>
      <c r="C45" s="68">
        <v>17.461500000000001</v>
      </c>
      <c r="D45" s="68">
        <v>1</v>
      </c>
      <c r="E45" s="68" t="s">
        <v>400</v>
      </c>
    </row>
    <row r="46" spans="1:5">
      <c r="A46" s="68">
        <v>0.30016500000000002</v>
      </c>
      <c r="B46" s="68">
        <v>0.46483999999999998</v>
      </c>
      <c r="C46" s="68">
        <v>17.868500000000001</v>
      </c>
      <c r="D46" s="68">
        <v>1</v>
      </c>
      <c r="E46" s="68" t="s">
        <v>401</v>
      </c>
    </row>
    <row r="47" spans="1:5">
      <c r="A47" s="68">
        <v>0.299211</v>
      </c>
      <c r="B47" s="68">
        <v>0.46430700000000003</v>
      </c>
      <c r="C47" s="68">
        <v>18.275200000000002</v>
      </c>
      <c r="D47" s="68">
        <v>1</v>
      </c>
      <c r="E47" s="68" t="s">
        <v>402</v>
      </c>
    </row>
    <row r="48" spans="1:5">
      <c r="A48" s="68">
        <v>0.29830400000000001</v>
      </c>
      <c r="B48" s="68">
        <v>0.46397300000000002</v>
      </c>
      <c r="C48" s="68">
        <v>18.681999999999999</v>
      </c>
      <c r="D48" s="68">
        <v>1</v>
      </c>
      <c r="E48" s="68" t="s">
        <v>403</v>
      </c>
    </row>
    <row r="49" spans="1:5">
      <c r="A49" s="68">
        <v>0.29731299999999999</v>
      </c>
      <c r="B49" s="68">
        <v>0.46429300000000001</v>
      </c>
      <c r="C49" s="68">
        <v>19.084900000000001</v>
      </c>
      <c r="D49" s="68">
        <v>1</v>
      </c>
      <c r="E49" s="68" t="s">
        <v>404</v>
      </c>
    </row>
    <row r="50" spans="1:5">
      <c r="A50" s="68">
        <v>0.296514</v>
      </c>
      <c r="B50" s="68">
        <v>0.46471299999999999</v>
      </c>
      <c r="C50" s="68">
        <v>19.494</v>
      </c>
      <c r="D50" s="68">
        <v>1</v>
      </c>
      <c r="E50" s="68" t="s">
        <v>405</v>
      </c>
    </row>
    <row r="51" spans="1:5">
      <c r="A51" s="68">
        <v>0.29559800000000003</v>
      </c>
      <c r="B51" s="68">
        <v>0.46544000000000002</v>
      </c>
      <c r="C51" s="68">
        <v>19.8977</v>
      </c>
      <c r="D51" s="68">
        <v>1</v>
      </c>
      <c r="E51" s="68" t="s">
        <v>406</v>
      </c>
    </row>
    <row r="52" spans="1:5">
      <c r="A52" s="68">
        <v>0.29489500000000002</v>
      </c>
      <c r="B52" s="68">
        <v>0.46576099999999998</v>
      </c>
      <c r="C52" s="68">
        <v>20.304600000000001</v>
      </c>
      <c r="D52" s="68">
        <v>1</v>
      </c>
      <c r="E52" s="68" t="s">
        <v>407</v>
      </c>
    </row>
    <row r="53" spans="1:5">
      <c r="A53" s="68">
        <v>0.29438599999999998</v>
      </c>
      <c r="B53" s="68">
        <v>0.46726200000000001</v>
      </c>
      <c r="C53" s="68">
        <v>20.711600000000001</v>
      </c>
      <c r="D53" s="68">
        <v>1</v>
      </c>
      <c r="E53" s="68" t="s">
        <v>408</v>
      </c>
    </row>
    <row r="54" spans="1:5">
      <c r="A54" s="68">
        <v>0.29404599999999997</v>
      </c>
      <c r="B54" s="68">
        <v>0.46994000000000002</v>
      </c>
      <c r="C54" s="68">
        <v>21.1174</v>
      </c>
      <c r="D54" s="68">
        <v>1</v>
      </c>
      <c r="E54" s="68" t="s">
        <v>409</v>
      </c>
    </row>
    <row r="55" spans="1:5">
      <c r="A55" s="68">
        <v>0.29364000000000001</v>
      </c>
      <c r="B55" s="68">
        <v>0.47466000000000003</v>
      </c>
      <c r="C55" s="68">
        <v>21.521699999999999</v>
      </c>
      <c r="D55" s="68">
        <v>1</v>
      </c>
      <c r="E55" s="68" t="s">
        <v>410</v>
      </c>
    </row>
    <row r="56" spans="1:5">
      <c r="A56" s="68">
        <v>0.29337099999999999</v>
      </c>
      <c r="B56" s="68">
        <v>0.48019099999999998</v>
      </c>
      <c r="C56" s="68">
        <v>21.927299999999999</v>
      </c>
      <c r="D56" s="68">
        <v>1</v>
      </c>
      <c r="E56" s="68" t="s">
        <v>411</v>
      </c>
    </row>
    <row r="57" spans="1:5">
      <c r="A57" s="68">
        <v>0.29324800000000001</v>
      </c>
      <c r="B57" s="68">
        <v>0.48641800000000002</v>
      </c>
      <c r="C57" s="68">
        <v>22.337299999999999</v>
      </c>
      <c r="D57" s="68">
        <v>1</v>
      </c>
      <c r="E57" s="68" t="s">
        <v>412</v>
      </c>
    </row>
    <row r="58" spans="1:5">
      <c r="A58" s="68">
        <v>0.29323199999999999</v>
      </c>
      <c r="B58" s="68">
        <v>0.48874800000000002</v>
      </c>
      <c r="C58" s="68">
        <v>22.738199999999999</v>
      </c>
      <c r="D58" s="68">
        <v>1</v>
      </c>
      <c r="E58" s="68" t="s">
        <v>413</v>
      </c>
    </row>
    <row r="59" spans="1:5">
      <c r="A59" s="68">
        <v>0.29346100000000003</v>
      </c>
      <c r="B59" s="68">
        <v>0.49167</v>
      </c>
      <c r="C59" s="68">
        <v>23.147099999999998</v>
      </c>
      <c r="D59" s="68">
        <v>1</v>
      </c>
      <c r="E59" s="68" t="s">
        <v>414</v>
      </c>
    </row>
    <row r="60" spans="1:5">
      <c r="A60" s="68">
        <v>0.29430000000000001</v>
      </c>
      <c r="B60" s="68">
        <v>0.49648900000000001</v>
      </c>
      <c r="C60" s="68">
        <v>23.559100000000001</v>
      </c>
      <c r="D60" s="68">
        <v>1</v>
      </c>
      <c r="E60" s="68" t="s">
        <v>415</v>
      </c>
    </row>
    <row r="61" spans="1:5">
      <c r="A61" s="68">
        <v>0.29522999999999999</v>
      </c>
      <c r="B61" s="68">
        <v>0.50080599999999997</v>
      </c>
      <c r="C61" s="68">
        <v>23.962800000000001</v>
      </c>
      <c r="D61" s="68">
        <v>1</v>
      </c>
      <c r="E61" s="68" t="s">
        <v>416</v>
      </c>
    </row>
    <row r="62" spans="1:5">
      <c r="A62" s="68">
        <v>0.29565900000000001</v>
      </c>
      <c r="B62" s="68">
        <v>0.50442399999999998</v>
      </c>
      <c r="C62" s="68">
        <v>24.365500000000001</v>
      </c>
      <c r="D62" s="68">
        <v>1</v>
      </c>
      <c r="E62" s="68" t="s">
        <v>417</v>
      </c>
    </row>
    <row r="63" spans="1:5">
      <c r="A63" s="68">
        <v>0.29671799999999998</v>
      </c>
      <c r="B63" s="68">
        <v>0.50911799999999996</v>
      </c>
      <c r="C63" s="68">
        <v>24.775700000000001</v>
      </c>
      <c r="D63" s="68">
        <v>1</v>
      </c>
      <c r="E63" s="68" t="s">
        <v>418</v>
      </c>
    </row>
    <row r="64" spans="1:5">
      <c r="A64" s="68">
        <v>0.29796899999999998</v>
      </c>
      <c r="B64" s="68">
        <v>0.51319599999999999</v>
      </c>
      <c r="C64" s="68">
        <v>25.177600000000002</v>
      </c>
      <c r="D64" s="68">
        <v>1</v>
      </c>
      <c r="E64" s="68" t="s">
        <v>419</v>
      </c>
    </row>
    <row r="65" spans="1:5">
      <c r="A65" s="68">
        <v>0.29941600000000002</v>
      </c>
      <c r="B65" s="68">
        <v>0.51627100000000004</v>
      </c>
      <c r="C65" s="68">
        <v>25.5883</v>
      </c>
      <c r="D65" s="68">
        <v>1</v>
      </c>
      <c r="E65" s="68" t="s">
        <v>420</v>
      </c>
    </row>
    <row r="66" spans="1:5">
      <c r="A66" s="68">
        <v>0.301149</v>
      </c>
      <c r="B66" s="68">
        <v>0.51776800000000001</v>
      </c>
      <c r="C66" s="68">
        <v>25.9925</v>
      </c>
      <c r="D66" s="68">
        <v>1</v>
      </c>
      <c r="E66" s="68" t="s">
        <v>421</v>
      </c>
    </row>
    <row r="67" spans="1:5">
      <c r="A67" s="68">
        <v>0.30298000000000003</v>
      </c>
      <c r="B67" s="68">
        <v>0.51848899999999998</v>
      </c>
      <c r="C67" s="68">
        <v>26.3963</v>
      </c>
      <c r="D67" s="68">
        <v>1</v>
      </c>
      <c r="E67" s="68" t="s">
        <v>422</v>
      </c>
    </row>
    <row r="68" spans="1:5">
      <c r="A68" s="68">
        <v>0.30465599999999998</v>
      </c>
      <c r="B68" s="68">
        <v>0.51935100000000001</v>
      </c>
      <c r="C68" s="68">
        <v>26.8048</v>
      </c>
      <c r="D68" s="68">
        <v>1</v>
      </c>
      <c r="E68" s="68" t="s">
        <v>423</v>
      </c>
    </row>
    <row r="69" spans="1:5">
      <c r="A69" s="68">
        <v>0.30587500000000001</v>
      </c>
      <c r="B69" s="68">
        <v>0.52099099999999998</v>
      </c>
      <c r="C69" s="68">
        <v>27.212199999999999</v>
      </c>
      <c r="D69" s="68">
        <v>1</v>
      </c>
      <c r="E69" s="68" t="s">
        <v>424</v>
      </c>
    </row>
    <row r="70" spans="1:5">
      <c r="A70" s="68">
        <v>0.30760599999999999</v>
      </c>
      <c r="B70" s="68">
        <v>0.52112199999999997</v>
      </c>
      <c r="C70" s="68">
        <v>27.620100000000001</v>
      </c>
      <c r="D70" s="68">
        <v>1</v>
      </c>
      <c r="E70" s="68" t="s">
        <v>425</v>
      </c>
    </row>
    <row r="71" spans="1:5">
      <c r="A71" s="68">
        <v>0.30829299999999998</v>
      </c>
      <c r="B71" s="68">
        <v>0.52242599999999995</v>
      </c>
      <c r="C71" s="68">
        <v>28.022099999999998</v>
      </c>
      <c r="D71" s="68">
        <v>1</v>
      </c>
      <c r="E71" s="68" t="s">
        <v>426</v>
      </c>
    </row>
    <row r="72" spans="1:5">
      <c r="A72" s="68">
        <v>0.30948700000000001</v>
      </c>
      <c r="B72" s="68">
        <v>0.52234800000000003</v>
      </c>
      <c r="C72" s="68">
        <v>28.4299</v>
      </c>
      <c r="D72" s="68">
        <v>1</v>
      </c>
      <c r="E72" s="68" t="s">
        <v>427</v>
      </c>
    </row>
    <row r="73" spans="1:5">
      <c r="A73" s="68">
        <v>0.310386</v>
      </c>
      <c r="B73" s="68">
        <v>0.52362900000000001</v>
      </c>
      <c r="C73" s="68">
        <v>28.834900000000001</v>
      </c>
      <c r="D73" s="68">
        <v>1</v>
      </c>
      <c r="E73" s="68" t="s">
        <v>428</v>
      </c>
    </row>
    <row r="74" spans="1:5">
      <c r="A74" s="68">
        <v>0.31148599999999999</v>
      </c>
      <c r="B74" s="68">
        <v>0.52485400000000004</v>
      </c>
      <c r="C74" s="68">
        <v>29.246600000000001</v>
      </c>
      <c r="D74" s="68">
        <v>1</v>
      </c>
      <c r="E74" s="68" t="s">
        <v>429</v>
      </c>
    </row>
    <row r="75" spans="1:5">
      <c r="A75" s="68">
        <v>0.312753</v>
      </c>
      <c r="B75" s="68">
        <v>0.52605599999999997</v>
      </c>
      <c r="C75" s="68">
        <v>29.650600000000001</v>
      </c>
      <c r="D75" s="68">
        <v>1</v>
      </c>
      <c r="E75" s="68" t="s">
        <v>430</v>
      </c>
    </row>
    <row r="76" spans="1:5">
      <c r="A76" s="68">
        <v>0.31403799999999998</v>
      </c>
      <c r="B76" s="68">
        <v>0.52811600000000003</v>
      </c>
      <c r="C76" s="68">
        <v>30.0578</v>
      </c>
      <c r="D76" s="68">
        <v>2</v>
      </c>
      <c r="E76" s="68" t="s">
        <v>431</v>
      </c>
    </row>
    <row r="77" spans="1:5">
      <c r="A77" s="68">
        <v>0.31528400000000001</v>
      </c>
      <c r="B77" s="68">
        <v>0.53032800000000002</v>
      </c>
      <c r="C77" s="68">
        <v>30.634</v>
      </c>
      <c r="D77" s="68">
        <v>2</v>
      </c>
      <c r="E77" s="68" t="s">
        <v>432</v>
      </c>
    </row>
    <row r="78" spans="1:5">
      <c r="A78" s="68">
        <v>0.31643300000000002</v>
      </c>
      <c r="B78" s="68">
        <v>0.53183100000000005</v>
      </c>
      <c r="C78" s="68">
        <v>31.007000000000001</v>
      </c>
      <c r="D78" s="68">
        <v>2</v>
      </c>
      <c r="E78" s="68" t="s">
        <v>433</v>
      </c>
    </row>
    <row r="79" spans="1:5">
      <c r="A79" s="68">
        <v>0.31725599999999998</v>
      </c>
      <c r="B79" s="68">
        <v>0.53303699999999998</v>
      </c>
      <c r="C79" s="68">
        <v>31.384</v>
      </c>
      <c r="D79" s="68">
        <v>2</v>
      </c>
      <c r="E79" s="68" t="s">
        <v>434</v>
      </c>
    </row>
    <row r="80" spans="1:5">
      <c r="A80" s="68">
        <v>0.31808700000000001</v>
      </c>
      <c r="B80" s="68">
        <v>0.53374900000000003</v>
      </c>
      <c r="C80" s="68">
        <v>31.759799999999998</v>
      </c>
      <c r="D80" s="68">
        <v>2</v>
      </c>
      <c r="E80" s="68" t="s">
        <v>435</v>
      </c>
    </row>
    <row r="81" spans="1:5">
      <c r="A81" s="68">
        <v>0.319073</v>
      </c>
      <c r="B81" s="68">
        <v>0.53463499999999997</v>
      </c>
      <c r="C81" s="68">
        <v>32.131100000000004</v>
      </c>
      <c r="D81" s="68">
        <v>2</v>
      </c>
      <c r="E81" s="68" t="s">
        <v>436</v>
      </c>
    </row>
    <row r="82" spans="1:5">
      <c r="A82" s="68">
        <v>0.32012200000000002</v>
      </c>
      <c r="B82" s="68">
        <v>0.53667799999999999</v>
      </c>
      <c r="C82" s="68">
        <v>32.539900000000003</v>
      </c>
      <c r="D82" s="68">
        <v>2</v>
      </c>
      <c r="E82" s="68" t="s">
        <v>437</v>
      </c>
    </row>
    <row r="83" spans="1:5">
      <c r="A83" s="68">
        <v>0.32108599999999998</v>
      </c>
      <c r="B83" s="68">
        <v>0.53901900000000003</v>
      </c>
      <c r="C83" s="68">
        <v>32.947899999999997</v>
      </c>
      <c r="D83" s="68">
        <v>2</v>
      </c>
      <c r="E83" s="68" t="s">
        <v>438</v>
      </c>
    </row>
    <row r="84" spans="1:5">
      <c r="A84" s="68">
        <v>0.32192100000000001</v>
      </c>
      <c r="B84" s="68">
        <v>0.54187700000000005</v>
      </c>
      <c r="C84" s="68">
        <v>33.352699999999999</v>
      </c>
      <c r="D84" s="68">
        <v>2</v>
      </c>
      <c r="E84" s="68" t="s">
        <v>439</v>
      </c>
    </row>
    <row r="85" spans="1:5">
      <c r="A85" s="68">
        <v>0.32232100000000002</v>
      </c>
      <c r="B85" s="68">
        <v>0.54422300000000001</v>
      </c>
      <c r="C85" s="68">
        <v>33.756700000000002</v>
      </c>
      <c r="D85" s="68">
        <v>2</v>
      </c>
      <c r="E85" s="68" t="s">
        <v>440</v>
      </c>
    </row>
    <row r="86" spans="1:5">
      <c r="A86" s="68">
        <v>0.32239400000000001</v>
      </c>
      <c r="B86" s="68">
        <v>0.54630599999999996</v>
      </c>
      <c r="C86" s="68">
        <v>34.160600000000002</v>
      </c>
      <c r="D86" s="68">
        <v>2</v>
      </c>
      <c r="E86" s="68" t="s">
        <v>441</v>
      </c>
    </row>
    <row r="87" spans="1:5">
      <c r="A87" s="68">
        <v>0.32265899999999997</v>
      </c>
      <c r="B87" s="68">
        <v>0.54805499999999996</v>
      </c>
      <c r="C87" s="68">
        <v>34.566600000000001</v>
      </c>
      <c r="D87" s="68">
        <v>2</v>
      </c>
      <c r="E87" s="68" t="s">
        <v>442</v>
      </c>
    </row>
    <row r="88" spans="1:5">
      <c r="A88" s="68">
        <v>0.32318000000000002</v>
      </c>
      <c r="B88" s="68">
        <v>0.55018999999999996</v>
      </c>
      <c r="C88" s="68">
        <v>34.978400000000001</v>
      </c>
      <c r="D88" s="68">
        <v>2</v>
      </c>
      <c r="E88" s="68" t="s">
        <v>443</v>
      </c>
    </row>
    <row r="89" spans="1:5">
      <c r="A89" s="68">
        <v>0.32397700000000001</v>
      </c>
      <c r="B89" s="68">
        <v>0.55204299999999995</v>
      </c>
      <c r="C89" s="68">
        <v>35.385300000000001</v>
      </c>
      <c r="D89" s="68">
        <v>2</v>
      </c>
      <c r="E89" s="68" t="s">
        <v>444</v>
      </c>
    </row>
    <row r="90" spans="1:5">
      <c r="A90" s="68">
        <v>0.324988</v>
      </c>
      <c r="B90" s="68">
        <v>0.55293899999999996</v>
      </c>
      <c r="C90" s="68">
        <v>35.789200000000001</v>
      </c>
      <c r="D90" s="68">
        <v>2</v>
      </c>
      <c r="E90" s="68" t="s">
        <v>445</v>
      </c>
    </row>
    <row r="91" spans="1:5">
      <c r="A91" s="68">
        <v>0.32580999999999999</v>
      </c>
      <c r="B91" s="68">
        <v>0.554338</v>
      </c>
      <c r="C91" s="68">
        <v>36.198099999999997</v>
      </c>
      <c r="D91" s="68">
        <v>2</v>
      </c>
      <c r="E91" s="68" t="s">
        <v>446</v>
      </c>
    </row>
    <row r="92" spans="1:5">
      <c r="A92" s="68">
        <v>0.32658199999999998</v>
      </c>
      <c r="B92" s="68">
        <v>0.55595499999999998</v>
      </c>
      <c r="C92" s="68">
        <v>36.598999999999997</v>
      </c>
      <c r="D92" s="68">
        <v>2</v>
      </c>
      <c r="E92" s="68" t="s">
        <v>447</v>
      </c>
    </row>
    <row r="93" spans="1:5">
      <c r="A93" s="68">
        <v>0.327067</v>
      </c>
      <c r="B93" s="68">
        <v>0.55809200000000003</v>
      </c>
      <c r="C93" s="68">
        <v>37.006</v>
      </c>
      <c r="D93" s="68">
        <v>2</v>
      </c>
      <c r="E93" s="68" t="s">
        <v>448</v>
      </c>
    </row>
    <row r="94" spans="1:5">
      <c r="A94" s="68">
        <v>0.32763199999999998</v>
      </c>
      <c r="B94" s="68">
        <v>0.56031399999999998</v>
      </c>
      <c r="C94" s="68">
        <v>37.415900000000001</v>
      </c>
      <c r="D94" s="68">
        <v>2</v>
      </c>
      <c r="E94" s="68" t="s">
        <v>449</v>
      </c>
    </row>
    <row r="95" spans="1:5">
      <c r="A95" s="68">
        <v>0.32811800000000002</v>
      </c>
      <c r="B95" s="68">
        <v>0.56255100000000002</v>
      </c>
      <c r="C95" s="68">
        <v>37.817700000000002</v>
      </c>
      <c r="D95" s="68">
        <v>2</v>
      </c>
      <c r="E95" s="68" t="s">
        <v>450</v>
      </c>
    </row>
    <row r="96" spans="1:5">
      <c r="A96" s="68">
        <v>0.32858500000000002</v>
      </c>
      <c r="B96" s="68">
        <v>0.56524799999999997</v>
      </c>
      <c r="C96" s="68">
        <v>38.227699999999999</v>
      </c>
      <c r="D96" s="68">
        <v>2</v>
      </c>
      <c r="E96" s="68" t="s">
        <v>451</v>
      </c>
    </row>
    <row r="97" spans="1:5">
      <c r="A97" s="68">
        <v>0.32895799999999997</v>
      </c>
      <c r="B97" s="68">
        <v>0.56652899999999995</v>
      </c>
      <c r="C97" s="68">
        <v>38.631</v>
      </c>
      <c r="D97" s="68">
        <v>2</v>
      </c>
      <c r="E97" s="68" t="s">
        <v>452</v>
      </c>
    </row>
    <row r="98" spans="1:5">
      <c r="A98" s="68">
        <v>0.329426</v>
      </c>
      <c r="B98" s="68">
        <v>0.56664999999999999</v>
      </c>
      <c r="C98" s="68">
        <v>39.039499999999997</v>
      </c>
      <c r="D98" s="68">
        <v>2</v>
      </c>
      <c r="E98" s="68" t="s">
        <v>453</v>
      </c>
    </row>
    <row r="99" spans="1:5">
      <c r="A99" s="68">
        <v>0.32994200000000001</v>
      </c>
      <c r="B99" s="68">
        <v>0.56561300000000003</v>
      </c>
      <c r="C99" s="68">
        <v>39.4465</v>
      </c>
      <c r="D99" s="68">
        <v>2</v>
      </c>
      <c r="E99" s="68" t="s">
        <v>454</v>
      </c>
    </row>
    <row r="100" spans="1:5">
      <c r="A100" s="68">
        <v>0.33033899999999999</v>
      </c>
      <c r="B100" s="68">
        <v>0.56393800000000005</v>
      </c>
      <c r="C100" s="68">
        <v>39.848399999999998</v>
      </c>
      <c r="D100" s="68">
        <v>2</v>
      </c>
      <c r="E100" s="68" t="s">
        <v>455</v>
      </c>
    </row>
    <row r="101" spans="1:5">
      <c r="A101" s="68">
        <v>0.33071200000000001</v>
      </c>
      <c r="B101" s="68">
        <v>0.56174599999999997</v>
      </c>
      <c r="C101" s="68">
        <v>40.258600000000001</v>
      </c>
      <c r="D101" s="68">
        <v>2</v>
      </c>
      <c r="E101" s="68" t="s">
        <v>456</v>
      </c>
    </row>
    <row r="102" spans="1:5">
      <c r="A102" s="68">
        <v>0.33069199999999999</v>
      </c>
      <c r="B102" s="68">
        <v>0.55977699999999997</v>
      </c>
      <c r="C102" s="68">
        <v>40.663200000000003</v>
      </c>
      <c r="D102" s="68">
        <v>2</v>
      </c>
      <c r="E102" s="68" t="s">
        <v>457</v>
      </c>
    </row>
    <row r="103" spans="1:5">
      <c r="A103" s="68">
        <v>0.33029599999999998</v>
      </c>
      <c r="B103" s="68">
        <v>0.55809299999999995</v>
      </c>
      <c r="C103" s="68">
        <v>41.073099999999997</v>
      </c>
      <c r="D103" s="68">
        <v>2</v>
      </c>
      <c r="E103" s="68" t="s">
        <v>458</v>
      </c>
    </row>
    <row r="104" spans="1:5">
      <c r="A104" s="68">
        <v>0.32978099999999999</v>
      </c>
      <c r="B104" s="68">
        <v>0.55589699999999997</v>
      </c>
      <c r="C104" s="68">
        <v>41.475299999999997</v>
      </c>
      <c r="D104" s="68">
        <v>2</v>
      </c>
      <c r="E104" s="68" t="s">
        <v>459</v>
      </c>
    </row>
    <row r="105" spans="1:5">
      <c r="A105" s="68">
        <v>0.32896900000000001</v>
      </c>
      <c r="B105" s="68">
        <v>0.55298499999999995</v>
      </c>
      <c r="C105" s="68">
        <v>41.878100000000003</v>
      </c>
      <c r="D105" s="68">
        <v>2</v>
      </c>
      <c r="E105" s="68" t="s">
        <v>460</v>
      </c>
    </row>
    <row r="106" spans="1:5">
      <c r="A106" s="68">
        <v>0.327988</v>
      </c>
      <c r="B106" s="68">
        <v>0.54975200000000002</v>
      </c>
      <c r="C106" s="68">
        <v>42.29</v>
      </c>
      <c r="D106" s="68">
        <v>2</v>
      </c>
      <c r="E106" s="68" t="s">
        <v>461</v>
      </c>
    </row>
    <row r="107" spans="1:5">
      <c r="A107" s="68">
        <v>0.327067</v>
      </c>
      <c r="B107" s="68">
        <v>0.54686199999999996</v>
      </c>
      <c r="C107" s="68">
        <v>42.695700000000002</v>
      </c>
      <c r="D107" s="68">
        <v>2</v>
      </c>
      <c r="E107" s="68" t="s">
        <v>462</v>
      </c>
    </row>
    <row r="108" spans="1:5">
      <c r="A108" s="68">
        <v>0.32625700000000002</v>
      </c>
      <c r="B108" s="68">
        <v>0.54348099999999999</v>
      </c>
      <c r="C108" s="68">
        <v>43.1006</v>
      </c>
      <c r="D108" s="68">
        <v>2</v>
      </c>
      <c r="E108" s="68" t="s">
        <v>463</v>
      </c>
    </row>
    <row r="109" spans="1:5">
      <c r="A109" s="68">
        <v>0.32531599999999999</v>
      </c>
      <c r="B109" s="68">
        <v>0.53995300000000002</v>
      </c>
      <c r="C109" s="68">
        <v>43.506599999999999</v>
      </c>
      <c r="D109" s="68">
        <v>2</v>
      </c>
      <c r="E109" s="68" t="s">
        <v>464</v>
      </c>
    </row>
    <row r="110" spans="1:5">
      <c r="A110" s="68">
        <v>0.32444800000000001</v>
      </c>
      <c r="B110" s="68">
        <v>0.535968</v>
      </c>
      <c r="C110" s="68">
        <v>43.913499999999999</v>
      </c>
      <c r="D110" s="68">
        <v>2</v>
      </c>
      <c r="E110" s="68" t="s">
        <v>465</v>
      </c>
    </row>
    <row r="111" spans="1:5">
      <c r="A111" s="68">
        <v>0.32356400000000002</v>
      </c>
      <c r="B111" s="68">
        <v>0.53222700000000001</v>
      </c>
      <c r="C111" s="68">
        <v>44.314500000000002</v>
      </c>
      <c r="D111" s="68">
        <v>2</v>
      </c>
      <c r="E111" s="68" t="s">
        <v>466</v>
      </c>
    </row>
    <row r="112" spans="1:5">
      <c r="A112" s="68">
        <v>0.32234800000000002</v>
      </c>
      <c r="B112" s="68">
        <v>0.52862200000000004</v>
      </c>
      <c r="C112" s="68">
        <v>44.7273</v>
      </c>
      <c r="D112" s="68">
        <v>2</v>
      </c>
      <c r="E112" s="68" t="s">
        <v>467</v>
      </c>
    </row>
    <row r="113" spans="1:5">
      <c r="A113" s="68">
        <v>0.32077699999999998</v>
      </c>
      <c r="B113" s="68">
        <v>0.52444999999999997</v>
      </c>
      <c r="C113" s="68">
        <v>45.13</v>
      </c>
      <c r="D113" s="68">
        <v>2</v>
      </c>
      <c r="E113" s="68" t="s">
        <v>468</v>
      </c>
    </row>
    <row r="114" spans="1:5">
      <c r="A114" s="68">
        <v>0.318857</v>
      </c>
      <c r="B114" s="68">
        <v>0.52061500000000005</v>
      </c>
      <c r="C114" s="68">
        <v>45.539200000000001</v>
      </c>
      <c r="D114" s="68">
        <v>2</v>
      </c>
      <c r="E114" s="68" t="s">
        <v>469</v>
      </c>
    </row>
    <row r="115" spans="1:5">
      <c r="A115" s="68">
        <v>0.31659900000000002</v>
      </c>
      <c r="B115" s="68">
        <v>0.51799799999999996</v>
      </c>
      <c r="C115" s="68">
        <v>45.945099999999996</v>
      </c>
      <c r="D115" s="68">
        <v>2</v>
      </c>
      <c r="E115" s="68" t="s">
        <v>470</v>
      </c>
    </row>
    <row r="116" spans="1:5">
      <c r="A116" s="68">
        <v>0.314417</v>
      </c>
      <c r="B116" s="68">
        <v>0.51509300000000002</v>
      </c>
      <c r="C116" s="68">
        <v>46.353000000000002</v>
      </c>
      <c r="D116" s="68">
        <v>2</v>
      </c>
      <c r="E116" s="68" t="s">
        <v>471</v>
      </c>
    </row>
    <row r="117" spans="1:5">
      <c r="A117" s="68">
        <v>0.312222</v>
      </c>
      <c r="B117" s="68">
        <v>0.51262799999999997</v>
      </c>
      <c r="C117" s="68">
        <v>46.754199999999997</v>
      </c>
      <c r="D117" s="68">
        <v>2</v>
      </c>
      <c r="E117" s="68" t="s">
        <v>472</v>
      </c>
    </row>
    <row r="118" spans="1:5">
      <c r="A118" s="68">
        <v>0.31039699999999998</v>
      </c>
      <c r="B118" s="68">
        <v>0.51036000000000004</v>
      </c>
      <c r="C118" s="68">
        <v>47.1648</v>
      </c>
      <c r="D118" s="68">
        <v>2</v>
      </c>
      <c r="E118" s="68" t="s">
        <v>473</v>
      </c>
    </row>
    <row r="119" spans="1:5">
      <c r="A119" s="68">
        <v>0.308643</v>
      </c>
      <c r="B119" s="68">
        <v>0.50854299999999997</v>
      </c>
      <c r="C119" s="68">
        <v>47.570799999999998</v>
      </c>
      <c r="D119" s="68">
        <v>2</v>
      </c>
      <c r="E119" s="68" t="s">
        <v>474</v>
      </c>
    </row>
    <row r="120" spans="1:5">
      <c r="A120" s="68">
        <v>0.30690000000000001</v>
      </c>
      <c r="B120" s="68">
        <v>0.50720900000000002</v>
      </c>
      <c r="C120" s="68">
        <v>47.9756</v>
      </c>
      <c r="D120" s="68">
        <v>2</v>
      </c>
      <c r="E120" s="68" t="s">
        <v>475</v>
      </c>
    </row>
    <row r="121" spans="1:5">
      <c r="A121" s="68">
        <v>0.30529600000000001</v>
      </c>
      <c r="B121" s="68">
        <v>0.50551400000000002</v>
      </c>
      <c r="C121" s="68">
        <v>48.380600000000001</v>
      </c>
      <c r="D121" s="68">
        <v>2</v>
      </c>
      <c r="E121" s="68" t="s">
        <v>476</v>
      </c>
    </row>
    <row r="122" spans="1:5">
      <c r="A122" s="68">
        <v>0.30350300000000002</v>
      </c>
      <c r="B122" s="68">
        <v>0.50463100000000005</v>
      </c>
      <c r="C122" s="68">
        <v>48.792000000000002</v>
      </c>
      <c r="D122" s="68">
        <v>2</v>
      </c>
      <c r="E122" s="68" t="s">
        <v>477</v>
      </c>
    </row>
    <row r="123" spans="1:5">
      <c r="A123" s="68">
        <v>0.30146299999999998</v>
      </c>
      <c r="B123" s="68">
        <v>0.50447900000000001</v>
      </c>
      <c r="C123" s="68">
        <v>49.196399999999997</v>
      </c>
      <c r="D123" s="68">
        <v>2</v>
      </c>
      <c r="E123" s="68" t="s">
        <v>478</v>
      </c>
    </row>
    <row r="124" spans="1:5">
      <c r="A124" s="68">
        <v>0.299122</v>
      </c>
      <c r="B124" s="68">
        <v>0.50442100000000001</v>
      </c>
      <c r="C124" s="68">
        <v>49.6023</v>
      </c>
      <c r="D124" s="68">
        <v>2</v>
      </c>
      <c r="E124" s="68" t="s">
        <v>479</v>
      </c>
    </row>
    <row r="125" spans="1:5">
      <c r="A125" s="68">
        <v>0.29652200000000001</v>
      </c>
      <c r="B125" s="68">
        <v>0.505355</v>
      </c>
      <c r="C125" s="68">
        <v>50.0092</v>
      </c>
      <c r="D125" s="68">
        <v>2</v>
      </c>
      <c r="E125" s="68" t="s">
        <v>480</v>
      </c>
    </row>
    <row r="126" spans="1:5">
      <c r="A126" s="68">
        <v>0.29425299999999999</v>
      </c>
      <c r="B126" s="68">
        <v>0.50747799999999998</v>
      </c>
      <c r="C126" s="68">
        <v>50.409100000000002</v>
      </c>
      <c r="D126" s="68">
        <v>2</v>
      </c>
      <c r="E126" s="68" t="s">
        <v>481</v>
      </c>
    </row>
    <row r="127" spans="1:5">
      <c r="A127" s="68">
        <v>0.29231499999999999</v>
      </c>
      <c r="B127" s="68">
        <v>0.50855300000000003</v>
      </c>
      <c r="C127" s="68">
        <v>50.820799999999998</v>
      </c>
      <c r="D127" s="68">
        <v>2</v>
      </c>
      <c r="E127" s="68" t="s">
        <v>482</v>
      </c>
    </row>
    <row r="128" spans="1:5">
      <c r="A128" s="68">
        <v>0.29087600000000002</v>
      </c>
      <c r="B128" s="68">
        <v>0.50830500000000001</v>
      </c>
      <c r="C128" s="68">
        <v>51.228000000000002</v>
      </c>
      <c r="D128" s="68">
        <v>2</v>
      </c>
      <c r="E128" s="68" t="s">
        <v>483</v>
      </c>
    </row>
    <row r="129" spans="1:5">
      <c r="A129" s="68">
        <v>0.28991499999999998</v>
      </c>
      <c r="B129" s="68">
        <v>0.50773199999999996</v>
      </c>
      <c r="C129" s="68">
        <v>51.634799999999998</v>
      </c>
      <c r="D129" s="68">
        <v>2</v>
      </c>
      <c r="E129" s="68" t="s">
        <v>484</v>
      </c>
    </row>
    <row r="130" spans="1:5">
      <c r="A130" s="68">
        <v>0.28937299999999999</v>
      </c>
      <c r="B130" s="68">
        <v>0.50719800000000004</v>
      </c>
      <c r="C130" s="68">
        <v>52.040900000000001</v>
      </c>
      <c r="D130" s="68">
        <v>2</v>
      </c>
      <c r="E130" s="68" t="s">
        <v>485</v>
      </c>
    </row>
    <row r="131" spans="1:5">
      <c r="A131" s="68">
        <v>0.288825</v>
      </c>
      <c r="B131" s="68">
        <v>0.50673000000000001</v>
      </c>
      <c r="C131" s="68">
        <v>52.442700000000002</v>
      </c>
      <c r="D131" s="68">
        <v>2</v>
      </c>
      <c r="E131" s="68" t="s">
        <v>486</v>
      </c>
    </row>
    <row r="132" spans="1:5">
      <c r="A132" s="68">
        <v>0.28817300000000001</v>
      </c>
      <c r="B132" s="68">
        <v>0.50567700000000004</v>
      </c>
      <c r="C132" s="68">
        <v>52.8476</v>
      </c>
      <c r="D132" s="68">
        <v>2</v>
      </c>
      <c r="E132" s="68" t="s">
        <v>487</v>
      </c>
    </row>
    <row r="133" spans="1:5">
      <c r="A133" s="68">
        <v>0.28734300000000002</v>
      </c>
      <c r="B133" s="68">
        <v>0.50558099999999995</v>
      </c>
      <c r="C133" s="68">
        <v>53.259599999999999</v>
      </c>
      <c r="D133" s="68">
        <v>2</v>
      </c>
      <c r="E133" s="68" t="s">
        <v>488</v>
      </c>
    </row>
    <row r="134" spans="1:5">
      <c r="A134" s="68">
        <v>0.28698600000000002</v>
      </c>
      <c r="B134" s="68">
        <v>0.50463499999999994</v>
      </c>
      <c r="C134" s="68">
        <v>53.664400000000001</v>
      </c>
      <c r="D134" s="68">
        <v>2</v>
      </c>
      <c r="E134" s="68" t="s">
        <v>489</v>
      </c>
    </row>
    <row r="135" spans="1:5">
      <c r="A135" s="68">
        <v>0.287186</v>
      </c>
      <c r="B135" s="68">
        <v>0.50366299999999997</v>
      </c>
      <c r="C135" s="68">
        <v>54.070399999999999</v>
      </c>
      <c r="D135" s="68">
        <v>2</v>
      </c>
      <c r="E135" s="68" t="s">
        <v>490</v>
      </c>
    </row>
    <row r="136" spans="1:5">
      <c r="A136" s="68">
        <v>0.28763</v>
      </c>
      <c r="B136" s="68">
        <v>0.50207599999999997</v>
      </c>
      <c r="C136" s="68">
        <v>54.4724</v>
      </c>
      <c r="D136" s="68">
        <v>2</v>
      </c>
      <c r="E136" s="68" t="s">
        <v>491</v>
      </c>
    </row>
    <row r="137" spans="1:5">
      <c r="A137" s="68">
        <v>0.28830800000000001</v>
      </c>
      <c r="B137" s="68">
        <v>0.50068699999999999</v>
      </c>
      <c r="C137" s="68">
        <v>54.883200000000002</v>
      </c>
      <c r="D137" s="68">
        <v>2</v>
      </c>
      <c r="E137" s="68" t="s">
        <v>492</v>
      </c>
    </row>
    <row r="138" spans="1:5">
      <c r="A138" s="68">
        <v>0.28908200000000001</v>
      </c>
      <c r="B138" s="68">
        <v>0.50031599999999998</v>
      </c>
      <c r="C138" s="68">
        <v>55.287100000000002</v>
      </c>
      <c r="D138" s="68">
        <v>2</v>
      </c>
      <c r="E138" s="68" t="s">
        <v>493</v>
      </c>
    </row>
    <row r="139" spans="1:5">
      <c r="A139" s="68">
        <v>0.289906</v>
      </c>
      <c r="B139" s="68">
        <v>0.50044500000000003</v>
      </c>
      <c r="C139" s="68">
        <v>55.694000000000003</v>
      </c>
      <c r="D139" s="68">
        <v>2</v>
      </c>
      <c r="E139" s="68" t="s">
        <v>494</v>
      </c>
    </row>
    <row r="140" spans="1:5">
      <c r="A140" s="68">
        <v>0.29086800000000002</v>
      </c>
      <c r="B140" s="68">
        <v>0.50060000000000004</v>
      </c>
      <c r="C140" s="68">
        <v>56.100999999999999</v>
      </c>
      <c r="D140" s="68">
        <v>2</v>
      </c>
      <c r="E140" s="68" t="s">
        <v>495</v>
      </c>
    </row>
    <row r="141" spans="1:5">
      <c r="A141" s="68">
        <v>0.29207300000000003</v>
      </c>
      <c r="B141" s="68">
        <v>0.50103500000000001</v>
      </c>
      <c r="C141" s="68">
        <v>56.504899999999999</v>
      </c>
      <c r="D141" s="68">
        <v>2</v>
      </c>
      <c r="E141" s="68" t="s">
        <v>496</v>
      </c>
    </row>
    <row r="142" spans="1:5">
      <c r="A142" s="68">
        <v>0.29315600000000003</v>
      </c>
      <c r="B142" s="68">
        <v>0.50139900000000004</v>
      </c>
      <c r="C142" s="68">
        <v>56.916699999999999</v>
      </c>
      <c r="D142" s="68">
        <v>2</v>
      </c>
      <c r="E142" s="68" t="s">
        <v>497</v>
      </c>
    </row>
    <row r="143" spans="1:5">
      <c r="A143" s="68">
        <v>0.29315000000000002</v>
      </c>
      <c r="B143" s="68">
        <v>0.50143000000000004</v>
      </c>
      <c r="C143" s="68">
        <v>57.319699999999997</v>
      </c>
      <c r="D143" s="68">
        <v>2</v>
      </c>
      <c r="E143" s="68" t="s">
        <v>498</v>
      </c>
    </row>
    <row r="144" spans="1:5">
      <c r="A144" s="68">
        <v>0.29230899999999999</v>
      </c>
      <c r="B144" s="68">
        <v>0.50036800000000003</v>
      </c>
      <c r="C144" s="68">
        <v>57.721699999999998</v>
      </c>
      <c r="D144" s="68">
        <v>2</v>
      </c>
      <c r="E144" s="68" t="s">
        <v>499</v>
      </c>
    </row>
    <row r="145" spans="1:5">
      <c r="A145" s="68">
        <v>0.29052299999999998</v>
      </c>
      <c r="B145" s="68">
        <v>0.49876900000000002</v>
      </c>
      <c r="C145" s="68">
        <v>58.132899999999999</v>
      </c>
      <c r="D145" s="68">
        <v>2</v>
      </c>
      <c r="E145" s="68" t="s">
        <v>500</v>
      </c>
    </row>
    <row r="146" spans="1:5">
      <c r="A146" s="68">
        <v>0.28797699999999998</v>
      </c>
      <c r="B146" s="68">
        <v>0.49851800000000002</v>
      </c>
      <c r="C146" s="68">
        <v>58.540399999999998</v>
      </c>
      <c r="D146" s="68">
        <v>2</v>
      </c>
      <c r="E146" s="68" t="s">
        <v>501</v>
      </c>
    </row>
    <row r="147" spans="1:5">
      <c r="A147" s="68">
        <v>0.28571400000000002</v>
      </c>
      <c r="B147" s="68">
        <v>0.497307</v>
      </c>
      <c r="C147" s="68">
        <v>58.951300000000003</v>
      </c>
      <c r="D147" s="68">
        <v>2</v>
      </c>
      <c r="E147" s="68" t="s">
        <v>502</v>
      </c>
    </row>
    <row r="148" spans="1:5">
      <c r="A148" s="68">
        <v>0.28347299999999997</v>
      </c>
      <c r="B148" s="68">
        <v>0.489761</v>
      </c>
      <c r="C148" s="68">
        <v>59.349400000000003</v>
      </c>
      <c r="D148" s="68">
        <v>2</v>
      </c>
      <c r="E148" s="68" t="s">
        <v>503</v>
      </c>
    </row>
    <row r="149" spans="1:5">
      <c r="A149" s="68">
        <v>0.28186499999999998</v>
      </c>
      <c r="B149" s="68">
        <v>0.49135200000000001</v>
      </c>
      <c r="C149" s="68">
        <v>59.756100000000004</v>
      </c>
      <c r="D149" s="68">
        <v>2</v>
      </c>
      <c r="E149" s="68" t="s">
        <v>504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354</v>
      </c>
      <c r="B1" s="66" t="s">
        <v>505</v>
      </c>
      <c r="C1" s="66" t="s">
        <v>507</v>
      </c>
      <c r="D1" s="66" t="s">
        <v>508</v>
      </c>
      <c r="E1" s="66" t="s">
        <v>509</v>
      </c>
      <c r="F1" s="66" t="s">
        <v>293</v>
      </c>
      <c r="G1" s="66" t="s">
        <v>294</v>
      </c>
      <c r="H1" s="66" t="s">
        <v>510</v>
      </c>
      <c r="I1" s="66" t="s">
        <v>511</v>
      </c>
      <c r="J1" s="66" t="s">
        <v>512</v>
      </c>
      <c r="K1" s="66" t="s">
        <v>513</v>
      </c>
      <c r="L1" s="66" t="s">
        <v>514</v>
      </c>
      <c r="M1" s="66" t="s">
        <v>515</v>
      </c>
      <c r="N1" s="66"/>
    </row>
    <row r="2" spans="1:14">
      <c r="A2" s="75">
        <v>43605.737847222219</v>
      </c>
      <c r="B2" s="66" t="s">
        <v>506</v>
      </c>
      <c r="C2" s="66"/>
      <c r="D2" s="66"/>
      <c r="E2" s="66">
        <v>4.9234099999999996</v>
      </c>
      <c r="F2" s="66">
        <v>1.54819</v>
      </c>
      <c r="G2" s="66">
        <v>0.46452500000000002</v>
      </c>
      <c r="H2" s="66">
        <v>0</v>
      </c>
      <c r="I2" s="66">
        <v>159474</v>
      </c>
      <c r="J2" s="66">
        <v>86</v>
      </c>
      <c r="K2" s="66">
        <v>86</v>
      </c>
      <c r="L2" s="66">
        <v>0</v>
      </c>
      <c r="M2" s="66" t="s">
        <v>516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2019-05-20T09:43:45Z</cp:lastPrinted>
  <dcterms:created xsi:type="dcterms:W3CDTF">2010-10-29T12:53:05Z</dcterms:created>
  <dcterms:modified xsi:type="dcterms:W3CDTF">2019-05-20T09:43:57Z</dcterms:modified>
</cp:coreProperties>
</file>