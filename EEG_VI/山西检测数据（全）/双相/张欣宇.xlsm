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<sst xmlns="http://schemas.openxmlformats.org/spreadsheetml/2006/main" count="701" uniqueCount="519">
  <si>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</si>
  <si>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</si>
  <si>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</si>
  <si>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</si>
  <si>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</si>
  <si>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</si>
  <si>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</si>
  <si>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</si>
  <si>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</si>
  <si>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</si>
  <si>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</si>
  <si>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</si>
  <si>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</si>
  <si>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</si>
  <si>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</si>
  <si>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</si>
  <si>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</si>
  <si>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</si>
  <si>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</si>
  <si>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</si>
  <si>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</si>
  <si>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</si>
  <si>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</si>
  <si>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</si>
  <si>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</si>
  <si>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</si>
  <si>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</si>
  <si>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</si>
  <si>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</si>
  <si>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</si>
  <si>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</si>
  <si>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</si>
  <si>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</si>
  <si>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</si>
  <si>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</si>
  <si>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</si>
  <si>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</si>
  <si>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</si>
  <si>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</si>
  <si>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</si>
  <si>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</si>
  <si>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</si>
  <si>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</si>
  <si>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</si>
  <si>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</si>
  <si>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</si>
  <si>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</si>
  <si>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</si>
  <si>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</si>
  <si>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</si>
  <si>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</si>
  <si>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</si>
  <si>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</si>
  <si>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</si>
  <si>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</si>
  <si>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</si>
  <si>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</si>
  <si>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</si>
  <si>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</si>
  <si>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</si>
  <si>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</si>
  <si>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</si>
  <si>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</si>
  <si>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</si>
  <si>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</si>
  <si>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</si>
  <si>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</si>
  <si>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</si>
  <si>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</si>
  <si>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</si>
  <si>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</si>
  <si>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</si>
  <si>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</si>
  <si>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</si>
  <si>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</si>
  <si>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</si>
  <si>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</si>
  <si>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</si>
  <si>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</si>
  <si>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</si>
  <si>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</si>
  <si>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</si>
  <si>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</si>
  <si>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</si>
  <si>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</si>
  <si>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</si>
  <si>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</si>
  <si>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</si>
  <si>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</si>
  <si>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</si>
  <si>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</si>
  <si>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</si>
  <si>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</si>
  <si>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</si>
  <si>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</si>
  <si>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</si>
  <si>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</si>
  <si>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</si>
  <si>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</si>
  <si>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</si>
  <si>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</si>
  <si>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</si>
  <si>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</si>
  <si>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</si>
  <si>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</si>
  <si>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</si>
  <si>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</si>
  <si>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</si>
  <si>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</si>
  <si>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</si>
  <si>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</si>
  <si>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</si>
  <si>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</si>
  <si>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</si>
  <si>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</si>
  <si>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</si>
  <si>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</si>
  <si>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</si>
  <si>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</si>
  <si>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</si>
  <si>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</si>
  <si>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</si>
  <si>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</si>
  <si>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</si>
  <si>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</si>
  <si>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</si>
  <si>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</si>
  <si>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</si>
  <si>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</si>
  <si>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</si>
  <si>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</si>
  <si>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</si>
  <si>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</si>
  <si>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</si>
  <si>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</si>
  <si>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</si>
  <si>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</si>
  <si>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</si>
  <si>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</si>
  <si>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</si>
  <si>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</si>
  <si>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</si>
  <si>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</si>
  <si>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</si>
  <si>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</si>
  <si>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</si>
  <si>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</si>
  <si>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</si>
  <si>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</si>
  <si>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</si>
  <si>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</si>
  <si>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</si>
  <si>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</si>
  <si>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</si>
  <si>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</si>
  <si>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</si>
  <si>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</si>
  <si>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</si>
  <si>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</si>
  <si>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</si>
  <si>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</si>
  <si>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</si>
  <si>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</si>
  <si>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</si>
  <si>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</si>
  <si>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</si>
  <si>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</si>
  <si>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</si>
  <si>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</si>
  <si>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</si>
  <si>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</si>
  <si>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</si>
  <si>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</si>
  <si>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</si>
  <si>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</si>
  <si>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</si>
  <si>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</si>
  <si>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</si>
  <si>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</si>
  <si>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</si>
  <si>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</si>
  <si>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</si>
  <si>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</si>
  <si>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</si>
  <si>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</si>
  <si>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</si>
  <si>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</si>
  <si>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</si>
  <si>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</si>
  <si>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</si>
  <si>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</si>
  <si>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</si>
  <si>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</si>
  <si>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</si>
  <si>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</si>
  <si>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</si>
  <si>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</si>
  <si>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</si>
  <si>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</si>
  <si>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</si>
  <si>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</si>
  <si>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</si>
  <si>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</si>
  <si>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</si>
  <si>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</si>
  <si>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</si>
  <si>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</si>
  <si>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</si>
  <si>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</si>
  <si>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</si>
  <si>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</si>
  <si>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</si>
  <si>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</si>
  <si>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</si>
  <si>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</si>
  <si>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</si>
  <si>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</si>
  <si>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</si>
  <si>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</si>
  <si>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</si>
  <si>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</si>
  <si>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</si>
  <si>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</si>
  <si>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</si>
  <si>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</si>
  <si>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</si>
  <si>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</si>
  <si>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</si>
  <si>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</si>
  <si>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</si>
  <si>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</si>
  <si>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</si>
  <si>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</si>
  <si>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</si>
  <si>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</si>
  <si>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</si>
  <si>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</si>
  <si>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</si>
  <si>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</si>
  <si>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</si>
  <si>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</si>
  <si>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</si>
  <si>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</si>
  <si>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</si>
  <si>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</si>
  <si>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</si>
  <si>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</si>
  <si>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</si>
  <si>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</si>
  <si>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</si>
  <si>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</si>
  <si>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</si>
  <si>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</si>
  <si>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</si>
  <si>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</si>
  <si>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</si>
  <si>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</si>
  <si>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</si>
  <si>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</si>
  <si>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</si>
  <si>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</si>
  <si>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</si>
  <si>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</si>
  <si>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</si>
  <si>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</si>
  <si>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</si>
  <si>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</si>
  <si>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</si>
  <si>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</si>
  <si>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</si>
  <si>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</si>
  <si>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</si>
  <si>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</si>
  <si>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</si>
  <si>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</si>
  <si>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</si>
  <si>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</si>
  <si>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</si>
  <si>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</si>
  <si>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</si>
  <si>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</si>
  <si>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</si>
  <si>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</si>
  <si>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</si>
  <si>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</si>
  <si>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</si>
  <si>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</si>
  <si>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</si>
  <si>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</si>
  <si>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</si>
  <si>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</si>
  <si>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</si>
  <si>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</si>
  <si>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</si>
  <si>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</si>
  <si>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</si>
  <si>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</si>
  <si>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</si>
  <si>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</si>
  <si>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</si>
  <si>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</si>
  <si>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</si>
  <si>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</si>
  <si>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</si>
  <si>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</si>
  <si>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</si>
  <si>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</si>
  <si>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</si>
  <si>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</si>
  <si>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</si>
  <si>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</si>
  <si>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</si>
  <si>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</si>
  <si>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</si>
  <si>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</si>
  <si>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</si>
  <si>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</si>
  <si>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</si>
  <si>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</si>
  <si>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</si>
  <si>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</si>
  <si>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</si>
  <si>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</si>
  <si>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</si>
  <si>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</si>
  <si>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</si>
  <si>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</si>
  <si>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</si>
  <si>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</si>
  <si>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</si>
  <si>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</si>
  <si>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</si>
  <si>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</si>
  <si>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</si>
  <si>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</si>
  <si>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</si>
  <si>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</si>
  <si>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</si>
  <si>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</si>
  <si>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</si>
  <si>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</si>
  <si>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</si>
  <si>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</si>
  <si>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</si>
  <si>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</si>
  <si>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</si>
  <si>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</si>
  <si>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</si>
  <si>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</si>
  <si>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</si>
  <si>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ha</t>
    <phoneticPr fontId="29" type="noConversion"/>
  </si>
  <si>
    <t>h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</si>
  <si>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</si>
  <si>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</si>
  <si>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</si>
  <si>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</si>
  <si>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</si>
  <si>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</si>
  <si>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[0.404412]</t>
  </si>
  <si>
    <t>1 [0.809500]</t>
  </si>
  <si>
    <t>1 [1.217828]</t>
  </si>
  <si>
    <t>1 [1.622730]</t>
  </si>
  <si>
    <t>1 [2.029880]</t>
  </si>
  <si>
    <t>1 [2.436096]</t>
  </si>
  <si>
    <t>1 [2.840550]</t>
  </si>
  <si>
    <t>1 [3.247694]</t>
  </si>
  <si>
    <t>1 [3.652779]</t>
  </si>
  <si>
    <t>1 [4.064002]</t>
  </si>
  <si>
    <t>1 [4.467761]</t>
  </si>
  <si>
    <t>1 [4.873331]</t>
  </si>
  <si>
    <t>1 [5.278023]</t>
  </si>
  <si>
    <t>1 [5.690535]</t>
  </si>
  <si>
    <t>1 [6.094227]</t>
  </si>
  <si>
    <t>1 [6.500414]</t>
  </si>
  <si>
    <t>1 [6.903694]</t>
  </si>
  <si>
    <t>1 [7.309832]</t>
  </si>
  <si>
    <t>1 [7.716117]</t>
  </si>
  <si>
    <t>1 [8.124665]</t>
  </si>
  <si>
    <t>1 [8.528813]</t>
  </si>
  <si>
    <t>1 [8.937432]</t>
  </si>
  <si>
    <t>1 [9.341799]</t>
  </si>
  <si>
    <t>1 [9.747018]</t>
  </si>
  <si>
    <t>1 [10.153626]</t>
  </si>
  <si>
    <t>1 [10.562533]</t>
  </si>
  <si>
    <t>1 [10.970634]</t>
  </si>
  <si>
    <t>1 [11.372762]</t>
  </si>
  <si>
    <t>1 [11.779991]</t>
  </si>
  <si>
    <t>1 [12.187097]</t>
  </si>
  <si>
    <t>1 [12.593924]</t>
  </si>
  <si>
    <t>1 [12.998341]</t>
  </si>
  <si>
    <t>1 [13.406177]</t>
  </si>
  <si>
    <t>1 [13.810676]</t>
  </si>
  <si>
    <t>1 [14.215753]</t>
  </si>
  <si>
    <t>1 [14.623086]</t>
  </si>
  <si>
    <t>1 [15.028454]</t>
  </si>
  <si>
    <t>1 [15.438672]</t>
  </si>
  <si>
    <t>1 [15.841450]</t>
  </si>
  <si>
    <t>1 [16.246650]</t>
  </si>
  <si>
    <t>1 [16.653481]</t>
  </si>
  <si>
    <t>1 [17.061523]</t>
  </si>
  <si>
    <t>1 [17.470323]</t>
  </si>
  <si>
    <t>1 [17.874536]</t>
  </si>
  <si>
    <t>1 [18.278690]</t>
  </si>
  <si>
    <t>1 [18.685842]</t>
  </si>
  <si>
    <t>1 [19.094168]</t>
  </si>
  <si>
    <t>1 [19.500444]</t>
  </si>
  <si>
    <t>1 [19.906901]</t>
  </si>
  <si>
    <t>1 [20.310811]</t>
  </si>
  <si>
    <t>1 [20.716000]</t>
  </si>
  <si>
    <t>1 [21.126250]</t>
  </si>
  <si>
    <t>1 [21.531919]</t>
  </si>
  <si>
    <t>1 [21.938485]</t>
  </si>
  <si>
    <t>1 [22.341436]</t>
  </si>
  <si>
    <t>1 [22.748090]</t>
  </si>
  <si>
    <t>1 [23.154878]</t>
  </si>
  <si>
    <t>1 [23.560611]</t>
  </si>
  <si>
    <t>1 [23.969278]</t>
  </si>
  <si>
    <t>1 [24.372195]</t>
  </si>
  <si>
    <t>1 [24.782123]</t>
  </si>
  <si>
    <t>1 [25.186809]</t>
  </si>
  <si>
    <t>1 [25.592432]</t>
  </si>
  <si>
    <t>1 [25.996804]</t>
  </si>
  <si>
    <t>1 [26.410019]</t>
  </si>
  <si>
    <t>1 [26.811237]</t>
  </si>
  <si>
    <t>1 [27.221657]</t>
  </si>
  <si>
    <t>1 [27.627371]</t>
  </si>
  <si>
    <t>1 [28.029350]</t>
  </si>
  <si>
    <t>1 [28.440469]</t>
  </si>
  <si>
    <t>1 [28.843081]</t>
  </si>
  <si>
    <t>1 [29.254464]</t>
  </si>
  <si>
    <t>1 [29.657164]</t>
  </si>
  <si>
    <t>2 [30.062902]</t>
  </si>
  <si>
    <t>2 [30.484338]</t>
  </si>
  <si>
    <t>2 [30.888388]</t>
  </si>
  <si>
    <t>2 [31.294858]</t>
  </si>
  <si>
    <t>2 [31.705545]</t>
  </si>
  <si>
    <t>2 [32.109910]</t>
  </si>
  <si>
    <t>2 [32.515276]</t>
  </si>
  <si>
    <t>2 [32.923121]</t>
  </si>
  <si>
    <t>2 [33.326259]</t>
  </si>
  <si>
    <t>2 [33.734547]</t>
  </si>
  <si>
    <t>2 [34.143562]</t>
  </si>
  <si>
    <t>2 [34.546200]</t>
  </si>
  <si>
    <t>2 [34.951341]</t>
  </si>
  <si>
    <t>2 [35.356853]</t>
  </si>
  <si>
    <t>2 [35.766313]</t>
  </si>
  <si>
    <t>2 [36.171938]</t>
  </si>
  <si>
    <t>2 [36.580212]</t>
  </si>
  <si>
    <t>2 [36.985467]</t>
  </si>
  <si>
    <t>2 [37.387705]</t>
  </si>
  <si>
    <t>2 [37.796375]</t>
  </si>
  <si>
    <t>2 [38.202562]</t>
  </si>
  <si>
    <t>2 [38.611840]</t>
  </si>
  <si>
    <t>2 [39.017638]</t>
  </si>
  <si>
    <t>2 [39.426762]</t>
  </si>
  <si>
    <t>2 [39.827361]</t>
  </si>
  <si>
    <t>2 [40.233366]</t>
  </si>
  <si>
    <t>2 [40.643370]</t>
  </si>
  <si>
    <t>2 [41.046689]</t>
  </si>
  <si>
    <t>2 [41.451430]</t>
  </si>
  <si>
    <t>2 [41.864286]</t>
  </si>
  <si>
    <t>2 [42.263224]</t>
  </si>
  <si>
    <t>2 [42.671140]</t>
  </si>
  <si>
    <t>2 [43.078426]</t>
  </si>
  <si>
    <t>2 [43.484315]</t>
  </si>
  <si>
    <t>2 [43.891061]</t>
  </si>
  <si>
    <t>2 [44.297748]</t>
  </si>
  <si>
    <t>2 [44.702630]</t>
  </si>
  <si>
    <t>2 [45.108452]</t>
  </si>
  <si>
    <t>2 [45.517220]</t>
  </si>
  <si>
    <t>2 [45.921349]</t>
  </si>
  <si>
    <t>2 [46.325267]</t>
  </si>
  <si>
    <t>2 [46.730858]</t>
  </si>
  <si>
    <t>2 [47.139589]</t>
  </si>
  <si>
    <t>2 [47.542652]</t>
  </si>
  <si>
    <t>2 [47.950606]</t>
  </si>
  <si>
    <t>2 [48.358489]</t>
  </si>
  <si>
    <t>2 [48.764266]</t>
  </si>
  <si>
    <t>2 [49.170101]</t>
  </si>
  <si>
    <t>2 [49.579667]</t>
  </si>
  <si>
    <t>2 [49.985537]</t>
  </si>
  <si>
    <t>2 [50.388592]</t>
  </si>
  <si>
    <t>2 [50.794131]</t>
  </si>
  <si>
    <t>2 [51.201418]</t>
  </si>
  <si>
    <t>2 [51.610207]</t>
  </si>
  <si>
    <t>2 [52.014934]</t>
  </si>
  <si>
    <t>2 [52.423002]</t>
  </si>
  <si>
    <t>2 [52.825545]</t>
  </si>
  <si>
    <t>2 [53.234647]</t>
  </si>
  <si>
    <t>2 [53.638370]</t>
  </si>
  <si>
    <t>2 [54.044022]</t>
  </si>
  <si>
    <t>2 [54.450795]</t>
  </si>
  <si>
    <t>2 [54.859991]</t>
  </si>
  <si>
    <t>2 [55.261689]</t>
  </si>
  <si>
    <t>2 [55.670418]</t>
  </si>
  <si>
    <t>2 [56.076200]</t>
  </si>
  <si>
    <t>2 [56.484571]</t>
  </si>
  <si>
    <t>2 [56.890613]</t>
  </si>
  <si>
    <t>2 [57.296609]</t>
  </si>
  <si>
    <t>2 [57.702771]</t>
  </si>
  <si>
    <t>2 [58.108155]</t>
  </si>
  <si>
    <t>2 [58.513073]</t>
  </si>
  <si>
    <t>2 [58.919001]</t>
  </si>
  <si>
    <t>2 [59.327871]</t>
  </si>
  <si>
    <t>2 [59.732029]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</si>
  <si>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</si>
  <si>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</si>
  <si>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</si>
  <si>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</si>
  <si>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</si>
  <si>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</si>
  <si>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</si>
  <si>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</si>
  <si>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</si>
  <si>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</si>
  <si>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</si>
  <si>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</si>
  <si>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</si>
  <si>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张欣宇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</si>
</sst>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51.135800000000003</c:v>
                </c:pt>
                <c:pt idx="1">
                  <c:v>34.173200000000001</c:v>
                </c:pt>
                <c:pt idx="2">
                  <c:v>23.674700000000001</c:v>
                </c:pt>
                <c:pt idx="3">
                  <c:v>35.776899999999998</c:v>
                </c:pt>
                <c:pt idx="4">
                  <c:v>58.898600000000002</c:v>
                </c:pt>
                <c:pt idx="5">
                  <c:v>70.5655</c:v>
                </c:pt>
                <c:pt idx="6">
                  <c:v>30.4695</c:v>
                </c:pt>
                <c:pt idx="7">
                  <c:v>65.758300000000006</c:v>
                </c:pt>
                <c:pt idx="8">
                  <c:v>16.679600000000001</c:v>
                </c:pt>
                <c:pt idx="9">
                  <c:v>38.086799999999997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0.47020585838774648</c:v>
                </c:pt>
                <c:pt idx="1">
                  <c:v>0.3015938196440599</c:v>
                </c:pt>
                <c:pt idx="2">
                  <c:v>0.22820032196819356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7957</c:v>
                </c:pt>
                <c:pt idx="7">
                  <c:v>0</c:v>
                </c:pt>
                <c:pt idx="8">
                  <c:v>11700</c:v>
                </c:pt>
                <c:pt idx="9">
                  <c:v>0</c:v>
                </c:pt>
                <c:pt idx="10">
                  <c:v>0</c:v>
                </c:pt>
                <c:pt idx="11">
                  <c:v>9336</c:v>
                </c:pt>
                <c:pt idx="12">
                  <c:v>0</c:v>
                </c:pt>
                <c:pt idx="13">
                  <c:v>9882</c:v>
                </c:pt>
                <c:pt idx="14">
                  <c:v>0</c:v>
                </c:pt>
                <c:pt idx="15">
                  <c:v>0</c:v>
                </c:pt>
                <c:pt idx="16">
                  <c:v>13815</c:v>
                </c:pt>
                <c:pt idx="17">
                  <c:v>0</c:v>
                </c:pt>
                <c:pt idx="18">
                  <c:v>0</c:v>
                </c:pt>
                <c:pt idx="19">
                  <c:v>14884</c:v>
                </c:pt>
                <c:pt idx="20">
                  <c:v>0</c:v>
                </c:pt>
                <c:pt idx="21">
                  <c:v>15626</c:v>
                </c:pt>
                <c:pt idx="22">
                  <c:v>0</c:v>
                </c:pt>
                <c:pt idx="23">
                  <c:v>0</c:v>
                </c:pt>
                <c:pt idx="24">
                  <c:v>13502</c:v>
                </c:pt>
                <c:pt idx="25">
                  <c:v>0</c:v>
                </c:pt>
                <c:pt idx="26">
                  <c:v>15806</c:v>
                </c:pt>
                <c:pt idx="27">
                  <c:v>0</c:v>
                </c:pt>
                <c:pt idx="28">
                  <c:v>0</c:v>
                </c:pt>
                <c:pt idx="29">
                  <c:v>13645</c:v>
                </c:pt>
                <c:pt idx="30">
                  <c:v>0</c:v>
                </c:pt>
                <c:pt idx="31">
                  <c:v>16073</c:v>
                </c:pt>
                <c:pt idx="32">
                  <c:v>0</c:v>
                </c:pt>
                <c:pt idx="33">
                  <c:v>0</c:v>
                </c:pt>
                <c:pt idx="34">
                  <c:v>17335</c:v>
                </c:pt>
                <c:pt idx="35">
                  <c:v>0</c:v>
                </c:pt>
                <c:pt idx="36">
                  <c:v>0</c:v>
                </c:pt>
                <c:pt idx="37">
                  <c:v>18032</c:v>
                </c:pt>
                <c:pt idx="38">
                  <c:v>0</c:v>
                </c:pt>
                <c:pt idx="39">
                  <c:v>21657</c:v>
                </c:pt>
                <c:pt idx="40">
                  <c:v>0</c:v>
                </c:pt>
                <c:pt idx="41">
                  <c:v>0</c:v>
                </c:pt>
                <c:pt idx="42">
                  <c:v>21994</c:v>
                </c:pt>
                <c:pt idx="43">
                  <c:v>0</c:v>
                </c:pt>
                <c:pt idx="44">
                  <c:v>25008</c:v>
                </c:pt>
                <c:pt idx="45">
                  <c:v>0</c:v>
                </c:pt>
                <c:pt idx="46">
                  <c:v>0</c:v>
                </c:pt>
                <c:pt idx="47">
                  <c:v>28120</c:v>
                </c:pt>
                <c:pt idx="48">
                  <c:v>0</c:v>
                </c:pt>
                <c:pt idx="49">
                  <c:v>37562</c:v>
                </c:pt>
                <c:pt idx="50">
                  <c:v>0</c:v>
                </c:pt>
                <c:pt idx="51">
                  <c:v>0</c:v>
                </c:pt>
                <c:pt idx="52">
                  <c:v>43394</c:v>
                </c:pt>
                <c:pt idx="53">
                  <c:v>0</c:v>
                </c:pt>
                <c:pt idx="54">
                  <c:v>0</c:v>
                </c:pt>
                <c:pt idx="55">
                  <c:v>49819</c:v>
                </c:pt>
                <c:pt idx="56">
                  <c:v>0</c:v>
                </c:pt>
                <c:pt idx="57">
                  <c:v>61690</c:v>
                </c:pt>
                <c:pt idx="58">
                  <c:v>0</c:v>
                </c:pt>
                <c:pt idx="59">
                  <c:v>0</c:v>
                </c:pt>
                <c:pt idx="60">
                  <c:v>77258</c:v>
                </c:pt>
                <c:pt idx="61">
                  <c:v>0</c:v>
                </c:pt>
                <c:pt idx="62">
                  <c:v>82544</c:v>
                </c:pt>
                <c:pt idx="63">
                  <c:v>0</c:v>
                </c:pt>
                <c:pt idx="64">
                  <c:v>0</c:v>
                </c:pt>
                <c:pt idx="65">
                  <c:v>90299</c:v>
                </c:pt>
                <c:pt idx="66">
                  <c:v>0</c:v>
                </c:pt>
                <c:pt idx="67">
                  <c:v>96690</c:v>
                </c:pt>
                <c:pt idx="68">
                  <c:v>0</c:v>
                </c:pt>
                <c:pt idx="69">
                  <c:v>0</c:v>
                </c:pt>
                <c:pt idx="70">
                  <c:v>101532</c:v>
                </c:pt>
                <c:pt idx="71">
                  <c:v>0</c:v>
                </c:pt>
                <c:pt idx="72">
                  <c:v>0</c:v>
                </c:pt>
                <c:pt idx="73">
                  <c:v>98717</c:v>
                </c:pt>
                <c:pt idx="74">
                  <c:v>0</c:v>
                </c:pt>
                <c:pt idx="75">
                  <c:v>103677</c:v>
                </c:pt>
                <c:pt idx="76">
                  <c:v>0</c:v>
                </c:pt>
                <c:pt idx="77">
                  <c:v>0</c:v>
                </c:pt>
                <c:pt idx="78">
                  <c:v>113321</c:v>
                </c:pt>
                <c:pt idx="79">
                  <c:v>0</c:v>
                </c:pt>
                <c:pt idx="80">
                  <c:v>124161</c:v>
                </c:pt>
                <c:pt idx="81">
                  <c:v>0</c:v>
                </c:pt>
                <c:pt idx="82">
                  <c:v>0</c:v>
                </c:pt>
                <c:pt idx="83">
                  <c:v>132513</c:v>
                </c:pt>
                <c:pt idx="84">
                  <c:v>0</c:v>
                </c:pt>
                <c:pt idx="85">
                  <c:v>0</c:v>
                </c:pt>
                <c:pt idx="86">
                  <c:v>139595</c:v>
                </c:pt>
                <c:pt idx="87">
                  <c:v>0</c:v>
                </c:pt>
                <c:pt idx="88">
                  <c:v>139301</c:v>
                </c:pt>
                <c:pt idx="89">
                  <c:v>0</c:v>
                </c:pt>
                <c:pt idx="90">
                  <c:v>0</c:v>
                </c:pt>
                <c:pt idx="91">
                  <c:v>142959</c:v>
                </c:pt>
                <c:pt idx="92">
                  <c:v>0</c:v>
                </c:pt>
                <c:pt idx="93">
                  <c:v>152376</c:v>
                </c:pt>
                <c:pt idx="94">
                  <c:v>0</c:v>
                </c:pt>
                <c:pt idx="95">
                  <c:v>0</c:v>
                </c:pt>
                <c:pt idx="96">
                  <c:v>166647</c:v>
                </c:pt>
                <c:pt idx="97">
                  <c:v>0</c:v>
                </c:pt>
                <c:pt idx="98">
                  <c:v>177431</c:v>
                </c:pt>
                <c:pt idx="99">
                  <c:v>0</c:v>
                </c:pt>
                <c:pt idx="100">
                  <c:v>0</c:v>
                </c:pt>
                <c:pt idx="101">
                  <c:v>193139</c:v>
                </c:pt>
                <c:pt idx="102">
                  <c:v>0</c:v>
                </c:pt>
                <c:pt idx="103">
                  <c:v>0</c:v>
                </c:pt>
                <c:pt idx="104">
                  <c:v>203634</c:v>
                </c:pt>
                <c:pt idx="105">
                  <c:v>0</c:v>
                </c:pt>
                <c:pt idx="106">
                  <c:v>214264</c:v>
                </c:pt>
                <c:pt idx="107">
                  <c:v>0</c:v>
                </c:pt>
                <c:pt idx="108">
                  <c:v>0</c:v>
                </c:pt>
                <c:pt idx="109">
                  <c:v>206330</c:v>
                </c:pt>
                <c:pt idx="110">
                  <c:v>0</c:v>
                </c:pt>
                <c:pt idx="111">
                  <c:v>199297</c:v>
                </c:pt>
                <c:pt idx="112">
                  <c:v>0</c:v>
                </c:pt>
                <c:pt idx="113">
                  <c:v>0</c:v>
                </c:pt>
                <c:pt idx="114">
                  <c:v>195635</c:v>
                </c:pt>
                <c:pt idx="115">
                  <c:v>0</c:v>
                </c:pt>
                <c:pt idx="116">
                  <c:v>181316</c:v>
                </c:pt>
                <c:pt idx="117">
                  <c:v>0</c:v>
                </c:pt>
                <c:pt idx="118">
                  <c:v>0</c:v>
                </c:pt>
                <c:pt idx="119">
                  <c:v>186122</c:v>
                </c:pt>
                <c:pt idx="120">
                  <c:v>0</c:v>
                </c:pt>
                <c:pt idx="121">
                  <c:v>0</c:v>
                </c:pt>
                <c:pt idx="122">
                  <c:v>180519</c:v>
                </c:pt>
                <c:pt idx="123">
                  <c:v>0</c:v>
                </c:pt>
                <c:pt idx="124">
                  <c:v>177565</c:v>
                </c:pt>
                <c:pt idx="125">
                  <c:v>0</c:v>
                </c:pt>
                <c:pt idx="126">
                  <c:v>0</c:v>
                </c:pt>
                <c:pt idx="127">
                  <c:v>162928</c:v>
                </c:pt>
                <c:pt idx="128">
                  <c:v>0</c:v>
                </c:pt>
                <c:pt idx="129">
                  <c:v>160409</c:v>
                </c:pt>
                <c:pt idx="130">
                  <c:v>0</c:v>
                </c:pt>
                <c:pt idx="131">
                  <c:v>0</c:v>
                </c:pt>
                <c:pt idx="132">
                  <c:v>155358</c:v>
                </c:pt>
                <c:pt idx="133">
                  <c:v>0</c:v>
                </c:pt>
                <c:pt idx="134">
                  <c:v>157392</c:v>
                </c:pt>
                <c:pt idx="135">
                  <c:v>0</c:v>
                </c:pt>
                <c:pt idx="136">
                  <c:v>0</c:v>
                </c:pt>
                <c:pt idx="137">
                  <c:v>153883</c:v>
                </c:pt>
                <c:pt idx="138">
                  <c:v>0</c:v>
                </c:pt>
                <c:pt idx="139">
                  <c:v>0</c:v>
                </c:pt>
                <c:pt idx="140">
                  <c:v>143795</c:v>
                </c:pt>
                <c:pt idx="141">
                  <c:v>0</c:v>
                </c:pt>
                <c:pt idx="142">
                  <c:v>130939</c:v>
                </c:pt>
                <c:pt idx="143">
                  <c:v>0</c:v>
                </c:pt>
                <c:pt idx="144">
                  <c:v>0</c:v>
                </c:pt>
                <c:pt idx="145">
                  <c:v>115670</c:v>
                </c:pt>
                <c:pt idx="146">
                  <c:v>0</c:v>
                </c:pt>
                <c:pt idx="147">
                  <c:v>97958</c:v>
                </c:pt>
                <c:pt idx="148">
                  <c:v>0</c:v>
                </c:pt>
                <c:pt idx="149">
                  <c:v>0</c:v>
                </c:pt>
                <c:pt idx="150">
                  <c:v>87577</c:v>
                </c:pt>
                <c:pt idx="151">
                  <c:v>0</c:v>
                </c:pt>
                <c:pt idx="152">
                  <c:v>77206</c:v>
                </c:pt>
                <c:pt idx="153">
                  <c:v>0</c:v>
                </c:pt>
                <c:pt idx="154">
                  <c:v>0</c:v>
                </c:pt>
                <c:pt idx="155">
                  <c:v>73571</c:v>
                </c:pt>
                <c:pt idx="156">
                  <c:v>0</c:v>
                </c:pt>
                <c:pt idx="157">
                  <c:v>0</c:v>
                </c:pt>
                <c:pt idx="158">
                  <c:v>58643</c:v>
                </c:pt>
                <c:pt idx="159">
                  <c:v>0</c:v>
                </c:pt>
                <c:pt idx="160">
                  <c:v>47965</c:v>
                </c:pt>
                <c:pt idx="161">
                  <c:v>0</c:v>
                </c:pt>
                <c:pt idx="162">
                  <c:v>0</c:v>
                </c:pt>
                <c:pt idx="163">
                  <c:v>38579</c:v>
                </c:pt>
                <c:pt idx="164">
                  <c:v>0</c:v>
                </c:pt>
                <c:pt idx="165">
                  <c:v>34632</c:v>
                </c:pt>
                <c:pt idx="166">
                  <c:v>0</c:v>
                </c:pt>
                <c:pt idx="167">
                  <c:v>0</c:v>
                </c:pt>
                <c:pt idx="168">
                  <c:v>32349</c:v>
                </c:pt>
                <c:pt idx="169">
                  <c:v>0</c:v>
                </c:pt>
                <c:pt idx="170">
                  <c:v>0</c:v>
                </c:pt>
                <c:pt idx="171">
                  <c:v>28692</c:v>
                </c:pt>
                <c:pt idx="172">
                  <c:v>0</c:v>
                </c:pt>
                <c:pt idx="173">
                  <c:v>31133</c:v>
                </c:pt>
                <c:pt idx="174">
                  <c:v>0</c:v>
                </c:pt>
                <c:pt idx="175">
                  <c:v>0</c:v>
                </c:pt>
                <c:pt idx="176">
                  <c:v>37531</c:v>
                </c:pt>
                <c:pt idx="177">
                  <c:v>0</c:v>
                </c:pt>
                <c:pt idx="178">
                  <c:v>41541</c:v>
                </c:pt>
                <c:pt idx="179">
                  <c:v>0</c:v>
                </c:pt>
                <c:pt idx="180">
                  <c:v>0</c:v>
                </c:pt>
                <c:pt idx="181">
                  <c:v>56548</c:v>
                </c:pt>
                <c:pt idx="182">
                  <c:v>0</c:v>
                </c:pt>
                <c:pt idx="183">
                  <c:v>61320</c:v>
                </c:pt>
                <c:pt idx="184">
                  <c:v>0</c:v>
                </c:pt>
                <c:pt idx="185">
                  <c:v>0</c:v>
                </c:pt>
                <c:pt idx="186">
                  <c:v>75070</c:v>
                </c:pt>
                <c:pt idx="187">
                  <c:v>0</c:v>
                </c:pt>
                <c:pt idx="188">
                  <c:v>0</c:v>
                </c:pt>
                <c:pt idx="189">
                  <c:v>82990</c:v>
                </c:pt>
                <c:pt idx="190">
                  <c:v>0</c:v>
                </c:pt>
                <c:pt idx="191">
                  <c:v>81584</c:v>
                </c:pt>
                <c:pt idx="192">
                  <c:v>0</c:v>
                </c:pt>
                <c:pt idx="193">
                  <c:v>0</c:v>
                </c:pt>
                <c:pt idx="194">
                  <c:v>74123</c:v>
                </c:pt>
                <c:pt idx="195">
                  <c:v>0</c:v>
                </c:pt>
                <c:pt idx="196">
                  <c:v>63965</c:v>
                </c:pt>
                <c:pt idx="197">
                  <c:v>0</c:v>
                </c:pt>
                <c:pt idx="198">
                  <c:v>0</c:v>
                </c:pt>
                <c:pt idx="199">
                  <c:v>53731</c:v>
                </c:pt>
                <c:pt idx="200">
                  <c:v>0</c:v>
                </c:pt>
                <c:pt idx="201">
                  <c:v>27116</c:v>
                </c:pt>
                <c:pt idx="202">
                  <c:v>0</c:v>
                </c:pt>
                <c:pt idx="203">
                  <c:v>0</c:v>
                </c:pt>
                <c:pt idx="204">
                  <c:v>18043</c:v>
                </c:pt>
                <c:pt idx="205">
                  <c:v>0</c:v>
                </c:pt>
                <c:pt idx="206">
                  <c:v>0</c:v>
                </c:pt>
                <c:pt idx="207">
                  <c:v>13822</c:v>
                </c:pt>
                <c:pt idx="208">
                  <c:v>0</c:v>
                </c:pt>
                <c:pt idx="209">
                  <c:v>4769</c:v>
                </c:pt>
                <c:pt idx="210">
                  <c:v>0</c:v>
                </c:pt>
                <c:pt idx="211">
                  <c:v>0</c:v>
                </c:pt>
                <c:pt idx="212">
                  <c:v>1549</c:v>
                </c:pt>
                <c:pt idx="213">
                  <c:v>0</c:v>
                </c:pt>
                <c:pt idx="214">
                  <c:v>971</c:v>
                </c:pt>
                <c:pt idx="215">
                  <c:v>0</c:v>
                </c:pt>
                <c:pt idx="216">
                  <c:v>0</c:v>
                </c:pt>
                <c:pt idx="217">
                  <c:v>732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3.3955200000000003</c:v>
                </c:pt>
                <c:pt idx="1">
                  <c:v>3.4975499999999999</c:v>
                </c:pt>
                <c:pt idx="2">
                  <c:v>3.59545</c:v>
                </c:pt>
                <c:pt idx="3">
                  <c:v>3.6953100000000001</c:v>
                </c:pt>
                <c:pt idx="4">
                  <c:v>3.79589</c:v>
                </c:pt>
                <c:pt idx="5">
                  <c:v>3.8859300000000001</c:v>
                </c:pt>
                <c:pt idx="6">
                  <c:v>3.97377</c:v>
                </c:pt>
                <c:pt idx="7">
                  <c:v>4.05863</c:v>
                </c:pt>
                <c:pt idx="8">
                  <c:v>4.1357900000000001</c:v>
                </c:pt>
                <c:pt idx="9">
                  <c:v>4.2068599999999998</c:v>
                </c:pt>
                <c:pt idx="10">
                  <c:v>4.2729499999999998</c:v>
                </c:pt>
                <c:pt idx="11">
                  <c:v>4.33589</c:v>
                </c:pt>
                <c:pt idx="12">
                  <c:v>4.3952900000000001</c:v>
                </c:pt>
                <c:pt idx="13">
                  <c:v>4.4475800000000003</c:v>
                </c:pt>
                <c:pt idx="14">
                  <c:v>4.49153</c:v>
                </c:pt>
                <c:pt idx="15">
                  <c:v>4.5289700000000002</c:v>
                </c:pt>
                <c:pt idx="16">
                  <c:v>4.5636599999999996</c:v>
                </c:pt>
                <c:pt idx="17">
                  <c:v>4.5923400000000001</c:v>
                </c:pt>
                <c:pt idx="18">
                  <c:v>4.6175699999999997</c:v>
                </c:pt>
                <c:pt idx="19">
                  <c:v>4.6380999999999997</c:v>
                </c:pt>
                <c:pt idx="20">
                  <c:v>4.6510800000000003</c:v>
                </c:pt>
                <c:pt idx="21">
                  <c:v>4.65848</c:v>
                </c:pt>
                <c:pt idx="22">
                  <c:v>4.6610100000000001</c:v>
                </c:pt>
                <c:pt idx="23">
                  <c:v>4.6596200000000003</c:v>
                </c:pt>
                <c:pt idx="24">
                  <c:v>4.6573199999999995</c:v>
                </c:pt>
                <c:pt idx="25">
                  <c:v>4.6519199999999996</c:v>
                </c:pt>
                <c:pt idx="26">
                  <c:v>4.6441499999999998</c:v>
                </c:pt>
                <c:pt idx="27">
                  <c:v>4.6357799999999996</c:v>
                </c:pt>
                <c:pt idx="28">
                  <c:v>4.6265499999999999</c:v>
                </c:pt>
                <c:pt idx="29">
                  <c:v>4.6143400000000003</c:v>
                </c:pt>
                <c:pt idx="30">
                  <c:v>4.5988600000000002</c:v>
                </c:pt>
                <c:pt idx="31">
                  <c:v>4.5775900000000007</c:v>
                </c:pt>
                <c:pt idx="32">
                  <c:v>4.5520500000000004</c:v>
                </c:pt>
                <c:pt idx="33">
                  <c:v>4.5272699999999997</c:v>
                </c:pt>
                <c:pt idx="34">
                  <c:v>4.5045800000000007</c:v>
                </c:pt>
                <c:pt idx="35">
                  <c:v>4.4805200000000003</c:v>
                </c:pt>
                <c:pt idx="36">
                  <c:v>4.45784</c:v>
                </c:pt>
                <c:pt idx="37">
                  <c:v>4.4358599999999999</c:v>
                </c:pt>
                <c:pt idx="38">
                  <c:v>4.4173299999999998</c:v>
                </c:pt>
                <c:pt idx="39">
                  <c:v>4.4028299999999998</c:v>
                </c:pt>
                <c:pt idx="40">
                  <c:v>4.3960100000000004</c:v>
                </c:pt>
                <c:pt idx="41">
                  <c:v>4.3929600000000004</c:v>
                </c:pt>
                <c:pt idx="42">
                  <c:v>4.3891299999999998</c:v>
                </c:pt>
                <c:pt idx="43">
                  <c:v>4.3848799999999999</c:v>
                </c:pt>
                <c:pt idx="44">
                  <c:v>4.3837099999999998</c:v>
                </c:pt>
                <c:pt idx="45">
                  <c:v>4.3891</c:v>
                </c:pt>
                <c:pt idx="46">
                  <c:v>4.4001800000000006</c:v>
                </c:pt>
                <c:pt idx="47">
                  <c:v>4.4077000000000002</c:v>
                </c:pt>
                <c:pt idx="48">
                  <c:v>4.4131599999999995</c:v>
                </c:pt>
                <c:pt idx="49">
                  <c:v>4.4167000000000005</c:v>
                </c:pt>
                <c:pt idx="50">
                  <c:v>4.42225</c:v>
                </c:pt>
                <c:pt idx="51">
                  <c:v>4.4319699999999997</c:v>
                </c:pt>
                <c:pt idx="52">
                  <c:v>4.44442</c:v>
                </c:pt>
                <c:pt idx="53">
                  <c:v>4.4509999999999996</c:v>
                </c:pt>
                <c:pt idx="54">
                  <c:v>4.4570300000000005</c:v>
                </c:pt>
                <c:pt idx="55">
                  <c:v>4.4639800000000003</c:v>
                </c:pt>
                <c:pt idx="56">
                  <c:v>4.4705899999999996</c:v>
                </c:pt>
                <c:pt idx="57">
                  <c:v>4.4808399999999997</c:v>
                </c:pt>
                <c:pt idx="58">
                  <c:v>4.49587</c:v>
                </c:pt>
                <c:pt idx="59">
                  <c:v>4.5078000000000005</c:v>
                </c:pt>
                <c:pt idx="60">
                  <c:v>4.5245499999999996</c:v>
                </c:pt>
                <c:pt idx="61">
                  <c:v>4.5424999999999995</c:v>
                </c:pt>
                <c:pt idx="62">
                  <c:v>4.5613700000000001</c:v>
                </c:pt>
                <c:pt idx="63">
                  <c:v>4.5837899999999996</c:v>
                </c:pt>
                <c:pt idx="64">
                  <c:v>4.6070100000000007</c:v>
                </c:pt>
                <c:pt idx="65">
                  <c:v>4.6254800000000005</c:v>
                </c:pt>
                <c:pt idx="66">
                  <c:v>4.6421600000000005</c:v>
                </c:pt>
                <c:pt idx="67">
                  <c:v>4.6611799999999999</c:v>
                </c:pt>
                <c:pt idx="68">
                  <c:v>4.6810700000000001</c:v>
                </c:pt>
                <c:pt idx="69">
                  <c:v>4.6999700000000004</c:v>
                </c:pt>
                <c:pt idx="70">
                  <c:v>4.7170699999999997</c:v>
                </c:pt>
                <c:pt idx="71">
                  <c:v>4.73048</c:v>
                </c:pt>
                <c:pt idx="72">
                  <c:v>4.7444899999999999</c:v>
                </c:pt>
                <c:pt idx="73">
                  <c:v>4.7591599999999996</c:v>
                </c:pt>
                <c:pt idx="74">
                  <c:v>4.7728799999999998</c:v>
                </c:pt>
                <c:pt idx="75">
                  <c:v>4.7817600000000002</c:v>
                </c:pt>
                <c:pt idx="76">
                  <c:v>4.7869600000000005</c:v>
                </c:pt>
                <c:pt idx="77">
                  <c:v>4.79061</c:v>
                </c:pt>
                <c:pt idx="78">
                  <c:v>4.7952499999999993</c:v>
                </c:pt>
                <c:pt idx="79">
                  <c:v>4.7996800000000004</c:v>
                </c:pt>
                <c:pt idx="80">
                  <c:v>4.8044199999999995</c:v>
                </c:pt>
                <c:pt idx="81">
                  <c:v>4.8087499999999999</c:v>
                </c:pt>
                <c:pt idx="82">
                  <c:v>4.8113799999999998</c:v>
                </c:pt>
                <c:pt idx="83">
                  <c:v>4.8084899999999999</c:v>
                </c:pt>
                <c:pt idx="84">
                  <c:v>4.8084500000000006</c:v>
                </c:pt>
                <c:pt idx="85">
                  <c:v>4.8049400000000002</c:v>
                </c:pt>
                <c:pt idx="86">
                  <c:v>4.7988099999999996</c:v>
                </c:pt>
                <c:pt idx="87">
                  <c:v>4.7942999999999998</c:v>
                </c:pt>
                <c:pt idx="88">
                  <c:v>4.7860700000000005</c:v>
                </c:pt>
                <c:pt idx="89">
                  <c:v>4.7762500000000001</c:v>
                </c:pt>
                <c:pt idx="90">
                  <c:v>4.76546</c:v>
                </c:pt>
                <c:pt idx="91">
                  <c:v>4.7514200000000004</c:v>
                </c:pt>
                <c:pt idx="92">
                  <c:v>4.73855</c:v>
                </c:pt>
                <c:pt idx="93">
                  <c:v>4.7277699999999996</c:v>
                </c:pt>
                <c:pt idx="94">
                  <c:v>4.7132199999999997</c:v>
                </c:pt>
                <c:pt idx="95">
                  <c:v>4.6983699999999997</c:v>
                </c:pt>
                <c:pt idx="96">
                  <c:v>4.6829200000000002</c:v>
                </c:pt>
                <c:pt idx="97">
                  <c:v>4.67347</c:v>
                </c:pt>
                <c:pt idx="98">
                  <c:v>4.6728399999999999</c:v>
                </c:pt>
                <c:pt idx="99">
                  <c:v>4.6693099999999994</c:v>
                </c:pt>
                <c:pt idx="100">
                  <c:v>4.6672799999999999</c:v>
                </c:pt>
                <c:pt idx="101">
                  <c:v>4.6651999999999996</c:v>
                </c:pt>
                <c:pt idx="102">
                  <c:v>4.66174</c:v>
                </c:pt>
                <c:pt idx="103">
                  <c:v>4.6615599999999997</c:v>
                </c:pt>
                <c:pt idx="104">
                  <c:v>4.6619000000000002</c:v>
                </c:pt>
                <c:pt idx="105">
                  <c:v>4.6606199999999998</c:v>
                </c:pt>
                <c:pt idx="106">
                  <c:v>4.6624999999999996</c:v>
                </c:pt>
                <c:pt idx="107">
                  <c:v>4.6635799999999996</c:v>
                </c:pt>
                <c:pt idx="108">
                  <c:v>4.6707299999999998</c:v>
                </c:pt>
                <c:pt idx="109">
                  <c:v>4.6785600000000001</c:v>
                </c:pt>
                <c:pt idx="110">
                  <c:v>4.6876499999999997</c:v>
                </c:pt>
                <c:pt idx="111">
                  <c:v>4.6971499999999997</c:v>
                </c:pt>
                <c:pt idx="112">
                  <c:v>4.7027299999999999</c:v>
                </c:pt>
                <c:pt idx="113">
                  <c:v>4.71035</c:v>
                </c:pt>
                <c:pt idx="114">
                  <c:v>4.7221700000000002</c:v>
                </c:pt>
                <c:pt idx="115">
                  <c:v>4.7372300000000003</c:v>
                </c:pt>
                <c:pt idx="116">
                  <c:v>4.75542</c:v>
                </c:pt>
                <c:pt idx="117">
                  <c:v>4.7711500000000004</c:v>
                </c:pt>
                <c:pt idx="118">
                  <c:v>4.7837699999999996</c:v>
                </c:pt>
                <c:pt idx="119">
                  <c:v>4.8039900000000006</c:v>
                </c:pt>
                <c:pt idx="120">
                  <c:v>4.82761</c:v>
                </c:pt>
                <c:pt idx="121">
                  <c:v>4.8530600000000002</c:v>
                </c:pt>
                <c:pt idx="122">
                  <c:v>4.8725000000000005</c:v>
                </c:pt>
                <c:pt idx="123">
                  <c:v>4.8750599999999995</c:v>
                </c:pt>
                <c:pt idx="124">
                  <c:v>4.87608</c:v>
                </c:pt>
                <c:pt idx="125">
                  <c:v>4.8810000000000002</c:v>
                </c:pt>
                <c:pt idx="126">
                  <c:v>4.8858899999999998</c:v>
                </c:pt>
                <c:pt idx="127">
                  <c:v>4.8907600000000002</c:v>
                </c:pt>
                <c:pt idx="128">
                  <c:v>4.89351</c:v>
                </c:pt>
                <c:pt idx="129">
                  <c:v>4.89602</c:v>
                </c:pt>
                <c:pt idx="130">
                  <c:v>4.9007100000000001</c:v>
                </c:pt>
                <c:pt idx="131">
                  <c:v>4.9037100000000002</c:v>
                </c:pt>
                <c:pt idx="132">
                  <c:v>4.9113199999999999</c:v>
                </c:pt>
                <c:pt idx="133">
                  <c:v>4.9166500000000006</c:v>
                </c:pt>
                <c:pt idx="134">
                  <c:v>4.9215999999999998</c:v>
                </c:pt>
                <c:pt idx="135">
                  <c:v>4.9279200000000003</c:v>
                </c:pt>
                <c:pt idx="136">
                  <c:v>4.9378100000000007</c:v>
                </c:pt>
                <c:pt idx="137">
                  <c:v>4.9508200000000002</c:v>
                </c:pt>
                <c:pt idx="138">
                  <c:v>4.9636500000000003</c:v>
                </c:pt>
                <c:pt idx="139">
                  <c:v>4.96896</c:v>
                </c:pt>
                <c:pt idx="140">
                  <c:v>4.9763700000000002</c:v>
                </c:pt>
                <c:pt idx="141">
                  <c:v>4.9891000000000005</c:v>
                </c:pt>
                <c:pt idx="142">
                  <c:v>4.9999000000000002</c:v>
                </c:pt>
                <c:pt idx="143">
                  <c:v>5.0151500000000002</c:v>
                </c:pt>
                <c:pt idx="144">
                  <c:v>5.0272199999999998</c:v>
                </c:pt>
                <c:pt idx="145">
                  <c:v>5.0240099999999996</c:v>
                </c:pt>
                <c:pt idx="146">
                  <c:v>5.0376099999999999</c:v>
                </c:pt>
                <c:pt idx="147">
                  <c:v>5.0297400000000003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39.007799999999996</c:v>
                </c:pt>
                <c:pt idx="1">
                  <c:v>37.915599999999998</c:v>
                </c:pt>
                <c:pt idx="2">
                  <c:v>37.035600000000002</c:v>
                </c:pt>
                <c:pt idx="3">
                  <c:v>36.142099999999999</c:v>
                </c:pt>
                <c:pt idx="4">
                  <c:v>35.307600000000001</c:v>
                </c:pt>
                <c:pt idx="5">
                  <c:v>34.4131</c:v>
                </c:pt>
                <c:pt idx="6">
                  <c:v>33.419800000000002</c:v>
                </c:pt>
                <c:pt idx="7">
                  <c:v>32.450299999999999</c:v>
                </c:pt>
                <c:pt idx="8">
                  <c:v>31.833600000000001</c:v>
                </c:pt>
                <c:pt idx="9">
                  <c:v>31.4023</c:v>
                </c:pt>
                <c:pt idx="10">
                  <c:v>31.072300000000002</c:v>
                </c:pt>
                <c:pt idx="11">
                  <c:v>30.869000000000003</c:v>
                </c:pt>
                <c:pt idx="12">
                  <c:v>30.704500000000003</c:v>
                </c:pt>
                <c:pt idx="13">
                  <c:v>30.599900000000002</c:v>
                </c:pt>
                <c:pt idx="14">
                  <c:v>30.470199999999998</c:v>
                </c:pt>
                <c:pt idx="15">
                  <c:v>30.4054</c:v>
                </c:pt>
                <c:pt idx="16">
                  <c:v>30.299300000000002</c:v>
                </c:pt>
                <c:pt idx="17">
                  <c:v>30.083300000000001</c:v>
                </c:pt>
                <c:pt idx="18">
                  <c:v>29.854599999999998</c:v>
                </c:pt>
                <c:pt idx="19">
                  <c:v>29.575099999999999</c:v>
                </c:pt>
                <c:pt idx="20">
                  <c:v>29.326600000000003</c:v>
                </c:pt>
                <c:pt idx="21">
                  <c:v>29.092499999999998</c:v>
                </c:pt>
                <c:pt idx="22">
                  <c:v>28.697899999999997</c:v>
                </c:pt>
                <c:pt idx="23">
                  <c:v>28.313400000000001</c:v>
                </c:pt>
                <c:pt idx="24">
                  <c:v>27.992599999999999</c:v>
                </c:pt>
                <c:pt idx="25">
                  <c:v>27.687299999999997</c:v>
                </c:pt>
                <c:pt idx="26">
                  <c:v>27.478899999999999</c:v>
                </c:pt>
                <c:pt idx="27">
                  <c:v>27.281300000000002</c:v>
                </c:pt>
                <c:pt idx="28">
                  <c:v>27.059899999999999</c:v>
                </c:pt>
                <c:pt idx="29">
                  <c:v>26.904199999999999</c:v>
                </c:pt>
                <c:pt idx="30">
                  <c:v>26.872600000000002</c:v>
                </c:pt>
                <c:pt idx="31">
                  <c:v>27.036900000000003</c:v>
                </c:pt>
                <c:pt idx="32">
                  <c:v>27.230700000000002</c:v>
                </c:pt>
                <c:pt idx="33">
                  <c:v>27.306699999999999</c:v>
                </c:pt>
                <c:pt idx="34">
                  <c:v>27.3598</c:v>
                </c:pt>
                <c:pt idx="35">
                  <c:v>27.4741</c:v>
                </c:pt>
                <c:pt idx="36">
                  <c:v>27.577400000000001</c:v>
                </c:pt>
                <c:pt idx="37">
                  <c:v>27.6646</c:v>
                </c:pt>
                <c:pt idx="38">
                  <c:v>27.801599999999997</c:v>
                </c:pt>
                <c:pt idx="39">
                  <c:v>27.923900000000003</c:v>
                </c:pt>
                <c:pt idx="40">
                  <c:v>27.975100000000001</c:v>
                </c:pt>
                <c:pt idx="41">
                  <c:v>28.0594</c:v>
                </c:pt>
                <c:pt idx="42">
                  <c:v>28.151599999999998</c:v>
                </c:pt>
                <c:pt idx="43">
                  <c:v>28.244999999999997</c:v>
                </c:pt>
                <c:pt idx="44">
                  <c:v>28.363899999999997</c:v>
                </c:pt>
                <c:pt idx="45">
                  <c:v>28.384700000000002</c:v>
                </c:pt>
                <c:pt idx="46">
                  <c:v>28.264699999999998</c:v>
                </c:pt>
                <c:pt idx="47">
                  <c:v>28.2179</c:v>
                </c:pt>
                <c:pt idx="48">
                  <c:v>28.215800000000002</c:v>
                </c:pt>
                <c:pt idx="49">
                  <c:v>28.246399999999998</c:v>
                </c:pt>
                <c:pt idx="50">
                  <c:v>28.3018</c:v>
                </c:pt>
                <c:pt idx="51">
                  <c:v>28.243099999999998</c:v>
                </c:pt>
                <c:pt idx="52">
                  <c:v>28.0489</c:v>
                </c:pt>
                <c:pt idx="53">
                  <c:v>28.021800000000002</c:v>
                </c:pt>
                <c:pt idx="54">
                  <c:v>28.0075</c:v>
                </c:pt>
                <c:pt idx="55">
                  <c:v>27.9665</c:v>
                </c:pt>
                <c:pt idx="56">
                  <c:v>27.943899999999999</c:v>
                </c:pt>
                <c:pt idx="57">
                  <c:v>27.837499999999999</c:v>
                </c:pt>
                <c:pt idx="58">
                  <c:v>27.674900000000001</c:v>
                </c:pt>
                <c:pt idx="59">
                  <c:v>27.607300000000002</c:v>
                </c:pt>
                <c:pt idx="60">
                  <c:v>27.500599999999999</c:v>
                </c:pt>
                <c:pt idx="61">
                  <c:v>27.423500000000001</c:v>
                </c:pt>
                <c:pt idx="62">
                  <c:v>27.430700000000002</c:v>
                </c:pt>
                <c:pt idx="63">
                  <c:v>27.360099999999999</c:v>
                </c:pt>
                <c:pt idx="64">
                  <c:v>27.279599999999999</c:v>
                </c:pt>
                <c:pt idx="65">
                  <c:v>27.173399999999997</c:v>
                </c:pt>
                <c:pt idx="66">
                  <c:v>27.023099999999999</c:v>
                </c:pt>
                <c:pt idx="67">
                  <c:v>26.870100000000001</c:v>
                </c:pt>
                <c:pt idx="68">
                  <c:v>26.741700000000002</c:v>
                </c:pt>
                <c:pt idx="69">
                  <c:v>26.555299999999999</c:v>
                </c:pt>
                <c:pt idx="70">
                  <c:v>26.362300000000001</c:v>
                </c:pt>
                <c:pt idx="71">
                  <c:v>26.190600000000003</c:v>
                </c:pt>
                <c:pt idx="72">
                  <c:v>26.069799999999997</c:v>
                </c:pt>
                <c:pt idx="73">
                  <c:v>25.845200000000002</c:v>
                </c:pt>
                <c:pt idx="74">
                  <c:v>25.593800000000002</c:v>
                </c:pt>
                <c:pt idx="75">
                  <c:v>25.373800000000003</c:v>
                </c:pt>
                <c:pt idx="76">
                  <c:v>25.087</c:v>
                </c:pt>
                <c:pt idx="77">
                  <c:v>24.8306</c:v>
                </c:pt>
                <c:pt idx="78">
                  <c:v>24.617900000000002</c:v>
                </c:pt>
                <c:pt idx="79">
                  <c:v>24.338099999999997</c:v>
                </c:pt>
                <c:pt idx="80">
                  <c:v>24.043800000000001</c:v>
                </c:pt>
                <c:pt idx="81">
                  <c:v>23.744100000000003</c:v>
                </c:pt>
                <c:pt idx="82">
                  <c:v>23.611499999999999</c:v>
                </c:pt>
                <c:pt idx="83">
                  <c:v>23.569000000000003</c:v>
                </c:pt>
                <c:pt idx="84">
                  <c:v>23.439699999999998</c:v>
                </c:pt>
                <c:pt idx="85">
                  <c:v>23.245200000000001</c:v>
                </c:pt>
                <c:pt idx="86">
                  <c:v>23.018000000000001</c:v>
                </c:pt>
                <c:pt idx="87">
                  <c:v>22.684099999999997</c:v>
                </c:pt>
                <c:pt idx="88">
                  <c:v>22.3355</c:v>
                </c:pt>
                <c:pt idx="89">
                  <c:v>21.9908</c:v>
                </c:pt>
                <c:pt idx="90">
                  <c:v>21.659500000000001</c:v>
                </c:pt>
                <c:pt idx="91">
                  <c:v>21.3706</c:v>
                </c:pt>
                <c:pt idx="92">
                  <c:v>21.0749</c:v>
                </c:pt>
                <c:pt idx="93">
                  <c:v>20.748699999999999</c:v>
                </c:pt>
                <c:pt idx="94">
                  <c:v>20.540700000000001</c:v>
                </c:pt>
                <c:pt idx="95">
                  <c:v>20.296199999999999</c:v>
                </c:pt>
                <c:pt idx="96">
                  <c:v>20.195499999999999</c:v>
                </c:pt>
                <c:pt idx="97">
                  <c:v>20.1218</c:v>
                </c:pt>
                <c:pt idx="98">
                  <c:v>19.8886</c:v>
                </c:pt>
                <c:pt idx="99">
                  <c:v>19.492999999999999</c:v>
                </c:pt>
                <c:pt idx="100">
                  <c:v>19.061299999999999</c:v>
                </c:pt>
                <c:pt idx="101">
                  <c:v>18.698</c:v>
                </c:pt>
                <c:pt idx="102">
                  <c:v>18.4055</c:v>
                </c:pt>
                <c:pt idx="103">
                  <c:v>17.9391</c:v>
                </c:pt>
                <c:pt idx="104">
                  <c:v>17.5733</c:v>
                </c:pt>
                <c:pt idx="105">
                  <c:v>17.276199999999999</c:v>
                </c:pt>
                <c:pt idx="106">
                  <c:v>16.942</c:v>
                </c:pt>
                <c:pt idx="107">
                  <c:v>16.497199999999999</c:v>
                </c:pt>
                <c:pt idx="108">
                  <c:v>15.947600000000001</c:v>
                </c:pt>
                <c:pt idx="109">
                  <c:v>15.4032</c:v>
                </c:pt>
                <c:pt idx="110">
                  <c:v>14.991099999999999</c:v>
                </c:pt>
                <c:pt idx="111">
                  <c:v>14.5063</c:v>
                </c:pt>
                <c:pt idx="112">
                  <c:v>14.13</c:v>
                </c:pt>
                <c:pt idx="113">
                  <c:v>13.772200000000002</c:v>
                </c:pt>
                <c:pt idx="114">
                  <c:v>13.329499999999999</c:v>
                </c:pt>
                <c:pt idx="115">
                  <c:v>12.9581</c:v>
                </c:pt>
                <c:pt idx="116">
                  <c:v>12.571099999999999</c:v>
                </c:pt>
                <c:pt idx="117">
                  <c:v>12.196099999999999</c:v>
                </c:pt>
                <c:pt idx="118">
                  <c:v>11.8726</c:v>
                </c:pt>
                <c:pt idx="119">
                  <c:v>11.434900000000001</c:v>
                </c:pt>
                <c:pt idx="120">
                  <c:v>11.129300000000001</c:v>
                </c:pt>
                <c:pt idx="121">
                  <c:v>10.783800000000001</c:v>
                </c:pt>
                <c:pt idx="122">
                  <c:v>10.361099999999999</c:v>
                </c:pt>
                <c:pt idx="123">
                  <c:v>10.287100000000001</c:v>
                </c:pt>
                <c:pt idx="124">
                  <c:v>10.431699999999999</c:v>
                </c:pt>
                <c:pt idx="125">
                  <c:v>10.520200000000001</c:v>
                </c:pt>
                <c:pt idx="126">
                  <c:v>10.639200000000001</c:v>
                </c:pt>
                <c:pt idx="127">
                  <c:v>10.739000000000001</c:v>
                </c:pt>
                <c:pt idx="128">
                  <c:v>10.924100000000001</c:v>
                </c:pt>
                <c:pt idx="129">
                  <c:v>11.0839</c:v>
                </c:pt>
                <c:pt idx="130">
                  <c:v>11.1709</c:v>
                </c:pt>
                <c:pt idx="131">
                  <c:v>11.246</c:v>
                </c:pt>
                <c:pt idx="132">
                  <c:v>11.3666</c:v>
                </c:pt>
                <c:pt idx="133">
                  <c:v>11.4816</c:v>
                </c:pt>
                <c:pt idx="134">
                  <c:v>11.6875</c:v>
                </c:pt>
                <c:pt idx="135">
                  <c:v>11.702199999999999</c:v>
                </c:pt>
                <c:pt idx="136">
                  <c:v>11.8445</c:v>
                </c:pt>
                <c:pt idx="137">
                  <c:v>12.043900000000001</c:v>
                </c:pt>
                <c:pt idx="138">
                  <c:v>12.264700000000001</c:v>
                </c:pt>
                <c:pt idx="139">
                  <c:v>12.687799999999999</c:v>
                </c:pt>
                <c:pt idx="140">
                  <c:v>12.9186</c:v>
                </c:pt>
                <c:pt idx="141">
                  <c:v>13.1434</c:v>
                </c:pt>
                <c:pt idx="142">
                  <c:v>13.490399999999999</c:v>
                </c:pt>
                <c:pt idx="143">
                  <c:v>13.725399999999999</c:v>
                </c:pt>
                <c:pt idx="144">
                  <c:v>13.927</c:v>
                </c:pt>
                <c:pt idx="145">
                  <c:v>14.2522</c:v>
                </c:pt>
                <c:pt idx="146">
                  <c:v>13.7486</c:v>
                </c:pt>
                <c:pt idx="147">
                  <c:v>13.8276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3.3955200000000003</c:v>
                </c:pt>
                <c:pt idx="1">
                  <c:v>3.4975499999999999</c:v>
                </c:pt>
                <c:pt idx="2">
                  <c:v>3.59545</c:v>
                </c:pt>
                <c:pt idx="3">
                  <c:v>3.6953100000000001</c:v>
                </c:pt>
                <c:pt idx="4">
                  <c:v>3.79589</c:v>
                </c:pt>
                <c:pt idx="5">
                  <c:v>3.8859300000000001</c:v>
                </c:pt>
                <c:pt idx="6">
                  <c:v>3.97377</c:v>
                </c:pt>
                <c:pt idx="7">
                  <c:v>4.05863</c:v>
                </c:pt>
                <c:pt idx="8">
                  <c:v>4.1357900000000001</c:v>
                </c:pt>
                <c:pt idx="9">
                  <c:v>4.2068599999999998</c:v>
                </c:pt>
                <c:pt idx="10">
                  <c:v>4.2729499999999998</c:v>
                </c:pt>
                <c:pt idx="11">
                  <c:v>4.33589</c:v>
                </c:pt>
                <c:pt idx="12">
                  <c:v>4.3952900000000001</c:v>
                </c:pt>
                <c:pt idx="13">
                  <c:v>4.4475800000000003</c:v>
                </c:pt>
                <c:pt idx="14">
                  <c:v>4.49153</c:v>
                </c:pt>
                <c:pt idx="15">
                  <c:v>4.5289700000000002</c:v>
                </c:pt>
                <c:pt idx="16">
                  <c:v>4.5636599999999996</c:v>
                </c:pt>
                <c:pt idx="17">
                  <c:v>4.5923400000000001</c:v>
                </c:pt>
                <c:pt idx="18">
                  <c:v>4.6175699999999997</c:v>
                </c:pt>
                <c:pt idx="19">
                  <c:v>4.6380999999999997</c:v>
                </c:pt>
                <c:pt idx="20">
                  <c:v>4.6510800000000003</c:v>
                </c:pt>
                <c:pt idx="21">
                  <c:v>4.65848</c:v>
                </c:pt>
                <c:pt idx="22">
                  <c:v>4.6610100000000001</c:v>
                </c:pt>
                <c:pt idx="23">
                  <c:v>4.6596200000000003</c:v>
                </c:pt>
                <c:pt idx="24">
                  <c:v>4.6573199999999995</c:v>
                </c:pt>
                <c:pt idx="25">
                  <c:v>4.6519199999999996</c:v>
                </c:pt>
                <c:pt idx="26">
                  <c:v>4.6441499999999998</c:v>
                </c:pt>
                <c:pt idx="27">
                  <c:v>4.6357799999999996</c:v>
                </c:pt>
                <c:pt idx="28">
                  <c:v>4.6265499999999999</c:v>
                </c:pt>
                <c:pt idx="29">
                  <c:v>4.6143400000000003</c:v>
                </c:pt>
                <c:pt idx="30">
                  <c:v>4.5988600000000002</c:v>
                </c:pt>
                <c:pt idx="31">
                  <c:v>4.5775900000000007</c:v>
                </c:pt>
                <c:pt idx="32">
                  <c:v>4.5520500000000004</c:v>
                </c:pt>
                <c:pt idx="33">
                  <c:v>4.5272699999999997</c:v>
                </c:pt>
                <c:pt idx="34">
                  <c:v>4.5045800000000007</c:v>
                </c:pt>
                <c:pt idx="35">
                  <c:v>4.4805200000000003</c:v>
                </c:pt>
                <c:pt idx="36">
                  <c:v>4.45784</c:v>
                </c:pt>
                <c:pt idx="37">
                  <c:v>4.4358599999999999</c:v>
                </c:pt>
                <c:pt idx="38">
                  <c:v>4.4173299999999998</c:v>
                </c:pt>
                <c:pt idx="39">
                  <c:v>4.4028299999999998</c:v>
                </c:pt>
                <c:pt idx="40">
                  <c:v>4.3960100000000004</c:v>
                </c:pt>
                <c:pt idx="41">
                  <c:v>4.3929600000000004</c:v>
                </c:pt>
                <c:pt idx="42">
                  <c:v>4.3891299999999998</c:v>
                </c:pt>
                <c:pt idx="43">
                  <c:v>4.3848799999999999</c:v>
                </c:pt>
                <c:pt idx="44">
                  <c:v>4.3837099999999998</c:v>
                </c:pt>
                <c:pt idx="45">
                  <c:v>4.3891</c:v>
                </c:pt>
                <c:pt idx="46">
                  <c:v>4.4001800000000006</c:v>
                </c:pt>
                <c:pt idx="47">
                  <c:v>4.4077000000000002</c:v>
                </c:pt>
                <c:pt idx="48">
                  <c:v>4.4131599999999995</c:v>
                </c:pt>
                <c:pt idx="49">
                  <c:v>4.4167000000000005</c:v>
                </c:pt>
                <c:pt idx="50">
                  <c:v>4.42225</c:v>
                </c:pt>
                <c:pt idx="51">
                  <c:v>4.4319699999999997</c:v>
                </c:pt>
                <c:pt idx="52">
                  <c:v>4.44442</c:v>
                </c:pt>
                <c:pt idx="53">
                  <c:v>4.4509999999999996</c:v>
                </c:pt>
                <c:pt idx="54">
                  <c:v>4.4570300000000005</c:v>
                </c:pt>
                <c:pt idx="55">
                  <c:v>4.4639800000000003</c:v>
                </c:pt>
                <c:pt idx="56">
                  <c:v>4.4705899999999996</c:v>
                </c:pt>
                <c:pt idx="57">
                  <c:v>4.4808399999999997</c:v>
                </c:pt>
                <c:pt idx="58">
                  <c:v>4.49587</c:v>
                </c:pt>
                <c:pt idx="59">
                  <c:v>4.5078000000000005</c:v>
                </c:pt>
                <c:pt idx="60">
                  <c:v>4.5245499999999996</c:v>
                </c:pt>
                <c:pt idx="61">
                  <c:v>4.5424999999999995</c:v>
                </c:pt>
                <c:pt idx="62">
                  <c:v>4.5613700000000001</c:v>
                </c:pt>
                <c:pt idx="63">
                  <c:v>4.5837899999999996</c:v>
                </c:pt>
                <c:pt idx="64">
                  <c:v>4.6070100000000007</c:v>
                </c:pt>
                <c:pt idx="65">
                  <c:v>4.6254800000000005</c:v>
                </c:pt>
                <c:pt idx="66">
                  <c:v>4.6421600000000005</c:v>
                </c:pt>
                <c:pt idx="67">
                  <c:v>4.6611799999999999</c:v>
                </c:pt>
                <c:pt idx="68">
                  <c:v>4.6810700000000001</c:v>
                </c:pt>
                <c:pt idx="69">
                  <c:v>4.6999700000000004</c:v>
                </c:pt>
                <c:pt idx="70">
                  <c:v>4.7170699999999997</c:v>
                </c:pt>
                <c:pt idx="71">
                  <c:v>4.73048</c:v>
                </c:pt>
                <c:pt idx="72">
                  <c:v>4.7444899999999999</c:v>
                </c:pt>
                <c:pt idx="73">
                  <c:v>4.7591599999999996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39.007799999999996</c:v>
                </c:pt>
                <c:pt idx="1">
                  <c:v>37.915599999999998</c:v>
                </c:pt>
                <c:pt idx="2">
                  <c:v>37.035600000000002</c:v>
                </c:pt>
                <c:pt idx="3">
                  <c:v>36.142099999999999</c:v>
                </c:pt>
                <c:pt idx="4">
                  <c:v>35.307600000000001</c:v>
                </c:pt>
                <c:pt idx="5">
                  <c:v>34.4131</c:v>
                </c:pt>
                <c:pt idx="6">
                  <c:v>33.419800000000002</c:v>
                </c:pt>
                <c:pt idx="7">
                  <c:v>32.450299999999999</c:v>
                </c:pt>
                <c:pt idx="8">
                  <c:v>31.833600000000001</c:v>
                </c:pt>
                <c:pt idx="9">
                  <c:v>31.4023</c:v>
                </c:pt>
                <c:pt idx="10">
                  <c:v>31.072300000000002</c:v>
                </c:pt>
                <c:pt idx="11">
                  <c:v>30.869000000000003</c:v>
                </c:pt>
                <c:pt idx="12">
                  <c:v>30.704500000000003</c:v>
                </c:pt>
                <c:pt idx="13">
                  <c:v>30.599900000000002</c:v>
                </c:pt>
                <c:pt idx="14">
                  <c:v>30.470199999999998</c:v>
                </c:pt>
                <c:pt idx="15">
                  <c:v>30.4054</c:v>
                </c:pt>
                <c:pt idx="16">
                  <c:v>30.299300000000002</c:v>
                </c:pt>
                <c:pt idx="17">
                  <c:v>30.083300000000001</c:v>
                </c:pt>
                <c:pt idx="18">
                  <c:v>29.854599999999998</c:v>
                </c:pt>
                <c:pt idx="19">
                  <c:v>29.575099999999999</c:v>
                </c:pt>
                <c:pt idx="20">
                  <c:v>29.326600000000003</c:v>
                </c:pt>
                <c:pt idx="21">
                  <c:v>29.092499999999998</c:v>
                </c:pt>
                <c:pt idx="22">
                  <c:v>28.697899999999997</c:v>
                </c:pt>
                <c:pt idx="23">
                  <c:v>28.313400000000001</c:v>
                </c:pt>
                <c:pt idx="24">
                  <c:v>27.992599999999999</c:v>
                </c:pt>
                <c:pt idx="25">
                  <c:v>27.687299999999997</c:v>
                </c:pt>
                <c:pt idx="26">
                  <c:v>27.478899999999999</c:v>
                </c:pt>
                <c:pt idx="27">
                  <c:v>27.281300000000002</c:v>
                </c:pt>
                <c:pt idx="28">
                  <c:v>27.059899999999999</c:v>
                </c:pt>
                <c:pt idx="29">
                  <c:v>26.904199999999999</c:v>
                </c:pt>
                <c:pt idx="30">
                  <c:v>26.872600000000002</c:v>
                </c:pt>
                <c:pt idx="31">
                  <c:v>27.036900000000003</c:v>
                </c:pt>
                <c:pt idx="32">
                  <c:v>27.230700000000002</c:v>
                </c:pt>
                <c:pt idx="33">
                  <c:v>27.306699999999999</c:v>
                </c:pt>
                <c:pt idx="34">
                  <c:v>27.3598</c:v>
                </c:pt>
                <c:pt idx="35">
                  <c:v>27.4741</c:v>
                </c:pt>
                <c:pt idx="36">
                  <c:v>27.577400000000001</c:v>
                </c:pt>
                <c:pt idx="37">
                  <c:v>27.6646</c:v>
                </c:pt>
                <c:pt idx="38">
                  <c:v>27.801599999999997</c:v>
                </c:pt>
                <c:pt idx="39">
                  <c:v>27.923900000000003</c:v>
                </c:pt>
                <c:pt idx="40">
                  <c:v>27.975100000000001</c:v>
                </c:pt>
                <c:pt idx="41">
                  <c:v>28.0594</c:v>
                </c:pt>
                <c:pt idx="42">
                  <c:v>28.151599999999998</c:v>
                </c:pt>
                <c:pt idx="43">
                  <c:v>28.244999999999997</c:v>
                </c:pt>
                <c:pt idx="44">
                  <c:v>28.363899999999997</c:v>
                </c:pt>
                <c:pt idx="45">
                  <c:v>28.384700000000002</c:v>
                </c:pt>
                <c:pt idx="46">
                  <c:v>28.264699999999998</c:v>
                </c:pt>
                <c:pt idx="47">
                  <c:v>28.2179</c:v>
                </c:pt>
                <c:pt idx="48">
                  <c:v>28.215800000000002</c:v>
                </c:pt>
                <c:pt idx="49">
                  <c:v>28.246399999999998</c:v>
                </c:pt>
                <c:pt idx="50">
                  <c:v>28.3018</c:v>
                </c:pt>
                <c:pt idx="51">
                  <c:v>28.243099999999998</c:v>
                </c:pt>
                <c:pt idx="52">
                  <c:v>28.0489</c:v>
                </c:pt>
                <c:pt idx="53">
                  <c:v>28.021800000000002</c:v>
                </c:pt>
                <c:pt idx="54">
                  <c:v>28.0075</c:v>
                </c:pt>
                <c:pt idx="55">
                  <c:v>27.9665</c:v>
                </c:pt>
                <c:pt idx="56">
                  <c:v>27.943899999999999</c:v>
                </c:pt>
                <c:pt idx="57">
                  <c:v>27.837499999999999</c:v>
                </c:pt>
                <c:pt idx="58">
                  <c:v>27.674900000000001</c:v>
                </c:pt>
                <c:pt idx="59">
                  <c:v>27.607300000000002</c:v>
                </c:pt>
                <c:pt idx="60">
                  <c:v>27.500599999999999</c:v>
                </c:pt>
                <c:pt idx="61">
                  <c:v>27.423500000000001</c:v>
                </c:pt>
                <c:pt idx="62">
                  <c:v>27.430700000000002</c:v>
                </c:pt>
                <c:pt idx="63">
                  <c:v>27.360099999999999</c:v>
                </c:pt>
                <c:pt idx="64">
                  <c:v>27.279599999999999</c:v>
                </c:pt>
                <c:pt idx="65">
                  <c:v>27.173399999999997</c:v>
                </c:pt>
                <c:pt idx="66">
                  <c:v>27.023099999999999</c:v>
                </c:pt>
                <c:pt idx="67">
                  <c:v>26.870100000000001</c:v>
                </c:pt>
                <c:pt idx="68">
                  <c:v>26.741700000000002</c:v>
                </c:pt>
                <c:pt idx="69">
                  <c:v>26.555299999999999</c:v>
                </c:pt>
                <c:pt idx="70">
                  <c:v>26.362300000000001</c:v>
                </c:pt>
                <c:pt idx="71">
                  <c:v>26.190600000000003</c:v>
                </c:pt>
                <c:pt idx="72">
                  <c:v>26.069799999999997</c:v>
                </c:pt>
                <c:pt idx="73">
                  <c:v>25.845200000000002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4.7591599999999996</c:v>
                </c:pt>
                <c:pt idx="1">
                  <c:v>4.7728799999999998</c:v>
                </c:pt>
                <c:pt idx="2">
                  <c:v>4.7817600000000002</c:v>
                </c:pt>
                <c:pt idx="3">
                  <c:v>4.7869600000000005</c:v>
                </c:pt>
                <c:pt idx="4">
                  <c:v>4.79061</c:v>
                </c:pt>
                <c:pt idx="5">
                  <c:v>4.7952499999999993</c:v>
                </c:pt>
                <c:pt idx="6">
                  <c:v>4.7996800000000004</c:v>
                </c:pt>
                <c:pt idx="7">
                  <c:v>4.8044199999999995</c:v>
                </c:pt>
                <c:pt idx="8">
                  <c:v>4.8087499999999999</c:v>
                </c:pt>
                <c:pt idx="9">
                  <c:v>4.8113799999999998</c:v>
                </c:pt>
                <c:pt idx="10">
                  <c:v>4.8084899999999999</c:v>
                </c:pt>
                <c:pt idx="11">
                  <c:v>4.8084500000000006</c:v>
                </c:pt>
                <c:pt idx="12">
                  <c:v>4.8049400000000002</c:v>
                </c:pt>
                <c:pt idx="13">
                  <c:v>4.7988099999999996</c:v>
                </c:pt>
                <c:pt idx="14">
                  <c:v>4.7942999999999998</c:v>
                </c:pt>
                <c:pt idx="15">
                  <c:v>4.7860700000000005</c:v>
                </c:pt>
                <c:pt idx="16">
                  <c:v>4.7762500000000001</c:v>
                </c:pt>
                <c:pt idx="17">
                  <c:v>4.76546</c:v>
                </c:pt>
                <c:pt idx="18">
                  <c:v>4.7514200000000004</c:v>
                </c:pt>
                <c:pt idx="19">
                  <c:v>4.73855</c:v>
                </c:pt>
                <c:pt idx="20">
                  <c:v>4.7277699999999996</c:v>
                </c:pt>
                <c:pt idx="21">
                  <c:v>4.7132199999999997</c:v>
                </c:pt>
                <c:pt idx="22">
                  <c:v>4.6983699999999997</c:v>
                </c:pt>
                <c:pt idx="23">
                  <c:v>4.6829200000000002</c:v>
                </c:pt>
                <c:pt idx="24">
                  <c:v>4.67347</c:v>
                </c:pt>
                <c:pt idx="25">
                  <c:v>4.6728399999999999</c:v>
                </c:pt>
                <c:pt idx="26">
                  <c:v>4.6693099999999994</c:v>
                </c:pt>
                <c:pt idx="27">
                  <c:v>4.6672799999999999</c:v>
                </c:pt>
                <c:pt idx="28">
                  <c:v>4.6651999999999996</c:v>
                </c:pt>
                <c:pt idx="29">
                  <c:v>4.66174</c:v>
                </c:pt>
                <c:pt idx="30">
                  <c:v>4.6615599999999997</c:v>
                </c:pt>
                <c:pt idx="31">
                  <c:v>4.6619000000000002</c:v>
                </c:pt>
                <c:pt idx="32">
                  <c:v>4.6606199999999998</c:v>
                </c:pt>
                <c:pt idx="33">
                  <c:v>4.6624999999999996</c:v>
                </c:pt>
                <c:pt idx="34">
                  <c:v>4.6635799999999996</c:v>
                </c:pt>
                <c:pt idx="35">
                  <c:v>4.6707299999999998</c:v>
                </c:pt>
                <c:pt idx="36">
                  <c:v>4.6785600000000001</c:v>
                </c:pt>
                <c:pt idx="37">
                  <c:v>4.6876499999999997</c:v>
                </c:pt>
                <c:pt idx="38">
                  <c:v>4.6971499999999997</c:v>
                </c:pt>
                <c:pt idx="39">
                  <c:v>4.7027299999999999</c:v>
                </c:pt>
                <c:pt idx="40">
                  <c:v>4.71035</c:v>
                </c:pt>
                <c:pt idx="41">
                  <c:v>4.7221700000000002</c:v>
                </c:pt>
                <c:pt idx="42">
                  <c:v>4.7372300000000003</c:v>
                </c:pt>
                <c:pt idx="43">
                  <c:v>4.75542</c:v>
                </c:pt>
                <c:pt idx="44">
                  <c:v>4.7711500000000004</c:v>
                </c:pt>
                <c:pt idx="45">
                  <c:v>4.7837699999999996</c:v>
                </c:pt>
                <c:pt idx="46">
                  <c:v>4.8039900000000006</c:v>
                </c:pt>
                <c:pt idx="47">
                  <c:v>4.82761</c:v>
                </c:pt>
                <c:pt idx="48">
                  <c:v>4.8530600000000002</c:v>
                </c:pt>
                <c:pt idx="49">
                  <c:v>4.8725000000000005</c:v>
                </c:pt>
                <c:pt idx="50">
                  <c:v>4.8750599999999995</c:v>
                </c:pt>
                <c:pt idx="51">
                  <c:v>4.87608</c:v>
                </c:pt>
                <c:pt idx="52">
                  <c:v>4.8810000000000002</c:v>
                </c:pt>
                <c:pt idx="53">
                  <c:v>4.8858899999999998</c:v>
                </c:pt>
                <c:pt idx="54">
                  <c:v>4.8907600000000002</c:v>
                </c:pt>
                <c:pt idx="55">
                  <c:v>4.89351</c:v>
                </c:pt>
                <c:pt idx="56">
                  <c:v>4.89602</c:v>
                </c:pt>
                <c:pt idx="57">
                  <c:v>4.9007100000000001</c:v>
                </c:pt>
                <c:pt idx="58">
                  <c:v>4.9037100000000002</c:v>
                </c:pt>
                <c:pt idx="59">
                  <c:v>4.9113199999999999</c:v>
                </c:pt>
                <c:pt idx="60">
                  <c:v>4.9166500000000006</c:v>
                </c:pt>
                <c:pt idx="61">
                  <c:v>4.9215999999999998</c:v>
                </c:pt>
                <c:pt idx="62">
                  <c:v>4.9279200000000003</c:v>
                </c:pt>
                <c:pt idx="63">
                  <c:v>4.9378100000000007</c:v>
                </c:pt>
                <c:pt idx="64">
                  <c:v>4.9508200000000002</c:v>
                </c:pt>
                <c:pt idx="65">
                  <c:v>4.9636500000000003</c:v>
                </c:pt>
                <c:pt idx="66">
                  <c:v>4.96896</c:v>
                </c:pt>
                <c:pt idx="67">
                  <c:v>4.9763700000000002</c:v>
                </c:pt>
                <c:pt idx="68">
                  <c:v>4.9891000000000005</c:v>
                </c:pt>
                <c:pt idx="69">
                  <c:v>4.9999000000000002</c:v>
                </c:pt>
                <c:pt idx="70">
                  <c:v>5.0151500000000002</c:v>
                </c:pt>
                <c:pt idx="71">
                  <c:v>5.0272199999999998</c:v>
                </c:pt>
                <c:pt idx="72">
                  <c:v>5.0240099999999996</c:v>
                </c:pt>
                <c:pt idx="73">
                  <c:v>5.0376099999999999</c:v>
                </c:pt>
                <c:pt idx="74">
                  <c:v>5.0297400000000003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25.845200000000002</c:v>
                </c:pt>
                <c:pt idx="1">
                  <c:v>25.593800000000002</c:v>
                </c:pt>
                <c:pt idx="2">
                  <c:v>25.373800000000003</c:v>
                </c:pt>
                <c:pt idx="3">
                  <c:v>25.087</c:v>
                </c:pt>
                <c:pt idx="4">
                  <c:v>24.8306</c:v>
                </c:pt>
                <c:pt idx="5">
                  <c:v>24.617900000000002</c:v>
                </c:pt>
                <c:pt idx="6">
                  <c:v>24.338099999999997</c:v>
                </c:pt>
                <c:pt idx="7">
                  <c:v>24.043800000000001</c:v>
                </c:pt>
                <c:pt idx="8">
                  <c:v>23.744100000000003</c:v>
                </c:pt>
                <c:pt idx="9">
                  <c:v>23.611499999999999</c:v>
                </c:pt>
                <c:pt idx="10">
                  <c:v>23.569000000000003</c:v>
                </c:pt>
                <c:pt idx="11">
                  <c:v>23.439699999999998</c:v>
                </c:pt>
                <c:pt idx="12">
                  <c:v>23.245200000000001</c:v>
                </c:pt>
                <c:pt idx="13">
                  <c:v>23.018000000000001</c:v>
                </c:pt>
                <c:pt idx="14">
                  <c:v>22.684099999999997</c:v>
                </c:pt>
                <c:pt idx="15">
                  <c:v>22.3355</c:v>
                </c:pt>
                <c:pt idx="16">
                  <c:v>21.9908</c:v>
                </c:pt>
                <c:pt idx="17">
                  <c:v>21.659500000000001</c:v>
                </c:pt>
                <c:pt idx="18">
                  <c:v>21.3706</c:v>
                </c:pt>
                <c:pt idx="19">
                  <c:v>21.0749</c:v>
                </c:pt>
                <c:pt idx="20">
                  <c:v>20.748699999999999</c:v>
                </c:pt>
                <c:pt idx="21">
                  <c:v>20.540700000000001</c:v>
                </c:pt>
                <c:pt idx="22">
                  <c:v>20.296199999999999</c:v>
                </c:pt>
                <c:pt idx="23">
                  <c:v>20.195499999999999</c:v>
                </c:pt>
                <c:pt idx="24">
                  <c:v>20.1218</c:v>
                </c:pt>
                <c:pt idx="25">
                  <c:v>19.8886</c:v>
                </c:pt>
                <c:pt idx="26">
                  <c:v>19.492999999999999</c:v>
                </c:pt>
                <c:pt idx="27">
                  <c:v>19.061299999999999</c:v>
                </c:pt>
                <c:pt idx="28">
                  <c:v>18.698</c:v>
                </c:pt>
                <c:pt idx="29">
                  <c:v>18.4055</c:v>
                </c:pt>
                <c:pt idx="30">
                  <c:v>17.9391</c:v>
                </c:pt>
                <c:pt idx="31">
                  <c:v>17.5733</c:v>
                </c:pt>
                <c:pt idx="32">
                  <c:v>17.276199999999999</c:v>
                </c:pt>
                <c:pt idx="33">
                  <c:v>16.942</c:v>
                </c:pt>
                <c:pt idx="34">
                  <c:v>16.497199999999999</c:v>
                </c:pt>
                <c:pt idx="35">
                  <c:v>15.947600000000001</c:v>
                </c:pt>
                <c:pt idx="36">
                  <c:v>15.4032</c:v>
                </c:pt>
                <c:pt idx="37">
                  <c:v>14.991099999999999</c:v>
                </c:pt>
                <c:pt idx="38">
                  <c:v>14.5063</c:v>
                </c:pt>
                <c:pt idx="39">
                  <c:v>14.13</c:v>
                </c:pt>
                <c:pt idx="40">
                  <c:v>13.772200000000002</c:v>
                </c:pt>
                <c:pt idx="41">
                  <c:v>13.329499999999999</c:v>
                </c:pt>
                <c:pt idx="42">
                  <c:v>12.9581</c:v>
                </c:pt>
                <c:pt idx="43">
                  <c:v>12.571099999999999</c:v>
                </c:pt>
                <c:pt idx="44">
                  <c:v>12.196099999999999</c:v>
                </c:pt>
                <c:pt idx="45">
                  <c:v>11.8726</c:v>
                </c:pt>
                <c:pt idx="46">
                  <c:v>11.434900000000001</c:v>
                </c:pt>
                <c:pt idx="47">
                  <c:v>11.129300000000001</c:v>
                </c:pt>
                <c:pt idx="48">
                  <c:v>10.783800000000001</c:v>
                </c:pt>
                <c:pt idx="49">
                  <c:v>10.361099999999999</c:v>
                </c:pt>
                <c:pt idx="50">
                  <c:v>10.287100000000001</c:v>
                </c:pt>
                <c:pt idx="51">
                  <c:v>10.431699999999999</c:v>
                </c:pt>
                <c:pt idx="52">
                  <c:v>10.520200000000001</c:v>
                </c:pt>
                <c:pt idx="53">
                  <c:v>10.639200000000001</c:v>
                </c:pt>
                <c:pt idx="54">
                  <c:v>10.739000000000001</c:v>
                </c:pt>
                <c:pt idx="55">
                  <c:v>10.924100000000001</c:v>
                </c:pt>
                <c:pt idx="56">
                  <c:v>11.0839</c:v>
                </c:pt>
                <c:pt idx="57">
                  <c:v>11.1709</c:v>
                </c:pt>
                <c:pt idx="58">
                  <c:v>11.246</c:v>
                </c:pt>
                <c:pt idx="59">
                  <c:v>11.3666</c:v>
                </c:pt>
                <c:pt idx="60">
                  <c:v>11.4816</c:v>
                </c:pt>
                <c:pt idx="61">
                  <c:v>11.6875</c:v>
                </c:pt>
                <c:pt idx="62">
                  <c:v>11.702199999999999</c:v>
                </c:pt>
                <c:pt idx="63">
                  <c:v>11.8445</c:v>
                </c:pt>
                <c:pt idx="64">
                  <c:v>12.043900000000001</c:v>
                </c:pt>
                <c:pt idx="65">
                  <c:v>12.264700000000001</c:v>
                </c:pt>
                <c:pt idx="66">
                  <c:v>12.687799999999999</c:v>
                </c:pt>
                <c:pt idx="67">
                  <c:v>12.9186</c:v>
                </c:pt>
                <c:pt idx="68">
                  <c:v>13.1434</c:v>
                </c:pt>
                <c:pt idx="69">
                  <c:v>13.490399999999999</c:v>
                </c:pt>
                <c:pt idx="70">
                  <c:v>13.725399999999999</c:v>
                </c:pt>
                <c:pt idx="71">
                  <c:v>13.927</c:v>
                </c:pt>
                <c:pt idx="72">
                  <c:v>14.2522</c:v>
                </c:pt>
                <c:pt idx="73">
                  <c:v>13.7486</c:v>
                </c:pt>
                <c:pt idx="74">
                  <c:v>13.8276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4.4353935135135139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28.980378378378376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4.8108290540540546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16.565486486486495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4.8108290540540546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16.565486486486495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0.1435131724201113</c:v>
                </c:pt>
                <c:pt idx="1">
                  <c:v>0.28278491748233697</c:v>
                </c:pt>
                <c:pt idx="2">
                  <c:v>0.57370191009755167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0.40441199999999999</c:v>
                </c:pt>
                <c:pt idx="2">
                  <c:v>0.8095</c:v>
                </c:pt>
                <c:pt idx="3">
                  <c:v>1.21783</c:v>
                </c:pt>
                <c:pt idx="4">
                  <c:v>1.62273</c:v>
                </c:pt>
                <c:pt idx="5">
                  <c:v>2.0298799999999999</c:v>
                </c:pt>
                <c:pt idx="6">
                  <c:v>2.4361000000000002</c:v>
                </c:pt>
                <c:pt idx="7">
                  <c:v>2.8405499999999999</c:v>
                </c:pt>
                <c:pt idx="8">
                  <c:v>3.24769</c:v>
                </c:pt>
                <c:pt idx="9">
                  <c:v>3.6527799999999999</c:v>
                </c:pt>
                <c:pt idx="10">
                  <c:v>4.0640000000000001</c:v>
                </c:pt>
                <c:pt idx="11">
                  <c:v>4.4677600000000002</c:v>
                </c:pt>
                <c:pt idx="12">
                  <c:v>4.8733300000000002</c:v>
                </c:pt>
                <c:pt idx="13">
                  <c:v>5.2780199999999997</c:v>
                </c:pt>
                <c:pt idx="14">
                  <c:v>5.6905400000000004</c:v>
                </c:pt>
                <c:pt idx="15">
                  <c:v>6.0942299999999996</c:v>
                </c:pt>
                <c:pt idx="16">
                  <c:v>6.5004099999999996</c:v>
                </c:pt>
                <c:pt idx="17">
                  <c:v>6.9036900000000001</c:v>
                </c:pt>
                <c:pt idx="18">
                  <c:v>7.3098299999999998</c:v>
                </c:pt>
                <c:pt idx="19">
                  <c:v>7.7161200000000001</c:v>
                </c:pt>
                <c:pt idx="20">
                  <c:v>8.1246700000000001</c:v>
                </c:pt>
                <c:pt idx="21">
                  <c:v>8.52881</c:v>
                </c:pt>
                <c:pt idx="22">
                  <c:v>8.9374300000000009</c:v>
                </c:pt>
                <c:pt idx="23">
                  <c:v>9.3417999999999992</c:v>
                </c:pt>
                <c:pt idx="24">
                  <c:v>9.7470199999999991</c:v>
                </c:pt>
                <c:pt idx="25">
                  <c:v>10.153600000000001</c:v>
                </c:pt>
                <c:pt idx="26">
                  <c:v>10.5625</c:v>
                </c:pt>
                <c:pt idx="27">
                  <c:v>10.970599999999999</c:v>
                </c:pt>
                <c:pt idx="28">
                  <c:v>11.3728</c:v>
                </c:pt>
                <c:pt idx="29">
                  <c:v>11.78</c:v>
                </c:pt>
                <c:pt idx="30">
                  <c:v>12.187099999999999</c:v>
                </c:pt>
                <c:pt idx="31">
                  <c:v>12.5939</c:v>
                </c:pt>
                <c:pt idx="32">
                  <c:v>12.9983</c:v>
                </c:pt>
                <c:pt idx="33">
                  <c:v>13.4062</c:v>
                </c:pt>
                <c:pt idx="34">
                  <c:v>13.810700000000001</c:v>
                </c:pt>
                <c:pt idx="35">
                  <c:v>14.2158</c:v>
                </c:pt>
                <c:pt idx="36">
                  <c:v>14.623100000000001</c:v>
                </c:pt>
                <c:pt idx="37">
                  <c:v>15.028499999999999</c:v>
                </c:pt>
                <c:pt idx="38">
                  <c:v>15.438700000000001</c:v>
                </c:pt>
                <c:pt idx="39">
                  <c:v>15.8415</c:v>
                </c:pt>
                <c:pt idx="40">
                  <c:v>16.246600000000001</c:v>
                </c:pt>
                <c:pt idx="41">
                  <c:v>16.653500000000001</c:v>
                </c:pt>
                <c:pt idx="42">
                  <c:v>17.061499999999999</c:v>
                </c:pt>
                <c:pt idx="43">
                  <c:v>17.470300000000002</c:v>
                </c:pt>
                <c:pt idx="44">
                  <c:v>17.874500000000001</c:v>
                </c:pt>
                <c:pt idx="45">
                  <c:v>18.278700000000001</c:v>
                </c:pt>
                <c:pt idx="46">
                  <c:v>18.6858</c:v>
                </c:pt>
                <c:pt idx="47">
                  <c:v>19.094200000000001</c:v>
                </c:pt>
                <c:pt idx="48">
                  <c:v>19.500399999999999</c:v>
                </c:pt>
                <c:pt idx="49">
                  <c:v>19.9069</c:v>
                </c:pt>
                <c:pt idx="50">
                  <c:v>20.3108</c:v>
                </c:pt>
                <c:pt idx="51">
                  <c:v>20.716000000000001</c:v>
                </c:pt>
                <c:pt idx="52">
                  <c:v>21.126300000000001</c:v>
                </c:pt>
                <c:pt idx="53">
                  <c:v>21.5319</c:v>
                </c:pt>
                <c:pt idx="54">
                  <c:v>21.938500000000001</c:v>
                </c:pt>
                <c:pt idx="55">
                  <c:v>22.3414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23.560600000000001</c:v>
                </c:pt>
                <c:pt idx="59">
                  <c:v>23.9693</c:v>
                </c:pt>
                <c:pt idx="60">
                  <c:v>24.372199999999999</c:v>
                </c:pt>
                <c:pt idx="61">
                  <c:v>24.7821</c:v>
                </c:pt>
                <c:pt idx="62">
                  <c:v>25.186800000000002</c:v>
                </c:pt>
                <c:pt idx="63">
                  <c:v>25.592400000000001</c:v>
                </c:pt>
                <c:pt idx="64">
                  <c:v>25.9968</c:v>
                </c:pt>
                <c:pt idx="65">
                  <c:v>26.41</c:v>
                </c:pt>
                <c:pt idx="66">
                  <c:v>26.811199999999999</c:v>
                </c:pt>
                <c:pt idx="67">
                  <c:v>27.221699999999998</c:v>
                </c:pt>
                <c:pt idx="68">
                  <c:v>27.627400000000002</c:v>
                </c:pt>
                <c:pt idx="69">
                  <c:v>28.029399999999999</c:v>
                </c:pt>
                <c:pt idx="70">
                  <c:v>28.4405</c:v>
                </c:pt>
                <c:pt idx="71">
                  <c:v>28.8431</c:v>
                </c:pt>
                <c:pt idx="72">
                  <c:v>29.2545</c:v>
                </c:pt>
                <c:pt idx="73">
                  <c:v>29.6572</c:v>
                </c:pt>
                <c:pt idx="74">
                  <c:v>30.062899999999999</c:v>
                </c:pt>
                <c:pt idx="75">
                  <c:v>30.484300000000001</c:v>
                </c:pt>
                <c:pt idx="76">
                  <c:v>30.888400000000001</c:v>
                </c:pt>
                <c:pt idx="77">
                  <c:v>31.294899999999998</c:v>
                </c:pt>
                <c:pt idx="78">
                  <c:v>31.705500000000001</c:v>
                </c:pt>
                <c:pt idx="79">
                  <c:v>32.109900000000003</c:v>
                </c:pt>
                <c:pt idx="80">
                  <c:v>32.515300000000003</c:v>
                </c:pt>
                <c:pt idx="81">
                  <c:v>32.923099999999998</c:v>
                </c:pt>
                <c:pt idx="82">
                  <c:v>33.326300000000003</c:v>
                </c:pt>
                <c:pt idx="83">
                  <c:v>33.734499999999997</c:v>
                </c:pt>
                <c:pt idx="84">
                  <c:v>34.143599999999999</c:v>
                </c:pt>
                <c:pt idx="85">
                  <c:v>34.546199999999999</c:v>
                </c:pt>
                <c:pt idx="86">
                  <c:v>34.951300000000003</c:v>
                </c:pt>
                <c:pt idx="87">
                  <c:v>35.356900000000003</c:v>
                </c:pt>
                <c:pt idx="88">
                  <c:v>35.766300000000001</c:v>
                </c:pt>
                <c:pt idx="89">
                  <c:v>36.171900000000001</c:v>
                </c:pt>
                <c:pt idx="90">
                  <c:v>36.580199999999998</c:v>
                </c:pt>
                <c:pt idx="91">
                  <c:v>36.985500000000002</c:v>
                </c:pt>
                <c:pt idx="92">
                  <c:v>37.387700000000002</c:v>
                </c:pt>
                <c:pt idx="93">
                  <c:v>37.796399999999998</c:v>
                </c:pt>
                <c:pt idx="94">
                  <c:v>38.202599999999997</c:v>
                </c:pt>
                <c:pt idx="95">
                  <c:v>38.611800000000002</c:v>
                </c:pt>
                <c:pt idx="96">
                  <c:v>39.017600000000002</c:v>
                </c:pt>
                <c:pt idx="97">
                  <c:v>39.4268</c:v>
                </c:pt>
                <c:pt idx="98">
                  <c:v>39.827399999999997</c:v>
                </c:pt>
                <c:pt idx="99">
                  <c:v>40.233400000000003</c:v>
                </c:pt>
                <c:pt idx="100">
                  <c:v>40.6434</c:v>
                </c:pt>
                <c:pt idx="101">
                  <c:v>41.046700000000001</c:v>
                </c:pt>
                <c:pt idx="102">
                  <c:v>41.4514</c:v>
                </c:pt>
                <c:pt idx="103">
                  <c:v>41.8643</c:v>
                </c:pt>
                <c:pt idx="104">
                  <c:v>42.263199999999998</c:v>
                </c:pt>
                <c:pt idx="105">
                  <c:v>42.671100000000003</c:v>
                </c:pt>
                <c:pt idx="106">
                  <c:v>43.078400000000002</c:v>
                </c:pt>
                <c:pt idx="107">
                  <c:v>43.484299999999998</c:v>
                </c:pt>
                <c:pt idx="108">
                  <c:v>43.891100000000002</c:v>
                </c:pt>
                <c:pt idx="109">
                  <c:v>44.297699999999999</c:v>
                </c:pt>
                <c:pt idx="110">
                  <c:v>44.702599999999997</c:v>
                </c:pt>
                <c:pt idx="111">
                  <c:v>45.108499999999999</c:v>
                </c:pt>
                <c:pt idx="112">
                  <c:v>45.517200000000003</c:v>
                </c:pt>
                <c:pt idx="113">
                  <c:v>45.921300000000002</c:v>
                </c:pt>
                <c:pt idx="114">
                  <c:v>46.325299999999999</c:v>
                </c:pt>
                <c:pt idx="115">
                  <c:v>46.730899999999998</c:v>
                </c:pt>
                <c:pt idx="116">
                  <c:v>47.139600000000002</c:v>
                </c:pt>
                <c:pt idx="117">
                  <c:v>47.542700000000004</c:v>
                </c:pt>
                <c:pt idx="118">
                  <c:v>47.950600000000001</c:v>
                </c:pt>
                <c:pt idx="119">
                  <c:v>48.358499999999999</c:v>
                </c:pt>
                <c:pt idx="120">
                  <c:v>48.764299999999999</c:v>
                </c:pt>
                <c:pt idx="121">
                  <c:v>49.170099999999998</c:v>
                </c:pt>
                <c:pt idx="122">
                  <c:v>49.579700000000003</c:v>
                </c:pt>
                <c:pt idx="123">
                  <c:v>49.985500000000002</c:v>
                </c:pt>
                <c:pt idx="124">
                  <c:v>50.388599999999997</c:v>
                </c:pt>
                <c:pt idx="125">
                  <c:v>50.7941</c:v>
                </c:pt>
                <c:pt idx="126">
                  <c:v>51.2014</c:v>
                </c:pt>
                <c:pt idx="127">
                  <c:v>51.610199999999999</c:v>
                </c:pt>
                <c:pt idx="128">
                  <c:v>52.014899999999997</c:v>
                </c:pt>
                <c:pt idx="129">
                  <c:v>52.423000000000002</c:v>
                </c:pt>
                <c:pt idx="130">
                  <c:v>52.825499999999998</c:v>
                </c:pt>
                <c:pt idx="131">
                  <c:v>53.2346</c:v>
                </c:pt>
                <c:pt idx="132">
                  <c:v>53.638399999999997</c:v>
                </c:pt>
                <c:pt idx="133">
                  <c:v>54.043999999999997</c:v>
                </c:pt>
                <c:pt idx="134">
                  <c:v>54.450800000000001</c:v>
                </c:pt>
                <c:pt idx="135">
                  <c:v>54.86</c:v>
                </c:pt>
                <c:pt idx="136">
                  <c:v>55.261699999999998</c:v>
                </c:pt>
                <c:pt idx="137">
                  <c:v>55.670400000000001</c:v>
                </c:pt>
                <c:pt idx="138">
                  <c:v>56.0762</c:v>
                </c:pt>
                <c:pt idx="139">
                  <c:v>56.4846</c:v>
                </c:pt>
                <c:pt idx="140">
                  <c:v>56.890599999999999</c:v>
                </c:pt>
                <c:pt idx="141">
                  <c:v>57.296599999999998</c:v>
                </c:pt>
                <c:pt idx="142">
                  <c:v>57.702800000000003</c:v>
                </c:pt>
                <c:pt idx="143">
                  <c:v>58.108199999999997</c:v>
                </c:pt>
                <c:pt idx="144">
                  <c:v>58.513100000000001</c:v>
                </c:pt>
                <c:pt idx="145">
                  <c:v>58.918999999999997</c:v>
                </c:pt>
                <c:pt idx="146">
                  <c:v>59.3279</c:v>
                </c:pt>
                <c:pt idx="147">
                  <c:v>59.731999999999999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3.3955200000000003</c:v>
                </c:pt>
                <c:pt idx="1">
                  <c:v>3.4975499999999999</c:v>
                </c:pt>
                <c:pt idx="2">
                  <c:v>3.59545</c:v>
                </c:pt>
                <c:pt idx="3">
                  <c:v>3.6953100000000001</c:v>
                </c:pt>
                <c:pt idx="4">
                  <c:v>3.79589</c:v>
                </c:pt>
                <c:pt idx="5">
                  <c:v>3.8859300000000001</c:v>
                </c:pt>
                <c:pt idx="6">
                  <c:v>3.97377</c:v>
                </c:pt>
                <c:pt idx="7">
                  <c:v>4.05863</c:v>
                </c:pt>
                <c:pt idx="8">
                  <c:v>4.1357900000000001</c:v>
                </c:pt>
                <c:pt idx="9">
                  <c:v>4.2068599999999998</c:v>
                </c:pt>
                <c:pt idx="10">
                  <c:v>4.2729499999999998</c:v>
                </c:pt>
                <c:pt idx="11">
                  <c:v>4.33589</c:v>
                </c:pt>
                <c:pt idx="12">
                  <c:v>4.3952900000000001</c:v>
                </c:pt>
                <c:pt idx="13">
                  <c:v>4.4475800000000003</c:v>
                </c:pt>
                <c:pt idx="14">
                  <c:v>4.49153</c:v>
                </c:pt>
                <c:pt idx="15">
                  <c:v>4.5289700000000002</c:v>
                </c:pt>
                <c:pt idx="16">
                  <c:v>4.5636599999999996</c:v>
                </c:pt>
                <c:pt idx="17">
                  <c:v>4.5923400000000001</c:v>
                </c:pt>
                <c:pt idx="18">
                  <c:v>4.6175699999999997</c:v>
                </c:pt>
                <c:pt idx="19">
                  <c:v>4.6380999999999997</c:v>
                </c:pt>
                <c:pt idx="20">
                  <c:v>4.6510800000000003</c:v>
                </c:pt>
                <c:pt idx="21">
                  <c:v>4.65848</c:v>
                </c:pt>
                <c:pt idx="22">
                  <c:v>4.6610100000000001</c:v>
                </c:pt>
                <c:pt idx="23">
                  <c:v>4.6596200000000003</c:v>
                </c:pt>
                <c:pt idx="24">
                  <c:v>4.6573199999999995</c:v>
                </c:pt>
                <c:pt idx="25">
                  <c:v>4.6519199999999996</c:v>
                </c:pt>
                <c:pt idx="26">
                  <c:v>4.6441499999999998</c:v>
                </c:pt>
                <c:pt idx="27">
                  <c:v>4.6357799999999996</c:v>
                </c:pt>
                <c:pt idx="28">
                  <c:v>4.6265499999999999</c:v>
                </c:pt>
                <c:pt idx="29">
                  <c:v>4.6143400000000003</c:v>
                </c:pt>
                <c:pt idx="30">
                  <c:v>4.5988600000000002</c:v>
                </c:pt>
                <c:pt idx="31">
                  <c:v>4.5775900000000007</c:v>
                </c:pt>
                <c:pt idx="32">
                  <c:v>4.5520500000000004</c:v>
                </c:pt>
                <c:pt idx="33">
                  <c:v>4.5272699999999997</c:v>
                </c:pt>
                <c:pt idx="34">
                  <c:v>4.5045800000000007</c:v>
                </c:pt>
                <c:pt idx="35">
                  <c:v>4.4805200000000003</c:v>
                </c:pt>
                <c:pt idx="36">
                  <c:v>4.45784</c:v>
                </c:pt>
                <c:pt idx="37">
                  <c:v>4.4358599999999999</c:v>
                </c:pt>
                <c:pt idx="38">
                  <c:v>4.4173299999999998</c:v>
                </c:pt>
                <c:pt idx="39">
                  <c:v>4.4028299999999998</c:v>
                </c:pt>
                <c:pt idx="40">
                  <c:v>4.3960100000000004</c:v>
                </c:pt>
                <c:pt idx="41">
                  <c:v>4.3929600000000004</c:v>
                </c:pt>
                <c:pt idx="42">
                  <c:v>4.3891299999999998</c:v>
                </c:pt>
                <c:pt idx="43">
                  <c:v>4.3848799999999999</c:v>
                </c:pt>
                <c:pt idx="44">
                  <c:v>4.3837099999999998</c:v>
                </c:pt>
                <c:pt idx="45">
                  <c:v>4.3891</c:v>
                </c:pt>
                <c:pt idx="46">
                  <c:v>4.4001800000000006</c:v>
                </c:pt>
                <c:pt idx="47">
                  <c:v>4.4077000000000002</c:v>
                </c:pt>
                <c:pt idx="48">
                  <c:v>4.4131599999999995</c:v>
                </c:pt>
                <c:pt idx="49">
                  <c:v>4.4167000000000005</c:v>
                </c:pt>
                <c:pt idx="50">
                  <c:v>4.42225</c:v>
                </c:pt>
                <c:pt idx="51">
                  <c:v>4.4319699999999997</c:v>
                </c:pt>
                <c:pt idx="52">
                  <c:v>4.44442</c:v>
                </c:pt>
                <c:pt idx="53">
                  <c:v>4.4509999999999996</c:v>
                </c:pt>
                <c:pt idx="54">
                  <c:v>4.4570300000000005</c:v>
                </c:pt>
                <c:pt idx="55">
                  <c:v>4.4639800000000003</c:v>
                </c:pt>
                <c:pt idx="56">
                  <c:v>4.4705899999999996</c:v>
                </c:pt>
                <c:pt idx="57">
                  <c:v>4.4808399999999997</c:v>
                </c:pt>
                <c:pt idx="58">
                  <c:v>4.49587</c:v>
                </c:pt>
                <c:pt idx="59">
                  <c:v>4.5078000000000005</c:v>
                </c:pt>
                <c:pt idx="60">
                  <c:v>4.5245499999999996</c:v>
                </c:pt>
                <c:pt idx="61">
                  <c:v>4.5424999999999995</c:v>
                </c:pt>
                <c:pt idx="62">
                  <c:v>4.5613700000000001</c:v>
                </c:pt>
                <c:pt idx="63">
                  <c:v>4.5837899999999996</c:v>
                </c:pt>
                <c:pt idx="64">
                  <c:v>4.6070100000000007</c:v>
                </c:pt>
                <c:pt idx="65">
                  <c:v>4.6254800000000005</c:v>
                </c:pt>
                <c:pt idx="66">
                  <c:v>4.6421600000000005</c:v>
                </c:pt>
                <c:pt idx="67">
                  <c:v>4.6611799999999999</c:v>
                </c:pt>
                <c:pt idx="68">
                  <c:v>4.6810700000000001</c:v>
                </c:pt>
                <c:pt idx="69">
                  <c:v>4.6999700000000004</c:v>
                </c:pt>
                <c:pt idx="70">
                  <c:v>4.7170699999999997</c:v>
                </c:pt>
                <c:pt idx="71">
                  <c:v>4.73048</c:v>
                </c:pt>
                <c:pt idx="72">
                  <c:v>4.7444899999999999</c:v>
                </c:pt>
                <c:pt idx="73">
                  <c:v>4.7591599999999996</c:v>
                </c:pt>
                <c:pt idx="74">
                  <c:v>4.7728799999999998</c:v>
                </c:pt>
                <c:pt idx="75">
                  <c:v>4.7817600000000002</c:v>
                </c:pt>
                <c:pt idx="76">
                  <c:v>4.7869600000000005</c:v>
                </c:pt>
                <c:pt idx="77">
                  <c:v>4.79061</c:v>
                </c:pt>
                <c:pt idx="78">
                  <c:v>4.7952499999999993</c:v>
                </c:pt>
                <c:pt idx="79">
                  <c:v>4.7996800000000004</c:v>
                </c:pt>
                <c:pt idx="80">
                  <c:v>4.8044199999999995</c:v>
                </c:pt>
                <c:pt idx="81">
                  <c:v>4.8087499999999999</c:v>
                </c:pt>
                <c:pt idx="82">
                  <c:v>4.8113799999999998</c:v>
                </c:pt>
                <c:pt idx="83">
                  <c:v>4.8084899999999999</c:v>
                </c:pt>
                <c:pt idx="84">
                  <c:v>4.8084500000000006</c:v>
                </c:pt>
                <c:pt idx="85">
                  <c:v>4.8049400000000002</c:v>
                </c:pt>
                <c:pt idx="86">
                  <c:v>4.7988099999999996</c:v>
                </c:pt>
                <c:pt idx="87">
                  <c:v>4.7942999999999998</c:v>
                </c:pt>
                <c:pt idx="88">
                  <c:v>4.7860700000000005</c:v>
                </c:pt>
                <c:pt idx="89">
                  <c:v>4.7762500000000001</c:v>
                </c:pt>
                <c:pt idx="90">
                  <c:v>4.76546</c:v>
                </c:pt>
                <c:pt idx="91">
                  <c:v>4.7514200000000004</c:v>
                </c:pt>
                <c:pt idx="92">
                  <c:v>4.73855</c:v>
                </c:pt>
                <c:pt idx="93">
                  <c:v>4.7277699999999996</c:v>
                </c:pt>
                <c:pt idx="94">
                  <c:v>4.7132199999999997</c:v>
                </c:pt>
                <c:pt idx="95">
                  <c:v>4.6983699999999997</c:v>
                </c:pt>
                <c:pt idx="96">
                  <c:v>4.6829200000000002</c:v>
                </c:pt>
                <c:pt idx="97">
                  <c:v>4.67347</c:v>
                </c:pt>
                <c:pt idx="98">
                  <c:v>4.6728399999999999</c:v>
                </c:pt>
                <c:pt idx="99">
                  <c:v>4.6693099999999994</c:v>
                </c:pt>
                <c:pt idx="100">
                  <c:v>4.6672799999999999</c:v>
                </c:pt>
                <c:pt idx="101">
                  <c:v>4.6651999999999996</c:v>
                </c:pt>
                <c:pt idx="102">
                  <c:v>4.66174</c:v>
                </c:pt>
                <c:pt idx="103">
                  <c:v>4.6615599999999997</c:v>
                </c:pt>
                <c:pt idx="104">
                  <c:v>4.6619000000000002</c:v>
                </c:pt>
                <c:pt idx="105">
                  <c:v>4.6606199999999998</c:v>
                </c:pt>
                <c:pt idx="106">
                  <c:v>4.6624999999999996</c:v>
                </c:pt>
                <c:pt idx="107">
                  <c:v>4.6635799999999996</c:v>
                </c:pt>
                <c:pt idx="108">
                  <c:v>4.6707299999999998</c:v>
                </c:pt>
                <c:pt idx="109">
                  <c:v>4.6785600000000001</c:v>
                </c:pt>
                <c:pt idx="110">
                  <c:v>4.6876499999999997</c:v>
                </c:pt>
                <c:pt idx="111">
                  <c:v>4.6971499999999997</c:v>
                </c:pt>
                <c:pt idx="112">
                  <c:v>4.7027299999999999</c:v>
                </c:pt>
                <c:pt idx="113">
                  <c:v>4.71035</c:v>
                </c:pt>
                <c:pt idx="114">
                  <c:v>4.7221700000000002</c:v>
                </c:pt>
                <c:pt idx="115">
                  <c:v>4.7372300000000003</c:v>
                </c:pt>
                <c:pt idx="116">
                  <c:v>4.75542</c:v>
                </c:pt>
                <c:pt idx="117">
                  <c:v>4.7711500000000004</c:v>
                </c:pt>
                <c:pt idx="118">
                  <c:v>4.7837699999999996</c:v>
                </c:pt>
                <c:pt idx="119">
                  <c:v>4.8039900000000006</c:v>
                </c:pt>
                <c:pt idx="120">
                  <c:v>4.82761</c:v>
                </c:pt>
                <c:pt idx="121">
                  <c:v>4.8530600000000002</c:v>
                </c:pt>
                <c:pt idx="122">
                  <c:v>4.8725000000000005</c:v>
                </c:pt>
                <c:pt idx="123">
                  <c:v>4.8750599999999995</c:v>
                </c:pt>
                <c:pt idx="124">
                  <c:v>4.87608</c:v>
                </c:pt>
                <c:pt idx="125">
                  <c:v>4.8810000000000002</c:v>
                </c:pt>
                <c:pt idx="126">
                  <c:v>4.8858899999999998</c:v>
                </c:pt>
                <c:pt idx="127">
                  <c:v>4.8907600000000002</c:v>
                </c:pt>
                <c:pt idx="128">
                  <c:v>4.89351</c:v>
                </c:pt>
                <c:pt idx="129">
                  <c:v>4.89602</c:v>
                </c:pt>
                <c:pt idx="130">
                  <c:v>4.9007100000000001</c:v>
                </c:pt>
                <c:pt idx="131">
                  <c:v>4.9037100000000002</c:v>
                </c:pt>
                <c:pt idx="132">
                  <c:v>4.9113199999999999</c:v>
                </c:pt>
                <c:pt idx="133">
                  <c:v>4.9166500000000006</c:v>
                </c:pt>
                <c:pt idx="134">
                  <c:v>4.9215999999999998</c:v>
                </c:pt>
                <c:pt idx="135">
                  <c:v>4.9279200000000003</c:v>
                </c:pt>
                <c:pt idx="136">
                  <c:v>4.9378100000000007</c:v>
                </c:pt>
                <c:pt idx="137">
                  <c:v>4.9508200000000002</c:v>
                </c:pt>
                <c:pt idx="138">
                  <c:v>4.9636500000000003</c:v>
                </c:pt>
                <c:pt idx="139">
                  <c:v>4.96896</c:v>
                </c:pt>
                <c:pt idx="140">
                  <c:v>4.9763700000000002</c:v>
                </c:pt>
                <c:pt idx="141">
                  <c:v>4.9891000000000005</c:v>
                </c:pt>
                <c:pt idx="142">
                  <c:v>4.9999000000000002</c:v>
                </c:pt>
                <c:pt idx="143">
                  <c:v>5.0151500000000002</c:v>
                </c:pt>
                <c:pt idx="144">
                  <c:v>5.0272199999999998</c:v>
                </c:pt>
                <c:pt idx="145">
                  <c:v>5.0240099999999996</c:v>
                </c:pt>
                <c:pt idx="146">
                  <c:v>5.0376099999999999</c:v>
                </c:pt>
                <c:pt idx="147">
                  <c:v>5.0297400000000003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0.40441199999999999</c:v>
                </c:pt>
                <c:pt idx="2">
                  <c:v>0.8095</c:v>
                </c:pt>
                <c:pt idx="3">
                  <c:v>1.21783</c:v>
                </c:pt>
                <c:pt idx="4">
                  <c:v>1.62273</c:v>
                </c:pt>
                <c:pt idx="5">
                  <c:v>2.0298799999999999</c:v>
                </c:pt>
                <c:pt idx="6">
                  <c:v>2.4361000000000002</c:v>
                </c:pt>
                <c:pt idx="7">
                  <c:v>2.8405499999999999</c:v>
                </c:pt>
                <c:pt idx="8">
                  <c:v>3.24769</c:v>
                </c:pt>
                <c:pt idx="9">
                  <c:v>3.6527799999999999</c:v>
                </c:pt>
                <c:pt idx="10">
                  <c:v>4.0640000000000001</c:v>
                </c:pt>
                <c:pt idx="11">
                  <c:v>4.4677600000000002</c:v>
                </c:pt>
                <c:pt idx="12">
                  <c:v>4.8733300000000002</c:v>
                </c:pt>
                <c:pt idx="13">
                  <c:v>5.2780199999999997</c:v>
                </c:pt>
                <c:pt idx="14">
                  <c:v>5.6905400000000004</c:v>
                </c:pt>
                <c:pt idx="15">
                  <c:v>6.0942299999999996</c:v>
                </c:pt>
                <c:pt idx="16">
                  <c:v>6.5004099999999996</c:v>
                </c:pt>
                <c:pt idx="17">
                  <c:v>6.9036900000000001</c:v>
                </c:pt>
                <c:pt idx="18">
                  <c:v>7.3098299999999998</c:v>
                </c:pt>
                <c:pt idx="19">
                  <c:v>7.7161200000000001</c:v>
                </c:pt>
                <c:pt idx="20">
                  <c:v>8.1246700000000001</c:v>
                </c:pt>
                <c:pt idx="21">
                  <c:v>8.52881</c:v>
                </c:pt>
                <c:pt idx="22">
                  <c:v>8.9374300000000009</c:v>
                </c:pt>
                <c:pt idx="23">
                  <c:v>9.3417999999999992</c:v>
                </c:pt>
                <c:pt idx="24">
                  <c:v>9.7470199999999991</c:v>
                </c:pt>
                <c:pt idx="25">
                  <c:v>10.153600000000001</c:v>
                </c:pt>
                <c:pt idx="26">
                  <c:v>10.5625</c:v>
                </c:pt>
                <c:pt idx="27">
                  <c:v>10.970599999999999</c:v>
                </c:pt>
                <c:pt idx="28">
                  <c:v>11.3728</c:v>
                </c:pt>
                <c:pt idx="29">
                  <c:v>11.78</c:v>
                </c:pt>
                <c:pt idx="30">
                  <c:v>12.187099999999999</c:v>
                </c:pt>
                <c:pt idx="31">
                  <c:v>12.5939</c:v>
                </c:pt>
                <c:pt idx="32">
                  <c:v>12.9983</c:v>
                </c:pt>
                <c:pt idx="33">
                  <c:v>13.4062</c:v>
                </c:pt>
                <c:pt idx="34">
                  <c:v>13.810700000000001</c:v>
                </c:pt>
                <c:pt idx="35">
                  <c:v>14.2158</c:v>
                </c:pt>
                <c:pt idx="36">
                  <c:v>14.623100000000001</c:v>
                </c:pt>
                <c:pt idx="37">
                  <c:v>15.028499999999999</c:v>
                </c:pt>
                <c:pt idx="38">
                  <c:v>15.438700000000001</c:v>
                </c:pt>
                <c:pt idx="39">
                  <c:v>15.8415</c:v>
                </c:pt>
                <c:pt idx="40">
                  <c:v>16.246600000000001</c:v>
                </c:pt>
                <c:pt idx="41">
                  <c:v>16.653500000000001</c:v>
                </c:pt>
                <c:pt idx="42">
                  <c:v>17.061499999999999</c:v>
                </c:pt>
                <c:pt idx="43">
                  <c:v>17.470300000000002</c:v>
                </c:pt>
                <c:pt idx="44">
                  <c:v>17.874500000000001</c:v>
                </c:pt>
                <c:pt idx="45">
                  <c:v>18.278700000000001</c:v>
                </c:pt>
                <c:pt idx="46">
                  <c:v>18.6858</c:v>
                </c:pt>
                <c:pt idx="47">
                  <c:v>19.094200000000001</c:v>
                </c:pt>
                <c:pt idx="48">
                  <c:v>19.500399999999999</c:v>
                </c:pt>
                <c:pt idx="49">
                  <c:v>19.9069</c:v>
                </c:pt>
                <c:pt idx="50">
                  <c:v>20.3108</c:v>
                </c:pt>
                <c:pt idx="51">
                  <c:v>20.716000000000001</c:v>
                </c:pt>
                <c:pt idx="52">
                  <c:v>21.126300000000001</c:v>
                </c:pt>
                <c:pt idx="53">
                  <c:v>21.5319</c:v>
                </c:pt>
                <c:pt idx="54">
                  <c:v>21.938500000000001</c:v>
                </c:pt>
                <c:pt idx="55">
                  <c:v>22.3414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23.560600000000001</c:v>
                </c:pt>
                <c:pt idx="59">
                  <c:v>23.9693</c:v>
                </c:pt>
                <c:pt idx="60">
                  <c:v>24.372199999999999</c:v>
                </c:pt>
                <c:pt idx="61">
                  <c:v>24.7821</c:v>
                </c:pt>
                <c:pt idx="62">
                  <c:v>25.186800000000002</c:v>
                </c:pt>
                <c:pt idx="63">
                  <c:v>25.592400000000001</c:v>
                </c:pt>
                <c:pt idx="64">
                  <c:v>25.9968</c:v>
                </c:pt>
                <c:pt idx="65">
                  <c:v>26.41</c:v>
                </c:pt>
                <c:pt idx="66">
                  <c:v>26.811199999999999</c:v>
                </c:pt>
                <c:pt idx="67">
                  <c:v>27.221699999999998</c:v>
                </c:pt>
                <c:pt idx="68">
                  <c:v>27.627400000000002</c:v>
                </c:pt>
                <c:pt idx="69">
                  <c:v>28.029399999999999</c:v>
                </c:pt>
                <c:pt idx="70">
                  <c:v>28.4405</c:v>
                </c:pt>
                <c:pt idx="71">
                  <c:v>28.8431</c:v>
                </c:pt>
                <c:pt idx="72">
                  <c:v>29.2545</c:v>
                </c:pt>
                <c:pt idx="73">
                  <c:v>29.6572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3.3955200000000003</c:v>
                </c:pt>
                <c:pt idx="1">
                  <c:v>3.4975499999999999</c:v>
                </c:pt>
                <c:pt idx="2">
                  <c:v>3.59545</c:v>
                </c:pt>
                <c:pt idx="3">
                  <c:v>3.6953100000000001</c:v>
                </c:pt>
                <c:pt idx="4">
                  <c:v>3.79589</c:v>
                </c:pt>
                <c:pt idx="5">
                  <c:v>3.8859300000000001</c:v>
                </c:pt>
                <c:pt idx="6">
                  <c:v>3.97377</c:v>
                </c:pt>
                <c:pt idx="7">
                  <c:v>4.05863</c:v>
                </c:pt>
                <c:pt idx="8">
                  <c:v>4.1357900000000001</c:v>
                </c:pt>
                <c:pt idx="9">
                  <c:v>4.2068599999999998</c:v>
                </c:pt>
                <c:pt idx="10">
                  <c:v>4.2729499999999998</c:v>
                </c:pt>
                <c:pt idx="11">
                  <c:v>4.33589</c:v>
                </c:pt>
                <c:pt idx="12">
                  <c:v>4.3952900000000001</c:v>
                </c:pt>
                <c:pt idx="13">
                  <c:v>4.4475800000000003</c:v>
                </c:pt>
                <c:pt idx="14">
                  <c:v>4.49153</c:v>
                </c:pt>
                <c:pt idx="15">
                  <c:v>4.5289700000000002</c:v>
                </c:pt>
                <c:pt idx="16">
                  <c:v>4.5636599999999996</c:v>
                </c:pt>
                <c:pt idx="17">
                  <c:v>4.5923400000000001</c:v>
                </c:pt>
                <c:pt idx="18">
                  <c:v>4.6175699999999997</c:v>
                </c:pt>
                <c:pt idx="19">
                  <c:v>4.6380999999999997</c:v>
                </c:pt>
                <c:pt idx="20">
                  <c:v>4.6510800000000003</c:v>
                </c:pt>
                <c:pt idx="21">
                  <c:v>4.65848</c:v>
                </c:pt>
                <c:pt idx="22">
                  <c:v>4.6610100000000001</c:v>
                </c:pt>
                <c:pt idx="23">
                  <c:v>4.6596200000000003</c:v>
                </c:pt>
                <c:pt idx="24">
                  <c:v>4.6573199999999995</c:v>
                </c:pt>
                <c:pt idx="25">
                  <c:v>4.6519199999999996</c:v>
                </c:pt>
                <c:pt idx="26">
                  <c:v>4.6441499999999998</c:v>
                </c:pt>
                <c:pt idx="27">
                  <c:v>4.6357799999999996</c:v>
                </c:pt>
                <c:pt idx="28">
                  <c:v>4.6265499999999999</c:v>
                </c:pt>
                <c:pt idx="29">
                  <c:v>4.6143400000000003</c:v>
                </c:pt>
                <c:pt idx="30">
                  <c:v>4.5988600000000002</c:v>
                </c:pt>
                <c:pt idx="31">
                  <c:v>4.5775900000000007</c:v>
                </c:pt>
                <c:pt idx="32">
                  <c:v>4.5520500000000004</c:v>
                </c:pt>
                <c:pt idx="33">
                  <c:v>4.5272699999999997</c:v>
                </c:pt>
                <c:pt idx="34">
                  <c:v>4.5045800000000007</c:v>
                </c:pt>
                <c:pt idx="35">
                  <c:v>4.4805200000000003</c:v>
                </c:pt>
                <c:pt idx="36">
                  <c:v>4.45784</c:v>
                </c:pt>
                <c:pt idx="37">
                  <c:v>4.4358599999999999</c:v>
                </c:pt>
                <c:pt idx="38">
                  <c:v>4.4173299999999998</c:v>
                </c:pt>
                <c:pt idx="39">
                  <c:v>4.4028299999999998</c:v>
                </c:pt>
                <c:pt idx="40">
                  <c:v>4.3960100000000004</c:v>
                </c:pt>
                <c:pt idx="41">
                  <c:v>4.3929600000000004</c:v>
                </c:pt>
                <c:pt idx="42">
                  <c:v>4.3891299999999998</c:v>
                </c:pt>
                <c:pt idx="43">
                  <c:v>4.3848799999999999</c:v>
                </c:pt>
                <c:pt idx="44">
                  <c:v>4.3837099999999998</c:v>
                </c:pt>
                <c:pt idx="45">
                  <c:v>4.3891</c:v>
                </c:pt>
                <c:pt idx="46">
                  <c:v>4.4001800000000006</c:v>
                </c:pt>
                <c:pt idx="47">
                  <c:v>4.4077000000000002</c:v>
                </c:pt>
                <c:pt idx="48">
                  <c:v>4.4131599999999995</c:v>
                </c:pt>
                <c:pt idx="49">
                  <c:v>4.4167000000000005</c:v>
                </c:pt>
                <c:pt idx="50">
                  <c:v>4.42225</c:v>
                </c:pt>
                <c:pt idx="51">
                  <c:v>4.4319699999999997</c:v>
                </c:pt>
                <c:pt idx="52">
                  <c:v>4.44442</c:v>
                </c:pt>
                <c:pt idx="53">
                  <c:v>4.4509999999999996</c:v>
                </c:pt>
                <c:pt idx="54">
                  <c:v>4.4570300000000005</c:v>
                </c:pt>
                <c:pt idx="55">
                  <c:v>4.4639800000000003</c:v>
                </c:pt>
                <c:pt idx="56">
                  <c:v>4.4705899999999996</c:v>
                </c:pt>
                <c:pt idx="57">
                  <c:v>4.4808399999999997</c:v>
                </c:pt>
                <c:pt idx="58">
                  <c:v>4.49587</c:v>
                </c:pt>
                <c:pt idx="59">
                  <c:v>4.5078000000000005</c:v>
                </c:pt>
                <c:pt idx="60">
                  <c:v>4.5245499999999996</c:v>
                </c:pt>
                <c:pt idx="61">
                  <c:v>4.5424999999999995</c:v>
                </c:pt>
                <c:pt idx="62">
                  <c:v>4.5613700000000001</c:v>
                </c:pt>
                <c:pt idx="63">
                  <c:v>4.5837899999999996</c:v>
                </c:pt>
                <c:pt idx="64">
                  <c:v>4.6070100000000007</c:v>
                </c:pt>
                <c:pt idx="65">
                  <c:v>4.6254800000000005</c:v>
                </c:pt>
                <c:pt idx="66">
                  <c:v>4.6421600000000005</c:v>
                </c:pt>
                <c:pt idx="67">
                  <c:v>4.6611799999999999</c:v>
                </c:pt>
                <c:pt idx="68">
                  <c:v>4.6810700000000001</c:v>
                </c:pt>
                <c:pt idx="69">
                  <c:v>4.6999700000000004</c:v>
                </c:pt>
                <c:pt idx="70">
                  <c:v>4.7170699999999997</c:v>
                </c:pt>
                <c:pt idx="71">
                  <c:v>4.73048</c:v>
                </c:pt>
                <c:pt idx="72">
                  <c:v>4.7444899999999999</c:v>
                </c:pt>
                <c:pt idx="73">
                  <c:v>4.7591599999999996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29.6572</c:v>
                </c:pt>
                <c:pt idx="1">
                  <c:v>30.062899999999999</c:v>
                </c:pt>
                <c:pt idx="2">
                  <c:v>30.484300000000001</c:v>
                </c:pt>
                <c:pt idx="3">
                  <c:v>30.888400000000001</c:v>
                </c:pt>
                <c:pt idx="4">
                  <c:v>31.294899999999998</c:v>
                </c:pt>
                <c:pt idx="5">
                  <c:v>31.705500000000001</c:v>
                </c:pt>
                <c:pt idx="6">
                  <c:v>32.109900000000003</c:v>
                </c:pt>
                <c:pt idx="7">
                  <c:v>32.515300000000003</c:v>
                </c:pt>
                <c:pt idx="8">
                  <c:v>32.923099999999998</c:v>
                </c:pt>
                <c:pt idx="9">
                  <c:v>33.326300000000003</c:v>
                </c:pt>
                <c:pt idx="10">
                  <c:v>33.734499999999997</c:v>
                </c:pt>
                <c:pt idx="11">
                  <c:v>34.143599999999999</c:v>
                </c:pt>
                <c:pt idx="12">
                  <c:v>34.546199999999999</c:v>
                </c:pt>
                <c:pt idx="13">
                  <c:v>34.951300000000003</c:v>
                </c:pt>
                <c:pt idx="14">
                  <c:v>35.356900000000003</c:v>
                </c:pt>
                <c:pt idx="15">
                  <c:v>35.766300000000001</c:v>
                </c:pt>
                <c:pt idx="16">
                  <c:v>36.171900000000001</c:v>
                </c:pt>
                <c:pt idx="17">
                  <c:v>36.580199999999998</c:v>
                </c:pt>
                <c:pt idx="18">
                  <c:v>36.985500000000002</c:v>
                </c:pt>
                <c:pt idx="19">
                  <c:v>37.387700000000002</c:v>
                </c:pt>
                <c:pt idx="20">
                  <c:v>37.796399999999998</c:v>
                </c:pt>
                <c:pt idx="21">
                  <c:v>38.202599999999997</c:v>
                </c:pt>
                <c:pt idx="22">
                  <c:v>38.611800000000002</c:v>
                </c:pt>
                <c:pt idx="23">
                  <c:v>39.017600000000002</c:v>
                </c:pt>
                <c:pt idx="24">
                  <c:v>39.4268</c:v>
                </c:pt>
                <c:pt idx="25">
                  <c:v>39.827399999999997</c:v>
                </c:pt>
                <c:pt idx="26">
                  <c:v>40.233400000000003</c:v>
                </c:pt>
                <c:pt idx="27">
                  <c:v>40.6434</c:v>
                </c:pt>
                <c:pt idx="28">
                  <c:v>41.046700000000001</c:v>
                </c:pt>
                <c:pt idx="29">
                  <c:v>41.4514</c:v>
                </c:pt>
                <c:pt idx="30">
                  <c:v>41.8643</c:v>
                </c:pt>
                <c:pt idx="31">
                  <c:v>42.263199999999998</c:v>
                </c:pt>
                <c:pt idx="32">
                  <c:v>42.671100000000003</c:v>
                </c:pt>
                <c:pt idx="33">
                  <c:v>43.078400000000002</c:v>
                </c:pt>
                <c:pt idx="34">
                  <c:v>43.484299999999998</c:v>
                </c:pt>
                <c:pt idx="35">
                  <c:v>43.891100000000002</c:v>
                </c:pt>
                <c:pt idx="36">
                  <c:v>44.297699999999999</c:v>
                </c:pt>
                <c:pt idx="37">
                  <c:v>44.702599999999997</c:v>
                </c:pt>
                <c:pt idx="38">
                  <c:v>45.108499999999999</c:v>
                </c:pt>
                <c:pt idx="39">
                  <c:v>45.517200000000003</c:v>
                </c:pt>
                <c:pt idx="40">
                  <c:v>45.921300000000002</c:v>
                </c:pt>
                <c:pt idx="41">
                  <c:v>46.325299999999999</c:v>
                </c:pt>
                <c:pt idx="42">
                  <c:v>46.730899999999998</c:v>
                </c:pt>
                <c:pt idx="43">
                  <c:v>47.139600000000002</c:v>
                </c:pt>
                <c:pt idx="44">
                  <c:v>47.542700000000004</c:v>
                </c:pt>
                <c:pt idx="45">
                  <c:v>47.950600000000001</c:v>
                </c:pt>
                <c:pt idx="46">
                  <c:v>48.358499999999999</c:v>
                </c:pt>
                <c:pt idx="47">
                  <c:v>48.764299999999999</c:v>
                </c:pt>
                <c:pt idx="48">
                  <c:v>49.170099999999998</c:v>
                </c:pt>
                <c:pt idx="49">
                  <c:v>49.579700000000003</c:v>
                </c:pt>
                <c:pt idx="50">
                  <c:v>49.985500000000002</c:v>
                </c:pt>
                <c:pt idx="51">
                  <c:v>50.388599999999997</c:v>
                </c:pt>
                <c:pt idx="52">
                  <c:v>50.7941</c:v>
                </c:pt>
                <c:pt idx="53">
                  <c:v>51.2014</c:v>
                </c:pt>
                <c:pt idx="54">
                  <c:v>51.610199999999999</c:v>
                </c:pt>
                <c:pt idx="55">
                  <c:v>52.014899999999997</c:v>
                </c:pt>
                <c:pt idx="56">
                  <c:v>52.423000000000002</c:v>
                </c:pt>
                <c:pt idx="57">
                  <c:v>52.825499999999998</c:v>
                </c:pt>
                <c:pt idx="58">
                  <c:v>53.2346</c:v>
                </c:pt>
                <c:pt idx="59">
                  <c:v>53.638399999999997</c:v>
                </c:pt>
                <c:pt idx="60">
                  <c:v>54.043999999999997</c:v>
                </c:pt>
                <c:pt idx="61">
                  <c:v>54.450800000000001</c:v>
                </c:pt>
                <c:pt idx="62">
                  <c:v>54.86</c:v>
                </c:pt>
                <c:pt idx="63">
                  <c:v>55.261699999999998</c:v>
                </c:pt>
                <c:pt idx="64">
                  <c:v>55.670400000000001</c:v>
                </c:pt>
                <c:pt idx="65">
                  <c:v>56.0762</c:v>
                </c:pt>
                <c:pt idx="66">
                  <c:v>56.4846</c:v>
                </c:pt>
                <c:pt idx="67">
                  <c:v>56.890599999999999</c:v>
                </c:pt>
                <c:pt idx="68">
                  <c:v>57.296599999999998</c:v>
                </c:pt>
                <c:pt idx="69">
                  <c:v>57.702800000000003</c:v>
                </c:pt>
                <c:pt idx="70">
                  <c:v>58.108199999999997</c:v>
                </c:pt>
                <c:pt idx="71">
                  <c:v>58.513100000000001</c:v>
                </c:pt>
                <c:pt idx="72">
                  <c:v>58.918999999999997</c:v>
                </c:pt>
                <c:pt idx="73">
                  <c:v>59.3279</c:v>
                </c:pt>
                <c:pt idx="74">
                  <c:v>59.731999999999999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4.7591599999999996</c:v>
                </c:pt>
                <c:pt idx="1">
                  <c:v>4.7728799999999998</c:v>
                </c:pt>
                <c:pt idx="2">
                  <c:v>4.7817600000000002</c:v>
                </c:pt>
                <c:pt idx="3">
                  <c:v>4.7869600000000005</c:v>
                </c:pt>
                <c:pt idx="4">
                  <c:v>4.79061</c:v>
                </c:pt>
                <c:pt idx="5">
                  <c:v>4.7952499999999993</c:v>
                </c:pt>
                <c:pt idx="6">
                  <c:v>4.7996800000000004</c:v>
                </c:pt>
                <c:pt idx="7">
                  <c:v>4.8044199999999995</c:v>
                </c:pt>
                <c:pt idx="8">
                  <c:v>4.8087499999999999</c:v>
                </c:pt>
                <c:pt idx="9">
                  <c:v>4.8113799999999998</c:v>
                </c:pt>
                <c:pt idx="10">
                  <c:v>4.8084899999999999</c:v>
                </c:pt>
                <c:pt idx="11">
                  <c:v>4.8084500000000006</c:v>
                </c:pt>
                <c:pt idx="12">
                  <c:v>4.8049400000000002</c:v>
                </c:pt>
                <c:pt idx="13">
                  <c:v>4.7988099999999996</c:v>
                </c:pt>
                <c:pt idx="14">
                  <c:v>4.7942999999999998</c:v>
                </c:pt>
                <c:pt idx="15">
                  <c:v>4.7860700000000005</c:v>
                </c:pt>
                <c:pt idx="16">
                  <c:v>4.7762500000000001</c:v>
                </c:pt>
                <c:pt idx="17">
                  <c:v>4.76546</c:v>
                </c:pt>
                <c:pt idx="18">
                  <c:v>4.7514200000000004</c:v>
                </c:pt>
                <c:pt idx="19">
                  <c:v>4.73855</c:v>
                </c:pt>
                <c:pt idx="20">
                  <c:v>4.7277699999999996</c:v>
                </c:pt>
                <c:pt idx="21">
                  <c:v>4.7132199999999997</c:v>
                </c:pt>
                <c:pt idx="22">
                  <c:v>4.6983699999999997</c:v>
                </c:pt>
                <c:pt idx="23">
                  <c:v>4.6829200000000002</c:v>
                </c:pt>
                <c:pt idx="24">
                  <c:v>4.67347</c:v>
                </c:pt>
                <c:pt idx="25">
                  <c:v>4.6728399999999999</c:v>
                </c:pt>
                <c:pt idx="26">
                  <c:v>4.6693099999999994</c:v>
                </c:pt>
                <c:pt idx="27">
                  <c:v>4.6672799999999999</c:v>
                </c:pt>
                <c:pt idx="28">
                  <c:v>4.6651999999999996</c:v>
                </c:pt>
                <c:pt idx="29">
                  <c:v>4.66174</c:v>
                </c:pt>
                <c:pt idx="30">
                  <c:v>4.6615599999999997</c:v>
                </c:pt>
                <c:pt idx="31">
                  <c:v>4.6619000000000002</c:v>
                </c:pt>
                <c:pt idx="32">
                  <c:v>4.6606199999999998</c:v>
                </c:pt>
                <c:pt idx="33">
                  <c:v>4.6624999999999996</c:v>
                </c:pt>
                <c:pt idx="34">
                  <c:v>4.6635799999999996</c:v>
                </c:pt>
                <c:pt idx="35">
                  <c:v>4.6707299999999998</c:v>
                </c:pt>
                <c:pt idx="36">
                  <c:v>4.6785600000000001</c:v>
                </c:pt>
                <c:pt idx="37">
                  <c:v>4.6876499999999997</c:v>
                </c:pt>
                <c:pt idx="38">
                  <c:v>4.6971499999999997</c:v>
                </c:pt>
                <c:pt idx="39">
                  <c:v>4.7027299999999999</c:v>
                </c:pt>
                <c:pt idx="40">
                  <c:v>4.71035</c:v>
                </c:pt>
                <c:pt idx="41">
                  <c:v>4.7221700000000002</c:v>
                </c:pt>
                <c:pt idx="42">
                  <c:v>4.7372300000000003</c:v>
                </c:pt>
                <c:pt idx="43">
                  <c:v>4.75542</c:v>
                </c:pt>
                <c:pt idx="44">
                  <c:v>4.7711500000000004</c:v>
                </c:pt>
                <c:pt idx="45">
                  <c:v>4.7837699999999996</c:v>
                </c:pt>
                <c:pt idx="46">
                  <c:v>4.8039900000000006</c:v>
                </c:pt>
                <c:pt idx="47">
                  <c:v>4.82761</c:v>
                </c:pt>
                <c:pt idx="48">
                  <c:v>4.8530600000000002</c:v>
                </c:pt>
                <c:pt idx="49">
                  <c:v>4.8725000000000005</c:v>
                </c:pt>
                <c:pt idx="50">
                  <c:v>4.8750599999999995</c:v>
                </c:pt>
                <c:pt idx="51">
                  <c:v>4.87608</c:v>
                </c:pt>
                <c:pt idx="52">
                  <c:v>4.8810000000000002</c:v>
                </c:pt>
                <c:pt idx="53">
                  <c:v>4.8858899999999998</c:v>
                </c:pt>
                <c:pt idx="54">
                  <c:v>4.8907600000000002</c:v>
                </c:pt>
                <c:pt idx="55">
                  <c:v>4.89351</c:v>
                </c:pt>
                <c:pt idx="56">
                  <c:v>4.89602</c:v>
                </c:pt>
                <c:pt idx="57">
                  <c:v>4.9007100000000001</c:v>
                </c:pt>
                <c:pt idx="58">
                  <c:v>4.9037100000000002</c:v>
                </c:pt>
                <c:pt idx="59">
                  <c:v>4.9113199999999999</c:v>
                </c:pt>
                <c:pt idx="60">
                  <c:v>4.9166500000000006</c:v>
                </c:pt>
                <c:pt idx="61">
                  <c:v>4.9215999999999998</c:v>
                </c:pt>
                <c:pt idx="62">
                  <c:v>4.9279200000000003</c:v>
                </c:pt>
                <c:pt idx="63">
                  <c:v>4.9378100000000007</c:v>
                </c:pt>
                <c:pt idx="64">
                  <c:v>4.9508200000000002</c:v>
                </c:pt>
                <c:pt idx="65">
                  <c:v>4.9636500000000003</c:v>
                </c:pt>
                <c:pt idx="66">
                  <c:v>4.96896</c:v>
                </c:pt>
                <c:pt idx="67">
                  <c:v>4.9763700000000002</c:v>
                </c:pt>
                <c:pt idx="68">
                  <c:v>4.9891000000000005</c:v>
                </c:pt>
                <c:pt idx="69">
                  <c:v>4.9999000000000002</c:v>
                </c:pt>
                <c:pt idx="70">
                  <c:v>5.0151500000000002</c:v>
                </c:pt>
                <c:pt idx="71">
                  <c:v>5.0272199999999998</c:v>
                </c:pt>
                <c:pt idx="72">
                  <c:v>5.0240099999999996</c:v>
                </c:pt>
                <c:pt idx="73">
                  <c:v>5.0376099999999999</c:v>
                </c:pt>
                <c:pt idx="74">
                  <c:v>5.0297400000000003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14.933</c:v>
                </c:pt>
                <c:pt idx="1">
                  <c:v>44.798999999999999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4.4353935135135139</c:v>
                </c:pt>
                <c:pt idx="1">
                  <c:v>4.8108290540540546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0.40441199999999999</c:v>
                </c:pt>
                <c:pt idx="2">
                  <c:v>0.8095</c:v>
                </c:pt>
                <c:pt idx="3">
                  <c:v>1.21783</c:v>
                </c:pt>
                <c:pt idx="4">
                  <c:v>1.62273</c:v>
                </c:pt>
                <c:pt idx="5">
                  <c:v>2.0298799999999999</c:v>
                </c:pt>
                <c:pt idx="6">
                  <c:v>2.4361000000000002</c:v>
                </c:pt>
                <c:pt idx="7">
                  <c:v>2.8405499999999999</c:v>
                </c:pt>
                <c:pt idx="8">
                  <c:v>3.24769</c:v>
                </c:pt>
                <c:pt idx="9">
                  <c:v>3.6527799999999999</c:v>
                </c:pt>
                <c:pt idx="10">
                  <c:v>4.0640000000000001</c:v>
                </c:pt>
                <c:pt idx="11">
                  <c:v>4.4677600000000002</c:v>
                </c:pt>
                <c:pt idx="12">
                  <c:v>4.8733300000000002</c:v>
                </c:pt>
                <c:pt idx="13">
                  <c:v>5.2780199999999997</c:v>
                </c:pt>
                <c:pt idx="14">
                  <c:v>5.6905400000000004</c:v>
                </c:pt>
                <c:pt idx="15">
                  <c:v>6.0942299999999996</c:v>
                </c:pt>
                <c:pt idx="16">
                  <c:v>6.5004099999999996</c:v>
                </c:pt>
                <c:pt idx="17">
                  <c:v>6.9036900000000001</c:v>
                </c:pt>
                <c:pt idx="18">
                  <c:v>7.3098299999999998</c:v>
                </c:pt>
                <c:pt idx="19">
                  <c:v>7.7161200000000001</c:v>
                </c:pt>
                <c:pt idx="20">
                  <c:v>8.1246700000000001</c:v>
                </c:pt>
                <c:pt idx="21">
                  <c:v>8.52881</c:v>
                </c:pt>
                <c:pt idx="22">
                  <c:v>8.9374300000000009</c:v>
                </c:pt>
                <c:pt idx="23">
                  <c:v>9.3417999999999992</c:v>
                </c:pt>
                <c:pt idx="24">
                  <c:v>9.7470199999999991</c:v>
                </c:pt>
                <c:pt idx="25">
                  <c:v>10.153600000000001</c:v>
                </c:pt>
                <c:pt idx="26">
                  <c:v>10.5625</c:v>
                </c:pt>
                <c:pt idx="27">
                  <c:v>10.970599999999999</c:v>
                </c:pt>
                <c:pt idx="28">
                  <c:v>11.3728</c:v>
                </c:pt>
                <c:pt idx="29">
                  <c:v>11.78</c:v>
                </c:pt>
                <c:pt idx="30">
                  <c:v>12.187099999999999</c:v>
                </c:pt>
                <c:pt idx="31">
                  <c:v>12.5939</c:v>
                </c:pt>
                <c:pt idx="32">
                  <c:v>12.9983</c:v>
                </c:pt>
                <c:pt idx="33">
                  <c:v>13.4062</c:v>
                </c:pt>
                <c:pt idx="34">
                  <c:v>13.810700000000001</c:v>
                </c:pt>
                <c:pt idx="35">
                  <c:v>14.2158</c:v>
                </c:pt>
                <c:pt idx="36">
                  <c:v>14.623100000000001</c:v>
                </c:pt>
                <c:pt idx="37">
                  <c:v>15.028499999999999</c:v>
                </c:pt>
                <c:pt idx="38">
                  <c:v>15.438700000000001</c:v>
                </c:pt>
                <c:pt idx="39">
                  <c:v>15.8415</c:v>
                </c:pt>
                <c:pt idx="40">
                  <c:v>16.246600000000001</c:v>
                </c:pt>
                <c:pt idx="41">
                  <c:v>16.653500000000001</c:v>
                </c:pt>
                <c:pt idx="42">
                  <c:v>17.061499999999999</c:v>
                </c:pt>
                <c:pt idx="43">
                  <c:v>17.470300000000002</c:v>
                </c:pt>
                <c:pt idx="44">
                  <c:v>17.874500000000001</c:v>
                </c:pt>
                <c:pt idx="45">
                  <c:v>18.278700000000001</c:v>
                </c:pt>
                <c:pt idx="46">
                  <c:v>18.6858</c:v>
                </c:pt>
                <c:pt idx="47">
                  <c:v>19.094200000000001</c:v>
                </c:pt>
                <c:pt idx="48">
                  <c:v>19.500399999999999</c:v>
                </c:pt>
                <c:pt idx="49">
                  <c:v>19.9069</c:v>
                </c:pt>
                <c:pt idx="50">
                  <c:v>20.3108</c:v>
                </c:pt>
                <c:pt idx="51">
                  <c:v>20.716000000000001</c:v>
                </c:pt>
                <c:pt idx="52">
                  <c:v>21.126300000000001</c:v>
                </c:pt>
                <c:pt idx="53">
                  <c:v>21.5319</c:v>
                </c:pt>
                <c:pt idx="54">
                  <c:v>21.938500000000001</c:v>
                </c:pt>
                <c:pt idx="55">
                  <c:v>22.3414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23.560600000000001</c:v>
                </c:pt>
                <c:pt idx="59">
                  <c:v>23.9693</c:v>
                </c:pt>
                <c:pt idx="60">
                  <c:v>24.372199999999999</c:v>
                </c:pt>
                <c:pt idx="61">
                  <c:v>24.7821</c:v>
                </c:pt>
                <c:pt idx="62">
                  <c:v>25.186800000000002</c:v>
                </c:pt>
                <c:pt idx="63">
                  <c:v>25.592400000000001</c:v>
                </c:pt>
                <c:pt idx="64">
                  <c:v>25.9968</c:v>
                </c:pt>
                <c:pt idx="65">
                  <c:v>26.41</c:v>
                </c:pt>
                <c:pt idx="66">
                  <c:v>26.811199999999999</c:v>
                </c:pt>
                <c:pt idx="67">
                  <c:v>27.221699999999998</c:v>
                </c:pt>
                <c:pt idx="68">
                  <c:v>27.627400000000002</c:v>
                </c:pt>
                <c:pt idx="69">
                  <c:v>28.029399999999999</c:v>
                </c:pt>
                <c:pt idx="70">
                  <c:v>28.4405</c:v>
                </c:pt>
                <c:pt idx="71">
                  <c:v>28.8431</c:v>
                </c:pt>
                <c:pt idx="72">
                  <c:v>29.2545</c:v>
                </c:pt>
                <c:pt idx="73">
                  <c:v>29.6572</c:v>
                </c:pt>
                <c:pt idx="74">
                  <c:v>30.062899999999999</c:v>
                </c:pt>
                <c:pt idx="75">
                  <c:v>30.484300000000001</c:v>
                </c:pt>
                <c:pt idx="76">
                  <c:v>30.888400000000001</c:v>
                </c:pt>
                <c:pt idx="77">
                  <c:v>31.294899999999998</c:v>
                </c:pt>
                <c:pt idx="78">
                  <c:v>31.705500000000001</c:v>
                </c:pt>
                <c:pt idx="79">
                  <c:v>32.109900000000003</c:v>
                </c:pt>
                <c:pt idx="80">
                  <c:v>32.515300000000003</c:v>
                </c:pt>
                <c:pt idx="81">
                  <c:v>32.923099999999998</c:v>
                </c:pt>
                <c:pt idx="82">
                  <c:v>33.326300000000003</c:v>
                </c:pt>
                <c:pt idx="83">
                  <c:v>33.734499999999997</c:v>
                </c:pt>
                <c:pt idx="84">
                  <c:v>34.143599999999999</c:v>
                </c:pt>
                <c:pt idx="85">
                  <c:v>34.546199999999999</c:v>
                </c:pt>
                <c:pt idx="86">
                  <c:v>34.951300000000003</c:v>
                </c:pt>
                <c:pt idx="87">
                  <c:v>35.356900000000003</c:v>
                </c:pt>
                <c:pt idx="88">
                  <c:v>35.766300000000001</c:v>
                </c:pt>
                <c:pt idx="89">
                  <c:v>36.171900000000001</c:v>
                </c:pt>
                <c:pt idx="90">
                  <c:v>36.580199999999998</c:v>
                </c:pt>
                <c:pt idx="91">
                  <c:v>36.985500000000002</c:v>
                </c:pt>
                <c:pt idx="92">
                  <c:v>37.387700000000002</c:v>
                </c:pt>
                <c:pt idx="93">
                  <c:v>37.796399999999998</c:v>
                </c:pt>
                <c:pt idx="94">
                  <c:v>38.202599999999997</c:v>
                </c:pt>
                <c:pt idx="95">
                  <c:v>38.611800000000002</c:v>
                </c:pt>
                <c:pt idx="96">
                  <c:v>39.017600000000002</c:v>
                </c:pt>
                <c:pt idx="97">
                  <c:v>39.4268</c:v>
                </c:pt>
                <c:pt idx="98">
                  <c:v>39.827399999999997</c:v>
                </c:pt>
                <c:pt idx="99">
                  <c:v>40.233400000000003</c:v>
                </c:pt>
                <c:pt idx="100">
                  <c:v>40.6434</c:v>
                </c:pt>
                <c:pt idx="101">
                  <c:v>41.046700000000001</c:v>
                </c:pt>
                <c:pt idx="102">
                  <c:v>41.4514</c:v>
                </c:pt>
                <c:pt idx="103">
                  <c:v>41.8643</c:v>
                </c:pt>
                <c:pt idx="104">
                  <c:v>42.263199999999998</c:v>
                </c:pt>
                <c:pt idx="105">
                  <c:v>42.671100000000003</c:v>
                </c:pt>
                <c:pt idx="106">
                  <c:v>43.078400000000002</c:v>
                </c:pt>
                <c:pt idx="107">
                  <c:v>43.484299999999998</c:v>
                </c:pt>
                <c:pt idx="108">
                  <c:v>43.891100000000002</c:v>
                </c:pt>
                <c:pt idx="109">
                  <c:v>44.297699999999999</c:v>
                </c:pt>
                <c:pt idx="110">
                  <c:v>44.702599999999997</c:v>
                </c:pt>
                <c:pt idx="111">
                  <c:v>45.108499999999999</c:v>
                </c:pt>
                <c:pt idx="112">
                  <c:v>45.517200000000003</c:v>
                </c:pt>
                <c:pt idx="113">
                  <c:v>45.921300000000002</c:v>
                </c:pt>
                <c:pt idx="114">
                  <c:v>46.325299999999999</c:v>
                </c:pt>
                <c:pt idx="115">
                  <c:v>46.730899999999998</c:v>
                </c:pt>
                <c:pt idx="116">
                  <c:v>47.139600000000002</c:v>
                </c:pt>
                <c:pt idx="117">
                  <c:v>47.542700000000004</c:v>
                </c:pt>
                <c:pt idx="118">
                  <c:v>47.950600000000001</c:v>
                </c:pt>
                <c:pt idx="119">
                  <c:v>48.358499999999999</c:v>
                </c:pt>
                <c:pt idx="120">
                  <c:v>48.764299999999999</c:v>
                </c:pt>
                <c:pt idx="121">
                  <c:v>49.170099999999998</c:v>
                </c:pt>
                <c:pt idx="122">
                  <c:v>49.579700000000003</c:v>
                </c:pt>
                <c:pt idx="123">
                  <c:v>49.985500000000002</c:v>
                </c:pt>
                <c:pt idx="124">
                  <c:v>50.388599999999997</c:v>
                </c:pt>
                <c:pt idx="125">
                  <c:v>50.7941</c:v>
                </c:pt>
                <c:pt idx="126">
                  <c:v>51.2014</c:v>
                </c:pt>
                <c:pt idx="127">
                  <c:v>51.610199999999999</c:v>
                </c:pt>
                <c:pt idx="128">
                  <c:v>52.014899999999997</c:v>
                </c:pt>
                <c:pt idx="129">
                  <c:v>52.423000000000002</c:v>
                </c:pt>
                <c:pt idx="130">
                  <c:v>52.825499999999998</c:v>
                </c:pt>
                <c:pt idx="131">
                  <c:v>53.2346</c:v>
                </c:pt>
                <c:pt idx="132">
                  <c:v>53.638399999999997</c:v>
                </c:pt>
                <c:pt idx="133">
                  <c:v>54.043999999999997</c:v>
                </c:pt>
                <c:pt idx="134">
                  <c:v>54.450800000000001</c:v>
                </c:pt>
                <c:pt idx="135">
                  <c:v>54.86</c:v>
                </c:pt>
                <c:pt idx="136">
                  <c:v>55.261699999999998</c:v>
                </c:pt>
                <c:pt idx="137">
                  <c:v>55.670400000000001</c:v>
                </c:pt>
                <c:pt idx="138">
                  <c:v>56.0762</c:v>
                </c:pt>
                <c:pt idx="139">
                  <c:v>56.4846</c:v>
                </c:pt>
                <c:pt idx="140">
                  <c:v>56.890599999999999</c:v>
                </c:pt>
                <c:pt idx="141">
                  <c:v>57.296599999999998</c:v>
                </c:pt>
                <c:pt idx="142">
                  <c:v>57.702800000000003</c:v>
                </c:pt>
                <c:pt idx="143">
                  <c:v>58.108199999999997</c:v>
                </c:pt>
                <c:pt idx="144">
                  <c:v>58.513100000000001</c:v>
                </c:pt>
                <c:pt idx="145">
                  <c:v>58.918999999999997</c:v>
                </c:pt>
                <c:pt idx="146">
                  <c:v>59.3279</c:v>
                </c:pt>
                <c:pt idx="147">
                  <c:v>59.731999999999999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39.007799999999996</c:v>
                </c:pt>
                <c:pt idx="1">
                  <c:v>37.915599999999998</c:v>
                </c:pt>
                <c:pt idx="2">
                  <c:v>37.035600000000002</c:v>
                </c:pt>
                <c:pt idx="3">
                  <c:v>36.142099999999999</c:v>
                </c:pt>
                <c:pt idx="4">
                  <c:v>35.307600000000001</c:v>
                </c:pt>
                <c:pt idx="5">
                  <c:v>34.4131</c:v>
                </c:pt>
                <c:pt idx="6">
                  <c:v>33.419800000000002</c:v>
                </c:pt>
                <c:pt idx="7">
                  <c:v>32.450299999999999</c:v>
                </c:pt>
                <c:pt idx="8">
                  <c:v>31.833600000000001</c:v>
                </c:pt>
                <c:pt idx="9">
                  <c:v>31.4023</c:v>
                </c:pt>
                <c:pt idx="10">
                  <c:v>31.072300000000002</c:v>
                </c:pt>
                <c:pt idx="11">
                  <c:v>30.869000000000003</c:v>
                </c:pt>
                <c:pt idx="12">
                  <c:v>30.704500000000003</c:v>
                </c:pt>
                <c:pt idx="13">
                  <c:v>30.599900000000002</c:v>
                </c:pt>
                <c:pt idx="14">
                  <c:v>30.470199999999998</c:v>
                </c:pt>
                <c:pt idx="15">
                  <c:v>30.4054</c:v>
                </c:pt>
                <c:pt idx="16">
                  <c:v>30.299300000000002</c:v>
                </c:pt>
                <c:pt idx="17">
                  <c:v>30.083300000000001</c:v>
                </c:pt>
                <c:pt idx="18">
                  <c:v>29.854599999999998</c:v>
                </c:pt>
                <c:pt idx="19">
                  <c:v>29.575099999999999</c:v>
                </c:pt>
                <c:pt idx="20">
                  <c:v>29.326600000000003</c:v>
                </c:pt>
                <c:pt idx="21">
                  <c:v>29.092499999999998</c:v>
                </c:pt>
                <c:pt idx="22">
                  <c:v>28.697899999999997</c:v>
                </c:pt>
                <c:pt idx="23">
                  <c:v>28.313400000000001</c:v>
                </c:pt>
                <c:pt idx="24">
                  <c:v>27.992599999999999</c:v>
                </c:pt>
                <c:pt idx="25">
                  <c:v>27.687299999999997</c:v>
                </c:pt>
                <c:pt idx="26">
                  <c:v>27.478899999999999</c:v>
                </c:pt>
                <c:pt idx="27">
                  <c:v>27.281300000000002</c:v>
                </c:pt>
                <c:pt idx="28">
                  <c:v>27.059899999999999</c:v>
                </c:pt>
                <c:pt idx="29">
                  <c:v>26.904199999999999</c:v>
                </c:pt>
                <c:pt idx="30">
                  <c:v>26.872600000000002</c:v>
                </c:pt>
                <c:pt idx="31">
                  <c:v>27.036900000000003</c:v>
                </c:pt>
                <c:pt idx="32">
                  <c:v>27.230700000000002</c:v>
                </c:pt>
                <c:pt idx="33">
                  <c:v>27.306699999999999</c:v>
                </c:pt>
                <c:pt idx="34">
                  <c:v>27.3598</c:v>
                </c:pt>
                <c:pt idx="35">
                  <c:v>27.4741</c:v>
                </c:pt>
                <c:pt idx="36">
                  <c:v>27.577400000000001</c:v>
                </c:pt>
                <c:pt idx="37">
                  <c:v>27.6646</c:v>
                </c:pt>
                <c:pt idx="38">
                  <c:v>27.801599999999997</c:v>
                </c:pt>
                <c:pt idx="39">
                  <c:v>27.923900000000003</c:v>
                </c:pt>
                <c:pt idx="40">
                  <c:v>27.975100000000001</c:v>
                </c:pt>
                <c:pt idx="41">
                  <c:v>28.0594</c:v>
                </c:pt>
                <c:pt idx="42">
                  <c:v>28.151599999999998</c:v>
                </c:pt>
                <c:pt idx="43">
                  <c:v>28.244999999999997</c:v>
                </c:pt>
                <c:pt idx="44">
                  <c:v>28.363899999999997</c:v>
                </c:pt>
                <c:pt idx="45">
                  <c:v>28.384700000000002</c:v>
                </c:pt>
                <c:pt idx="46">
                  <c:v>28.264699999999998</c:v>
                </c:pt>
                <c:pt idx="47">
                  <c:v>28.2179</c:v>
                </c:pt>
                <c:pt idx="48">
                  <c:v>28.215800000000002</c:v>
                </c:pt>
                <c:pt idx="49">
                  <c:v>28.246399999999998</c:v>
                </c:pt>
                <c:pt idx="50">
                  <c:v>28.3018</c:v>
                </c:pt>
                <c:pt idx="51">
                  <c:v>28.243099999999998</c:v>
                </c:pt>
                <c:pt idx="52">
                  <c:v>28.0489</c:v>
                </c:pt>
                <c:pt idx="53">
                  <c:v>28.021800000000002</c:v>
                </c:pt>
                <c:pt idx="54">
                  <c:v>28.0075</c:v>
                </c:pt>
                <c:pt idx="55">
                  <c:v>27.9665</c:v>
                </c:pt>
                <c:pt idx="56">
                  <c:v>27.943899999999999</c:v>
                </c:pt>
                <c:pt idx="57">
                  <c:v>27.837499999999999</c:v>
                </c:pt>
                <c:pt idx="58">
                  <c:v>27.674900000000001</c:v>
                </c:pt>
                <c:pt idx="59">
                  <c:v>27.607300000000002</c:v>
                </c:pt>
                <c:pt idx="60">
                  <c:v>27.500599999999999</c:v>
                </c:pt>
                <c:pt idx="61">
                  <c:v>27.423500000000001</c:v>
                </c:pt>
                <c:pt idx="62">
                  <c:v>27.430700000000002</c:v>
                </c:pt>
                <c:pt idx="63">
                  <c:v>27.360099999999999</c:v>
                </c:pt>
                <c:pt idx="64">
                  <c:v>27.279599999999999</c:v>
                </c:pt>
                <c:pt idx="65">
                  <c:v>27.173399999999997</c:v>
                </c:pt>
                <c:pt idx="66">
                  <c:v>27.023099999999999</c:v>
                </c:pt>
                <c:pt idx="67">
                  <c:v>26.870100000000001</c:v>
                </c:pt>
                <c:pt idx="68">
                  <c:v>26.741700000000002</c:v>
                </c:pt>
                <c:pt idx="69">
                  <c:v>26.555299999999999</c:v>
                </c:pt>
                <c:pt idx="70">
                  <c:v>26.362300000000001</c:v>
                </c:pt>
                <c:pt idx="71">
                  <c:v>26.190600000000003</c:v>
                </c:pt>
                <c:pt idx="72">
                  <c:v>26.069799999999997</c:v>
                </c:pt>
                <c:pt idx="73">
                  <c:v>25.845200000000002</c:v>
                </c:pt>
                <c:pt idx="74">
                  <c:v>25.593800000000002</c:v>
                </c:pt>
                <c:pt idx="75">
                  <c:v>25.373800000000003</c:v>
                </c:pt>
                <c:pt idx="76">
                  <c:v>25.087</c:v>
                </c:pt>
                <c:pt idx="77">
                  <c:v>24.8306</c:v>
                </c:pt>
                <c:pt idx="78">
                  <c:v>24.617900000000002</c:v>
                </c:pt>
                <c:pt idx="79">
                  <c:v>24.338099999999997</c:v>
                </c:pt>
                <c:pt idx="80">
                  <c:v>24.043800000000001</c:v>
                </c:pt>
                <c:pt idx="81">
                  <c:v>23.744100000000003</c:v>
                </c:pt>
                <c:pt idx="82">
                  <c:v>23.611499999999999</c:v>
                </c:pt>
                <c:pt idx="83">
                  <c:v>23.569000000000003</c:v>
                </c:pt>
                <c:pt idx="84">
                  <c:v>23.439699999999998</c:v>
                </c:pt>
                <c:pt idx="85">
                  <c:v>23.245200000000001</c:v>
                </c:pt>
                <c:pt idx="86">
                  <c:v>23.018000000000001</c:v>
                </c:pt>
                <c:pt idx="87">
                  <c:v>22.684099999999997</c:v>
                </c:pt>
                <c:pt idx="88">
                  <c:v>22.3355</c:v>
                </c:pt>
                <c:pt idx="89">
                  <c:v>21.9908</c:v>
                </c:pt>
                <c:pt idx="90">
                  <c:v>21.659500000000001</c:v>
                </c:pt>
                <c:pt idx="91">
                  <c:v>21.3706</c:v>
                </c:pt>
                <c:pt idx="92">
                  <c:v>21.0749</c:v>
                </c:pt>
                <c:pt idx="93">
                  <c:v>20.748699999999999</c:v>
                </c:pt>
                <c:pt idx="94">
                  <c:v>20.540700000000001</c:v>
                </c:pt>
                <c:pt idx="95">
                  <c:v>20.296199999999999</c:v>
                </c:pt>
                <c:pt idx="96">
                  <c:v>20.195499999999999</c:v>
                </c:pt>
                <c:pt idx="97">
                  <c:v>20.1218</c:v>
                </c:pt>
                <c:pt idx="98">
                  <c:v>19.8886</c:v>
                </c:pt>
                <c:pt idx="99">
                  <c:v>19.492999999999999</c:v>
                </c:pt>
                <c:pt idx="100">
                  <c:v>19.061299999999999</c:v>
                </c:pt>
                <c:pt idx="101">
                  <c:v>18.698</c:v>
                </c:pt>
                <c:pt idx="102">
                  <c:v>18.4055</c:v>
                </c:pt>
                <c:pt idx="103">
                  <c:v>17.9391</c:v>
                </c:pt>
                <c:pt idx="104">
                  <c:v>17.5733</c:v>
                </c:pt>
                <c:pt idx="105">
                  <c:v>17.276199999999999</c:v>
                </c:pt>
                <c:pt idx="106">
                  <c:v>16.942</c:v>
                </c:pt>
                <c:pt idx="107">
                  <c:v>16.497199999999999</c:v>
                </c:pt>
                <c:pt idx="108">
                  <c:v>15.947600000000001</c:v>
                </c:pt>
                <c:pt idx="109">
                  <c:v>15.4032</c:v>
                </c:pt>
                <c:pt idx="110">
                  <c:v>14.991099999999999</c:v>
                </c:pt>
                <c:pt idx="111">
                  <c:v>14.5063</c:v>
                </c:pt>
                <c:pt idx="112">
                  <c:v>14.13</c:v>
                </c:pt>
                <c:pt idx="113">
                  <c:v>13.772200000000002</c:v>
                </c:pt>
                <c:pt idx="114">
                  <c:v>13.329499999999999</c:v>
                </c:pt>
                <c:pt idx="115">
                  <c:v>12.9581</c:v>
                </c:pt>
                <c:pt idx="116">
                  <c:v>12.571099999999999</c:v>
                </c:pt>
                <c:pt idx="117">
                  <c:v>12.196099999999999</c:v>
                </c:pt>
                <c:pt idx="118">
                  <c:v>11.8726</c:v>
                </c:pt>
                <c:pt idx="119">
                  <c:v>11.434900000000001</c:v>
                </c:pt>
                <c:pt idx="120">
                  <c:v>11.129300000000001</c:v>
                </c:pt>
                <c:pt idx="121">
                  <c:v>10.783800000000001</c:v>
                </c:pt>
                <c:pt idx="122">
                  <c:v>10.361099999999999</c:v>
                </c:pt>
                <c:pt idx="123">
                  <c:v>10.287100000000001</c:v>
                </c:pt>
                <c:pt idx="124">
                  <c:v>10.431699999999999</c:v>
                </c:pt>
                <c:pt idx="125">
                  <c:v>10.520200000000001</c:v>
                </c:pt>
                <c:pt idx="126">
                  <c:v>10.639200000000001</c:v>
                </c:pt>
                <c:pt idx="127">
                  <c:v>10.739000000000001</c:v>
                </c:pt>
                <c:pt idx="128">
                  <c:v>10.924100000000001</c:v>
                </c:pt>
                <c:pt idx="129">
                  <c:v>11.0839</c:v>
                </c:pt>
                <c:pt idx="130">
                  <c:v>11.1709</c:v>
                </c:pt>
                <c:pt idx="131">
                  <c:v>11.246</c:v>
                </c:pt>
                <c:pt idx="132">
                  <c:v>11.3666</c:v>
                </c:pt>
                <c:pt idx="133">
                  <c:v>11.4816</c:v>
                </c:pt>
                <c:pt idx="134">
                  <c:v>11.6875</c:v>
                </c:pt>
                <c:pt idx="135">
                  <c:v>11.702199999999999</c:v>
                </c:pt>
                <c:pt idx="136">
                  <c:v>11.8445</c:v>
                </c:pt>
                <c:pt idx="137">
                  <c:v>12.043900000000001</c:v>
                </c:pt>
                <c:pt idx="138">
                  <c:v>12.264700000000001</c:v>
                </c:pt>
                <c:pt idx="139">
                  <c:v>12.687799999999999</c:v>
                </c:pt>
                <c:pt idx="140">
                  <c:v>12.9186</c:v>
                </c:pt>
                <c:pt idx="141">
                  <c:v>13.1434</c:v>
                </c:pt>
                <c:pt idx="142">
                  <c:v>13.490399999999999</c:v>
                </c:pt>
                <c:pt idx="143">
                  <c:v>13.725399999999999</c:v>
                </c:pt>
                <c:pt idx="144">
                  <c:v>13.927</c:v>
                </c:pt>
                <c:pt idx="145">
                  <c:v>14.2522</c:v>
                </c:pt>
                <c:pt idx="146">
                  <c:v>13.7486</c:v>
                </c:pt>
                <c:pt idx="147">
                  <c:v>13.8276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0.40441199999999999</c:v>
                </c:pt>
                <c:pt idx="2">
                  <c:v>0.8095</c:v>
                </c:pt>
                <c:pt idx="3">
                  <c:v>1.21783</c:v>
                </c:pt>
                <c:pt idx="4">
                  <c:v>1.62273</c:v>
                </c:pt>
                <c:pt idx="5">
                  <c:v>2.0298799999999999</c:v>
                </c:pt>
                <c:pt idx="6">
                  <c:v>2.4361000000000002</c:v>
                </c:pt>
                <c:pt idx="7">
                  <c:v>2.8405499999999999</c:v>
                </c:pt>
                <c:pt idx="8">
                  <c:v>3.24769</c:v>
                </c:pt>
                <c:pt idx="9">
                  <c:v>3.6527799999999999</c:v>
                </c:pt>
                <c:pt idx="10">
                  <c:v>4.0640000000000001</c:v>
                </c:pt>
                <c:pt idx="11">
                  <c:v>4.4677600000000002</c:v>
                </c:pt>
                <c:pt idx="12">
                  <c:v>4.8733300000000002</c:v>
                </c:pt>
                <c:pt idx="13">
                  <c:v>5.2780199999999997</c:v>
                </c:pt>
                <c:pt idx="14">
                  <c:v>5.6905400000000004</c:v>
                </c:pt>
                <c:pt idx="15">
                  <c:v>6.0942299999999996</c:v>
                </c:pt>
                <c:pt idx="16">
                  <c:v>6.5004099999999996</c:v>
                </c:pt>
                <c:pt idx="17">
                  <c:v>6.9036900000000001</c:v>
                </c:pt>
                <c:pt idx="18">
                  <c:v>7.3098299999999998</c:v>
                </c:pt>
                <c:pt idx="19">
                  <c:v>7.7161200000000001</c:v>
                </c:pt>
                <c:pt idx="20">
                  <c:v>8.1246700000000001</c:v>
                </c:pt>
                <c:pt idx="21">
                  <c:v>8.52881</c:v>
                </c:pt>
                <c:pt idx="22">
                  <c:v>8.9374300000000009</c:v>
                </c:pt>
                <c:pt idx="23">
                  <c:v>9.3417999999999992</c:v>
                </c:pt>
                <c:pt idx="24">
                  <c:v>9.7470199999999991</c:v>
                </c:pt>
                <c:pt idx="25">
                  <c:v>10.153600000000001</c:v>
                </c:pt>
                <c:pt idx="26">
                  <c:v>10.5625</c:v>
                </c:pt>
                <c:pt idx="27">
                  <c:v>10.970599999999999</c:v>
                </c:pt>
                <c:pt idx="28">
                  <c:v>11.3728</c:v>
                </c:pt>
                <c:pt idx="29">
                  <c:v>11.78</c:v>
                </c:pt>
                <c:pt idx="30">
                  <c:v>12.187099999999999</c:v>
                </c:pt>
                <c:pt idx="31">
                  <c:v>12.5939</c:v>
                </c:pt>
                <c:pt idx="32">
                  <c:v>12.9983</c:v>
                </c:pt>
                <c:pt idx="33">
                  <c:v>13.4062</c:v>
                </c:pt>
                <c:pt idx="34">
                  <c:v>13.810700000000001</c:v>
                </c:pt>
                <c:pt idx="35">
                  <c:v>14.2158</c:v>
                </c:pt>
                <c:pt idx="36">
                  <c:v>14.623100000000001</c:v>
                </c:pt>
                <c:pt idx="37">
                  <c:v>15.028499999999999</c:v>
                </c:pt>
                <c:pt idx="38">
                  <c:v>15.438700000000001</c:v>
                </c:pt>
                <c:pt idx="39">
                  <c:v>15.8415</c:v>
                </c:pt>
                <c:pt idx="40">
                  <c:v>16.246600000000001</c:v>
                </c:pt>
                <c:pt idx="41">
                  <c:v>16.653500000000001</c:v>
                </c:pt>
                <c:pt idx="42">
                  <c:v>17.061499999999999</c:v>
                </c:pt>
                <c:pt idx="43">
                  <c:v>17.470300000000002</c:v>
                </c:pt>
                <c:pt idx="44">
                  <c:v>17.874500000000001</c:v>
                </c:pt>
                <c:pt idx="45">
                  <c:v>18.278700000000001</c:v>
                </c:pt>
                <c:pt idx="46">
                  <c:v>18.6858</c:v>
                </c:pt>
                <c:pt idx="47">
                  <c:v>19.094200000000001</c:v>
                </c:pt>
                <c:pt idx="48">
                  <c:v>19.500399999999999</c:v>
                </c:pt>
                <c:pt idx="49">
                  <c:v>19.9069</c:v>
                </c:pt>
                <c:pt idx="50">
                  <c:v>20.3108</c:v>
                </c:pt>
                <c:pt idx="51">
                  <c:v>20.716000000000001</c:v>
                </c:pt>
                <c:pt idx="52">
                  <c:v>21.126300000000001</c:v>
                </c:pt>
                <c:pt idx="53">
                  <c:v>21.5319</c:v>
                </c:pt>
                <c:pt idx="54">
                  <c:v>21.938500000000001</c:v>
                </c:pt>
                <c:pt idx="55">
                  <c:v>22.3414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23.560600000000001</c:v>
                </c:pt>
                <c:pt idx="59">
                  <c:v>23.9693</c:v>
                </c:pt>
                <c:pt idx="60">
                  <c:v>24.372199999999999</c:v>
                </c:pt>
                <c:pt idx="61">
                  <c:v>24.7821</c:v>
                </c:pt>
                <c:pt idx="62">
                  <c:v>25.186800000000002</c:v>
                </c:pt>
                <c:pt idx="63">
                  <c:v>25.592400000000001</c:v>
                </c:pt>
                <c:pt idx="64">
                  <c:v>25.9968</c:v>
                </c:pt>
                <c:pt idx="65">
                  <c:v>26.41</c:v>
                </c:pt>
                <c:pt idx="66">
                  <c:v>26.811199999999999</c:v>
                </c:pt>
                <c:pt idx="67">
                  <c:v>27.221699999999998</c:v>
                </c:pt>
                <c:pt idx="68">
                  <c:v>27.627400000000002</c:v>
                </c:pt>
                <c:pt idx="69">
                  <c:v>28.029399999999999</c:v>
                </c:pt>
                <c:pt idx="70">
                  <c:v>28.4405</c:v>
                </c:pt>
                <c:pt idx="71">
                  <c:v>28.8431</c:v>
                </c:pt>
                <c:pt idx="72">
                  <c:v>29.2545</c:v>
                </c:pt>
                <c:pt idx="73">
                  <c:v>29.6572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39.007799999999996</c:v>
                </c:pt>
                <c:pt idx="1">
                  <c:v>37.915599999999998</c:v>
                </c:pt>
                <c:pt idx="2">
                  <c:v>37.035600000000002</c:v>
                </c:pt>
                <c:pt idx="3">
                  <c:v>36.142099999999999</c:v>
                </c:pt>
                <c:pt idx="4">
                  <c:v>35.307600000000001</c:v>
                </c:pt>
                <c:pt idx="5">
                  <c:v>34.4131</c:v>
                </c:pt>
                <c:pt idx="6">
                  <c:v>33.419800000000002</c:v>
                </c:pt>
                <c:pt idx="7">
                  <c:v>32.450299999999999</c:v>
                </c:pt>
                <c:pt idx="8">
                  <c:v>31.833600000000001</c:v>
                </c:pt>
                <c:pt idx="9">
                  <c:v>31.4023</c:v>
                </c:pt>
                <c:pt idx="10">
                  <c:v>31.072300000000002</c:v>
                </c:pt>
                <c:pt idx="11">
                  <c:v>30.869000000000003</c:v>
                </c:pt>
                <c:pt idx="12">
                  <c:v>30.704500000000003</c:v>
                </c:pt>
                <c:pt idx="13">
                  <c:v>30.599900000000002</c:v>
                </c:pt>
                <c:pt idx="14">
                  <c:v>30.470199999999998</c:v>
                </c:pt>
                <c:pt idx="15">
                  <c:v>30.4054</c:v>
                </c:pt>
                <c:pt idx="16">
                  <c:v>30.299300000000002</c:v>
                </c:pt>
                <c:pt idx="17">
                  <c:v>30.083300000000001</c:v>
                </c:pt>
                <c:pt idx="18">
                  <c:v>29.854599999999998</c:v>
                </c:pt>
                <c:pt idx="19">
                  <c:v>29.575099999999999</c:v>
                </c:pt>
                <c:pt idx="20">
                  <c:v>29.326600000000003</c:v>
                </c:pt>
                <c:pt idx="21">
                  <c:v>29.092499999999998</c:v>
                </c:pt>
                <c:pt idx="22">
                  <c:v>28.697899999999997</c:v>
                </c:pt>
                <c:pt idx="23">
                  <c:v>28.313400000000001</c:v>
                </c:pt>
                <c:pt idx="24">
                  <c:v>27.992599999999999</c:v>
                </c:pt>
                <c:pt idx="25">
                  <c:v>27.687299999999997</c:v>
                </c:pt>
                <c:pt idx="26">
                  <c:v>27.478899999999999</c:v>
                </c:pt>
                <c:pt idx="27">
                  <c:v>27.281300000000002</c:v>
                </c:pt>
                <c:pt idx="28">
                  <c:v>27.059899999999999</c:v>
                </c:pt>
                <c:pt idx="29">
                  <c:v>26.904199999999999</c:v>
                </c:pt>
                <c:pt idx="30">
                  <c:v>26.872600000000002</c:v>
                </c:pt>
                <c:pt idx="31">
                  <c:v>27.036900000000003</c:v>
                </c:pt>
                <c:pt idx="32">
                  <c:v>27.230700000000002</c:v>
                </c:pt>
                <c:pt idx="33">
                  <c:v>27.306699999999999</c:v>
                </c:pt>
                <c:pt idx="34">
                  <c:v>27.3598</c:v>
                </c:pt>
                <c:pt idx="35">
                  <c:v>27.4741</c:v>
                </c:pt>
                <c:pt idx="36">
                  <c:v>27.577400000000001</c:v>
                </c:pt>
                <c:pt idx="37">
                  <c:v>27.6646</c:v>
                </c:pt>
                <c:pt idx="38">
                  <c:v>27.801599999999997</c:v>
                </c:pt>
                <c:pt idx="39">
                  <c:v>27.923900000000003</c:v>
                </c:pt>
                <c:pt idx="40">
                  <c:v>27.975100000000001</c:v>
                </c:pt>
                <c:pt idx="41">
                  <c:v>28.0594</c:v>
                </c:pt>
                <c:pt idx="42">
                  <c:v>28.151599999999998</c:v>
                </c:pt>
                <c:pt idx="43">
                  <c:v>28.244999999999997</c:v>
                </c:pt>
                <c:pt idx="44">
                  <c:v>28.363899999999997</c:v>
                </c:pt>
                <c:pt idx="45">
                  <c:v>28.384700000000002</c:v>
                </c:pt>
                <c:pt idx="46">
                  <c:v>28.264699999999998</c:v>
                </c:pt>
                <c:pt idx="47">
                  <c:v>28.2179</c:v>
                </c:pt>
                <c:pt idx="48">
                  <c:v>28.215800000000002</c:v>
                </c:pt>
                <c:pt idx="49">
                  <c:v>28.246399999999998</c:v>
                </c:pt>
                <c:pt idx="50">
                  <c:v>28.3018</c:v>
                </c:pt>
                <c:pt idx="51">
                  <c:v>28.243099999999998</c:v>
                </c:pt>
                <c:pt idx="52">
                  <c:v>28.0489</c:v>
                </c:pt>
                <c:pt idx="53">
                  <c:v>28.021800000000002</c:v>
                </c:pt>
                <c:pt idx="54">
                  <c:v>28.0075</c:v>
                </c:pt>
                <c:pt idx="55">
                  <c:v>27.9665</c:v>
                </c:pt>
                <c:pt idx="56">
                  <c:v>27.943899999999999</c:v>
                </c:pt>
                <c:pt idx="57">
                  <c:v>27.837499999999999</c:v>
                </c:pt>
                <c:pt idx="58">
                  <c:v>27.674900000000001</c:v>
                </c:pt>
                <c:pt idx="59">
                  <c:v>27.607300000000002</c:v>
                </c:pt>
                <c:pt idx="60">
                  <c:v>27.500599999999999</c:v>
                </c:pt>
                <c:pt idx="61">
                  <c:v>27.423500000000001</c:v>
                </c:pt>
                <c:pt idx="62">
                  <c:v>27.430700000000002</c:v>
                </c:pt>
                <c:pt idx="63">
                  <c:v>27.360099999999999</c:v>
                </c:pt>
                <c:pt idx="64">
                  <c:v>27.279599999999999</c:v>
                </c:pt>
                <c:pt idx="65">
                  <c:v>27.173399999999997</c:v>
                </c:pt>
                <c:pt idx="66">
                  <c:v>27.023099999999999</c:v>
                </c:pt>
                <c:pt idx="67">
                  <c:v>26.870100000000001</c:v>
                </c:pt>
                <c:pt idx="68">
                  <c:v>26.741700000000002</c:v>
                </c:pt>
                <c:pt idx="69">
                  <c:v>26.555299999999999</c:v>
                </c:pt>
                <c:pt idx="70">
                  <c:v>26.362300000000001</c:v>
                </c:pt>
                <c:pt idx="71">
                  <c:v>26.190600000000003</c:v>
                </c:pt>
                <c:pt idx="72">
                  <c:v>26.069799999999997</c:v>
                </c:pt>
                <c:pt idx="73">
                  <c:v>25.845200000000002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29.6572</c:v>
                </c:pt>
                <c:pt idx="1">
                  <c:v>30.062899999999999</c:v>
                </c:pt>
                <c:pt idx="2">
                  <c:v>30.484300000000001</c:v>
                </c:pt>
                <c:pt idx="3">
                  <c:v>30.888400000000001</c:v>
                </c:pt>
                <c:pt idx="4">
                  <c:v>31.294899999999998</c:v>
                </c:pt>
                <c:pt idx="5">
                  <c:v>31.705500000000001</c:v>
                </c:pt>
                <c:pt idx="6">
                  <c:v>32.109900000000003</c:v>
                </c:pt>
                <c:pt idx="7">
                  <c:v>32.515300000000003</c:v>
                </c:pt>
                <c:pt idx="8">
                  <c:v>32.923099999999998</c:v>
                </c:pt>
                <c:pt idx="9">
                  <c:v>33.326300000000003</c:v>
                </c:pt>
                <c:pt idx="10">
                  <c:v>33.734499999999997</c:v>
                </c:pt>
                <c:pt idx="11">
                  <c:v>34.143599999999999</c:v>
                </c:pt>
                <c:pt idx="12">
                  <c:v>34.546199999999999</c:v>
                </c:pt>
                <c:pt idx="13">
                  <c:v>34.951300000000003</c:v>
                </c:pt>
                <c:pt idx="14">
                  <c:v>35.356900000000003</c:v>
                </c:pt>
                <c:pt idx="15">
                  <c:v>35.766300000000001</c:v>
                </c:pt>
                <c:pt idx="16">
                  <c:v>36.171900000000001</c:v>
                </c:pt>
                <c:pt idx="17">
                  <c:v>36.580199999999998</c:v>
                </c:pt>
                <c:pt idx="18">
                  <c:v>36.985500000000002</c:v>
                </c:pt>
                <c:pt idx="19">
                  <c:v>37.387700000000002</c:v>
                </c:pt>
                <c:pt idx="20">
                  <c:v>37.796399999999998</c:v>
                </c:pt>
                <c:pt idx="21">
                  <c:v>38.202599999999997</c:v>
                </c:pt>
                <c:pt idx="22">
                  <c:v>38.611800000000002</c:v>
                </c:pt>
                <c:pt idx="23">
                  <c:v>39.017600000000002</c:v>
                </c:pt>
                <c:pt idx="24">
                  <c:v>39.4268</c:v>
                </c:pt>
                <c:pt idx="25">
                  <c:v>39.827399999999997</c:v>
                </c:pt>
                <c:pt idx="26">
                  <c:v>40.233400000000003</c:v>
                </c:pt>
                <c:pt idx="27">
                  <c:v>40.6434</c:v>
                </c:pt>
                <c:pt idx="28">
                  <c:v>41.046700000000001</c:v>
                </c:pt>
                <c:pt idx="29">
                  <c:v>41.4514</c:v>
                </c:pt>
                <c:pt idx="30">
                  <c:v>41.8643</c:v>
                </c:pt>
                <c:pt idx="31">
                  <c:v>42.263199999999998</c:v>
                </c:pt>
                <c:pt idx="32">
                  <c:v>42.671100000000003</c:v>
                </c:pt>
                <c:pt idx="33">
                  <c:v>43.078400000000002</c:v>
                </c:pt>
                <c:pt idx="34">
                  <c:v>43.484299999999998</c:v>
                </c:pt>
                <c:pt idx="35">
                  <c:v>43.891100000000002</c:v>
                </c:pt>
                <c:pt idx="36">
                  <c:v>44.297699999999999</c:v>
                </c:pt>
                <c:pt idx="37">
                  <c:v>44.702599999999997</c:v>
                </c:pt>
                <c:pt idx="38">
                  <c:v>45.108499999999999</c:v>
                </c:pt>
                <c:pt idx="39">
                  <c:v>45.517200000000003</c:v>
                </c:pt>
                <c:pt idx="40">
                  <c:v>45.921300000000002</c:v>
                </c:pt>
                <c:pt idx="41">
                  <c:v>46.325299999999999</c:v>
                </c:pt>
                <c:pt idx="42">
                  <c:v>46.730899999999998</c:v>
                </c:pt>
                <c:pt idx="43">
                  <c:v>47.139600000000002</c:v>
                </c:pt>
                <c:pt idx="44">
                  <c:v>47.542700000000004</c:v>
                </c:pt>
                <c:pt idx="45">
                  <c:v>47.950600000000001</c:v>
                </c:pt>
                <c:pt idx="46">
                  <c:v>48.358499999999999</c:v>
                </c:pt>
                <c:pt idx="47">
                  <c:v>48.764299999999999</c:v>
                </c:pt>
                <c:pt idx="48">
                  <c:v>49.170099999999998</c:v>
                </c:pt>
                <c:pt idx="49">
                  <c:v>49.579700000000003</c:v>
                </c:pt>
                <c:pt idx="50">
                  <c:v>49.985500000000002</c:v>
                </c:pt>
                <c:pt idx="51">
                  <c:v>50.388599999999997</c:v>
                </c:pt>
                <c:pt idx="52">
                  <c:v>50.7941</c:v>
                </c:pt>
                <c:pt idx="53">
                  <c:v>51.2014</c:v>
                </c:pt>
                <c:pt idx="54">
                  <c:v>51.610199999999999</c:v>
                </c:pt>
                <c:pt idx="55">
                  <c:v>52.014899999999997</c:v>
                </c:pt>
                <c:pt idx="56">
                  <c:v>52.423000000000002</c:v>
                </c:pt>
                <c:pt idx="57">
                  <c:v>52.825499999999998</c:v>
                </c:pt>
                <c:pt idx="58">
                  <c:v>53.2346</c:v>
                </c:pt>
                <c:pt idx="59">
                  <c:v>53.638399999999997</c:v>
                </c:pt>
                <c:pt idx="60">
                  <c:v>54.043999999999997</c:v>
                </c:pt>
                <c:pt idx="61">
                  <c:v>54.450800000000001</c:v>
                </c:pt>
                <c:pt idx="62">
                  <c:v>54.86</c:v>
                </c:pt>
                <c:pt idx="63">
                  <c:v>55.261699999999998</c:v>
                </c:pt>
                <c:pt idx="64">
                  <c:v>55.670400000000001</c:v>
                </c:pt>
                <c:pt idx="65">
                  <c:v>56.0762</c:v>
                </c:pt>
                <c:pt idx="66">
                  <c:v>56.4846</c:v>
                </c:pt>
                <c:pt idx="67">
                  <c:v>56.890599999999999</c:v>
                </c:pt>
                <c:pt idx="68">
                  <c:v>57.296599999999998</c:v>
                </c:pt>
                <c:pt idx="69">
                  <c:v>57.702800000000003</c:v>
                </c:pt>
                <c:pt idx="70">
                  <c:v>58.108199999999997</c:v>
                </c:pt>
                <c:pt idx="71">
                  <c:v>58.513100000000001</c:v>
                </c:pt>
                <c:pt idx="72">
                  <c:v>58.918999999999997</c:v>
                </c:pt>
                <c:pt idx="73">
                  <c:v>59.3279</c:v>
                </c:pt>
                <c:pt idx="74">
                  <c:v>59.731999999999999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25.845200000000002</c:v>
                </c:pt>
                <c:pt idx="1">
                  <c:v>25.593800000000002</c:v>
                </c:pt>
                <c:pt idx="2">
                  <c:v>25.373800000000003</c:v>
                </c:pt>
                <c:pt idx="3">
                  <c:v>25.087</c:v>
                </c:pt>
                <c:pt idx="4">
                  <c:v>24.8306</c:v>
                </c:pt>
                <c:pt idx="5">
                  <c:v>24.617900000000002</c:v>
                </c:pt>
                <c:pt idx="6">
                  <c:v>24.338099999999997</c:v>
                </c:pt>
                <c:pt idx="7">
                  <c:v>24.043800000000001</c:v>
                </c:pt>
                <c:pt idx="8">
                  <c:v>23.744100000000003</c:v>
                </c:pt>
                <c:pt idx="9">
                  <c:v>23.611499999999999</c:v>
                </c:pt>
                <c:pt idx="10">
                  <c:v>23.569000000000003</c:v>
                </c:pt>
                <c:pt idx="11">
                  <c:v>23.439699999999998</c:v>
                </c:pt>
                <c:pt idx="12">
                  <c:v>23.245200000000001</c:v>
                </c:pt>
                <c:pt idx="13">
                  <c:v>23.018000000000001</c:v>
                </c:pt>
                <c:pt idx="14">
                  <c:v>22.684099999999997</c:v>
                </c:pt>
                <c:pt idx="15">
                  <c:v>22.3355</c:v>
                </c:pt>
                <c:pt idx="16">
                  <c:v>21.9908</c:v>
                </c:pt>
                <c:pt idx="17">
                  <c:v>21.659500000000001</c:v>
                </c:pt>
                <c:pt idx="18">
                  <c:v>21.3706</c:v>
                </c:pt>
                <c:pt idx="19">
                  <c:v>21.0749</c:v>
                </c:pt>
                <c:pt idx="20">
                  <c:v>20.748699999999999</c:v>
                </c:pt>
                <c:pt idx="21">
                  <c:v>20.540700000000001</c:v>
                </c:pt>
                <c:pt idx="22">
                  <c:v>20.296199999999999</c:v>
                </c:pt>
                <c:pt idx="23">
                  <c:v>20.195499999999999</c:v>
                </c:pt>
                <c:pt idx="24">
                  <c:v>20.1218</c:v>
                </c:pt>
                <c:pt idx="25">
                  <c:v>19.8886</c:v>
                </c:pt>
                <c:pt idx="26">
                  <c:v>19.492999999999999</c:v>
                </c:pt>
                <c:pt idx="27">
                  <c:v>19.061299999999999</c:v>
                </c:pt>
                <c:pt idx="28">
                  <c:v>18.698</c:v>
                </c:pt>
                <c:pt idx="29">
                  <c:v>18.4055</c:v>
                </c:pt>
                <c:pt idx="30">
                  <c:v>17.9391</c:v>
                </c:pt>
                <c:pt idx="31">
                  <c:v>17.5733</c:v>
                </c:pt>
                <c:pt idx="32">
                  <c:v>17.276199999999999</c:v>
                </c:pt>
                <c:pt idx="33">
                  <c:v>16.942</c:v>
                </c:pt>
                <c:pt idx="34">
                  <c:v>16.497199999999999</c:v>
                </c:pt>
                <c:pt idx="35">
                  <c:v>15.947600000000001</c:v>
                </c:pt>
                <c:pt idx="36">
                  <c:v>15.4032</c:v>
                </c:pt>
                <c:pt idx="37">
                  <c:v>14.991099999999999</c:v>
                </c:pt>
                <c:pt idx="38">
                  <c:v>14.5063</c:v>
                </c:pt>
                <c:pt idx="39">
                  <c:v>14.13</c:v>
                </c:pt>
                <c:pt idx="40">
                  <c:v>13.772200000000002</c:v>
                </c:pt>
                <c:pt idx="41">
                  <c:v>13.329499999999999</c:v>
                </c:pt>
                <c:pt idx="42">
                  <c:v>12.9581</c:v>
                </c:pt>
                <c:pt idx="43">
                  <c:v>12.571099999999999</c:v>
                </c:pt>
                <c:pt idx="44">
                  <c:v>12.196099999999999</c:v>
                </c:pt>
                <c:pt idx="45">
                  <c:v>11.8726</c:v>
                </c:pt>
                <c:pt idx="46">
                  <c:v>11.434900000000001</c:v>
                </c:pt>
                <c:pt idx="47">
                  <c:v>11.129300000000001</c:v>
                </c:pt>
                <c:pt idx="48">
                  <c:v>10.783800000000001</c:v>
                </c:pt>
                <c:pt idx="49">
                  <c:v>10.361099999999999</c:v>
                </c:pt>
                <c:pt idx="50">
                  <c:v>10.287100000000001</c:v>
                </c:pt>
                <c:pt idx="51">
                  <c:v>10.431699999999999</c:v>
                </c:pt>
                <c:pt idx="52">
                  <c:v>10.520200000000001</c:v>
                </c:pt>
                <c:pt idx="53">
                  <c:v>10.639200000000001</c:v>
                </c:pt>
                <c:pt idx="54">
                  <c:v>10.739000000000001</c:v>
                </c:pt>
                <c:pt idx="55">
                  <c:v>10.924100000000001</c:v>
                </c:pt>
                <c:pt idx="56">
                  <c:v>11.0839</c:v>
                </c:pt>
                <c:pt idx="57">
                  <c:v>11.1709</c:v>
                </c:pt>
                <c:pt idx="58">
                  <c:v>11.246</c:v>
                </c:pt>
                <c:pt idx="59">
                  <c:v>11.3666</c:v>
                </c:pt>
                <c:pt idx="60">
                  <c:v>11.4816</c:v>
                </c:pt>
                <c:pt idx="61">
                  <c:v>11.6875</c:v>
                </c:pt>
                <c:pt idx="62">
                  <c:v>11.702199999999999</c:v>
                </c:pt>
                <c:pt idx="63">
                  <c:v>11.8445</c:v>
                </c:pt>
                <c:pt idx="64">
                  <c:v>12.043900000000001</c:v>
                </c:pt>
                <c:pt idx="65">
                  <c:v>12.264700000000001</c:v>
                </c:pt>
                <c:pt idx="66">
                  <c:v>12.687799999999999</c:v>
                </c:pt>
                <c:pt idx="67">
                  <c:v>12.9186</c:v>
                </c:pt>
                <c:pt idx="68">
                  <c:v>13.1434</c:v>
                </c:pt>
                <c:pt idx="69">
                  <c:v>13.490399999999999</c:v>
                </c:pt>
                <c:pt idx="70">
                  <c:v>13.725399999999999</c:v>
                </c:pt>
                <c:pt idx="71">
                  <c:v>13.927</c:v>
                </c:pt>
                <c:pt idx="72">
                  <c:v>14.2522</c:v>
                </c:pt>
                <c:pt idx="73">
                  <c:v>13.7486</c:v>
                </c:pt>
                <c:pt idx="74">
                  <c:v>13.8276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14.933</c:v>
                </c:pt>
                <c:pt idx="1">
                  <c:v>44.798999999999999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28.980378378378376</c:v>
                </c:pt>
                <c:pt idx="1">
                  <c:v>16.565486486486495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48.557899999999997</c:v>
                </c:pt>
                <c:pt idx="1">
                  <c:v>32.698399999999999</c:v>
                </c:pt>
                <c:pt idx="2">
                  <c:v>22.803000000000001</c:v>
                </c:pt>
                <c:pt idx="3">
                  <c:v>35.088000000000001</c:v>
                </c:pt>
                <c:pt idx="4">
                  <c:v>57.990400000000001</c:v>
                </c:pt>
                <c:pt idx="5">
                  <c:v>74.194999999999993</c:v>
                </c:pt>
                <c:pt idx="6">
                  <c:v>29.793900000000001</c:v>
                </c:pt>
                <c:pt idx="7">
                  <c:v>65.971599999999995</c:v>
                </c:pt>
                <c:pt idx="8">
                  <c:v>16.426500000000001</c:v>
                </c:pt>
                <c:pt idx="9">
                  <c:v>43.779299999999999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56.469799999999999</c:v>
                </c:pt>
                <c:pt idx="1">
                  <c:v>34.955399999999997</c:v>
                </c:pt>
                <c:pt idx="2">
                  <c:v>26.421399999999998</c:v>
                </c:pt>
                <c:pt idx="3">
                  <c:v>38.194099999999999</c:v>
                </c:pt>
                <c:pt idx="4">
                  <c:v>61.490200000000002</c:v>
                </c:pt>
                <c:pt idx="5">
                  <c:v>67.036199999999994</c:v>
                </c:pt>
                <c:pt idx="6">
                  <c:v>31.2912</c:v>
                </c:pt>
                <c:pt idx="7">
                  <c:v>64.185199999999995</c:v>
                </c:pt>
                <c:pt idx="8">
                  <c:v>16.722300000000001</c:v>
                </c:pt>
                <c:pt idx="9">
                  <c:v>31.521899999999999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0.46758219014263913</c:v>
                </c:pt>
                <c:pt idx="1">
                  <c:v>0.28542462120761469</c:v>
                </c:pt>
                <c:pt idx="2">
                  <c:v>0.24699318864974609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1380</c:v>
                </c:pt>
                <c:pt idx="7">
                  <c:v>0</c:v>
                </c:pt>
                <c:pt idx="8">
                  <c:v>3356</c:v>
                </c:pt>
                <c:pt idx="9">
                  <c:v>0</c:v>
                </c:pt>
                <c:pt idx="10">
                  <c:v>0</c:v>
                </c:pt>
                <c:pt idx="11">
                  <c:v>3645</c:v>
                </c:pt>
                <c:pt idx="12">
                  <c:v>0</c:v>
                </c:pt>
                <c:pt idx="13">
                  <c:v>4482</c:v>
                </c:pt>
                <c:pt idx="14">
                  <c:v>0</c:v>
                </c:pt>
                <c:pt idx="15">
                  <c:v>0</c:v>
                </c:pt>
                <c:pt idx="16">
                  <c:v>7999</c:v>
                </c:pt>
                <c:pt idx="17">
                  <c:v>0</c:v>
                </c:pt>
                <c:pt idx="18">
                  <c:v>0</c:v>
                </c:pt>
                <c:pt idx="19">
                  <c:v>7206</c:v>
                </c:pt>
                <c:pt idx="20">
                  <c:v>0</c:v>
                </c:pt>
                <c:pt idx="21">
                  <c:v>9071</c:v>
                </c:pt>
                <c:pt idx="22">
                  <c:v>0</c:v>
                </c:pt>
                <c:pt idx="23">
                  <c:v>0</c:v>
                </c:pt>
                <c:pt idx="24">
                  <c:v>6973</c:v>
                </c:pt>
                <c:pt idx="25">
                  <c:v>0</c:v>
                </c:pt>
                <c:pt idx="26">
                  <c:v>8897</c:v>
                </c:pt>
                <c:pt idx="27">
                  <c:v>0</c:v>
                </c:pt>
                <c:pt idx="28">
                  <c:v>0</c:v>
                </c:pt>
                <c:pt idx="29">
                  <c:v>9010</c:v>
                </c:pt>
                <c:pt idx="30">
                  <c:v>0</c:v>
                </c:pt>
                <c:pt idx="31">
                  <c:v>9901</c:v>
                </c:pt>
                <c:pt idx="32">
                  <c:v>0</c:v>
                </c:pt>
                <c:pt idx="33">
                  <c:v>0</c:v>
                </c:pt>
                <c:pt idx="34">
                  <c:v>11546</c:v>
                </c:pt>
                <c:pt idx="35">
                  <c:v>0</c:v>
                </c:pt>
                <c:pt idx="36">
                  <c:v>0</c:v>
                </c:pt>
                <c:pt idx="37">
                  <c:v>12367</c:v>
                </c:pt>
                <c:pt idx="38">
                  <c:v>0</c:v>
                </c:pt>
                <c:pt idx="39">
                  <c:v>15135</c:v>
                </c:pt>
                <c:pt idx="40">
                  <c:v>0</c:v>
                </c:pt>
                <c:pt idx="41">
                  <c:v>0</c:v>
                </c:pt>
                <c:pt idx="42">
                  <c:v>15334</c:v>
                </c:pt>
                <c:pt idx="43">
                  <c:v>0</c:v>
                </c:pt>
                <c:pt idx="44">
                  <c:v>17661</c:v>
                </c:pt>
                <c:pt idx="45">
                  <c:v>0</c:v>
                </c:pt>
                <c:pt idx="46">
                  <c:v>0</c:v>
                </c:pt>
                <c:pt idx="47">
                  <c:v>21152</c:v>
                </c:pt>
                <c:pt idx="48">
                  <c:v>0</c:v>
                </c:pt>
                <c:pt idx="49">
                  <c:v>26786</c:v>
                </c:pt>
                <c:pt idx="50">
                  <c:v>0</c:v>
                </c:pt>
                <c:pt idx="51">
                  <c:v>0</c:v>
                </c:pt>
                <c:pt idx="52">
                  <c:v>30439</c:v>
                </c:pt>
                <c:pt idx="53">
                  <c:v>0</c:v>
                </c:pt>
                <c:pt idx="54">
                  <c:v>0</c:v>
                </c:pt>
                <c:pt idx="55">
                  <c:v>32049</c:v>
                </c:pt>
                <c:pt idx="56">
                  <c:v>0</c:v>
                </c:pt>
                <c:pt idx="57">
                  <c:v>38803</c:v>
                </c:pt>
                <c:pt idx="58">
                  <c:v>0</c:v>
                </c:pt>
                <c:pt idx="59">
                  <c:v>0</c:v>
                </c:pt>
                <c:pt idx="60">
                  <c:v>47969</c:v>
                </c:pt>
                <c:pt idx="61">
                  <c:v>0</c:v>
                </c:pt>
                <c:pt idx="62">
                  <c:v>53348</c:v>
                </c:pt>
                <c:pt idx="63">
                  <c:v>0</c:v>
                </c:pt>
                <c:pt idx="64">
                  <c:v>0</c:v>
                </c:pt>
                <c:pt idx="65">
                  <c:v>57077</c:v>
                </c:pt>
                <c:pt idx="66">
                  <c:v>0</c:v>
                </c:pt>
                <c:pt idx="67">
                  <c:v>58909</c:v>
                </c:pt>
                <c:pt idx="68">
                  <c:v>0</c:v>
                </c:pt>
                <c:pt idx="69">
                  <c:v>0</c:v>
                </c:pt>
                <c:pt idx="70">
                  <c:v>59297</c:v>
                </c:pt>
                <c:pt idx="71">
                  <c:v>0</c:v>
                </c:pt>
                <c:pt idx="72">
                  <c:v>0</c:v>
                </c:pt>
                <c:pt idx="73">
                  <c:v>54408</c:v>
                </c:pt>
                <c:pt idx="74">
                  <c:v>0</c:v>
                </c:pt>
                <c:pt idx="75">
                  <c:v>56965</c:v>
                </c:pt>
                <c:pt idx="76">
                  <c:v>0</c:v>
                </c:pt>
                <c:pt idx="77">
                  <c:v>0</c:v>
                </c:pt>
                <c:pt idx="78">
                  <c:v>61163</c:v>
                </c:pt>
                <c:pt idx="79">
                  <c:v>0</c:v>
                </c:pt>
                <c:pt idx="80">
                  <c:v>69699</c:v>
                </c:pt>
                <c:pt idx="81">
                  <c:v>0</c:v>
                </c:pt>
                <c:pt idx="82">
                  <c:v>0</c:v>
                </c:pt>
                <c:pt idx="83">
                  <c:v>76969</c:v>
                </c:pt>
                <c:pt idx="84">
                  <c:v>0</c:v>
                </c:pt>
                <c:pt idx="85">
                  <c:v>0</c:v>
                </c:pt>
                <c:pt idx="86">
                  <c:v>83870</c:v>
                </c:pt>
                <c:pt idx="87">
                  <c:v>0</c:v>
                </c:pt>
                <c:pt idx="88">
                  <c:v>80702</c:v>
                </c:pt>
                <c:pt idx="89">
                  <c:v>0</c:v>
                </c:pt>
                <c:pt idx="90">
                  <c:v>0</c:v>
                </c:pt>
                <c:pt idx="91">
                  <c:v>82018</c:v>
                </c:pt>
                <c:pt idx="92">
                  <c:v>0</c:v>
                </c:pt>
                <c:pt idx="93">
                  <c:v>88942</c:v>
                </c:pt>
                <c:pt idx="94">
                  <c:v>0</c:v>
                </c:pt>
                <c:pt idx="95">
                  <c:v>0</c:v>
                </c:pt>
                <c:pt idx="96">
                  <c:v>100315</c:v>
                </c:pt>
                <c:pt idx="97">
                  <c:v>0</c:v>
                </c:pt>
                <c:pt idx="98">
                  <c:v>106413</c:v>
                </c:pt>
                <c:pt idx="99">
                  <c:v>0</c:v>
                </c:pt>
                <c:pt idx="100">
                  <c:v>0</c:v>
                </c:pt>
                <c:pt idx="101">
                  <c:v>115163</c:v>
                </c:pt>
                <c:pt idx="102">
                  <c:v>0</c:v>
                </c:pt>
                <c:pt idx="103">
                  <c:v>0</c:v>
                </c:pt>
                <c:pt idx="104">
                  <c:v>113905</c:v>
                </c:pt>
                <c:pt idx="105">
                  <c:v>0</c:v>
                </c:pt>
                <c:pt idx="106">
                  <c:v>116057</c:v>
                </c:pt>
                <c:pt idx="107">
                  <c:v>0</c:v>
                </c:pt>
                <c:pt idx="108">
                  <c:v>0</c:v>
                </c:pt>
                <c:pt idx="109">
                  <c:v>110886</c:v>
                </c:pt>
                <c:pt idx="110">
                  <c:v>0</c:v>
                </c:pt>
                <c:pt idx="111">
                  <c:v>100130</c:v>
                </c:pt>
                <c:pt idx="112">
                  <c:v>0</c:v>
                </c:pt>
                <c:pt idx="113">
                  <c:v>0</c:v>
                </c:pt>
                <c:pt idx="114">
                  <c:v>94775</c:v>
                </c:pt>
                <c:pt idx="115">
                  <c:v>0</c:v>
                </c:pt>
                <c:pt idx="116">
                  <c:v>86625</c:v>
                </c:pt>
                <c:pt idx="117">
                  <c:v>0</c:v>
                </c:pt>
                <c:pt idx="118">
                  <c:v>0</c:v>
                </c:pt>
                <c:pt idx="119">
                  <c:v>88601</c:v>
                </c:pt>
                <c:pt idx="120">
                  <c:v>0</c:v>
                </c:pt>
                <c:pt idx="121">
                  <c:v>0</c:v>
                </c:pt>
                <c:pt idx="122">
                  <c:v>83183</c:v>
                </c:pt>
                <c:pt idx="123">
                  <c:v>0</c:v>
                </c:pt>
                <c:pt idx="124">
                  <c:v>85756</c:v>
                </c:pt>
                <c:pt idx="125">
                  <c:v>0</c:v>
                </c:pt>
                <c:pt idx="126">
                  <c:v>0</c:v>
                </c:pt>
                <c:pt idx="127">
                  <c:v>81954</c:v>
                </c:pt>
                <c:pt idx="128">
                  <c:v>0</c:v>
                </c:pt>
                <c:pt idx="129">
                  <c:v>79580</c:v>
                </c:pt>
                <c:pt idx="130">
                  <c:v>0</c:v>
                </c:pt>
                <c:pt idx="131">
                  <c:v>0</c:v>
                </c:pt>
                <c:pt idx="132">
                  <c:v>78091</c:v>
                </c:pt>
                <c:pt idx="133">
                  <c:v>0</c:v>
                </c:pt>
                <c:pt idx="134">
                  <c:v>78645</c:v>
                </c:pt>
                <c:pt idx="135">
                  <c:v>0</c:v>
                </c:pt>
                <c:pt idx="136">
                  <c:v>0</c:v>
                </c:pt>
                <c:pt idx="137">
                  <c:v>66462</c:v>
                </c:pt>
                <c:pt idx="138">
                  <c:v>0</c:v>
                </c:pt>
                <c:pt idx="139">
                  <c:v>0</c:v>
                </c:pt>
                <c:pt idx="140">
                  <c:v>49661</c:v>
                </c:pt>
                <c:pt idx="141">
                  <c:v>0</c:v>
                </c:pt>
                <c:pt idx="142">
                  <c:v>41732</c:v>
                </c:pt>
                <c:pt idx="143">
                  <c:v>0</c:v>
                </c:pt>
                <c:pt idx="144">
                  <c:v>0</c:v>
                </c:pt>
                <c:pt idx="145">
                  <c:v>36626</c:v>
                </c:pt>
                <c:pt idx="146">
                  <c:v>0</c:v>
                </c:pt>
                <c:pt idx="147">
                  <c:v>34092</c:v>
                </c:pt>
                <c:pt idx="148">
                  <c:v>0</c:v>
                </c:pt>
                <c:pt idx="149">
                  <c:v>0</c:v>
                </c:pt>
                <c:pt idx="150">
                  <c:v>31444</c:v>
                </c:pt>
                <c:pt idx="151">
                  <c:v>0</c:v>
                </c:pt>
                <c:pt idx="152">
                  <c:v>24907</c:v>
                </c:pt>
                <c:pt idx="153">
                  <c:v>0</c:v>
                </c:pt>
                <c:pt idx="154">
                  <c:v>0</c:v>
                </c:pt>
                <c:pt idx="155">
                  <c:v>22377</c:v>
                </c:pt>
                <c:pt idx="156">
                  <c:v>0</c:v>
                </c:pt>
                <c:pt idx="157">
                  <c:v>0</c:v>
                </c:pt>
                <c:pt idx="158">
                  <c:v>18766</c:v>
                </c:pt>
                <c:pt idx="159">
                  <c:v>0</c:v>
                </c:pt>
                <c:pt idx="160">
                  <c:v>15290</c:v>
                </c:pt>
                <c:pt idx="161">
                  <c:v>0</c:v>
                </c:pt>
                <c:pt idx="162">
                  <c:v>0</c:v>
                </c:pt>
                <c:pt idx="163">
                  <c:v>14576</c:v>
                </c:pt>
                <c:pt idx="164">
                  <c:v>0</c:v>
                </c:pt>
                <c:pt idx="165">
                  <c:v>14793</c:v>
                </c:pt>
                <c:pt idx="166">
                  <c:v>0</c:v>
                </c:pt>
                <c:pt idx="167">
                  <c:v>0</c:v>
                </c:pt>
                <c:pt idx="168">
                  <c:v>15319</c:v>
                </c:pt>
                <c:pt idx="169">
                  <c:v>0</c:v>
                </c:pt>
                <c:pt idx="170">
                  <c:v>0</c:v>
                </c:pt>
                <c:pt idx="171">
                  <c:v>15316</c:v>
                </c:pt>
                <c:pt idx="172">
                  <c:v>0</c:v>
                </c:pt>
                <c:pt idx="173">
                  <c:v>18214</c:v>
                </c:pt>
                <c:pt idx="174">
                  <c:v>0</c:v>
                </c:pt>
                <c:pt idx="175">
                  <c:v>0</c:v>
                </c:pt>
                <c:pt idx="176">
                  <c:v>22964</c:v>
                </c:pt>
                <c:pt idx="177">
                  <c:v>0</c:v>
                </c:pt>
                <c:pt idx="178">
                  <c:v>25177</c:v>
                </c:pt>
                <c:pt idx="179">
                  <c:v>0</c:v>
                </c:pt>
                <c:pt idx="180">
                  <c:v>0</c:v>
                </c:pt>
                <c:pt idx="181">
                  <c:v>29142</c:v>
                </c:pt>
                <c:pt idx="182">
                  <c:v>0</c:v>
                </c:pt>
                <c:pt idx="183">
                  <c:v>30507</c:v>
                </c:pt>
                <c:pt idx="184">
                  <c:v>0</c:v>
                </c:pt>
                <c:pt idx="185">
                  <c:v>0</c:v>
                </c:pt>
                <c:pt idx="186">
                  <c:v>30885</c:v>
                </c:pt>
                <c:pt idx="187">
                  <c:v>0</c:v>
                </c:pt>
                <c:pt idx="188">
                  <c:v>0</c:v>
                </c:pt>
                <c:pt idx="189">
                  <c:v>38561</c:v>
                </c:pt>
                <c:pt idx="190">
                  <c:v>0</c:v>
                </c:pt>
                <c:pt idx="191">
                  <c:v>27707</c:v>
                </c:pt>
                <c:pt idx="192">
                  <c:v>0</c:v>
                </c:pt>
                <c:pt idx="193">
                  <c:v>0</c:v>
                </c:pt>
                <c:pt idx="194">
                  <c:v>16836</c:v>
                </c:pt>
                <c:pt idx="195">
                  <c:v>0</c:v>
                </c:pt>
                <c:pt idx="196">
                  <c:v>14726</c:v>
                </c:pt>
                <c:pt idx="197">
                  <c:v>0</c:v>
                </c:pt>
                <c:pt idx="198">
                  <c:v>0</c:v>
                </c:pt>
                <c:pt idx="199">
                  <c:v>8076</c:v>
                </c:pt>
                <c:pt idx="200">
                  <c:v>0</c:v>
                </c:pt>
                <c:pt idx="201">
                  <c:v>2637</c:v>
                </c:pt>
                <c:pt idx="202">
                  <c:v>0</c:v>
                </c:pt>
                <c:pt idx="203">
                  <c:v>0</c:v>
                </c:pt>
                <c:pt idx="204">
                  <c:v>1345</c:v>
                </c:pt>
                <c:pt idx="205">
                  <c:v>0</c:v>
                </c:pt>
                <c:pt idx="206">
                  <c:v>0</c:v>
                </c:pt>
                <c:pt idx="207">
                  <c:v>471</c:v>
                </c:pt>
                <c:pt idx="208">
                  <c:v>0</c:v>
                </c:pt>
                <c:pt idx="209">
                  <c:v>61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6626</c:v>
                </c:pt>
                <c:pt idx="7">
                  <c:v>0</c:v>
                </c:pt>
                <c:pt idx="8">
                  <c:v>8435</c:v>
                </c:pt>
                <c:pt idx="9">
                  <c:v>0</c:v>
                </c:pt>
                <c:pt idx="10">
                  <c:v>0</c:v>
                </c:pt>
                <c:pt idx="11">
                  <c:v>5726</c:v>
                </c:pt>
                <c:pt idx="12">
                  <c:v>0</c:v>
                </c:pt>
                <c:pt idx="13">
                  <c:v>5463</c:v>
                </c:pt>
                <c:pt idx="14">
                  <c:v>0</c:v>
                </c:pt>
                <c:pt idx="15">
                  <c:v>0</c:v>
                </c:pt>
                <c:pt idx="16">
                  <c:v>5868</c:v>
                </c:pt>
                <c:pt idx="17">
                  <c:v>0</c:v>
                </c:pt>
                <c:pt idx="18">
                  <c:v>0</c:v>
                </c:pt>
                <c:pt idx="19">
                  <c:v>7708</c:v>
                </c:pt>
                <c:pt idx="20">
                  <c:v>0</c:v>
                </c:pt>
                <c:pt idx="21">
                  <c:v>6662</c:v>
                </c:pt>
                <c:pt idx="22">
                  <c:v>0</c:v>
                </c:pt>
                <c:pt idx="23">
                  <c:v>0</c:v>
                </c:pt>
                <c:pt idx="24">
                  <c:v>6646</c:v>
                </c:pt>
                <c:pt idx="25">
                  <c:v>0</c:v>
                </c:pt>
                <c:pt idx="26">
                  <c:v>7009</c:v>
                </c:pt>
                <c:pt idx="27">
                  <c:v>0</c:v>
                </c:pt>
                <c:pt idx="28">
                  <c:v>0</c:v>
                </c:pt>
                <c:pt idx="29">
                  <c:v>4692</c:v>
                </c:pt>
                <c:pt idx="30">
                  <c:v>0</c:v>
                </c:pt>
                <c:pt idx="31">
                  <c:v>6308</c:v>
                </c:pt>
                <c:pt idx="32">
                  <c:v>0</c:v>
                </c:pt>
                <c:pt idx="33">
                  <c:v>0</c:v>
                </c:pt>
                <c:pt idx="34">
                  <c:v>5904</c:v>
                </c:pt>
                <c:pt idx="35">
                  <c:v>0</c:v>
                </c:pt>
                <c:pt idx="36">
                  <c:v>0</c:v>
                </c:pt>
                <c:pt idx="37">
                  <c:v>5750</c:v>
                </c:pt>
                <c:pt idx="38">
                  <c:v>0</c:v>
                </c:pt>
                <c:pt idx="39">
                  <c:v>6703</c:v>
                </c:pt>
                <c:pt idx="40">
                  <c:v>0</c:v>
                </c:pt>
                <c:pt idx="41">
                  <c:v>0</c:v>
                </c:pt>
                <c:pt idx="42">
                  <c:v>6789</c:v>
                </c:pt>
                <c:pt idx="43">
                  <c:v>0</c:v>
                </c:pt>
                <c:pt idx="44">
                  <c:v>7367</c:v>
                </c:pt>
                <c:pt idx="45">
                  <c:v>0</c:v>
                </c:pt>
                <c:pt idx="46">
                  <c:v>0</c:v>
                </c:pt>
                <c:pt idx="47">
                  <c:v>7028</c:v>
                </c:pt>
                <c:pt idx="48">
                  <c:v>0</c:v>
                </c:pt>
                <c:pt idx="49">
                  <c:v>10873</c:v>
                </c:pt>
                <c:pt idx="50">
                  <c:v>0</c:v>
                </c:pt>
                <c:pt idx="51">
                  <c:v>0</c:v>
                </c:pt>
                <c:pt idx="52">
                  <c:v>13114</c:v>
                </c:pt>
                <c:pt idx="53">
                  <c:v>0</c:v>
                </c:pt>
                <c:pt idx="54">
                  <c:v>0</c:v>
                </c:pt>
                <c:pt idx="55">
                  <c:v>18249</c:v>
                </c:pt>
                <c:pt idx="56">
                  <c:v>0</c:v>
                </c:pt>
                <c:pt idx="57">
                  <c:v>23457</c:v>
                </c:pt>
                <c:pt idx="58">
                  <c:v>0</c:v>
                </c:pt>
                <c:pt idx="59">
                  <c:v>0</c:v>
                </c:pt>
                <c:pt idx="60">
                  <c:v>29785</c:v>
                </c:pt>
                <c:pt idx="61">
                  <c:v>0</c:v>
                </c:pt>
                <c:pt idx="62">
                  <c:v>29679</c:v>
                </c:pt>
                <c:pt idx="63">
                  <c:v>0</c:v>
                </c:pt>
                <c:pt idx="64">
                  <c:v>0</c:v>
                </c:pt>
                <c:pt idx="65">
                  <c:v>34010</c:v>
                </c:pt>
                <c:pt idx="66">
                  <c:v>0</c:v>
                </c:pt>
                <c:pt idx="67">
                  <c:v>38551</c:v>
                </c:pt>
                <c:pt idx="68">
                  <c:v>0</c:v>
                </c:pt>
                <c:pt idx="69">
                  <c:v>0</c:v>
                </c:pt>
                <c:pt idx="70">
                  <c:v>43065</c:v>
                </c:pt>
                <c:pt idx="71">
                  <c:v>0</c:v>
                </c:pt>
                <c:pt idx="72">
                  <c:v>0</c:v>
                </c:pt>
                <c:pt idx="73">
                  <c:v>45160</c:v>
                </c:pt>
                <c:pt idx="74">
                  <c:v>0</c:v>
                </c:pt>
                <c:pt idx="75">
                  <c:v>47497</c:v>
                </c:pt>
                <c:pt idx="76">
                  <c:v>0</c:v>
                </c:pt>
                <c:pt idx="77">
                  <c:v>0</c:v>
                </c:pt>
                <c:pt idx="78">
                  <c:v>53320</c:v>
                </c:pt>
                <c:pt idx="79">
                  <c:v>0</c:v>
                </c:pt>
                <c:pt idx="80">
                  <c:v>55693</c:v>
                </c:pt>
                <c:pt idx="81">
                  <c:v>0</c:v>
                </c:pt>
                <c:pt idx="82">
                  <c:v>0</c:v>
                </c:pt>
                <c:pt idx="83">
                  <c:v>56910</c:v>
                </c:pt>
                <c:pt idx="84">
                  <c:v>0</c:v>
                </c:pt>
                <c:pt idx="85">
                  <c:v>0</c:v>
                </c:pt>
                <c:pt idx="86">
                  <c:v>57101</c:v>
                </c:pt>
                <c:pt idx="87">
                  <c:v>0</c:v>
                </c:pt>
                <c:pt idx="88">
                  <c:v>60009</c:v>
                </c:pt>
                <c:pt idx="89">
                  <c:v>0</c:v>
                </c:pt>
                <c:pt idx="90">
                  <c:v>0</c:v>
                </c:pt>
                <c:pt idx="91">
                  <c:v>61885</c:v>
                </c:pt>
                <c:pt idx="92">
                  <c:v>0</c:v>
                </c:pt>
                <c:pt idx="93">
                  <c:v>64713</c:v>
                </c:pt>
                <c:pt idx="94">
                  <c:v>0</c:v>
                </c:pt>
                <c:pt idx="95">
                  <c:v>0</c:v>
                </c:pt>
                <c:pt idx="96">
                  <c:v>67578</c:v>
                </c:pt>
                <c:pt idx="97">
                  <c:v>0</c:v>
                </c:pt>
                <c:pt idx="98">
                  <c:v>72434</c:v>
                </c:pt>
                <c:pt idx="99">
                  <c:v>0</c:v>
                </c:pt>
                <c:pt idx="100">
                  <c:v>0</c:v>
                </c:pt>
                <c:pt idx="101">
                  <c:v>79770</c:v>
                </c:pt>
                <c:pt idx="102">
                  <c:v>0</c:v>
                </c:pt>
                <c:pt idx="103">
                  <c:v>0</c:v>
                </c:pt>
                <c:pt idx="104">
                  <c:v>92521</c:v>
                </c:pt>
                <c:pt idx="105">
                  <c:v>0</c:v>
                </c:pt>
                <c:pt idx="106">
                  <c:v>100484</c:v>
                </c:pt>
                <c:pt idx="107">
                  <c:v>0</c:v>
                </c:pt>
                <c:pt idx="108">
                  <c:v>0</c:v>
                </c:pt>
                <c:pt idx="109">
                  <c:v>97444</c:v>
                </c:pt>
                <c:pt idx="110">
                  <c:v>0</c:v>
                </c:pt>
                <c:pt idx="111">
                  <c:v>101420</c:v>
                </c:pt>
                <c:pt idx="112">
                  <c:v>0</c:v>
                </c:pt>
                <c:pt idx="113">
                  <c:v>0</c:v>
                </c:pt>
                <c:pt idx="114">
                  <c:v>102256</c:v>
                </c:pt>
                <c:pt idx="115">
                  <c:v>0</c:v>
                </c:pt>
                <c:pt idx="116">
                  <c:v>96574</c:v>
                </c:pt>
                <c:pt idx="117">
                  <c:v>0</c:v>
                </c:pt>
                <c:pt idx="118">
                  <c:v>0</c:v>
                </c:pt>
                <c:pt idx="119">
                  <c:v>99496</c:v>
                </c:pt>
                <c:pt idx="120">
                  <c:v>0</c:v>
                </c:pt>
                <c:pt idx="121">
                  <c:v>0</c:v>
                </c:pt>
                <c:pt idx="122">
                  <c:v>98591</c:v>
                </c:pt>
                <c:pt idx="123">
                  <c:v>0</c:v>
                </c:pt>
                <c:pt idx="124">
                  <c:v>93009</c:v>
                </c:pt>
                <c:pt idx="125">
                  <c:v>0</c:v>
                </c:pt>
                <c:pt idx="126">
                  <c:v>0</c:v>
                </c:pt>
                <c:pt idx="127">
                  <c:v>82699</c:v>
                </c:pt>
                <c:pt idx="128">
                  <c:v>0</c:v>
                </c:pt>
                <c:pt idx="129">
                  <c:v>82563</c:v>
                </c:pt>
                <c:pt idx="130">
                  <c:v>0</c:v>
                </c:pt>
                <c:pt idx="131">
                  <c:v>0</c:v>
                </c:pt>
                <c:pt idx="132">
                  <c:v>79164</c:v>
                </c:pt>
                <c:pt idx="133">
                  <c:v>0</c:v>
                </c:pt>
                <c:pt idx="134">
                  <c:v>80706</c:v>
                </c:pt>
                <c:pt idx="135">
                  <c:v>0</c:v>
                </c:pt>
                <c:pt idx="136">
                  <c:v>0</c:v>
                </c:pt>
                <c:pt idx="137">
                  <c:v>88325</c:v>
                </c:pt>
                <c:pt idx="138">
                  <c:v>0</c:v>
                </c:pt>
                <c:pt idx="139">
                  <c:v>0</c:v>
                </c:pt>
                <c:pt idx="140">
                  <c:v>95344</c:v>
                </c:pt>
                <c:pt idx="141">
                  <c:v>0</c:v>
                </c:pt>
                <c:pt idx="142">
                  <c:v>90215</c:v>
                </c:pt>
                <c:pt idx="143">
                  <c:v>0</c:v>
                </c:pt>
                <c:pt idx="144">
                  <c:v>0</c:v>
                </c:pt>
                <c:pt idx="145">
                  <c:v>79893</c:v>
                </c:pt>
                <c:pt idx="146">
                  <c:v>0</c:v>
                </c:pt>
                <c:pt idx="147">
                  <c:v>64629</c:v>
                </c:pt>
                <c:pt idx="148">
                  <c:v>0</c:v>
                </c:pt>
                <c:pt idx="149">
                  <c:v>0</c:v>
                </c:pt>
                <c:pt idx="150">
                  <c:v>56791</c:v>
                </c:pt>
                <c:pt idx="151">
                  <c:v>0</c:v>
                </c:pt>
                <c:pt idx="152">
                  <c:v>52487</c:v>
                </c:pt>
                <c:pt idx="153">
                  <c:v>0</c:v>
                </c:pt>
                <c:pt idx="154">
                  <c:v>0</c:v>
                </c:pt>
                <c:pt idx="155">
                  <c:v>51664</c:v>
                </c:pt>
                <c:pt idx="156">
                  <c:v>0</c:v>
                </c:pt>
                <c:pt idx="157">
                  <c:v>0</c:v>
                </c:pt>
                <c:pt idx="158">
                  <c:v>40303</c:v>
                </c:pt>
                <c:pt idx="159">
                  <c:v>0</c:v>
                </c:pt>
                <c:pt idx="160">
                  <c:v>33067</c:v>
                </c:pt>
                <c:pt idx="161">
                  <c:v>0</c:v>
                </c:pt>
                <c:pt idx="162">
                  <c:v>0</c:v>
                </c:pt>
                <c:pt idx="163">
                  <c:v>24786</c:v>
                </c:pt>
                <c:pt idx="164">
                  <c:v>0</c:v>
                </c:pt>
                <c:pt idx="165">
                  <c:v>20163</c:v>
                </c:pt>
                <c:pt idx="166">
                  <c:v>0</c:v>
                </c:pt>
                <c:pt idx="167">
                  <c:v>0</c:v>
                </c:pt>
                <c:pt idx="168">
                  <c:v>17107</c:v>
                </c:pt>
                <c:pt idx="169">
                  <c:v>0</c:v>
                </c:pt>
                <c:pt idx="170">
                  <c:v>0</c:v>
                </c:pt>
                <c:pt idx="171">
                  <c:v>13589</c:v>
                </c:pt>
                <c:pt idx="172">
                  <c:v>0</c:v>
                </c:pt>
                <c:pt idx="173">
                  <c:v>13781</c:v>
                </c:pt>
                <c:pt idx="174">
                  <c:v>0</c:v>
                </c:pt>
                <c:pt idx="175">
                  <c:v>0</c:v>
                </c:pt>
                <c:pt idx="176">
                  <c:v>14896</c:v>
                </c:pt>
                <c:pt idx="177">
                  <c:v>0</c:v>
                </c:pt>
                <c:pt idx="178">
                  <c:v>16980</c:v>
                </c:pt>
                <c:pt idx="179">
                  <c:v>0</c:v>
                </c:pt>
                <c:pt idx="180">
                  <c:v>0</c:v>
                </c:pt>
                <c:pt idx="181">
                  <c:v>27919</c:v>
                </c:pt>
                <c:pt idx="182">
                  <c:v>0</c:v>
                </c:pt>
                <c:pt idx="183">
                  <c:v>31303</c:v>
                </c:pt>
                <c:pt idx="184">
                  <c:v>0</c:v>
                </c:pt>
                <c:pt idx="185">
                  <c:v>0</c:v>
                </c:pt>
                <c:pt idx="186">
                  <c:v>45218</c:v>
                </c:pt>
                <c:pt idx="187">
                  <c:v>0</c:v>
                </c:pt>
                <c:pt idx="188">
                  <c:v>0</c:v>
                </c:pt>
                <c:pt idx="189">
                  <c:v>45147</c:v>
                </c:pt>
                <c:pt idx="190">
                  <c:v>0</c:v>
                </c:pt>
                <c:pt idx="191">
                  <c:v>54181</c:v>
                </c:pt>
                <c:pt idx="192">
                  <c:v>0</c:v>
                </c:pt>
                <c:pt idx="193">
                  <c:v>0</c:v>
                </c:pt>
                <c:pt idx="194">
                  <c:v>57690</c:v>
                </c:pt>
                <c:pt idx="195">
                  <c:v>0</c:v>
                </c:pt>
                <c:pt idx="196">
                  <c:v>49683</c:v>
                </c:pt>
                <c:pt idx="197">
                  <c:v>0</c:v>
                </c:pt>
                <c:pt idx="198">
                  <c:v>0</c:v>
                </c:pt>
                <c:pt idx="199">
                  <c:v>45655</c:v>
                </c:pt>
                <c:pt idx="200">
                  <c:v>0</c:v>
                </c:pt>
                <c:pt idx="201">
                  <c:v>24479</c:v>
                </c:pt>
                <c:pt idx="202">
                  <c:v>0</c:v>
                </c:pt>
                <c:pt idx="203">
                  <c:v>0</c:v>
                </c:pt>
                <c:pt idx="204">
                  <c:v>16698</c:v>
                </c:pt>
                <c:pt idx="205">
                  <c:v>0</c:v>
                </c:pt>
                <c:pt idx="206">
                  <c:v>0</c:v>
                </c:pt>
                <c:pt idx="207">
                  <c:v>13351</c:v>
                </c:pt>
                <c:pt idx="208">
                  <c:v>0</c:v>
                </c:pt>
                <c:pt idx="209">
                  <c:v>4708</c:v>
                </c:pt>
                <c:pt idx="210">
                  <c:v>0</c:v>
                </c:pt>
                <c:pt idx="211">
                  <c:v>0</c:v>
                </c:pt>
                <c:pt idx="212">
                  <c:v>1549</c:v>
                </c:pt>
                <c:pt idx="213">
                  <c:v>0</c:v>
                </c:pt>
                <c:pt idx="214">
                  <c:v>971</c:v>
                </c:pt>
                <c:pt idx="215">
                  <c:v>0</c:v>
                </c:pt>
                <c:pt idx="216">
                  <c:v>0</c:v>
                </c:pt>
                <c:pt idx="217">
                  <c:v>732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0.11590419798860735</c:v>
                </c:pt>
                <c:pt idx="1">
                  <c:v>0.25330259112726067</c:v>
                </c:pt>
                <c:pt idx="2">
                  <c:v>0.63079321088413198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0.47006884533858062</c:v>
                </c:pt>
                <c:pt idx="1">
                  <c:v>0.32745069112896741</c:v>
                </c:pt>
                <c:pt idx="2">
                  <c:v>0.20248046353245186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8.1316424999999999</c:v>
                </c:pt>
                <c:pt idx="1">
                  <c:v>15.092359999999999</c:v>
                </c:pt>
                <c:pt idx="2">
                  <c:v>36.248049999999999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0.40441199999999999</c:v>
                </c:pt>
                <c:pt idx="2">
                  <c:v>0.8095</c:v>
                </c:pt>
                <c:pt idx="3">
                  <c:v>1.21783</c:v>
                </c:pt>
                <c:pt idx="4">
                  <c:v>1.62273</c:v>
                </c:pt>
                <c:pt idx="5">
                  <c:v>2.0298799999999999</c:v>
                </c:pt>
                <c:pt idx="6">
                  <c:v>2.4361000000000002</c:v>
                </c:pt>
                <c:pt idx="7">
                  <c:v>2.8405499999999999</c:v>
                </c:pt>
                <c:pt idx="8">
                  <c:v>3.24769</c:v>
                </c:pt>
                <c:pt idx="9">
                  <c:v>3.6527799999999999</c:v>
                </c:pt>
                <c:pt idx="10">
                  <c:v>4.0640000000000001</c:v>
                </c:pt>
                <c:pt idx="11">
                  <c:v>4.4677600000000002</c:v>
                </c:pt>
                <c:pt idx="12">
                  <c:v>4.8733300000000002</c:v>
                </c:pt>
                <c:pt idx="13">
                  <c:v>5.2780199999999997</c:v>
                </c:pt>
                <c:pt idx="14">
                  <c:v>5.6905400000000004</c:v>
                </c:pt>
                <c:pt idx="15">
                  <c:v>6.0942299999999996</c:v>
                </c:pt>
                <c:pt idx="16">
                  <c:v>6.5004099999999996</c:v>
                </c:pt>
                <c:pt idx="17">
                  <c:v>6.9036900000000001</c:v>
                </c:pt>
                <c:pt idx="18">
                  <c:v>7.3098299999999998</c:v>
                </c:pt>
                <c:pt idx="19">
                  <c:v>7.7161200000000001</c:v>
                </c:pt>
                <c:pt idx="20">
                  <c:v>8.1246700000000001</c:v>
                </c:pt>
                <c:pt idx="21">
                  <c:v>8.52881</c:v>
                </c:pt>
                <c:pt idx="22">
                  <c:v>8.9374300000000009</c:v>
                </c:pt>
                <c:pt idx="23">
                  <c:v>9.3417999999999992</c:v>
                </c:pt>
                <c:pt idx="24">
                  <c:v>9.7470199999999991</c:v>
                </c:pt>
                <c:pt idx="25">
                  <c:v>10.153600000000001</c:v>
                </c:pt>
                <c:pt idx="26">
                  <c:v>10.5625</c:v>
                </c:pt>
                <c:pt idx="27">
                  <c:v>10.970599999999999</c:v>
                </c:pt>
                <c:pt idx="28">
                  <c:v>11.3728</c:v>
                </c:pt>
                <c:pt idx="29">
                  <c:v>11.78</c:v>
                </c:pt>
                <c:pt idx="30">
                  <c:v>12.187099999999999</c:v>
                </c:pt>
                <c:pt idx="31">
                  <c:v>12.5939</c:v>
                </c:pt>
                <c:pt idx="32">
                  <c:v>12.9983</c:v>
                </c:pt>
                <c:pt idx="33">
                  <c:v>13.4062</c:v>
                </c:pt>
                <c:pt idx="34">
                  <c:v>13.810700000000001</c:v>
                </c:pt>
                <c:pt idx="35">
                  <c:v>14.2158</c:v>
                </c:pt>
                <c:pt idx="36">
                  <c:v>14.623100000000001</c:v>
                </c:pt>
                <c:pt idx="37">
                  <c:v>15.028499999999999</c:v>
                </c:pt>
                <c:pt idx="38">
                  <c:v>15.438700000000001</c:v>
                </c:pt>
                <c:pt idx="39">
                  <c:v>15.8415</c:v>
                </c:pt>
                <c:pt idx="40">
                  <c:v>16.246600000000001</c:v>
                </c:pt>
                <c:pt idx="41">
                  <c:v>16.653500000000001</c:v>
                </c:pt>
                <c:pt idx="42">
                  <c:v>17.061499999999999</c:v>
                </c:pt>
                <c:pt idx="43">
                  <c:v>17.470300000000002</c:v>
                </c:pt>
                <c:pt idx="44">
                  <c:v>17.874500000000001</c:v>
                </c:pt>
                <c:pt idx="45">
                  <c:v>18.278700000000001</c:v>
                </c:pt>
                <c:pt idx="46">
                  <c:v>18.6858</c:v>
                </c:pt>
                <c:pt idx="47">
                  <c:v>19.094200000000001</c:v>
                </c:pt>
                <c:pt idx="48">
                  <c:v>19.500399999999999</c:v>
                </c:pt>
                <c:pt idx="49">
                  <c:v>19.9069</c:v>
                </c:pt>
                <c:pt idx="50">
                  <c:v>20.3108</c:v>
                </c:pt>
                <c:pt idx="51">
                  <c:v>20.716000000000001</c:v>
                </c:pt>
                <c:pt idx="52">
                  <c:v>21.126300000000001</c:v>
                </c:pt>
                <c:pt idx="53">
                  <c:v>21.5319</c:v>
                </c:pt>
                <c:pt idx="54">
                  <c:v>21.938500000000001</c:v>
                </c:pt>
                <c:pt idx="55">
                  <c:v>22.3414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23.560600000000001</c:v>
                </c:pt>
                <c:pt idx="59">
                  <c:v>23.9693</c:v>
                </c:pt>
                <c:pt idx="60">
                  <c:v>24.372199999999999</c:v>
                </c:pt>
                <c:pt idx="61">
                  <c:v>24.7821</c:v>
                </c:pt>
                <c:pt idx="62">
                  <c:v>25.186800000000002</c:v>
                </c:pt>
                <c:pt idx="63">
                  <c:v>25.592400000000001</c:v>
                </c:pt>
                <c:pt idx="64">
                  <c:v>25.9968</c:v>
                </c:pt>
                <c:pt idx="65">
                  <c:v>26.41</c:v>
                </c:pt>
                <c:pt idx="66">
                  <c:v>26.811199999999999</c:v>
                </c:pt>
                <c:pt idx="67">
                  <c:v>27.221699999999998</c:v>
                </c:pt>
                <c:pt idx="68">
                  <c:v>27.627400000000002</c:v>
                </c:pt>
                <c:pt idx="69">
                  <c:v>28.029399999999999</c:v>
                </c:pt>
                <c:pt idx="70">
                  <c:v>28.4405</c:v>
                </c:pt>
                <c:pt idx="71">
                  <c:v>28.8431</c:v>
                </c:pt>
                <c:pt idx="72">
                  <c:v>29.2545</c:v>
                </c:pt>
                <c:pt idx="73">
                  <c:v>29.6572</c:v>
                </c:pt>
                <c:pt idx="74">
                  <c:v>30.062899999999999</c:v>
                </c:pt>
                <c:pt idx="75">
                  <c:v>30.484300000000001</c:v>
                </c:pt>
                <c:pt idx="76">
                  <c:v>30.888400000000001</c:v>
                </c:pt>
                <c:pt idx="77">
                  <c:v>31.294899999999998</c:v>
                </c:pt>
                <c:pt idx="78">
                  <c:v>31.705500000000001</c:v>
                </c:pt>
                <c:pt idx="79">
                  <c:v>32.109900000000003</c:v>
                </c:pt>
                <c:pt idx="80">
                  <c:v>32.515300000000003</c:v>
                </c:pt>
                <c:pt idx="81">
                  <c:v>32.923099999999998</c:v>
                </c:pt>
                <c:pt idx="82">
                  <c:v>33.326300000000003</c:v>
                </c:pt>
                <c:pt idx="83">
                  <c:v>33.734499999999997</c:v>
                </c:pt>
                <c:pt idx="84">
                  <c:v>34.143599999999999</c:v>
                </c:pt>
                <c:pt idx="85">
                  <c:v>34.546199999999999</c:v>
                </c:pt>
                <c:pt idx="86">
                  <c:v>34.951300000000003</c:v>
                </c:pt>
                <c:pt idx="87">
                  <c:v>35.356900000000003</c:v>
                </c:pt>
                <c:pt idx="88">
                  <c:v>35.766300000000001</c:v>
                </c:pt>
                <c:pt idx="89">
                  <c:v>36.171900000000001</c:v>
                </c:pt>
                <c:pt idx="90">
                  <c:v>36.580199999999998</c:v>
                </c:pt>
                <c:pt idx="91">
                  <c:v>36.985500000000002</c:v>
                </c:pt>
                <c:pt idx="92">
                  <c:v>37.387700000000002</c:v>
                </c:pt>
                <c:pt idx="93">
                  <c:v>37.796399999999998</c:v>
                </c:pt>
                <c:pt idx="94">
                  <c:v>38.202599999999997</c:v>
                </c:pt>
                <c:pt idx="95">
                  <c:v>38.611800000000002</c:v>
                </c:pt>
                <c:pt idx="96">
                  <c:v>39.017600000000002</c:v>
                </c:pt>
                <c:pt idx="97">
                  <c:v>39.4268</c:v>
                </c:pt>
                <c:pt idx="98">
                  <c:v>39.827399999999997</c:v>
                </c:pt>
                <c:pt idx="99">
                  <c:v>40.233400000000003</c:v>
                </c:pt>
                <c:pt idx="100">
                  <c:v>40.6434</c:v>
                </c:pt>
                <c:pt idx="101">
                  <c:v>41.046700000000001</c:v>
                </c:pt>
                <c:pt idx="102">
                  <c:v>41.4514</c:v>
                </c:pt>
                <c:pt idx="103">
                  <c:v>41.8643</c:v>
                </c:pt>
                <c:pt idx="104">
                  <c:v>42.263199999999998</c:v>
                </c:pt>
                <c:pt idx="105">
                  <c:v>42.671100000000003</c:v>
                </c:pt>
                <c:pt idx="106">
                  <c:v>43.078400000000002</c:v>
                </c:pt>
                <c:pt idx="107">
                  <c:v>43.484299999999998</c:v>
                </c:pt>
                <c:pt idx="108">
                  <c:v>43.891100000000002</c:v>
                </c:pt>
                <c:pt idx="109">
                  <c:v>44.297699999999999</c:v>
                </c:pt>
                <c:pt idx="110">
                  <c:v>44.702599999999997</c:v>
                </c:pt>
                <c:pt idx="111">
                  <c:v>45.108499999999999</c:v>
                </c:pt>
                <c:pt idx="112">
                  <c:v>45.517200000000003</c:v>
                </c:pt>
                <c:pt idx="113">
                  <c:v>45.921300000000002</c:v>
                </c:pt>
                <c:pt idx="114">
                  <c:v>46.325299999999999</c:v>
                </c:pt>
                <c:pt idx="115">
                  <c:v>46.730899999999998</c:v>
                </c:pt>
                <c:pt idx="116">
                  <c:v>47.139600000000002</c:v>
                </c:pt>
                <c:pt idx="117">
                  <c:v>47.542700000000004</c:v>
                </c:pt>
                <c:pt idx="118">
                  <c:v>47.950600000000001</c:v>
                </c:pt>
                <c:pt idx="119">
                  <c:v>48.358499999999999</c:v>
                </c:pt>
                <c:pt idx="120">
                  <c:v>48.764299999999999</c:v>
                </c:pt>
                <c:pt idx="121">
                  <c:v>49.170099999999998</c:v>
                </c:pt>
                <c:pt idx="122">
                  <c:v>49.579700000000003</c:v>
                </c:pt>
                <c:pt idx="123">
                  <c:v>49.985500000000002</c:v>
                </c:pt>
                <c:pt idx="124">
                  <c:v>50.388599999999997</c:v>
                </c:pt>
                <c:pt idx="125">
                  <c:v>50.7941</c:v>
                </c:pt>
                <c:pt idx="126">
                  <c:v>51.2014</c:v>
                </c:pt>
                <c:pt idx="127">
                  <c:v>51.610199999999999</c:v>
                </c:pt>
                <c:pt idx="128">
                  <c:v>52.014899999999997</c:v>
                </c:pt>
                <c:pt idx="129">
                  <c:v>52.423000000000002</c:v>
                </c:pt>
                <c:pt idx="130">
                  <c:v>52.825499999999998</c:v>
                </c:pt>
                <c:pt idx="131">
                  <c:v>53.2346</c:v>
                </c:pt>
                <c:pt idx="132">
                  <c:v>53.638399999999997</c:v>
                </c:pt>
                <c:pt idx="133">
                  <c:v>54.043999999999997</c:v>
                </c:pt>
                <c:pt idx="134">
                  <c:v>54.450800000000001</c:v>
                </c:pt>
                <c:pt idx="135">
                  <c:v>54.86</c:v>
                </c:pt>
                <c:pt idx="136">
                  <c:v>55.261699999999998</c:v>
                </c:pt>
                <c:pt idx="137">
                  <c:v>55.670400000000001</c:v>
                </c:pt>
                <c:pt idx="138">
                  <c:v>56.0762</c:v>
                </c:pt>
                <c:pt idx="139">
                  <c:v>56.4846</c:v>
                </c:pt>
                <c:pt idx="140">
                  <c:v>56.890599999999999</c:v>
                </c:pt>
                <c:pt idx="141">
                  <c:v>57.296599999999998</c:v>
                </c:pt>
                <c:pt idx="142">
                  <c:v>57.702800000000003</c:v>
                </c:pt>
                <c:pt idx="143">
                  <c:v>58.108199999999997</c:v>
                </c:pt>
                <c:pt idx="144">
                  <c:v>58.513100000000001</c:v>
                </c:pt>
                <c:pt idx="145">
                  <c:v>58.918999999999997</c:v>
                </c:pt>
                <c:pt idx="146">
                  <c:v>59.3279</c:v>
                </c:pt>
                <c:pt idx="147">
                  <c:v>59.731999999999999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3.3955200000000003</c:v>
                </c:pt>
                <c:pt idx="1">
                  <c:v>3.4975499999999999</c:v>
                </c:pt>
                <c:pt idx="2">
                  <c:v>3.59545</c:v>
                </c:pt>
                <c:pt idx="3">
                  <c:v>3.6953100000000001</c:v>
                </c:pt>
                <c:pt idx="4">
                  <c:v>3.79589</c:v>
                </c:pt>
                <c:pt idx="5">
                  <c:v>3.8859300000000001</c:v>
                </c:pt>
                <c:pt idx="6">
                  <c:v>3.97377</c:v>
                </c:pt>
                <c:pt idx="7">
                  <c:v>4.05863</c:v>
                </c:pt>
                <c:pt idx="8">
                  <c:v>4.1357900000000001</c:v>
                </c:pt>
                <c:pt idx="9">
                  <c:v>4.2068599999999998</c:v>
                </c:pt>
                <c:pt idx="10">
                  <c:v>4.2729499999999998</c:v>
                </c:pt>
                <c:pt idx="11">
                  <c:v>4.33589</c:v>
                </c:pt>
                <c:pt idx="12">
                  <c:v>4.3952900000000001</c:v>
                </c:pt>
                <c:pt idx="13">
                  <c:v>4.4475800000000003</c:v>
                </c:pt>
                <c:pt idx="14">
                  <c:v>4.49153</c:v>
                </c:pt>
                <c:pt idx="15">
                  <c:v>4.5289700000000002</c:v>
                </c:pt>
                <c:pt idx="16">
                  <c:v>4.5636599999999996</c:v>
                </c:pt>
                <c:pt idx="17">
                  <c:v>4.5923400000000001</c:v>
                </c:pt>
                <c:pt idx="18">
                  <c:v>4.6175699999999997</c:v>
                </c:pt>
                <c:pt idx="19">
                  <c:v>4.6380999999999997</c:v>
                </c:pt>
                <c:pt idx="20">
                  <c:v>4.6510800000000003</c:v>
                </c:pt>
                <c:pt idx="21">
                  <c:v>4.65848</c:v>
                </c:pt>
                <c:pt idx="22">
                  <c:v>4.6610100000000001</c:v>
                </c:pt>
                <c:pt idx="23">
                  <c:v>4.6596200000000003</c:v>
                </c:pt>
                <c:pt idx="24">
                  <c:v>4.6573199999999995</c:v>
                </c:pt>
                <c:pt idx="25">
                  <c:v>4.6519199999999996</c:v>
                </c:pt>
                <c:pt idx="26">
                  <c:v>4.6441499999999998</c:v>
                </c:pt>
                <c:pt idx="27">
                  <c:v>4.6357799999999996</c:v>
                </c:pt>
                <c:pt idx="28">
                  <c:v>4.6265499999999999</c:v>
                </c:pt>
                <c:pt idx="29">
                  <c:v>4.6143400000000003</c:v>
                </c:pt>
                <c:pt idx="30">
                  <c:v>4.5988600000000002</c:v>
                </c:pt>
                <c:pt idx="31">
                  <c:v>4.5775900000000007</c:v>
                </c:pt>
                <c:pt idx="32">
                  <c:v>4.5520500000000004</c:v>
                </c:pt>
                <c:pt idx="33">
                  <c:v>4.5272699999999997</c:v>
                </c:pt>
                <c:pt idx="34">
                  <c:v>4.5045800000000007</c:v>
                </c:pt>
                <c:pt idx="35">
                  <c:v>4.4805200000000003</c:v>
                </c:pt>
                <c:pt idx="36">
                  <c:v>4.45784</c:v>
                </c:pt>
                <c:pt idx="37">
                  <c:v>4.4358599999999999</c:v>
                </c:pt>
                <c:pt idx="38">
                  <c:v>4.4173299999999998</c:v>
                </c:pt>
                <c:pt idx="39">
                  <c:v>4.4028299999999998</c:v>
                </c:pt>
                <c:pt idx="40">
                  <c:v>4.3960100000000004</c:v>
                </c:pt>
                <c:pt idx="41">
                  <c:v>4.3929600000000004</c:v>
                </c:pt>
                <c:pt idx="42">
                  <c:v>4.3891299999999998</c:v>
                </c:pt>
                <c:pt idx="43">
                  <c:v>4.3848799999999999</c:v>
                </c:pt>
                <c:pt idx="44">
                  <c:v>4.3837099999999998</c:v>
                </c:pt>
                <c:pt idx="45">
                  <c:v>4.3891</c:v>
                </c:pt>
                <c:pt idx="46">
                  <c:v>4.4001800000000006</c:v>
                </c:pt>
                <c:pt idx="47">
                  <c:v>4.4077000000000002</c:v>
                </c:pt>
                <c:pt idx="48">
                  <c:v>4.4131599999999995</c:v>
                </c:pt>
                <c:pt idx="49">
                  <c:v>4.4167000000000005</c:v>
                </c:pt>
                <c:pt idx="50">
                  <c:v>4.42225</c:v>
                </c:pt>
                <c:pt idx="51">
                  <c:v>4.4319699999999997</c:v>
                </c:pt>
                <c:pt idx="52">
                  <c:v>4.44442</c:v>
                </c:pt>
                <c:pt idx="53">
                  <c:v>4.4509999999999996</c:v>
                </c:pt>
                <c:pt idx="54">
                  <c:v>4.4570300000000005</c:v>
                </c:pt>
                <c:pt idx="55">
                  <c:v>4.4639800000000003</c:v>
                </c:pt>
                <c:pt idx="56">
                  <c:v>4.4705899999999996</c:v>
                </c:pt>
                <c:pt idx="57">
                  <c:v>4.4808399999999997</c:v>
                </c:pt>
                <c:pt idx="58">
                  <c:v>4.49587</c:v>
                </c:pt>
                <c:pt idx="59">
                  <c:v>4.5078000000000005</c:v>
                </c:pt>
                <c:pt idx="60">
                  <c:v>4.5245499999999996</c:v>
                </c:pt>
                <c:pt idx="61">
                  <c:v>4.5424999999999995</c:v>
                </c:pt>
                <c:pt idx="62">
                  <c:v>4.5613700000000001</c:v>
                </c:pt>
                <c:pt idx="63">
                  <c:v>4.5837899999999996</c:v>
                </c:pt>
                <c:pt idx="64">
                  <c:v>4.6070100000000007</c:v>
                </c:pt>
                <c:pt idx="65">
                  <c:v>4.6254800000000005</c:v>
                </c:pt>
                <c:pt idx="66">
                  <c:v>4.6421600000000005</c:v>
                </c:pt>
                <c:pt idx="67">
                  <c:v>4.6611799999999999</c:v>
                </c:pt>
                <c:pt idx="68">
                  <c:v>4.6810700000000001</c:v>
                </c:pt>
                <c:pt idx="69">
                  <c:v>4.6999700000000004</c:v>
                </c:pt>
                <c:pt idx="70">
                  <c:v>4.7170699999999997</c:v>
                </c:pt>
                <c:pt idx="71">
                  <c:v>4.73048</c:v>
                </c:pt>
                <c:pt idx="72">
                  <c:v>4.7444899999999999</c:v>
                </c:pt>
                <c:pt idx="73">
                  <c:v>4.7591599999999996</c:v>
                </c:pt>
                <c:pt idx="74">
                  <c:v>4.7728799999999998</c:v>
                </c:pt>
                <c:pt idx="75">
                  <c:v>4.7817600000000002</c:v>
                </c:pt>
                <c:pt idx="76">
                  <c:v>4.7869600000000005</c:v>
                </c:pt>
                <c:pt idx="77">
                  <c:v>4.79061</c:v>
                </c:pt>
                <c:pt idx="78">
                  <c:v>4.7952499999999993</c:v>
                </c:pt>
                <c:pt idx="79">
                  <c:v>4.7996800000000004</c:v>
                </c:pt>
                <c:pt idx="80">
                  <c:v>4.8044199999999995</c:v>
                </c:pt>
                <c:pt idx="81">
                  <c:v>4.8087499999999999</c:v>
                </c:pt>
                <c:pt idx="82">
                  <c:v>4.8113799999999998</c:v>
                </c:pt>
                <c:pt idx="83">
                  <c:v>4.8084899999999999</c:v>
                </c:pt>
                <c:pt idx="84">
                  <c:v>4.8084500000000006</c:v>
                </c:pt>
                <c:pt idx="85">
                  <c:v>4.8049400000000002</c:v>
                </c:pt>
                <c:pt idx="86">
                  <c:v>4.7988099999999996</c:v>
                </c:pt>
                <c:pt idx="87">
                  <c:v>4.7942999999999998</c:v>
                </c:pt>
                <c:pt idx="88">
                  <c:v>4.7860700000000005</c:v>
                </c:pt>
                <c:pt idx="89">
                  <c:v>4.7762500000000001</c:v>
                </c:pt>
                <c:pt idx="90">
                  <c:v>4.76546</c:v>
                </c:pt>
                <c:pt idx="91">
                  <c:v>4.7514200000000004</c:v>
                </c:pt>
                <c:pt idx="92">
                  <c:v>4.73855</c:v>
                </c:pt>
                <c:pt idx="93">
                  <c:v>4.7277699999999996</c:v>
                </c:pt>
                <c:pt idx="94">
                  <c:v>4.7132199999999997</c:v>
                </c:pt>
                <c:pt idx="95">
                  <c:v>4.6983699999999997</c:v>
                </c:pt>
                <c:pt idx="96">
                  <c:v>4.6829200000000002</c:v>
                </c:pt>
                <c:pt idx="97">
                  <c:v>4.67347</c:v>
                </c:pt>
                <c:pt idx="98">
                  <c:v>4.6728399999999999</c:v>
                </c:pt>
                <c:pt idx="99">
                  <c:v>4.6693099999999994</c:v>
                </c:pt>
                <c:pt idx="100">
                  <c:v>4.6672799999999999</c:v>
                </c:pt>
                <c:pt idx="101">
                  <c:v>4.6651999999999996</c:v>
                </c:pt>
                <c:pt idx="102">
                  <c:v>4.66174</c:v>
                </c:pt>
                <c:pt idx="103">
                  <c:v>4.6615599999999997</c:v>
                </c:pt>
                <c:pt idx="104">
                  <c:v>4.6619000000000002</c:v>
                </c:pt>
                <c:pt idx="105">
                  <c:v>4.6606199999999998</c:v>
                </c:pt>
                <c:pt idx="106">
                  <c:v>4.6624999999999996</c:v>
                </c:pt>
                <c:pt idx="107">
                  <c:v>4.6635799999999996</c:v>
                </c:pt>
                <c:pt idx="108">
                  <c:v>4.6707299999999998</c:v>
                </c:pt>
                <c:pt idx="109">
                  <c:v>4.6785600000000001</c:v>
                </c:pt>
                <c:pt idx="110">
                  <c:v>4.6876499999999997</c:v>
                </c:pt>
                <c:pt idx="111">
                  <c:v>4.6971499999999997</c:v>
                </c:pt>
                <c:pt idx="112">
                  <c:v>4.7027299999999999</c:v>
                </c:pt>
                <c:pt idx="113">
                  <c:v>4.71035</c:v>
                </c:pt>
                <c:pt idx="114">
                  <c:v>4.7221700000000002</c:v>
                </c:pt>
                <c:pt idx="115">
                  <c:v>4.7372300000000003</c:v>
                </c:pt>
                <c:pt idx="116">
                  <c:v>4.75542</c:v>
                </c:pt>
                <c:pt idx="117">
                  <c:v>4.7711500000000004</c:v>
                </c:pt>
                <c:pt idx="118">
                  <c:v>4.7837699999999996</c:v>
                </c:pt>
                <c:pt idx="119">
                  <c:v>4.8039900000000006</c:v>
                </c:pt>
                <c:pt idx="120">
                  <c:v>4.82761</c:v>
                </c:pt>
                <c:pt idx="121">
                  <c:v>4.8530600000000002</c:v>
                </c:pt>
                <c:pt idx="122">
                  <c:v>4.8725000000000005</c:v>
                </c:pt>
                <c:pt idx="123">
                  <c:v>4.8750599999999995</c:v>
                </c:pt>
                <c:pt idx="124">
                  <c:v>4.87608</c:v>
                </c:pt>
                <c:pt idx="125">
                  <c:v>4.8810000000000002</c:v>
                </c:pt>
                <c:pt idx="126">
                  <c:v>4.8858899999999998</c:v>
                </c:pt>
                <c:pt idx="127">
                  <c:v>4.8907600000000002</c:v>
                </c:pt>
                <c:pt idx="128">
                  <c:v>4.89351</c:v>
                </c:pt>
                <c:pt idx="129">
                  <c:v>4.89602</c:v>
                </c:pt>
                <c:pt idx="130">
                  <c:v>4.9007100000000001</c:v>
                </c:pt>
                <c:pt idx="131">
                  <c:v>4.9037100000000002</c:v>
                </c:pt>
                <c:pt idx="132">
                  <c:v>4.9113199999999999</c:v>
                </c:pt>
                <c:pt idx="133">
                  <c:v>4.9166500000000006</c:v>
                </c:pt>
                <c:pt idx="134">
                  <c:v>4.9215999999999998</c:v>
                </c:pt>
                <c:pt idx="135">
                  <c:v>4.9279200000000003</c:v>
                </c:pt>
                <c:pt idx="136">
                  <c:v>4.9378100000000007</c:v>
                </c:pt>
                <c:pt idx="137">
                  <c:v>4.9508200000000002</c:v>
                </c:pt>
                <c:pt idx="138">
                  <c:v>4.9636500000000003</c:v>
                </c:pt>
                <c:pt idx="139">
                  <c:v>4.96896</c:v>
                </c:pt>
                <c:pt idx="140">
                  <c:v>4.9763700000000002</c:v>
                </c:pt>
                <c:pt idx="141">
                  <c:v>4.9891000000000005</c:v>
                </c:pt>
                <c:pt idx="142">
                  <c:v>4.9999000000000002</c:v>
                </c:pt>
                <c:pt idx="143">
                  <c:v>5.0151500000000002</c:v>
                </c:pt>
                <c:pt idx="144">
                  <c:v>5.0272199999999998</c:v>
                </c:pt>
                <c:pt idx="145">
                  <c:v>5.0240099999999996</c:v>
                </c:pt>
                <c:pt idx="146">
                  <c:v>5.0376099999999999</c:v>
                </c:pt>
                <c:pt idx="147">
                  <c:v>5.0297400000000003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0.40441199999999999</c:v>
                </c:pt>
                <c:pt idx="2">
                  <c:v>0.8095</c:v>
                </c:pt>
                <c:pt idx="3">
                  <c:v>1.21783</c:v>
                </c:pt>
                <c:pt idx="4">
                  <c:v>1.62273</c:v>
                </c:pt>
                <c:pt idx="5">
                  <c:v>2.0298799999999999</c:v>
                </c:pt>
                <c:pt idx="6">
                  <c:v>2.4361000000000002</c:v>
                </c:pt>
                <c:pt idx="7">
                  <c:v>2.8405499999999999</c:v>
                </c:pt>
                <c:pt idx="8">
                  <c:v>3.24769</c:v>
                </c:pt>
                <c:pt idx="9">
                  <c:v>3.6527799999999999</c:v>
                </c:pt>
                <c:pt idx="10">
                  <c:v>4.0640000000000001</c:v>
                </c:pt>
                <c:pt idx="11">
                  <c:v>4.4677600000000002</c:v>
                </c:pt>
                <c:pt idx="12">
                  <c:v>4.8733300000000002</c:v>
                </c:pt>
                <c:pt idx="13">
                  <c:v>5.2780199999999997</c:v>
                </c:pt>
                <c:pt idx="14">
                  <c:v>5.6905400000000004</c:v>
                </c:pt>
                <c:pt idx="15">
                  <c:v>6.0942299999999996</c:v>
                </c:pt>
                <c:pt idx="16">
                  <c:v>6.5004099999999996</c:v>
                </c:pt>
                <c:pt idx="17">
                  <c:v>6.9036900000000001</c:v>
                </c:pt>
                <c:pt idx="18">
                  <c:v>7.3098299999999998</c:v>
                </c:pt>
                <c:pt idx="19">
                  <c:v>7.7161200000000001</c:v>
                </c:pt>
                <c:pt idx="20">
                  <c:v>8.1246700000000001</c:v>
                </c:pt>
                <c:pt idx="21">
                  <c:v>8.52881</c:v>
                </c:pt>
                <c:pt idx="22">
                  <c:v>8.9374300000000009</c:v>
                </c:pt>
                <c:pt idx="23">
                  <c:v>9.3417999999999992</c:v>
                </c:pt>
                <c:pt idx="24">
                  <c:v>9.7470199999999991</c:v>
                </c:pt>
                <c:pt idx="25">
                  <c:v>10.153600000000001</c:v>
                </c:pt>
                <c:pt idx="26">
                  <c:v>10.5625</c:v>
                </c:pt>
                <c:pt idx="27">
                  <c:v>10.970599999999999</c:v>
                </c:pt>
                <c:pt idx="28">
                  <c:v>11.3728</c:v>
                </c:pt>
                <c:pt idx="29">
                  <c:v>11.78</c:v>
                </c:pt>
                <c:pt idx="30">
                  <c:v>12.187099999999999</c:v>
                </c:pt>
                <c:pt idx="31">
                  <c:v>12.5939</c:v>
                </c:pt>
                <c:pt idx="32">
                  <c:v>12.9983</c:v>
                </c:pt>
                <c:pt idx="33">
                  <c:v>13.4062</c:v>
                </c:pt>
                <c:pt idx="34">
                  <c:v>13.810700000000001</c:v>
                </c:pt>
                <c:pt idx="35">
                  <c:v>14.2158</c:v>
                </c:pt>
                <c:pt idx="36">
                  <c:v>14.623100000000001</c:v>
                </c:pt>
                <c:pt idx="37">
                  <c:v>15.028499999999999</c:v>
                </c:pt>
                <c:pt idx="38">
                  <c:v>15.438700000000001</c:v>
                </c:pt>
                <c:pt idx="39">
                  <c:v>15.8415</c:v>
                </c:pt>
                <c:pt idx="40">
                  <c:v>16.246600000000001</c:v>
                </c:pt>
                <c:pt idx="41">
                  <c:v>16.653500000000001</c:v>
                </c:pt>
                <c:pt idx="42">
                  <c:v>17.061499999999999</c:v>
                </c:pt>
                <c:pt idx="43">
                  <c:v>17.470300000000002</c:v>
                </c:pt>
                <c:pt idx="44">
                  <c:v>17.874500000000001</c:v>
                </c:pt>
                <c:pt idx="45">
                  <c:v>18.278700000000001</c:v>
                </c:pt>
                <c:pt idx="46">
                  <c:v>18.6858</c:v>
                </c:pt>
                <c:pt idx="47">
                  <c:v>19.094200000000001</c:v>
                </c:pt>
                <c:pt idx="48">
                  <c:v>19.500399999999999</c:v>
                </c:pt>
                <c:pt idx="49">
                  <c:v>19.9069</c:v>
                </c:pt>
                <c:pt idx="50">
                  <c:v>20.3108</c:v>
                </c:pt>
                <c:pt idx="51">
                  <c:v>20.716000000000001</c:v>
                </c:pt>
                <c:pt idx="52">
                  <c:v>21.126300000000001</c:v>
                </c:pt>
                <c:pt idx="53">
                  <c:v>21.5319</c:v>
                </c:pt>
                <c:pt idx="54">
                  <c:v>21.938500000000001</c:v>
                </c:pt>
                <c:pt idx="55">
                  <c:v>22.3414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23.560600000000001</c:v>
                </c:pt>
                <c:pt idx="59">
                  <c:v>23.9693</c:v>
                </c:pt>
                <c:pt idx="60">
                  <c:v>24.372199999999999</c:v>
                </c:pt>
                <c:pt idx="61">
                  <c:v>24.7821</c:v>
                </c:pt>
                <c:pt idx="62">
                  <c:v>25.186800000000002</c:v>
                </c:pt>
                <c:pt idx="63">
                  <c:v>25.592400000000001</c:v>
                </c:pt>
                <c:pt idx="64">
                  <c:v>25.9968</c:v>
                </c:pt>
                <c:pt idx="65">
                  <c:v>26.41</c:v>
                </c:pt>
                <c:pt idx="66">
                  <c:v>26.811199999999999</c:v>
                </c:pt>
                <c:pt idx="67">
                  <c:v>27.221699999999998</c:v>
                </c:pt>
                <c:pt idx="68">
                  <c:v>27.627400000000002</c:v>
                </c:pt>
                <c:pt idx="69">
                  <c:v>28.029399999999999</c:v>
                </c:pt>
                <c:pt idx="70">
                  <c:v>28.4405</c:v>
                </c:pt>
                <c:pt idx="71">
                  <c:v>28.8431</c:v>
                </c:pt>
                <c:pt idx="72">
                  <c:v>29.2545</c:v>
                </c:pt>
                <c:pt idx="73">
                  <c:v>29.6572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3.3955200000000003</c:v>
                </c:pt>
                <c:pt idx="1">
                  <c:v>3.4975499999999999</c:v>
                </c:pt>
                <c:pt idx="2">
                  <c:v>3.59545</c:v>
                </c:pt>
                <c:pt idx="3">
                  <c:v>3.6953100000000001</c:v>
                </c:pt>
                <c:pt idx="4">
                  <c:v>3.79589</c:v>
                </c:pt>
                <c:pt idx="5">
                  <c:v>3.8859300000000001</c:v>
                </c:pt>
                <c:pt idx="6">
                  <c:v>3.97377</c:v>
                </c:pt>
                <c:pt idx="7">
                  <c:v>4.05863</c:v>
                </c:pt>
                <c:pt idx="8">
                  <c:v>4.1357900000000001</c:v>
                </c:pt>
                <c:pt idx="9">
                  <c:v>4.2068599999999998</c:v>
                </c:pt>
                <c:pt idx="10">
                  <c:v>4.2729499999999998</c:v>
                </c:pt>
                <c:pt idx="11">
                  <c:v>4.33589</c:v>
                </c:pt>
                <c:pt idx="12">
                  <c:v>4.3952900000000001</c:v>
                </c:pt>
                <c:pt idx="13">
                  <c:v>4.4475800000000003</c:v>
                </c:pt>
                <c:pt idx="14">
                  <c:v>4.49153</c:v>
                </c:pt>
                <c:pt idx="15">
                  <c:v>4.5289700000000002</c:v>
                </c:pt>
                <c:pt idx="16">
                  <c:v>4.5636599999999996</c:v>
                </c:pt>
                <c:pt idx="17">
                  <c:v>4.5923400000000001</c:v>
                </c:pt>
                <c:pt idx="18">
                  <c:v>4.6175699999999997</c:v>
                </c:pt>
                <c:pt idx="19">
                  <c:v>4.6380999999999997</c:v>
                </c:pt>
                <c:pt idx="20">
                  <c:v>4.6510800000000003</c:v>
                </c:pt>
                <c:pt idx="21">
                  <c:v>4.65848</c:v>
                </c:pt>
                <c:pt idx="22">
                  <c:v>4.6610100000000001</c:v>
                </c:pt>
                <c:pt idx="23">
                  <c:v>4.6596200000000003</c:v>
                </c:pt>
                <c:pt idx="24">
                  <c:v>4.6573199999999995</c:v>
                </c:pt>
                <c:pt idx="25">
                  <c:v>4.6519199999999996</c:v>
                </c:pt>
                <c:pt idx="26">
                  <c:v>4.6441499999999998</c:v>
                </c:pt>
                <c:pt idx="27">
                  <c:v>4.6357799999999996</c:v>
                </c:pt>
                <c:pt idx="28">
                  <c:v>4.6265499999999999</c:v>
                </c:pt>
                <c:pt idx="29">
                  <c:v>4.6143400000000003</c:v>
                </c:pt>
                <c:pt idx="30">
                  <c:v>4.5988600000000002</c:v>
                </c:pt>
                <c:pt idx="31">
                  <c:v>4.5775900000000007</c:v>
                </c:pt>
                <c:pt idx="32">
                  <c:v>4.5520500000000004</c:v>
                </c:pt>
                <c:pt idx="33">
                  <c:v>4.5272699999999997</c:v>
                </c:pt>
                <c:pt idx="34">
                  <c:v>4.5045800000000007</c:v>
                </c:pt>
                <c:pt idx="35">
                  <c:v>4.4805200000000003</c:v>
                </c:pt>
                <c:pt idx="36">
                  <c:v>4.45784</c:v>
                </c:pt>
                <c:pt idx="37">
                  <c:v>4.4358599999999999</c:v>
                </c:pt>
                <c:pt idx="38">
                  <c:v>4.4173299999999998</c:v>
                </c:pt>
                <c:pt idx="39">
                  <c:v>4.4028299999999998</c:v>
                </c:pt>
                <c:pt idx="40">
                  <c:v>4.3960100000000004</c:v>
                </c:pt>
                <c:pt idx="41">
                  <c:v>4.3929600000000004</c:v>
                </c:pt>
                <c:pt idx="42">
                  <c:v>4.3891299999999998</c:v>
                </c:pt>
                <c:pt idx="43">
                  <c:v>4.3848799999999999</c:v>
                </c:pt>
                <c:pt idx="44">
                  <c:v>4.3837099999999998</c:v>
                </c:pt>
                <c:pt idx="45">
                  <c:v>4.3891</c:v>
                </c:pt>
                <c:pt idx="46">
                  <c:v>4.4001800000000006</c:v>
                </c:pt>
                <c:pt idx="47">
                  <c:v>4.4077000000000002</c:v>
                </c:pt>
                <c:pt idx="48">
                  <c:v>4.4131599999999995</c:v>
                </c:pt>
                <c:pt idx="49">
                  <c:v>4.4167000000000005</c:v>
                </c:pt>
                <c:pt idx="50">
                  <c:v>4.42225</c:v>
                </c:pt>
                <c:pt idx="51">
                  <c:v>4.4319699999999997</c:v>
                </c:pt>
                <c:pt idx="52">
                  <c:v>4.44442</c:v>
                </c:pt>
                <c:pt idx="53">
                  <c:v>4.4509999999999996</c:v>
                </c:pt>
                <c:pt idx="54">
                  <c:v>4.4570300000000005</c:v>
                </c:pt>
                <c:pt idx="55">
                  <c:v>4.4639800000000003</c:v>
                </c:pt>
                <c:pt idx="56">
                  <c:v>4.4705899999999996</c:v>
                </c:pt>
                <c:pt idx="57">
                  <c:v>4.4808399999999997</c:v>
                </c:pt>
                <c:pt idx="58">
                  <c:v>4.49587</c:v>
                </c:pt>
                <c:pt idx="59">
                  <c:v>4.5078000000000005</c:v>
                </c:pt>
                <c:pt idx="60">
                  <c:v>4.5245499999999996</c:v>
                </c:pt>
                <c:pt idx="61">
                  <c:v>4.5424999999999995</c:v>
                </c:pt>
                <c:pt idx="62">
                  <c:v>4.5613700000000001</c:v>
                </c:pt>
                <c:pt idx="63">
                  <c:v>4.5837899999999996</c:v>
                </c:pt>
                <c:pt idx="64">
                  <c:v>4.6070100000000007</c:v>
                </c:pt>
                <c:pt idx="65">
                  <c:v>4.6254800000000005</c:v>
                </c:pt>
                <c:pt idx="66">
                  <c:v>4.6421600000000005</c:v>
                </c:pt>
                <c:pt idx="67">
                  <c:v>4.6611799999999999</c:v>
                </c:pt>
                <c:pt idx="68">
                  <c:v>4.6810700000000001</c:v>
                </c:pt>
                <c:pt idx="69">
                  <c:v>4.6999700000000004</c:v>
                </c:pt>
                <c:pt idx="70">
                  <c:v>4.7170699999999997</c:v>
                </c:pt>
                <c:pt idx="71">
                  <c:v>4.73048</c:v>
                </c:pt>
                <c:pt idx="72">
                  <c:v>4.7444899999999999</c:v>
                </c:pt>
                <c:pt idx="73">
                  <c:v>4.7591599999999996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29.6572</c:v>
                </c:pt>
                <c:pt idx="1">
                  <c:v>30.062899999999999</c:v>
                </c:pt>
                <c:pt idx="2">
                  <c:v>30.484300000000001</c:v>
                </c:pt>
                <c:pt idx="3">
                  <c:v>30.888400000000001</c:v>
                </c:pt>
                <c:pt idx="4">
                  <c:v>31.294899999999998</c:v>
                </c:pt>
                <c:pt idx="5">
                  <c:v>31.705500000000001</c:v>
                </c:pt>
                <c:pt idx="6">
                  <c:v>32.109900000000003</c:v>
                </c:pt>
                <c:pt idx="7">
                  <c:v>32.515300000000003</c:v>
                </c:pt>
                <c:pt idx="8">
                  <c:v>32.923099999999998</c:v>
                </c:pt>
                <c:pt idx="9">
                  <c:v>33.326300000000003</c:v>
                </c:pt>
                <c:pt idx="10">
                  <c:v>33.734499999999997</c:v>
                </c:pt>
                <c:pt idx="11">
                  <c:v>34.143599999999999</c:v>
                </c:pt>
                <c:pt idx="12">
                  <c:v>34.546199999999999</c:v>
                </c:pt>
                <c:pt idx="13">
                  <c:v>34.951300000000003</c:v>
                </c:pt>
                <c:pt idx="14">
                  <c:v>35.356900000000003</c:v>
                </c:pt>
                <c:pt idx="15">
                  <c:v>35.766300000000001</c:v>
                </c:pt>
                <c:pt idx="16">
                  <c:v>36.171900000000001</c:v>
                </c:pt>
                <c:pt idx="17">
                  <c:v>36.580199999999998</c:v>
                </c:pt>
                <c:pt idx="18">
                  <c:v>36.985500000000002</c:v>
                </c:pt>
                <c:pt idx="19">
                  <c:v>37.387700000000002</c:v>
                </c:pt>
                <c:pt idx="20">
                  <c:v>37.796399999999998</c:v>
                </c:pt>
                <c:pt idx="21">
                  <c:v>38.202599999999997</c:v>
                </c:pt>
                <c:pt idx="22">
                  <c:v>38.611800000000002</c:v>
                </c:pt>
                <c:pt idx="23">
                  <c:v>39.017600000000002</c:v>
                </c:pt>
                <c:pt idx="24">
                  <c:v>39.4268</c:v>
                </c:pt>
                <c:pt idx="25">
                  <c:v>39.827399999999997</c:v>
                </c:pt>
                <c:pt idx="26">
                  <c:v>40.233400000000003</c:v>
                </c:pt>
                <c:pt idx="27">
                  <c:v>40.6434</c:v>
                </c:pt>
                <c:pt idx="28">
                  <c:v>41.046700000000001</c:v>
                </c:pt>
                <c:pt idx="29">
                  <c:v>41.4514</c:v>
                </c:pt>
                <c:pt idx="30">
                  <c:v>41.8643</c:v>
                </c:pt>
                <c:pt idx="31">
                  <c:v>42.263199999999998</c:v>
                </c:pt>
                <c:pt idx="32">
                  <c:v>42.671100000000003</c:v>
                </c:pt>
                <c:pt idx="33">
                  <c:v>43.078400000000002</c:v>
                </c:pt>
                <c:pt idx="34">
                  <c:v>43.484299999999998</c:v>
                </c:pt>
                <c:pt idx="35">
                  <c:v>43.891100000000002</c:v>
                </c:pt>
                <c:pt idx="36">
                  <c:v>44.297699999999999</c:v>
                </c:pt>
                <c:pt idx="37">
                  <c:v>44.702599999999997</c:v>
                </c:pt>
                <c:pt idx="38">
                  <c:v>45.108499999999999</c:v>
                </c:pt>
                <c:pt idx="39">
                  <c:v>45.517200000000003</c:v>
                </c:pt>
                <c:pt idx="40">
                  <c:v>45.921300000000002</c:v>
                </c:pt>
                <c:pt idx="41">
                  <c:v>46.325299999999999</c:v>
                </c:pt>
                <c:pt idx="42">
                  <c:v>46.730899999999998</c:v>
                </c:pt>
                <c:pt idx="43">
                  <c:v>47.139600000000002</c:v>
                </c:pt>
                <c:pt idx="44">
                  <c:v>47.542700000000004</c:v>
                </c:pt>
                <c:pt idx="45">
                  <c:v>47.950600000000001</c:v>
                </c:pt>
                <c:pt idx="46">
                  <c:v>48.358499999999999</c:v>
                </c:pt>
                <c:pt idx="47">
                  <c:v>48.764299999999999</c:v>
                </c:pt>
                <c:pt idx="48">
                  <c:v>49.170099999999998</c:v>
                </c:pt>
                <c:pt idx="49">
                  <c:v>49.579700000000003</c:v>
                </c:pt>
                <c:pt idx="50">
                  <c:v>49.985500000000002</c:v>
                </c:pt>
                <c:pt idx="51">
                  <c:v>50.388599999999997</c:v>
                </c:pt>
                <c:pt idx="52">
                  <c:v>50.7941</c:v>
                </c:pt>
                <c:pt idx="53">
                  <c:v>51.2014</c:v>
                </c:pt>
                <c:pt idx="54">
                  <c:v>51.610199999999999</c:v>
                </c:pt>
                <c:pt idx="55">
                  <c:v>52.014899999999997</c:v>
                </c:pt>
                <c:pt idx="56">
                  <c:v>52.423000000000002</c:v>
                </c:pt>
                <c:pt idx="57">
                  <c:v>52.825499999999998</c:v>
                </c:pt>
                <c:pt idx="58">
                  <c:v>53.2346</c:v>
                </c:pt>
                <c:pt idx="59">
                  <c:v>53.638399999999997</c:v>
                </c:pt>
                <c:pt idx="60">
                  <c:v>54.043999999999997</c:v>
                </c:pt>
                <c:pt idx="61">
                  <c:v>54.450800000000001</c:v>
                </c:pt>
                <c:pt idx="62">
                  <c:v>54.86</c:v>
                </c:pt>
                <c:pt idx="63">
                  <c:v>55.261699999999998</c:v>
                </c:pt>
                <c:pt idx="64">
                  <c:v>55.670400000000001</c:v>
                </c:pt>
                <c:pt idx="65">
                  <c:v>56.0762</c:v>
                </c:pt>
                <c:pt idx="66">
                  <c:v>56.4846</c:v>
                </c:pt>
                <c:pt idx="67">
                  <c:v>56.890599999999999</c:v>
                </c:pt>
                <c:pt idx="68">
                  <c:v>57.296599999999998</c:v>
                </c:pt>
                <c:pt idx="69">
                  <c:v>57.702800000000003</c:v>
                </c:pt>
                <c:pt idx="70">
                  <c:v>58.108199999999997</c:v>
                </c:pt>
                <c:pt idx="71">
                  <c:v>58.513100000000001</c:v>
                </c:pt>
                <c:pt idx="72">
                  <c:v>58.918999999999997</c:v>
                </c:pt>
                <c:pt idx="73">
                  <c:v>59.3279</c:v>
                </c:pt>
                <c:pt idx="74">
                  <c:v>59.731999999999999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4.7591599999999996</c:v>
                </c:pt>
                <c:pt idx="1">
                  <c:v>4.7728799999999998</c:v>
                </c:pt>
                <c:pt idx="2">
                  <c:v>4.7817600000000002</c:v>
                </c:pt>
                <c:pt idx="3">
                  <c:v>4.7869600000000005</c:v>
                </c:pt>
                <c:pt idx="4">
                  <c:v>4.79061</c:v>
                </c:pt>
                <c:pt idx="5">
                  <c:v>4.7952499999999993</c:v>
                </c:pt>
                <c:pt idx="6">
                  <c:v>4.7996800000000004</c:v>
                </c:pt>
                <c:pt idx="7">
                  <c:v>4.8044199999999995</c:v>
                </c:pt>
                <c:pt idx="8">
                  <c:v>4.8087499999999999</c:v>
                </c:pt>
                <c:pt idx="9">
                  <c:v>4.8113799999999998</c:v>
                </c:pt>
                <c:pt idx="10">
                  <c:v>4.8084899999999999</c:v>
                </c:pt>
                <c:pt idx="11">
                  <c:v>4.8084500000000006</c:v>
                </c:pt>
                <c:pt idx="12">
                  <c:v>4.8049400000000002</c:v>
                </c:pt>
                <c:pt idx="13">
                  <c:v>4.7988099999999996</c:v>
                </c:pt>
                <c:pt idx="14">
                  <c:v>4.7942999999999998</c:v>
                </c:pt>
                <c:pt idx="15">
                  <c:v>4.7860700000000005</c:v>
                </c:pt>
                <c:pt idx="16">
                  <c:v>4.7762500000000001</c:v>
                </c:pt>
                <c:pt idx="17">
                  <c:v>4.76546</c:v>
                </c:pt>
                <c:pt idx="18">
                  <c:v>4.7514200000000004</c:v>
                </c:pt>
                <c:pt idx="19">
                  <c:v>4.73855</c:v>
                </c:pt>
                <c:pt idx="20">
                  <c:v>4.7277699999999996</c:v>
                </c:pt>
                <c:pt idx="21">
                  <c:v>4.7132199999999997</c:v>
                </c:pt>
                <c:pt idx="22">
                  <c:v>4.6983699999999997</c:v>
                </c:pt>
                <c:pt idx="23">
                  <c:v>4.6829200000000002</c:v>
                </c:pt>
                <c:pt idx="24">
                  <c:v>4.67347</c:v>
                </c:pt>
                <c:pt idx="25">
                  <c:v>4.6728399999999999</c:v>
                </c:pt>
                <c:pt idx="26">
                  <c:v>4.6693099999999994</c:v>
                </c:pt>
                <c:pt idx="27">
                  <c:v>4.6672799999999999</c:v>
                </c:pt>
                <c:pt idx="28">
                  <c:v>4.6651999999999996</c:v>
                </c:pt>
                <c:pt idx="29">
                  <c:v>4.66174</c:v>
                </c:pt>
                <c:pt idx="30">
                  <c:v>4.6615599999999997</c:v>
                </c:pt>
                <c:pt idx="31">
                  <c:v>4.6619000000000002</c:v>
                </c:pt>
                <c:pt idx="32">
                  <c:v>4.6606199999999998</c:v>
                </c:pt>
                <c:pt idx="33">
                  <c:v>4.6624999999999996</c:v>
                </c:pt>
                <c:pt idx="34">
                  <c:v>4.6635799999999996</c:v>
                </c:pt>
                <c:pt idx="35">
                  <c:v>4.6707299999999998</c:v>
                </c:pt>
                <c:pt idx="36">
                  <c:v>4.6785600000000001</c:v>
                </c:pt>
                <c:pt idx="37">
                  <c:v>4.6876499999999997</c:v>
                </c:pt>
                <c:pt idx="38">
                  <c:v>4.6971499999999997</c:v>
                </c:pt>
                <c:pt idx="39">
                  <c:v>4.7027299999999999</c:v>
                </c:pt>
                <c:pt idx="40">
                  <c:v>4.71035</c:v>
                </c:pt>
                <c:pt idx="41">
                  <c:v>4.7221700000000002</c:v>
                </c:pt>
                <c:pt idx="42">
                  <c:v>4.7372300000000003</c:v>
                </c:pt>
                <c:pt idx="43">
                  <c:v>4.75542</c:v>
                </c:pt>
                <c:pt idx="44">
                  <c:v>4.7711500000000004</c:v>
                </c:pt>
                <c:pt idx="45">
                  <c:v>4.7837699999999996</c:v>
                </c:pt>
                <c:pt idx="46">
                  <c:v>4.8039900000000006</c:v>
                </c:pt>
                <c:pt idx="47">
                  <c:v>4.82761</c:v>
                </c:pt>
                <c:pt idx="48">
                  <c:v>4.8530600000000002</c:v>
                </c:pt>
                <c:pt idx="49">
                  <c:v>4.8725000000000005</c:v>
                </c:pt>
                <c:pt idx="50">
                  <c:v>4.8750599999999995</c:v>
                </c:pt>
                <c:pt idx="51">
                  <c:v>4.87608</c:v>
                </c:pt>
                <c:pt idx="52">
                  <c:v>4.8810000000000002</c:v>
                </c:pt>
                <c:pt idx="53">
                  <c:v>4.8858899999999998</c:v>
                </c:pt>
                <c:pt idx="54">
                  <c:v>4.8907600000000002</c:v>
                </c:pt>
                <c:pt idx="55">
                  <c:v>4.89351</c:v>
                </c:pt>
                <c:pt idx="56">
                  <c:v>4.89602</c:v>
                </c:pt>
                <c:pt idx="57">
                  <c:v>4.9007100000000001</c:v>
                </c:pt>
                <c:pt idx="58">
                  <c:v>4.9037100000000002</c:v>
                </c:pt>
                <c:pt idx="59">
                  <c:v>4.9113199999999999</c:v>
                </c:pt>
                <c:pt idx="60">
                  <c:v>4.9166500000000006</c:v>
                </c:pt>
                <c:pt idx="61">
                  <c:v>4.9215999999999998</c:v>
                </c:pt>
                <c:pt idx="62">
                  <c:v>4.9279200000000003</c:v>
                </c:pt>
                <c:pt idx="63">
                  <c:v>4.9378100000000007</c:v>
                </c:pt>
                <c:pt idx="64">
                  <c:v>4.9508200000000002</c:v>
                </c:pt>
                <c:pt idx="65">
                  <c:v>4.9636500000000003</c:v>
                </c:pt>
                <c:pt idx="66">
                  <c:v>4.96896</c:v>
                </c:pt>
                <c:pt idx="67">
                  <c:v>4.9763700000000002</c:v>
                </c:pt>
                <c:pt idx="68">
                  <c:v>4.9891000000000005</c:v>
                </c:pt>
                <c:pt idx="69">
                  <c:v>4.9999000000000002</c:v>
                </c:pt>
                <c:pt idx="70">
                  <c:v>5.0151500000000002</c:v>
                </c:pt>
                <c:pt idx="71">
                  <c:v>5.0272199999999998</c:v>
                </c:pt>
                <c:pt idx="72">
                  <c:v>5.0240099999999996</c:v>
                </c:pt>
                <c:pt idx="73">
                  <c:v>5.0376099999999999</c:v>
                </c:pt>
                <c:pt idx="74">
                  <c:v>5.0297400000000003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14.933</c:v>
                </c:pt>
                <c:pt idx="1">
                  <c:v>44.798999999999999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4.4353935135135139</c:v>
                </c:pt>
                <c:pt idx="1">
                  <c:v>4.8108290540540546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0.40441199999999999</c:v>
                </c:pt>
                <c:pt idx="2">
                  <c:v>0.8095</c:v>
                </c:pt>
                <c:pt idx="3">
                  <c:v>1.21783</c:v>
                </c:pt>
                <c:pt idx="4">
                  <c:v>1.62273</c:v>
                </c:pt>
                <c:pt idx="5">
                  <c:v>2.0298799999999999</c:v>
                </c:pt>
                <c:pt idx="6">
                  <c:v>2.4361000000000002</c:v>
                </c:pt>
                <c:pt idx="7">
                  <c:v>2.8405499999999999</c:v>
                </c:pt>
                <c:pt idx="8">
                  <c:v>3.24769</c:v>
                </c:pt>
                <c:pt idx="9">
                  <c:v>3.6527799999999999</c:v>
                </c:pt>
                <c:pt idx="10">
                  <c:v>4.0640000000000001</c:v>
                </c:pt>
                <c:pt idx="11">
                  <c:v>4.4677600000000002</c:v>
                </c:pt>
                <c:pt idx="12">
                  <c:v>4.8733300000000002</c:v>
                </c:pt>
                <c:pt idx="13">
                  <c:v>5.2780199999999997</c:v>
                </c:pt>
                <c:pt idx="14">
                  <c:v>5.6905400000000004</c:v>
                </c:pt>
                <c:pt idx="15">
                  <c:v>6.0942299999999996</c:v>
                </c:pt>
                <c:pt idx="16">
                  <c:v>6.5004099999999996</c:v>
                </c:pt>
                <c:pt idx="17">
                  <c:v>6.9036900000000001</c:v>
                </c:pt>
                <c:pt idx="18">
                  <c:v>7.3098299999999998</c:v>
                </c:pt>
                <c:pt idx="19">
                  <c:v>7.7161200000000001</c:v>
                </c:pt>
                <c:pt idx="20">
                  <c:v>8.1246700000000001</c:v>
                </c:pt>
                <c:pt idx="21">
                  <c:v>8.52881</c:v>
                </c:pt>
                <c:pt idx="22">
                  <c:v>8.9374300000000009</c:v>
                </c:pt>
                <c:pt idx="23">
                  <c:v>9.3417999999999992</c:v>
                </c:pt>
                <c:pt idx="24">
                  <c:v>9.7470199999999991</c:v>
                </c:pt>
                <c:pt idx="25">
                  <c:v>10.153600000000001</c:v>
                </c:pt>
                <c:pt idx="26">
                  <c:v>10.5625</c:v>
                </c:pt>
                <c:pt idx="27">
                  <c:v>10.970599999999999</c:v>
                </c:pt>
                <c:pt idx="28">
                  <c:v>11.3728</c:v>
                </c:pt>
                <c:pt idx="29">
                  <c:v>11.78</c:v>
                </c:pt>
                <c:pt idx="30">
                  <c:v>12.187099999999999</c:v>
                </c:pt>
                <c:pt idx="31">
                  <c:v>12.5939</c:v>
                </c:pt>
                <c:pt idx="32">
                  <c:v>12.9983</c:v>
                </c:pt>
                <c:pt idx="33">
                  <c:v>13.4062</c:v>
                </c:pt>
                <c:pt idx="34">
                  <c:v>13.810700000000001</c:v>
                </c:pt>
                <c:pt idx="35">
                  <c:v>14.2158</c:v>
                </c:pt>
                <c:pt idx="36">
                  <c:v>14.623100000000001</c:v>
                </c:pt>
                <c:pt idx="37">
                  <c:v>15.028499999999999</c:v>
                </c:pt>
                <c:pt idx="38">
                  <c:v>15.438700000000001</c:v>
                </c:pt>
                <c:pt idx="39">
                  <c:v>15.8415</c:v>
                </c:pt>
                <c:pt idx="40">
                  <c:v>16.246600000000001</c:v>
                </c:pt>
                <c:pt idx="41">
                  <c:v>16.653500000000001</c:v>
                </c:pt>
                <c:pt idx="42">
                  <c:v>17.061499999999999</c:v>
                </c:pt>
                <c:pt idx="43">
                  <c:v>17.470300000000002</c:v>
                </c:pt>
                <c:pt idx="44">
                  <c:v>17.874500000000001</c:v>
                </c:pt>
                <c:pt idx="45">
                  <c:v>18.278700000000001</c:v>
                </c:pt>
                <c:pt idx="46">
                  <c:v>18.6858</c:v>
                </c:pt>
                <c:pt idx="47">
                  <c:v>19.094200000000001</c:v>
                </c:pt>
                <c:pt idx="48">
                  <c:v>19.500399999999999</c:v>
                </c:pt>
                <c:pt idx="49">
                  <c:v>19.9069</c:v>
                </c:pt>
                <c:pt idx="50">
                  <c:v>20.3108</c:v>
                </c:pt>
                <c:pt idx="51">
                  <c:v>20.716000000000001</c:v>
                </c:pt>
                <c:pt idx="52">
                  <c:v>21.126300000000001</c:v>
                </c:pt>
                <c:pt idx="53">
                  <c:v>21.5319</c:v>
                </c:pt>
                <c:pt idx="54">
                  <c:v>21.938500000000001</c:v>
                </c:pt>
                <c:pt idx="55">
                  <c:v>22.3414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23.560600000000001</c:v>
                </c:pt>
                <c:pt idx="59">
                  <c:v>23.9693</c:v>
                </c:pt>
                <c:pt idx="60">
                  <c:v>24.372199999999999</c:v>
                </c:pt>
                <c:pt idx="61">
                  <c:v>24.7821</c:v>
                </c:pt>
                <c:pt idx="62">
                  <c:v>25.186800000000002</c:v>
                </c:pt>
                <c:pt idx="63">
                  <c:v>25.592400000000001</c:v>
                </c:pt>
                <c:pt idx="64">
                  <c:v>25.9968</c:v>
                </c:pt>
                <c:pt idx="65">
                  <c:v>26.41</c:v>
                </c:pt>
                <c:pt idx="66">
                  <c:v>26.811199999999999</c:v>
                </c:pt>
                <c:pt idx="67">
                  <c:v>27.221699999999998</c:v>
                </c:pt>
                <c:pt idx="68">
                  <c:v>27.627400000000002</c:v>
                </c:pt>
                <c:pt idx="69">
                  <c:v>28.029399999999999</c:v>
                </c:pt>
                <c:pt idx="70">
                  <c:v>28.4405</c:v>
                </c:pt>
                <c:pt idx="71">
                  <c:v>28.8431</c:v>
                </c:pt>
                <c:pt idx="72">
                  <c:v>29.2545</c:v>
                </c:pt>
                <c:pt idx="73">
                  <c:v>29.6572</c:v>
                </c:pt>
                <c:pt idx="74">
                  <c:v>30.062899999999999</c:v>
                </c:pt>
                <c:pt idx="75">
                  <c:v>30.484300000000001</c:v>
                </c:pt>
                <c:pt idx="76">
                  <c:v>30.888400000000001</c:v>
                </c:pt>
                <c:pt idx="77">
                  <c:v>31.294899999999998</c:v>
                </c:pt>
                <c:pt idx="78">
                  <c:v>31.705500000000001</c:v>
                </c:pt>
                <c:pt idx="79">
                  <c:v>32.109900000000003</c:v>
                </c:pt>
                <c:pt idx="80">
                  <c:v>32.515300000000003</c:v>
                </c:pt>
                <c:pt idx="81">
                  <c:v>32.923099999999998</c:v>
                </c:pt>
                <c:pt idx="82">
                  <c:v>33.326300000000003</c:v>
                </c:pt>
                <c:pt idx="83">
                  <c:v>33.734499999999997</c:v>
                </c:pt>
                <c:pt idx="84">
                  <c:v>34.143599999999999</c:v>
                </c:pt>
                <c:pt idx="85">
                  <c:v>34.546199999999999</c:v>
                </c:pt>
                <c:pt idx="86">
                  <c:v>34.951300000000003</c:v>
                </c:pt>
                <c:pt idx="87">
                  <c:v>35.356900000000003</c:v>
                </c:pt>
                <c:pt idx="88">
                  <c:v>35.766300000000001</c:v>
                </c:pt>
                <c:pt idx="89">
                  <c:v>36.171900000000001</c:v>
                </c:pt>
                <c:pt idx="90">
                  <c:v>36.580199999999998</c:v>
                </c:pt>
                <c:pt idx="91">
                  <c:v>36.985500000000002</c:v>
                </c:pt>
                <c:pt idx="92">
                  <c:v>37.387700000000002</c:v>
                </c:pt>
                <c:pt idx="93">
                  <c:v>37.796399999999998</c:v>
                </c:pt>
                <c:pt idx="94">
                  <c:v>38.202599999999997</c:v>
                </c:pt>
                <c:pt idx="95">
                  <c:v>38.611800000000002</c:v>
                </c:pt>
                <c:pt idx="96">
                  <c:v>39.017600000000002</c:v>
                </c:pt>
                <c:pt idx="97">
                  <c:v>39.4268</c:v>
                </c:pt>
                <c:pt idx="98">
                  <c:v>39.827399999999997</c:v>
                </c:pt>
                <c:pt idx="99">
                  <c:v>40.233400000000003</c:v>
                </c:pt>
                <c:pt idx="100">
                  <c:v>40.6434</c:v>
                </c:pt>
                <c:pt idx="101">
                  <c:v>41.046700000000001</c:v>
                </c:pt>
                <c:pt idx="102">
                  <c:v>41.4514</c:v>
                </c:pt>
                <c:pt idx="103">
                  <c:v>41.8643</c:v>
                </c:pt>
                <c:pt idx="104">
                  <c:v>42.263199999999998</c:v>
                </c:pt>
                <c:pt idx="105">
                  <c:v>42.671100000000003</c:v>
                </c:pt>
                <c:pt idx="106">
                  <c:v>43.078400000000002</c:v>
                </c:pt>
                <c:pt idx="107">
                  <c:v>43.484299999999998</c:v>
                </c:pt>
                <c:pt idx="108">
                  <c:v>43.891100000000002</c:v>
                </c:pt>
                <c:pt idx="109">
                  <c:v>44.297699999999999</c:v>
                </c:pt>
                <c:pt idx="110">
                  <c:v>44.702599999999997</c:v>
                </c:pt>
                <c:pt idx="111">
                  <c:v>45.108499999999999</c:v>
                </c:pt>
                <c:pt idx="112">
                  <c:v>45.517200000000003</c:v>
                </c:pt>
                <c:pt idx="113">
                  <c:v>45.921300000000002</c:v>
                </c:pt>
                <c:pt idx="114">
                  <c:v>46.325299999999999</c:v>
                </c:pt>
                <c:pt idx="115">
                  <c:v>46.730899999999998</c:v>
                </c:pt>
                <c:pt idx="116">
                  <c:v>47.139600000000002</c:v>
                </c:pt>
                <c:pt idx="117">
                  <c:v>47.542700000000004</c:v>
                </c:pt>
                <c:pt idx="118">
                  <c:v>47.950600000000001</c:v>
                </c:pt>
                <c:pt idx="119">
                  <c:v>48.358499999999999</c:v>
                </c:pt>
                <c:pt idx="120">
                  <c:v>48.764299999999999</c:v>
                </c:pt>
                <c:pt idx="121">
                  <c:v>49.170099999999998</c:v>
                </c:pt>
                <c:pt idx="122">
                  <c:v>49.579700000000003</c:v>
                </c:pt>
                <c:pt idx="123">
                  <c:v>49.985500000000002</c:v>
                </c:pt>
                <c:pt idx="124">
                  <c:v>50.388599999999997</c:v>
                </c:pt>
                <c:pt idx="125">
                  <c:v>50.7941</c:v>
                </c:pt>
                <c:pt idx="126">
                  <c:v>51.2014</c:v>
                </c:pt>
                <c:pt idx="127">
                  <c:v>51.610199999999999</c:v>
                </c:pt>
                <c:pt idx="128">
                  <c:v>52.014899999999997</c:v>
                </c:pt>
                <c:pt idx="129">
                  <c:v>52.423000000000002</c:v>
                </c:pt>
                <c:pt idx="130">
                  <c:v>52.825499999999998</c:v>
                </c:pt>
                <c:pt idx="131">
                  <c:v>53.2346</c:v>
                </c:pt>
                <c:pt idx="132">
                  <c:v>53.638399999999997</c:v>
                </c:pt>
                <c:pt idx="133">
                  <c:v>54.043999999999997</c:v>
                </c:pt>
                <c:pt idx="134">
                  <c:v>54.450800000000001</c:v>
                </c:pt>
                <c:pt idx="135">
                  <c:v>54.86</c:v>
                </c:pt>
                <c:pt idx="136">
                  <c:v>55.261699999999998</c:v>
                </c:pt>
                <c:pt idx="137">
                  <c:v>55.670400000000001</c:v>
                </c:pt>
                <c:pt idx="138">
                  <c:v>56.0762</c:v>
                </c:pt>
                <c:pt idx="139">
                  <c:v>56.4846</c:v>
                </c:pt>
                <c:pt idx="140">
                  <c:v>56.890599999999999</c:v>
                </c:pt>
                <c:pt idx="141">
                  <c:v>57.296599999999998</c:v>
                </c:pt>
                <c:pt idx="142">
                  <c:v>57.702800000000003</c:v>
                </c:pt>
                <c:pt idx="143">
                  <c:v>58.108199999999997</c:v>
                </c:pt>
                <c:pt idx="144">
                  <c:v>58.513100000000001</c:v>
                </c:pt>
                <c:pt idx="145">
                  <c:v>58.918999999999997</c:v>
                </c:pt>
                <c:pt idx="146">
                  <c:v>59.3279</c:v>
                </c:pt>
                <c:pt idx="147">
                  <c:v>59.731999999999999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39.007799999999996</c:v>
                </c:pt>
                <c:pt idx="1">
                  <c:v>37.915599999999998</c:v>
                </c:pt>
                <c:pt idx="2">
                  <c:v>37.035600000000002</c:v>
                </c:pt>
                <c:pt idx="3">
                  <c:v>36.142099999999999</c:v>
                </c:pt>
                <c:pt idx="4">
                  <c:v>35.307600000000001</c:v>
                </c:pt>
                <c:pt idx="5">
                  <c:v>34.4131</c:v>
                </c:pt>
                <c:pt idx="6">
                  <c:v>33.419800000000002</c:v>
                </c:pt>
                <c:pt idx="7">
                  <c:v>32.450299999999999</c:v>
                </c:pt>
                <c:pt idx="8">
                  <c:v>31.833600000000001</c:v>
                </c:pt>
                <c:pt idx="9">
                  <c:v>31.4023</c:v>
                </c:pt>
                <c:pt idx="10">
                  <c:v>31.072300000000002</c:v>
                </c:pt>
                <c:pt idx="11">
                  <c:v>30.869000000000003</c:v>
                </c:pt>
                <c:pt idx="12">
                  <c:v>30.704500000000003</c:v>
                </c:pt>
                <c:pt idx="13">
                  <c:v>30.599900000000002</c:v>
                </c:pt>
                <c:pt idx="14">
                  <c:v>30.470199999999998</c:v>
                </c:pt>
                <c:pt idx="15">
                  <c:v>30.4054</c:v>
                </c:pt>
                <c:pt idx="16">
                  <c:v>30.299300000000002</c:v>
                </c:pt>
                <c:pt idx="17">
                  <c:v>30.083300000000001</c:v>
                </c:pt>
                <c:pt idx="18">
                  <c:v>29.854599999999998</c:v>
                </c:pt>
                <c:pt idx="19">
                  <c:v>29.575099999999999</c:v>
                </c:pt>
                <c:pt idx="20">
                  <c:v>29.326600000000003</c:v>
                </c:pt>
                <c:pt idx="21">
                  <c:v>29.092499999999998</c:v>
                </c:pt>
                <c:pt idx="22">
                  <c:v>28.697899999999997</c:v>
                </c:pt>
                <c:pt idx="23">
                  <c:v>28.313400000000001</c:v>
                </c:pt>
                <c:pt idx="24">
                  <c:v>27.992599999999999</c:v>
                </c:pt>
                <c:pt idx="25">
                  <c:v>27.687299999999997</c:v>
                </c:pt>
                <c:pt idx="26">
                  <c:v>27.478899999999999</c:v>
                </c:pt>
                <c:pt idx="27">
                  <c:v>27.281300000000002</c:v>
                </c:pt>
                <c:pt idx="28">
                  <c:v>27.059899999999999</c:v>
                </c:pt>
                <c:pt idx="29">
                  <c:v>26.904199999999999</c:v>
                </c:pt>
                <c:pt idx="30">
                  <c:v>26.872600000000002</c:v>
                </c:pt>
                <c:pt idx="31">
                  <c:v>27.036900000000003</c:v>
                </c:pt>
                <c:pt idx="32">
                  <c:v>27.230700000000002</c:v>
                </c:pt>
                <c:pt idx="33">
                  <c:v>27.306699999999999</c:v>
                </c:pt>
                <c:pt idx="34">
                  <c:v>27.3598</c:v>
                </c:pt>
                <c:pt idx="35">
                  <c:v>27.4741</c:v>
                </c:pt>
                <c:pt idx="36">
                  <c:v>27.577400000000001</c:v>
                </c:pt>
                <c:pt idx="37">
                  <c:v>27.6646</c:v>
                </c:pt>
                <c:pt idx="38">
                  <c:v>27.801599999999997</c:v>
                </c:pt>
                <c:pt idx="39">
                  <c:v>27.923900000000003</c:v>
                </c:pt>
                <c:pt idx="40">
                  <c:v>27.975100000000001</c:v>
                </c:pt>
                <c:pt idx="41">
                  <c:v>28.0594</c:v>
                </c:pt>
                <c:pt idx="42">
                  <c:v>28.151599999999998</c:v>
                </c:pt>
                <c:pt idx="43">
                  <c:v>28.244999999999997</c:v>
                </c:pt>
                <c:pt idx="44">
                  <c:v>28.363899999999997</c:v>
                </c:pt>
                <c:pt idx="45">
                  <c:v>28.384700000000002</c:v>
                </c:pt>
                <c:pt idx="46">
                  <c:v>28.264699999999998</c:v>
                </c:pt>
                <c:pt idx="47">
                  <c:v>28.2179</c:v>
                </c:pt>
                <c:pt idx="48">
                  <c:v>28.215800000000002</c:v>
                </c:pt>
                <c:pt idx="49">
                  <c:v>28.246399999999998</c:v>
                </c:pt>
                <c:pt idx="50">
                  <c:v>28.3018</c:v>
                </c:pt>
                <c:pt idx="51">
                  <c:v>28.243099999999998</c:v>
                </c:pt>
                <c:pt idx="52">
                  <c:v>28.0489</c:v>
                </c:pt>
                <c:pt idx="53">
                  <c:v>28.021800000000002</c:v>
                </c:pt>
                <c:pt idx="54">
                  <c:v>28.0075</c:v>
                </c:pt>
                <c:pt idx="55">
                  <c:v>27.9665</c:v>
                </c:pt>
                <c:pt idx="56">
                  <c:v>27.943899999999999</c:v>
                </c:pt>
                <c:pt idx="57">
                  <c:v>27.837499999999999</c:v>
                </c:pt>
                <c:pt idx="58">
                  <c:v>27.674900000000001</c:v>
                </c:pt>
                <c:pt idx="59">
                  <c:v>27.607300000000002</c:v>
                </c:pt>
                <c:pt idx="60">
                  <c:v>27.500599999999999</c:v>
                </c:pt>
                <c:pt idx="61">
                  <c:v>27.423500000000001</c:v>
                </c:pt>
                <c:pt idx="62">
                  <c:v>27.430700000000002</c:v>
                </c:pt>
                <c:pt idx="63">
                  <c:v>27.360099999999999</c:v>
                </c:pt>
                <c:pt idx="64">
                  <c:v>27.279599999999999</c:v>
                </c:pt>
                <c:pt idx="65">
                  <c:v>27.173399999999997</c:v>
                </c:pt>
                <c:pt idx="66">
                  <c:v>27.023099999999999</c:v>
                </c:pt>
                <c:pt idx="67">
                  <c:v>26.870100000000001</c:v>
                </c:pt>
                <c:pt idx="68">
                  <c:v>26.741700000000002</c:v>
                </c:pt>
                <c:pt idx="69">
                  <c:v>26.555299999999999</c:v>
                </c:pt>
                <c:pt idx="70">
                  <c:v>26.362300000000001</c:v>
                </c:pt>
                <c:pt idx="71">
                  <c:v>26.190600000000003</c:v>
                </c:pt>
                <c:pt idx="72">
                  <c:v>26.069799999999997</c:v>
                </c:pt>
                <c:pt idx="73">
                  <c:v>25.845200000000002</c:v>
                </c:pt>
                <c:pt idx="74">
                  <c:v>25.593800000000002</c:v>
                </c:pt>
                <c:pt idx="75">
                  <c:v>25.373800000000003</c:v>
                </c:pt>
                <c:pt idx="76">
                  <c:v>25.087</c:v>
                </c:pt>
                <c:pt idx="77">
                  <c:v>24.8306</c:v>
                </c:pt>
                <c:pt idx="78">
                  <c:v>24.617900000000002</c:v>
                </c:pt>
                <c:pt idx="79">
                  <c:v>24.338099999999997</c:v>
                </c:pt>
                <c:pt idx="80">
                  <c:v>24.043800000000001</c:v>
                </c:pt>
                <c:pt idx="81">
                  <c:v>23.744100000000003</c:v>
                </c:pt>
                <c:pt idx="82">
                  <c:v>23.611499999999999</c:v>
                </c:pt>
                <c:pt idx="83">
                  <c:v>23.569000000000003</c:v>
                </c:pt>
                <c:pt idx="84">
                  <c:v>23.439699999999998</c:v>
                </c:pt>
                <c:pt idx="85">
                  <c:v>23.245200000000001</c:v>
                </c:pt>
                <c:pt idx="86">
                  <c:v>23.018000000000001</c:v>
                </c:pt>
                <c:pt idx="87">
                  <c:v>22.684099999999997</c:v>
                </c:pt>
                <c:pt idx="88">
                  <c:v>22.3355</c:v>
                </c:pt>
                <c:pt idx="89">
                  <c:v>21.9908</c:v>
                </c:pt>
                <c:pt idx="90">
                  <c:v>21.659500000000001</c:v>
                </c:pt>
                <c:pt idx="91">
                  <c:v>21.3706</c:v>
                </c:pt>
                <c:pt idx="92">
                  <c:v>21.0749</c:v>
                </c:pt>
                <c:pt idx="93">
                  <c:v>20.748699999999999</c:v>
                </c:pt>
                <c:pt idx="94">
                  <c:v>20.540700000000001</c:v>
                </c:pt>
                <c:pt idx="95">
                  <c:v>20.296199999999999</c:v>
                </c:pt>
                <c:pt idx="96">
                  <c:v>20.195499999999999</c:v>
                </c:pt>
                <c:pt idx="97">
                  <c:v>20.1218</c:v>
                </c:pt>
                <c:pt idx="98">
                  <c:v>19.8886</c:v>
                </c:pt>
                <c:pt idx="99">
                  <c:v>19.492999999999999</c:v>
                </c:pt>
                <c:pt idx="100">
                  <c:v>19.061299999999999</c:v>
                </c:pt>
                <c:pt idx="101">
                  <c:v>18.698</c:v>
                </c:pt>
                <c:pt idx="102">
                  <c:v>18.4055</c:v>
                </c:pt>
                <c:pt idx="103">
                  <c:v>17.9391</c:v>
                </c:pt>
                <c:pt idx="104">
                  <c:v>17.5733</c:v>
                </c:pt>
                <c:pt idx="105">
                  <c:v>17.276199999999999</c:v>
                </c:pt>
                <c:pt idx="106">
                  <c:v>16.942</c:v>
                </c:pt>
                <c:pt idx="107">
                  <c:v>16.497199999999999</c:v>
                </c:pt>
                <c:pt idx="108">
                  <c:v>15.947600000000001</c:v>
                </c:pt>
                <c:pt idx="109">
                  <c:v>15.4032</c:v>
                </c:pt>
                <c:pt idx="110">
                  <c:v>14.991099999999999</c:v>
                </c:pt>
                <c:pt idx="111">
                  <c:v>14.5063</c:v>
                </c:pt>
                <c:pt idx="112">
                  <c:v>14.13</c:v>
                </c:pt>
                <c:pt idx="113">
                  <c:v>13.772200000000002</c:v>
                </c:pt>
                <c:pt idx="114">
                  <c:v>13.329499999999999</c:v>
                </c:pt>
                <c:pt idx="115">
                  <c:v>12.9581</c:v>
                </c:pt>
                <c:pt idx="116">
                  <c:v>12.571099999999999</c:v>
                </c:pt>
                <c:pt idx="117">
                  <c:v>12.196099999999999</c:v>
                </c:pt>
                <c:pt idx="118">
                  <c:v>11.8726</c:v>
                </c:pt>
                <c:pt idx="119">
                  <c:v>11.434900000000001</c:v>
                </c:pt>
                <c:pt idx="120">
                  <c:v>11.129300000000001</c:v>
                </c:pt>
                <c:pt idx="121">
                  <c:v>10.783800000000001</c:v>
                </c:pt>
                <c:pt idx="122">
                  <c:v>10.361099999999999</c:v>
                </c:pt>
                <c:pt idx="123">
                  <c:v>10.287100000000001</c:v>
                </c:pt>
                <c:pt idx="124">
                  <c:v>10.431699999999999</c:v>
                </c:pt>
                <c:pt idx="125">
                  <c:v>10.520200000000001</c:v>
                </c:pt>
                <c:pt idx="126">
                  <c:v>10.639200000000001</c:v>
                </c:pt>
                <c:pt idx="127">
                  <c:v>10.739000000000001</c:v>
                </c:pt>
                <c:pt idx="128">
                  <c:v>10.924100000000001</c:v>
                </c:pt>
                <c:pt idx="129">
                  <c:v>11.0839</c:v>
                </c:pt>
                <c:pt idx="130">
                  <c:v>11.1709</c:v>
                </c:pt>
                <c:pt idx="131">
                  <c:v>11.246</c:v>
                </c:pt>
                <c:pt idx="132">
                  <c:v>11.3666</c:v>
                </c:pt>
                <c:pt idx="133">
                  <c:v>11.4816</c:v>
                </c:pt>
                <c:pt idx="134">
                  <c:v>11.6875</c:v>
                </c:pt>
                <c:pt idx="135">
                  <c:v>11.702199999999999</c:v>
                </c:pt>
                <c:pt idx="136">
                  <c:v>11.8445</c:v>
                </c:pt>
                <c:pt idx="137">
                  <c:v>12.043900000000001</c:v>
                </c:pt>
                <c:pt idx="138">
                  <c:v>12.264700000000001</c:v>
                </c:pt>
                <c:pt idx="139">
                  <c:v>12.687799999999999</c:v>
                </c:pt>
                <c:pt idx="140">
                  <c:v>12.9186</c:v>
                </c:pt>
                <c:pt idx="141">
                  <c:v>13.1434</c:v>
                </c:pt>
                <c:pt idx="142">
                  <c:v>13.490399999999999</c:v>
                </c:pt>
                <c:pt idx="143">
                  <c:v>13.725399999999999</c:v>
                </c:pt>
                <c:pt idx="144">
                  <c:v>13.927</c:v>
                </c:pt>
                <c:pt idx="145">
                  <c:v>14.2522</c:v>
                </c:pt>
                <c:pt idx="146">
                  <c:v>13.7486</c:v>
                </c:pt>
                <c:pt idx="147">
                  <c:v>13.8276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0.40441199999999999</c:v>
                </c:pt>
                <c:pt idx="2">
                  <c:v>0.8095</c:v>
                </c:pt>
                <c:pt idx="3">
                  <c:v>1.21783</c:v>
                </c:pt>
                <c:pt idx="4">
                  <c:v>1.62273</c:v>
                </c:pt>
                <c:pt idx="5">
                  <c:v>2.0298799999999999</c:v>
                </c:pt>
                <c:pt idx="6">
                  <c:v>2.4361000000000002</c:v>
                </c:pt>
                <c:pt idx="7">
                  <c:v>2.8405499999999999</c:v>
                </c:pt>
                <c:pt idx="8">
                  <c:v>3.24769</c:v>
                </c:pt>
                <c:pt idx="9">
                  <c:v>3.6527799999999999</c:v>
                </c:pt>
                <c:pt idx="10">
                  <c:v>4.0640000000000001</c:v>
                </c:pt>
                <c:pt idx="11">
                  <c:v>4.4677600000000002</c:v>
                </c:pt>
                <c:pt idx="12">
                  <c:v>4.8733300000000002</c:v>
                </c:pt>
                <c:pt idx="13">
                  <c:v>5.2780199999999997</c:v>
                </c:pt>
                <c:pt idx="14">
                  <c:v>5.6905400000000004</c:v>
                </c:pt>
                <c:pt idx="15">
                  <c:v>6.0942299999999996</c:v>
                </c:pt>
                <c:pt idx="16">
                  <c:v>6.5004099999999996</c:v>
                </c:pt>
                <c:pt idx="17">
                  <c:v>6.9036900000000001</c:v>
                </c:pt>
                <c:pt idx="18">
                  <c:v>7.3098299999999998</c:v>
                </c:pt>
                <c:pt idx="19">
                  <c:v>7.7161200000000001</c:v>
                </c:pt>
                <c:pt idx="20">
                  <c:v>8.1246700000000001</c:v>
                </c:pt>
                <c:pt idx="21">
                  <c:v>8.52881</c:v>
                </c:pt>
                <c:pt idx="22">
                  <c:v>8.9374300000000009</c:v>
                </c:pt>
                <c:pt idx="23">
                  <c:v>9.3417999999999992</c:v>
                </c:pt>
                <c:pt idx="24">
                  <c:v>9.7470199999999991</c:v>
                </c:pt>
                <c:pt idx="25">
                  <c:v>10.153600000000001</c:v>
                </c:pt>
                <c:pt idx="26">
                  <c:v>10.5625</c:v>
                </c:pt>
                <c:pt idx="27">
                  <c:v>10.970599999999999</c:v>
                </c:pt>
                <c:pt idx="28">
                  <c:v>11.3728</c:v>
                </c:pt>
                <c:pt idx="29">
                  <c:v>11.78</c:v>
                </c:pt>
                <c:pt idx="30">
                  <c:v>12.187099999999999</c:v>
                </c:pt>
                <c:pt idx="31">
                  <c:v>12.5939</c:v>
                </c:pt>
                <c:pt idx="32">
                  <c:v>12.9983</c:v>
                </c:pt>
                <c:pt idx="33">
                  <c:v>13.4062</c:v>
                </c:pt>
                <c:pt idx="34">
                  <c:v>13.810700000000001</c:v>
                </c:pt>
                <c:pt idx="35">
                  <c:v>14.2158</c:v>
                </c:pt>
                <c:pt idx="36">
                  <c:v>14.623100000000001</c:v>
                </c:pt>
                <c:pt idx="37">
                  <c:v>15.028499999999999</c:v>
                </c:pt>
                <c:pt idx="38">
                  <c:v>15.438700000000001</c:v>
                </c:pt>
                <c:pt idx="39">
                  <c:v>15.8415</c:v>
                </c:pt>
                <c:pt idx="40">
                  <c:v>16.246600000000001</c:v>
                </c:pt>
                <c:pt idx="41">
                  <c:v>16.653500000000001</c:v>
                </c:pt>
                <c:pt idx="42">
                  <c:v>17.061499999999999</c:v>
                </c:pt>
                <c:pt idx="43">
                  <c:v>17.470300000000002</c:v>
                </c:pt>
                <c:pt idx="44">
                  <c:v>17.874500000000001</c:v>
                </c:pt>
                <c:pt idx="45">
                  <c:v>18.278700000000001</c:v>
                </c:pt>
                <c:pt idx="46">
                  <c:v>18.6858</c:v>
                </c:pt>
                <c:pt idx="47">
                  <c:v>19.094200000000001</c:v>
                </c:pt>
                <c:pt idx="48">
                  <c:v>19.500399999999999</c:v>
                </c:pt>
                <c:pt idx="49">
                  <c:v>19.9069</c:v>
                </c:pt>
                <c:pt idx="50">
                  <c:v>20.3108</c:v>
                </c:pt>
                <c:pt idx="51">
                  <c:v>20.716000000000001</c:v>
                </c:pt>
                <c:pt idx="52">
                  <c:v>21.126300000000001</c:v>
                </c:pt>
                <c:pt idx="53">
                  <c:v>21.5319</c:v>
                </c:pt>
                <c:pt idx="54">
                  <c:v>21.938500000000001</c:v>
                </c:pt>
                <c:pt idx="55">
                  <c:v>22.3414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23.560600000000001</c:v>
                </c:pt>
                <c:pt idx="59">
                  <c:v>23.9693</c:v>
                </c:pt>
                <c:pt idx="60">
                  <c:v>24.372199999999999</c:v>
                </c:pt>
                <c:pt idx="61">
                  <c:v>24.7821</c:v>
                </c:pt>
                <c:pt idx="62">
                  <c:v>25.186800000000002</c:v>
                </c:pt>
                <c:pt idx="63">
                  <c:v>25.592400000000001</c:v>
                </c:pt>
                <c:pt idx="64">
                  <c:v>25.9968</c:v>
                </c:pt>
                <c:pt idx="65">
                  <c:v>26.41</c:v>
                </c:pt>
                <c:pt idx="66">
                  <c:v>26.811199999999999</c:v>
                </c:pt>
                <c:pt idx="67">
                  <c:v>27.221699999999998</c:v>
                </c:pt>
                <c:pt idx="68">
                  <c:v>27.627400000000002</c:v>
                </c:pt>
                <c:pt idx="69">
                  <c:v>28.029399999999999</c:v>
                </c:pt>
                <c:pt idx="70">
                  <c:v>28.4405</c:v>
                </c:pt>
                <c:pt idx="71">
                  <c:v>28.8431</c:v>
                </c:pt>
                <c:pt idx="72">
                  <c:v>29.2545</c:v>
                </c:pt>
                <c:pt idx="73">
                  <c:v>29.6572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39.007799999999996</c:v>
                </c:pt>
                <c:pt idx="1">
                  <c:v>37.915599999999998</c:v>
                </c:pt>
                <c:pt idx="2">
                  <c:v>37.035600000000002</c:v>
                </c:pt>
                <c:pt idx="3">
                  <c:v>36.142099999999999</c:v>
                </c:pt>
                <c:pt idx="4">
                  <c:v>35.307600000000001</c:v>
                </c:pt>
                <c:pt idx="5">
                  <c:v>34.4131</c:v>
                </c:pt>
                <c:pt idx="6">
                  <c:v>33.419800000000002</c:v>
                </c:pt>
                <c:pt idx="7">
                  <c:v>32.450299999999999</c:v>
                </c:pt>
                <c:pt idx="8">
                  <c:v>31.833600000000001</c:v>
                </c:pt>
                <c:pt idx="9">
                  <c:v>31.4023</c:v>
                </c:pt>
                <c:pt idx="10">
                  <c:v>31.072300000000002</c:v>
                </c:pt>
                <c:pt idx="11">
                  <c:v>30.869000000000003</c:v>
                </c:pt>
                <c:pt idx="12">
                  <c:v>30.704500000000003</c:v>
                </c:pt>
                <c:pt idx="13">
                  <c:v>30.599900000000002</c:v>
                </c:pt>
                <c:pt idx="14">
                  <c:v>30.470199999999998</c:v>
                </c:pt>
                <c:pt idx="15">
                  <c:v>30.4054</c:v>
                </c:pt>
                <c:pt idx="16">
                  <c:v>30.299300000000002</c:v>
                </c:pt>
                <c:pt idx="17">
                  <c:v>30.083300000000001</c:v>
                </c:pt>
                <c:pt idx="18">
                  <c:v>29.854599999999998</c:v>
                </c:pt>
                <c:pt idx="19">
                  <c:v>29.575099999999999</c:v>
                </c:pt>
                <c:pt idx="20">
                  <c:v>29.326600000000003</c:v>
                </c:pt>
                <c:pt idx="21">
                  <c:v>29.092499999999998</c:v>
                </c:pt>
                <c:pt idx="22">
                  <c:v>28.697899999999997</c:v>
                </c:pt>
                <c:pt idx="23">
                  <c:v>28.313400000000001</c:v>
                </c:pt>
                <c:pt idx="24">
                  <c:v>27.992599999999999</c:v>
                </c:pt>
                <c:pt idx="25">
                  <c:v>27.687299999999997</c:v>
                </c:pt>
                <c:pt idx="26">
                  <c:v>27.478899999999999</c:v>
                </c:pt>
                <c:pt idx="27">
                  <c:v>27.281300000000002</c:v>
                </c:pt>
                <c:pt idx="28">
                  <c:v>27.059899999999999</c:v>
                </c:pt>
                <c:pt idx="29">
                  <c:v>26.904199999999999</c:v>
                </c:pt>
                <c:pt idx="30">
                  <c:v>26.872600000000002</c:v>
                </c:pt>
                <c:pt idx="31">
                  <c:v>27.036900000000003</c:v>
                </c:pt>
                <c:pt idx="32">
                  <c:v>27.230700000000002</c:v>
                </c:pt>
                <c:pt idx="33">
                  <c:v>27.306699999999999</c:v>
                </c:pt>
                <c:pt idx="34">
                  <c:v>27.3598</c:v>
                </c:pt>
                <c:pt idx="35">
                  <c:v>27.4741</c:v>
                </c:pt>
                <c:pt idx="36">
                  <c:v>27.577400000000001</c:v>
                </c:pt>
                <c:pt idx="37">
                  <c:v>27.6646</c:v>
                </c:pt>
                <c:pt idx="38">
                  <c:v>27.801599999999997</c:v>
                </c:pt>
                <c:pt idx="39">
                  <c:v>27.923900000000003</c:v>
                </c:pt>
                <c:pt idx="40">
                  <c:v>27.975100000000001</c:v>
                </c:pt>
                <c:pt idx="41">
                  <c:v>28.0594</c:v>
                </c:pt>
                <c:pt idx="42">
                  <c:v>28.151599999999998</c:v>
                </c:pt>
                <c:pt idx="43">
                  <c:v>28.244999999999997</c:v>
                </c:pt>
                <c:pt idx="44">
                  <c:v>28.363899999999997</c:v>
                </c:pt>
                <c:pt idx="45">
                  <c:v>28.384700000000002</c:v>
                </c:pt>
                <c:pt idx="46">
                  <c:v>28.264699999999998</c:v>
                </c:pt>
                <c:pt idx="47">
                  <c:v>28.2179</c:v>
                </c:pt>
                <c:pt idx="48">
                  <c:v>28.215800000000002</c:v>
                </c:pt>
                <c:pt idx="49">
                  <c:v>28.246399999999998</c:v>
                </c:pt>
                <c:pt idx="50">
                  <c:v>28.3018</c:v>
                </c:pt>
                <c:pt idx="51">
                  <c:v>28.243099999999998</c:v>
                </c:pt>
                <c:pt idx="52">
                  <c:v>28.0489</c:v>
                </c:pt>
                <c:pt idx="53">
                  <c:v>28.021800000000002</c:v>
                </c:pt>
                <c:pt idx="54">
                  <c:v>28.0075</c:v>
                </c:pt>
                <c:pt idx="55">
                  <c:v>27.9665</c:v>
                </c:pt>
                <c:pt idx="56">
                  <c:v>27.943899999999999</c:v>
                </c:pt>
                <c:pt idx="57">
                  <c:v>27.837499999999999</c:v>
                </c:pt>
                <c:pt idx="58">
                  <c:v>27.674900000000001</c:v>
                </c:pt>
                <c:pt idx="59">
                  <c:v>27.607300000000002</c:v>
                </c:pt>
                <c:pt idx="60">
                  <c:v>27.500599999999999</c:v>
                </c:pt>
                <c:pt idx="61">
                  <c:v>27.423500000000001</c:v>
                </c:pt>
                <c:pt idx="62">
                  <c:v>27.430700000000002</c:v>
                </c:pt>
                <c:pt idx="63">
                  <c:v>27.360099999999999</c:v>
                </c:pt>
                <c:pt idx="64">
                  <c:v>27.279599999999999</c:v>
                </c:pt>
                <c:pt idx="65">
                  <c:v>27.173399999999997</c:v>
                </c:pt>
                <c:pt idx="66">
                  <c:v>27.023099999999999</c:v>
                </c:pt>
                <c:pt idx="67">
                  <c:v>26.870100000000001</c:v>
                </c:pt>
                <c:pt idx="68">
                  <c:v>26.741700000000002</c:v>
                </c:pt>
                <c:pt idx="69">
                  <c:v>26.555299999999999</c:v>
                </c:pt>
                <c:pt idx="70">
                  <c:v>26.362300000000001</c:v>
                </c:pt>
                <c:pt idx="71">
                  <c:v>26.190600000000003</c:v>
                </c:pt>
                <c:pt idx="72">
                  <c:v>26.069799999999997</c:v>
                </c:pt>
                <c:pt idx="73">
                  <c:v>25.845200000000002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29.6572</c:v>
                </c:pt>
                <c:pt idx="1">
                  <c:v>30.062899999999999</c:v>
                </c:pt>
                <c:pt idx="2">
                  <c:v>30.484300000000001</c:v>
                </c:pt>
                <c:pt idx="3">
                  <c:v>30.888400000000001</c:v>
                </c:pt>
                <c:pt idx="4">
                  <c:v>31.294899999999998</c:v>
                </c:pt>
                <c:pt idx="5">
                  <c:v>31.705500000000001</c:v>
                </c:pt>
                <c:pt idx="6">
                  <c:v>32.109900000000003</c:v>
                </c:pt>
                <c:pt idx="7">
                  <c:v>32.515300000000003</c:v>
                </c:pt>
                <c:pt idx="8">
                  <c:v>32.923099999999998</c:v>
                </c:pt>
                <c:pt idx="9">
                  <c:v>33.326300000000003</c:v>
                </c:pt>
                <c:pt idx="10">
                  <c:v>33.734499999999997</c:v>
                </c:pt>
                <c:pt idx="11">
                  <c:v>34.143599999999999</c:v>
                </c:pt>
                <c:pt idx="12">
                  <c:v>34.546199999999999</c:v>
                </c:pt>
                <c:pt idx="13">
                  <c:v>34.951300000000003</c:v>
                </c:pt>
                <c:pt idx="14">
                  <c:v>35.356900000000003</c:v>
                </c:pt>
                <c:pt idx="15">
                  <c:v>35.766300000000001</c:v>
                </c:pt>
                <c:pt idx="16">
                  <c:v>36.171900000000001</c:v>
                </c:pt>
                <c:pt idx="17">
                  <c:v>36.580199999999998</c:v>
                </c:pt>
                <c:pt idx="18">
                  <c:v>36.985500000000002</c:v>
                </c:pt>
                <c:pt idx="19">
                  <c:v>37.387700000000002</c:v>
                </c:pt>
                <c:pt idx="20">
                  <c:v>37.796399999999998</c:v>
                </c:pt>
                <c:pt idx="21">
                  <c:v>38.202599999999997</c:v>
                </c:pt>
                <c:pt idx="22">
                  <c:v>38.611800000000002</c:v>
                </c:pt>
                <c:pt idx="23">
                  <c:v>39.017600000000002</c:v>
                </c:pt>
                <c:pt idx="24">
                  <c:v>39.4268</c:v>
                </c:pt>
                <c:pt idx="25">
                  <c:v>39.827399999999997</c:v>
                </c:pt>
                <c:pt idx="26">
                  <c:v>40.233400000000003</c:v>
                </c:pt>
                <c:pt idx="27">
                  <c:v>40.6434</c:v>
                </c:pt>
                <c:pt idx="28">
                  <c:v>41.046700000000001</c:v>
                </c:pt>
                <c:pt idx="29">
                  <c:v>41.4514</c:v>
                </c:pt>
                <c:pt idx="30">
                  <c:v>41.8643</c:v>
                </c:pt>
                <c:pt idx="31">
                  <c:v>42.263199999999998</c:v>
                </c:pt>
                <c:pt idx="32">
                  <c:v>42.671100000000003</c:v>
                </c:pt>
                <c:pt idx="33">
                  <c:v>43.078400000000002</c:v>
                </c:pt>
                <c:pt idx="34">
                  <c:v>43.484299999999998</c:v>
                </c:pt>
                <c:pt idx="35">
                  <c:v>43.891100000000002</c:v>
                </c:pt>
                <c:pt idx="36">
                  <c:v>44.297699999999999</c:v>
                </c:pt>
                <c:pt idx="37">
                  <c:v>44.702599999999997</c:v>
                </c:pt>
                <c:pt idx="38">
                  <c:v>45.108499999999999</c:v>
                </c:pt>
                <c:pt idx="39">
                  <c:v>45.517200000000003</c:v>
                </c:pt>
                <c:pt idx="40">
                  <c:v>45.921300000000002</c:v>
                </c:pt>
                <c:pt idx="41">
                  <c:v>46.325299999999999</c:v>
                </c:pt>
                <c:pt idx="42">
                  <c:v>46.730899999999998</c:v>
                </c:pt>
                <c:pt idx="43">
                  <c:v>47.139600000000002</c:v>
                </c:pt>
                <c:pt idx="44">
                  <c:v>47.542700000000004</c:v>
                </c:pt>
                <c:pt idx="45">
                  <c:v>47.950600000000001</c:v>
                </c:pt>
                <c:pt idx="46">
                  <c:v>48.358499999999999</c:v>
                </c:pt>
                <c:pt idx="47">
                  <c:v>48.764299999999999</c:v>
                </c:pt>
                <c:pt idx="48">
                  <c:v>49.170099999999998</c:v>
                </c:pt>
                <c:pt idx="49">
                  <c:v>49.579700000000003</c:v>
                </c:pt>
                <c:pt idx="50">
                  <c:v>49.985500000000002</c:v>
                </c:pt>
                <c:pt idx="51">
                  <c:v>50.388599999999997</c:v>
                </c:pt>
                <c:pt idx="52">
                  <c:v>50.7941</c:v>
                </c:pt>
                <c:pt idx="53">
                  <c:v>51.2014</c:v>
                </c:pt>
                <c:pt idx="54">
                  <c:v>51.610199999999999</c:v>
                </c:pt>
                <c:pt idx="55">
                  <c:v>52.014899999999997</c:v>
                </c:pt>
                <c:pt idx="56">
                  <c:v>52.423000000000002</c:v>
                </c:pt>
                <c:pt idx="57">
                  <c:v>52.825499999999998</c:v>
                </c:pt>
                <c:pt idx="58">
                  <c:v>53.2346</c:v>
                </c:pt>
                <c:pt idx="59">
                  <c:v>53.638399999999997</c:v>
                </c:pt>
                <c:pt idx="60">
                  <c:v>54.043999999999997</c:v>
                </c:pt>
                <c:pt idx="61">
                  <c:v>54.450800000000001</c:v>
                </c:pt>
                <c:pt idx="62">
                  <c:v>54.86</c:v>
                </c:pt>
                <c:pt idx="63">
                  <c:v>55.261699999999998</c:v>
                </c:pt>
                <c:pt idx="64">
                  <c:v>55.670400000000001</c:v>
                </c:pt>
                <c:pt idx="65">
                  <c:v>56.0762</c:v>
                </c:pt>
                <c:pt idx="66">
                  <c:v>56.4846</c:v>
                </c:pt>
                <c:pt idx="67">
                  <c:v>56.890599999999999</c:v>
                </c:pt>
                <c:pt idx="68">
                  <c:v>57.296599999999998</c:v>
                </c:pt>
                <c:pt idx="69">
                  <c:v>57.702800000000003</c:v>
                </c:pt>
                <c:pt idx="70">
                  <c:v>58.108199999999997</c:v>
                </c:pt>
                <c:pt idx="71">
                  <c:v>58.513100000000001</c:v>
                </c:pt>
                <c:pt idx="72">
                  <c:v>58.918999999999997</c:v>
                </c:pt>
                <c:pt idx="73">
                  <c:v>59.3279</c:v>
                </c:pt>
                <c:pt idx="74">
                  <c:v>59.731999999999999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25.845200000000002</c:v>
                </c:pt>
                <c:pt idx="1">
                  <c:v>25.593800000000002</c:v>
                </c:pt>
                <c:pt idx="2">
                  <c:v>25.373800000000003</c:v>
                </c:pt>
                <c:pt idx="3">
                  <c:v>25.087</c:v>
                </c:pt>
                <c:pt idx="4">
                  <c:v>24.8306</c:v>
                </c:pt>
                <c:pt idx="5">
                  <c:v>24.617900000000002</c:v>
                </c:pt>
                <c:pt idx="6">
                  <c:v>24.338099999999997</c:v>
                </c:pt>
                <c:pt idx="7">
                  <c:v>24.043800000000001</c:v>
                </c:pt>
                <c:pt idx="8">
                  <c:v>23.744100000000003</c:v>
                </c:pt>
                <c:pt idx="9">
                  <c:v>23.611499999999999</c:v>
                </c:pt>
                <c:pt idx="10">
                  <c:v>23.569000000000003</c:v>
                </c:pt>
                <c:pt idx="11">
                  <c:v>23.439699999999998</c:v>
                </c:pt>
                <c:pt idx="12">
                  <c:v>23.245200000000001</c:v>
                </c:pt>
                <c:pt idx="13">
                  <c:v>23.018000000000001</c:v>
                </c:pt>
                <c:pt idx="14">
                  <c:v>22.684099999999997</c:v>
                </c:pt>
                <c:pt idx="15">
                  <c:v>22.3355</c:v>
                </c:pt>
                <c:pt idx="16">
                  <c:v>21.9908</c:v>
                </c:pt>
                <c:pt idx="17">
                  <c:v>21.659500000000001</c:v>
                </c:pt>
                <c:pt idx="18">
                  <c:v>21.3706</c:v>
                </c:pt>
                <c:pt idx="19">
                  <c:v>21.0749</c:v>
                </c:pt>
                <c:pt idx="20">
                  <c:v>20.748699999999999</c:v>
                </c:pt>
                <c:pt idx="21">
                  <c:v>20.540700000000001</c:v>
                </c:pt>
                <c:pt idx="22">
                  <c:v>20.296199999999999</c:v>
                </c:pt>
                <c:pt idx="23">
                  <c:v>20.195499999999999</c:v>
                </c:pt>
                <c:pt idx="24">
                  <c:v>20.1218</c:v>
                </c:pt>
                <c:pt idx="25">
                  <c:v>19.8886</c:v>
                </c:pt>
                <c:pt idx="26">
                  <c:v>19.492999999999999</c:v>
                </c:pt>
                <c:pt idx="27">
                  <c:v>19.061299999999999</c:v>
                </c:pt>
                <c:pt idx="28">
                  <c:v>18.698</c:v>
                </c:pt>
                <c:pt idx="29">
                  <c:v>18.4055</c:v>
                </c:pt>
                <c:pt idx="30">
                  <c:v>17.9391</c:v>
                </c:pt>
                <c:pt idx="31">
                  <c:v>17.5733</c:v>
                </c:pt>
                <c:pt idx="32">
                  <c:v>17.276199999999999</c:v>
                </c:pt>
                <c:pt idx="33">
                  <c:v>16.942</c:v>
                </c:pt>
                <c:pt idx="34">
                  <c:v>16.497199999999999</c:v>
                </c:pt>
                <c:pt idx="35">
                  <c:v>15.947600000000001</c:v>
                </c:pt>
                <c:pt idx="36">
                  <c:v>15.4032</c:v>
                </c:pt>
                <c:pt idx="37">
                  <c:v>14.991099999999999</c:v>
                </c:pt>
                <c:pt idx="38">
                  <c:v>14.5063</c:v>
                </c:pt>
                <c:pt idx="39">
                  <c:v>14.13</c:v>
                </c:pt>
                <c:pt idx="40">
                  <c:v>13.772200000000002</c:v>
                </c:pt>
                <c:pt idx="41">
                  <c:v>13.329499999999999</c:v>
                </c:pt>
                <c:pt idx="42">
                  <c:v>12.9581</c:v>
                </c:pt>
                <c:pt idx="43">
                  <c:v>12.571099999999999</c:v>
                </c:pt>
                <c:pt idx="44">
                  <c:v>12.196099999999999</c:v>
                </c:pt>
                <c:pt idx="45">
                  <c:v>11.8726</c:v>
                </c:pt>
                <c:pt idx="46">
                  <c:v>11.434900000000001</c:v>
                </c:pt>
                <c:pt idx="47">
                  <c:v>11.129300000000001</c:v>
                </c:pt>
                <c:pt idx="48">
                  <c:v>10.783800000000001</c:v>
                </c:pt>
                <c:pt idx="49">
                  <c:v>10.361099999999999</c:v>
                </c:pt>
                <c:pt idx="50">
                  <c:v>10.287100000000001</c:v>
                </c:pt>
                <c:pt idx="51">
                  <c:v>10.431699999999999</c:v>
                </c:pt>
                <c:pt idx="52">
                  <c:v>10.520200000000001</c:v>
                </c:pt>
                <c:pt idx="53">
                  <c:v>10.639200000000001</c:v>
                </c:pt>
                <c:pt idx="54">
                  <c:v>10.739000000000001</c:v>
                </c:pt>
                <c:pt idx="55">
                  <c:v>10.924100000000001</c:v>
                </c:pt>
                <c:pt idx="56">
                  <c:v>11.0839</c:v>
                </c:pt>
                <c:pt idx="57">
                  <c:v>11.1709</c:v>
                </c:pt>
                <c:pt idx="58">
                  <c:v>11.246</c:v>
                </c:pt>
                <c:pt idx="59">
                  <c:v>11.3666</c:v>
                </c:pt>
                <c:pt idx="60">
                  <c:v>11.4816</c:v>
                </c:pt>
                <c:pt idx="61">
                  <c:v>11.6875</c:v>
                </c:pt>
                <c:pt idx="62">
                  <c:v>11.702199999999999</c:v>
                </c:pt>
                <c:pt idx="63">
                  <c:v>11.8445</c:v>
                </c:pt>
                <c:pt idx="64">
                  <c:v>12.043900000000001</c:v>
                </c:pt>
                <c:pt idx="65">
                  <c:v>12.264700000000001</c:v>
                </c:pt>
                <c:pt idx="66">
                  <c:v>12.687799999999999</c:v>
                </c:pt>
                <c:pt idx="67">
                  <c:v>12.9186</c:v>
                </c:pt>
                <c:pt idx="68">
                  <c:v>13.1434</c:v>
                </c:pt>
                <c:pt idx="69">
                  <c:v>13.490399999999999</c:v>
                </c:pt>
                <c:pt idx="70">
                  <c:v>13.725399999999999</c:v>
                </c:pt>
                <c:pt idx="71">
                  <c:v>13.927</c:v>
                </c:pt>
                <c:pt idx="72">
                  <c:v>14.2522</c:v>
                </c:pt>
                <c:pt idx="73">
                  <c:v>13.7486</c:v>
                </c:pt>
                <c:pt idx="74">
                  <c:v>13.8276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14.933</c:v>
                </c:pt>
                <c:pt idx="1">
                  <c:v>44.798999999999999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28.980378378378376</c:v>
                </c:pt>
                <c:pt idx="1">
                  <c:v>16.565486486486495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3.3955200000000003</c:v>
                </c:pt>
                <c:pt idx="1">
                  <c:v>3.4975499999999999</c:v>
                </c:pt>
                <c:pt idx="2">
                  <c:v>3.59545</c:v>
                </c:pt>
                <c:pt idx="3">
                  <c:v>3.6953100000000001</c:v>
                </c:pt>
                <c:pt idx="4">
                  <c:v>3.79589</c:v>
                </c:pt>
                <c:pt idx="5">
                  <c:v>3.8859300000000001</c:v>
                </c:pt>
                <c:pt idx="6">
                  <c:v>3.97377</c:v>
                </c:pt>
                <c:pt idx="7">
                  <c:v>4.05863</c:v>
                </c:pt>
                <c:pt idx="8">
                  <c:v>4.1357900000000001</c:v>
                </c:pt>
                <c:pt idx="9">
                  <c:v>4.2068599999999998</c:v>
                </c:pt>
                <c:pt idx="10">
                  <c:v>4.2729499999999998</c:v>
                </c:pt>
                <c:pt idx="11">
                  <c:v>4.33589</c:v>
                </c:pt>
                <c:pt idx="12">
                  <c:v>4.3952900000000001</c:v>
                </c:pt>
                <c:pt idx="13">
                  <c:v>4.4475800000000003</c:v>
                </c:pt>
                <c:pt idx="14">
                  <c:v>4.49153</c:v>
                </c:pt>
                <c:pt idx="15">
                  <c:v>4.5289700000000002</c:v>
                </c:pt>
                <c:pt idx="16">
                  <c:v>4.5636599999999996</c:v>
                </c:pt>
                <c:pt idx="17">
                  <c:v>4.5923400000000001</c:v>
                </c:pt>
                <c:pt idx="18">
                  <c:v>4.6175699999999997</c:v>
                </c:pt>
                <c:pt idx="19">
                  <c:v>4.6380999999999997</c:v>
                </c:pt>
                <c:pt idx="20">
                  <c:v>4.6510800000000003</c:v>
                </c:pt>
                <c:pt idx="21">
                  <c:v>4.65848</c:v>
                </c:pt>
                <c:pt idx="22">
                  <c:v>4.6610100000000001</c:v>
                </c:pt>
                <c:pt idx="23">
                  <c:v>4.6596200000000003</c:v>
                </c:pt>
                <c:pt idx="24">
                  <c:v>4.6573199999999995</c:v>
                </c:pt>
                <c:pt idx="25">
                  <c:v>4.6519199999999996</c:v>
                </c:pt>
                <c:pt idx="26">
                  <c:v>4.6441499999999998</c:v>
                </c:pt>
                <c:pt idx="27">
                  <c:v>4.6357799999999996</c:v>
                </c:pt>
                <c:pt idx="28">
                  <c:v>4.6265499999999999</c:v>
                </c:pt>
                <c:pt idx="29">
                  <c:v>4.6143400000000003</c:v>
                </c:pt>
                <c:pt idx="30">
                  <c:v>4.5988600000000002</c:v>
                </c:pt>
                <c:pt idx="31">
                  <c:v>4.5775900000000007</c:v>
                </c:pt>
                <c:pt idx="32">
                  <c:v>4.5520500000000004</c:v>
                </c:pt>
                <c:pt idx="33">
                  <c:v>4.5272699999999997</c:v>
                </c:pt>
                <c:pt idx="34">
                  <c:v>4.5045800000000007</c:v>
                </c:pt>
                <c:pt idx="35">
                  <c:v>4.4805200000000003</c:v>
                </c:pt>
                <c:pt idx="36">
                  <c:v>4.45784</c:v>
                </c:pt>
                <c:pt idx="37">
                  <c:v>4.4358599999999999</c:v>
                </c:pt>
                <c:pt idx="38">
                  <c:v>4.4173299999999998</c:v>
                </c:pt>
                <c:pt idx="39">
                  <c:v>4.4028299999999998</c:v>
                </c:pt>
                <c:pt idx="40">
                  <c:v>4.3960100000000004</c:v>
                </c:pt>
                <c:pt idx="41">
                  <c:v>4.3929600000000004</c:v>
                </c:pt>
                <c:pt idx="42">
                  <c:v>4.3891299999999998</c:v>
                </c:pt>
                <c:pt idx="43">
                  <c:v>4.3848799999999999</c:v>
                </c:pt>
                <c:pt idx="44">
                  <c:v>4.3837099999999998</c:v>
                </c:pt>
                <c:pt idx="45">
                  <c:v>4.3891</c:v>
                </c:pt>
                <c:pt idx="46">
                  <c:v>4.4001800000000006</c:v>
                </c:pt>
                <c:pt idx="47">
                  <c:v>4.4077000000000002</c:v>
                </c:pt>
                <c:pt idx="48">
                  <c:v>4.4131599999999995</c:v>
                </c:pt>
                <c:pt idx="49">
                  <c:v>4.4167000000000005</c:v>
                </c:pt>
                <c:pt idx="50">
                  <c:v>4.42225</c:v>
                </c:pt>
                <c:pt idx="51">
                  <c:v>4.4319699999999997</c:v>
                </c:pt>
                <c:pt idx="52">
                  <c:v>4.44442</c:v>
                </c:pt>
                <c:pt idx="53">
                  <c:v>4.4509999999999996</c:v>
                </c:pt>
                <c:pt idx="54">
                  <c:v>4.4570300000000005</c:v>
                </c:pt>
                <c:pt idx="55">
                  <c:v>4.4639800000000003</c:v>
                </c:pt>
                <c:pt idx="56">
                  <c:v>4.4705899999999996</c:v>
                </c:pt>
                <c:pt idx="57">
                  <c:v>4.4808399999999997</c:v>
                </c:pt>
                <c:pt idx="58">
                  <c:v>4.49587</c:v>
                </c:pt>
                <c:pt idx="59">
                  <c:v>4.5078000000000005</c:v>
                </c:pt>
                <c:pt idx="60">
                  <c:v>4.5245499999999996</c:v>
                </c:pt>
                <c:pt idx="61">
                  <c:v>4.5424999999999995</c:v>
                </c:pt>
                <c:pt idx="62">
                  <c:v>4.5613700000000001</c:v>
                </c:pt>
                <c:pt idx="63">
                  <c:v>4.5837899999999996</c:v>
                </c:pt>
                <c:pt idx="64">
                  <c:v>4.6070100000000007</c:v>
                </c:pt>
                <c:pt idx="65">
                  <c:v>4.6254800000000005</c:v>
                </c:pt>
                <c:pt idx="66">
                  <c:v>4.6421600000000005</c:v>
                </c:pt>
                <c:pt idx="67">
                  <c:v>4.6611799999999999</c:v>
                </c:pt>
                <c:pt idx="68">
                  <c:v>4.6810700000000001</c:v>
                </c:pt>
                <c:pt idx="69">
                  <c:v>4.6999700000000004</c:v>
                </c:pt>
                <c:pt idx="70">
                  <c:v>4.7170699999999997</c:v>
                </c:pt>
                <c:pt idx="71">
                  <c:v>4.73048</c:v>
                </c:pt>
                <c:pt idx="72">
                  <c:v>4.7444899999999999</c:v>
                </c:pt>
                <c:pt idx="73">
                  <c:v>4.7591599999999996</c:v>
                </c:pt>
                <c:pt idx="74">
                  <c:v>4.7728799999999998</c:v>
                </c:pt>
                <c:pt idx="75">
                  <c:v>4.7817600000000002</c:v>
                </c:pt>
                <c:pt idx="76">
                  <c:v>4.7869600000000005</c:v>
                </c:pt>
                <c:pt idx="77">
                  <c:v>4.79061</c:v>
                </c:pt>
                <c:pt idx="78">
                  <c:v>4.7952499999999993</c:v>
                </c:pt>
                <c:pt idx="79">
                  <c:v>4.7996800000000004</c:v>
                </c:pt>
                <c:pt idx="80">
                  <c:v>4.8044199999999995</c:v>
                </c:pt>
                <c:pt idx="81">
                  <c:v>4.8087499999999999</c:v>
                </c:pt>
                <c:pt idx="82">
                  <c:v>4.8113799999999998</c:v>
                </c:pt>
                <c:pt idx="83">
                  <c:v>4.8084899999999999</c:v>
                </c:pt>
                <c:pt idx="84">
                  <c:v>4.8084500000000006</c:v>
                </c:pt>
                <c:pt idx="85">
                  <c:v>4.8049400000000002</c:v>
                </c:pt>
                <c:pt idx="86">
                  <c:v>4.7988099999999996</c:v>
                </c:pt>
                <c:pt idx="87">
                  <c:v>4.7942999999999998</c:v>
                </c:pt>
                <c:pt idx="88">
                  <c:v>4.7860700000000005</c:v>
                </c:pt>
                <c:pt idx="89">
                  <c:v>4.7762500000000001</c:v>
                </c:pt>
                <c:pt idx="90">
                  <c:v>4.76546</c:v>
                </c:pt>
                <c:pt idx="91">
                  <c:v>4.7514200000000004</c:v>
                </c:pt>
                <c:pt idx="92">
                  <c:v>4.73855</c:v>
                </c:pt>
                <c:pt idx="93">
                  <c:v>4.7277699999999996</c:v>
                </c:pt>
                <c:pt idx="94">
                  <c:v>4.7132199999999997</c:v>
                </c:pt>
                <c:pt idx="95">
                  <c:v>4.6983699999999997</c:v>
                </c:pt>
                <c:pt idx="96">
                  <c:v>4.6829200000000002</c:v>
                </c:pt>
                <c:pt idx="97">
                  <c:v>4.67347</c:v>
                </c:pt>
                <c:pt idx="98">
                  <c:v>4.6728399999999999</c:v>
                </c:pt>
                <c:pt idx="99">
                  <c:v>4.6693099999999994</c:v>
                </c:pt>
                <c:pt idx="100">
                  <c:v>4.6672799999999999</c:v>
                </c:pt>
                <c:pt idx="101">
                  <c:v>4.6651999999999996</c:v>
                </c:pt>
                <c:pt idx="102">
                  <c:v>4.66174</c:v>
                </c:pt>
                <c:pt idx="103">
                  <c:v>4.6615599999999997</c:v>
                </c:pt>
                <c:pt idx="104">
                  <c:v>4.6619000000000002</c:v>
                </c:pt>
                <c:pt idx="105">
                  <c:v>4.6606199999999998</c:v>
                </c:pt>
                <c:pt idx="106">
                  <c:v>4.6624999999999996</c:v>
                </c:pt>
                <c:pt idx="107">
                  <c:v>4.6635799999999996</c:v>
                </c:pt>
                <c:pt idx="108">
                  <c:v>4.6707299999999998</c:v>
                </c:pt>
                <c:pt idx="109">
                  <c:v>4.6785600000000001</c:v>
                </c:pt>
                <c:pt idx="110">
                  <c:v>4.6876499999999997</c:v>
                </c:pt>
                <c:pt idx="111">
                  <c:v>4.6971499999999997</c:v>
                </c:pt>
                <c:pt idx="112">
                  <c:v>4.7027299999999999</c:v>
                </c:pt>
                <c:pt idx="113">
                  <c:v>4.71035</c:v>
                </c:pt>
                <c:pt idx="114">
                  <c:v>4.7221700000000002</c:v>
                </c:pt>
                <c:pt idx="115">
                  <c:v>4.7372300000000003</c:v>
                </c:pt>
                <c:pt idx="116">
                  <c:v>4.75542</c:v>
                </c:pt>
                <c:pt idx="117">
                  <c:v>4.7711500000000004</c:v>
                </c:pt>
                <c:pt idx="118">
                  <c:v>4.7837699999999996</c:v>
                </c:pt>
                <c:pt idx="119">
                  <c:v>4.8039900000000006</c:v>
                </c:pt>
                <c:pt idx="120">
                  <c:v>4.82761</c:v>
                </c:pt>
                <c:pt idx="121">
                  <c:v>4.8530600000000002</c:v>
                </c:pt>
                <c:pt idx="122">
                  <c:v>4.8725000000000005</c:v>
                </c:pt>
                <c:pt idx="123">
                  <c:v>4.8750599999999995</c:v>
                </c:pt>
                <c:pt idx="124">
                  <c:v>4.87608</c:v>
                </c:pt>
                <c:pt idx="125">
                  <c:v>4.8810000000000002</c:v>
                </c:pt>
                <c:pt idx="126">
                  <c:v>4.8858899999999998</c:v>
                </c:pt>
                <c:pt idx="127">
                  <c:v>4.8907600000000002</c:v>
                </c:pt>
                <c:pt idx="128">
                  <c:v>4.89351</c:v>
                </c:pt>
                <c:pt idx="129">
                  <c:v>4.89602</c:v>
                </c:pt>
                <c:pt idx="130">
                  <c:v>4.9007100000000001</c:v>
                </c:pt>
                <c:pt idx="131">
                  <c:v>4.9037100000000002</c:v>
                </c:pt>
                <c:pt idx="132">
                  <c:v>4.9113199999999999</c:v>
                </c:pt>
                <c:pt idx="133">
                  <c:v>4.9166500000000006</c:v>
                </c:pt>
                <c:pt idx="134">
                  <c:v>4.9215999999999998</c:v>
                </c:pt>
                <c:pt idx="135">
                  <c:v>4.9279200000000003</c:v>
                </c:pt>
                <c:pt idx="136">
                  <c:v>4.9378100000000007</c:v>
                </c:pt>
                <c:pt idx="137">
                  <c:v>4.9508200000000002</c:v>
                </c:pt>
                <c:pt idx="138">
                  <c:v>4.9636500000000003</c:v>
                </c:pt>
                <c:pt idx="139">
                  <c:v>4.96896</c:v>
                </c:pt>
                <c:pt idx="140">
                  <c:v>4.9763700000000002</c:v>
                </c:pt>
                <c:pt idx="141">
                  <c:v>4.9891000000000005</c:v>
                </c:pt>
                <c:pt idx="142">
                  <c:v>4.9999000000000002</c:v>
                </c:pt>
                <c:pt idx="143">
                  <c:v>5.0151500000000002</c:v>
                </c:pt>
                <c:pt idx="144">
                  <c:v>5.0272199999999998</c:v>
                </c:pt>
                <c:pt idx="145">
                  <c:v>5.0240099999999996</c:v>
                </c:pt>
                <c:pt idx="146">
                  <c:v>5.0376099999999999</c:v>
                </c:pt>
                <c:pt idx="147">
                  <c:v>5.0297400000000003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39.007799999999996</c:v>
                </c:pt>
                <c:pt idx="1">
                  <c:v>37.915599999999998</c:v>
                </c:pt>
                <c:pt idx="2">
                  <c:v>37.035600000000002</c:v>
                </c:pt>
                <c:pt idx="3">
                  <c:v>36.142099999999999</c:v>
                </c:pt>
                <c:pt idx="4">
                  <c:v>35.307600000000001</c:v>
                </c:pt>
                <c:pt idx="5">
                  <c:v>34.4131</c:v>
                </c:pt>
                <c:pt idx="6">
                  <c:v>33.419800000000002</c:v>
                </c:pt>
                <c:pt idx="7">
                  <c:v>32.450299999999999</c:v>
                </c:pt>
                <c:pt idx="8">
                  <c:v>31.833600000000001</c:v>
                </c:pt>
                <c:pt idx="9">
                  <c:v>31.4023</c:v>
                </c:pt>
                <c:pt idx="10">
                  <c:v>31.072300000000002</c:v>
                </c:pt>
                <c:pt idx="11">
                  <c:v>30.869000000000003</c:v>
                </c:pt>
                <c:pt idx="12">
                  <c:v>30.704500000000003</c:v>
                </c:pt>
                <c:pt idx="13">
                  <c:v>30.599900000000002</c:v>
                </c:pt>
                <c:pt idx="14">
                  <c:v>30.470199999999998</c:v>
                </c:pt>
                <c:pt idx="15">
                  <c:v>30.4054</c:v>
                </c:pt>
                <c:pt idx="16">
                  <c:v>30.299300000000002</c:v>
                </c:pt>
                <c:pt idx="17">
                  <c:v>30.083300000000001</c:v>
                </c:pt>
                <c:pt idx="18">
                  <c:v>29.854599999999998</c:v>
                </c:pt>
                <c:pt idx="19">
                  <c:v>29.575099999999999</c:v>
                </c:pt>
                <c:pt idx="20">
                  <c:v>29.326600000000003</c:v>
                </c:pt>
                <c:pt idx="21">
                  <c:v>29.092499999999998</c:v>
                </c:pt>
                <c:pt idx="22">
                  <c:v>28.697899999999997</c:v>
                </c:pt>
                <c:pt idx="23">
                  <c:v>28.313400000000001</c:v>
                </c:pt>
                <c:pt idx="24">
                  <c:v>27.992599999999999</c:v>
                </c:pt>
                <c:pt idx="25">
                  <c:v>27.687299999999997</c:v>
                </c:pt>
                <c:pt idx="26">
                  <c:v>27.478899999999999</c:v>
                </c:pt>
                <c:pt idx="27">
                  <c:v>27.281300000000002</c:v>
                </c:pt>
                <c:pt idx="28">
                  <c:v>27.059899999999999</c:v>
                </c:pt>
                <c:pt idx="29">
                  <c:v>26.904199999999999</c:v>
                </c:pt>
                <c:pt idx="30">
                  <c:v>26.872600000000002</c:v>
                </c:pt>
                <c:pt idx="31">
                  <c:v>27.036900000000003</c:v>
                </c:pt>
                <c:pt idx="32">
                  <c:v>27.230700000000002</c:v>
                </c:pt>
                <c:pt idx="33">
                  <c:v>27.306699999999999</c:v>
                </c:pt>
                <c:pt idx="34">
                  <c:v>27.3598</c:v>
                </c:pt>
                <c:pt idx="35">
                  <c:v>27.4741</c:v>
                </c:pt>
                <c:pt idx="36">
                  <c:v>27.577400000000001</c:v>
                </c:pt>
                <c:pt idx="37">
                  <c:v>27.6646</c:v>
                </c:pt>
                <c:pt idx="38">
                  <c:v>27.801599999999997</c:v>
                </c:pt>
                <c:pt idx="39">
                  <c:v>27.923900000000003</c:v>
                </c:pt>
                <c:pt idx="40">
                  <c:v>27.975100000000001</c:v>
                </c:pt>
                <c:pt idx="41">
                  <c:v>28.0594</c:v>
                </c:pt>
                <c:pt idx="42">
                  <c:v>28.151599999999998</c:v>
                </c:pt>
                <c:pt idx="43">
                  <c:v>28.244999999999997</c:v>
                </c:pt>
                <c:pt idx="44">
                  <c:v>28.363899999999997</c:v>
                </c:pt>
                <c:pt idx="45">
                  <c:v>28.384700000000002</c:v>
                </c:pt>
                <c:pt idx="46">
                  <c:v>28.264699999999998</c:v>
                </c:pt>
                <c:pt idx="47">
                  <c:v>28.2179</c:v>
                </c:pt>
                <c:pt idx="48">
                  <c:v>28.215800000000002</c:v>
                </c:pt>
                <c:pt idx="49">
                  <c:v>28.246399999999998</c:v>
                </c:pt>
                <c:pt idx="50">
                  <c:v>28.3018</c:v>
                </c:pt>
                <c:pt idx="51">
                  <c:v>28.243099999999998</c:v>
                </c:pt>
                <c:pt idx="52">
                  <c:v>28.0489</c:v>
                </c:pt>
                <c:pt idx="53">
                  <c:v>28.021800000000002</c:v>
                </c:pt>
                <c:pt idx="54">
                  <c:v>28.0075</c:v>
                </c:pt>
                <c:pt idx="55">
                  <c:v>27.9665</c:v>
                </c:pt>
                <c:pt idx="56">
                  <c:v>27.943899999999999</c:v>
                </c:pt>
                <c:pt idx="57">
                  <c:v>27.837499999999999</c:v>
                </c:pt>
                <c:pt idx="58">
                  <c:v>27.674900000000001</c:v>
                </c:pt>
                <c:pt idx="59">
                  <c:v>27.607300000000002</c:v>
                </c:pt>
                <c:pt idx="60">
                  <c:v>27.500599999999999</c:v>
                </c:pt>
                <c:pt idx="61">
                  <c:v>27.423500000000001</c:v>
                </c:pt>
                <c:pt idx="62">
                  <c:v>27.430700000000002</c:v>
                </c:pt>
                <c:pt idx="63">
                  <c:v>27.360099999999999</c:v>
                </c:pt>
                <c:pt idx="64">
                  <c:v>27.279599999999999</c:v>
                </c:pt>
                <c:pt idx="65">
                  <c:v>27.173399999999997</c:v>
                </c:pt>
                <c:pt idx="66">
                  <c:v>27.023099999999999</c:v>
                </c:pt>
                <c:pt idx="67">
                  <c:v>26.870100000000001</c:v>
                </c:pt>
                <c:pt idx="68">
                  <c:v>26.741700000000002</c:v>
                </c:pt>
                <c:pt idx="69">
                  <c:v>26.555299999999999</c:v>
                </c:pt>
                <c:pt idx="70">
                  <c:v>26.362300000000001</c:v>
                </c:pt>
                <c:pt idx="71">
                  <c:v>26.190600000000003</c:v>
                </c:pt>
                <c:pt idx="72">
                  <c:v>26.069799999999997</c:v>
                </c:pt>
                <c:pt idx="73">
                  <c:v>25.845200000000002</c:v>
                </c:pt>
                <c:pt idx="74">
                  <c:v>25.593800000000002</c:v>
                </c:pt>
                <c:pt idx="75">
                  <c:v>25.373800000000003</c:v>
                </c:pt>
                <c:pt idx="76">
                  <c:v>25.087</c:v>
                </c:pt>
                <c:pt idx="77">
                  <c:v>24.8306</c:v>
                </c:pt>
                <c:pt idx="78">
                  <c:v>24.617900000000002</c:v>
                </c:pt>
                <c:pt idx="79">
                  <c:v>24.338099999999997</c:v>
                </c:pt>
                <c:pt idx="80">
                  <c:v>24.043800000000001</c:v>
                </c:pt>
                <c:pt idx="81">
                  <c:v>23.744100000000003</c:v>
                </c:pt>
                <c:pt idx="82">
                  <c:v>23.611499999999999</c:v>
                </c:pt>
                <c:pt idx="83">
                  <c:v>23.569000000000003</c:v>
                </c:pt>
                <c:pt idx="84">
                  <c:v>23.439699999999998</c:v>
                </c:pt>
                <c:pt idx="85">
                  <c:v>23.245200000000001</c:v>
                </c:pt>
                <c:pt idx="86">
                  <c:v>23.018000000000001</c:v>
                </c:pt>
                <c:pt idx="87">
                  <c:v>22.684099999999997</c:v>
                </c:pt>
                <c:pt idx="88">
                  <c:v>22.3355</c:v>
                </c:pt>
                <c:pt idx="89">
                  <c:v>21.9908</c:v>
                </c:pt>
                <c:pt idx="90">
                  <c:v>21.659500000000001</c:v>
                </c:pt>
                <c:pt idx="91">
                  <c:v>21.3706</c:v>
                </c:pt>
                <c:pt idx="92">
                  <c:v>21.0749</c:v>
                </c:pt>
                <c:pt idx="93">
                  <c:v>20.748699999999999</c:v>
                </c:pt>
                <c:pt idx="94">
                  <c:v>20.540700000000001</c:v>
                </c:pt>
                <c:pt idx="95">
                  <c:v>20.296199999999999</c:v>
                </c:pt>
                <c:pt idx="96">
                  <c:v>20.195499999999999</c:v>
                </c:pt>
                <c:pt idx="97">
                  <c:v>20.1218</c:v>
                </c:pt>
                <c:pt idx="98">
                  <c:v>19.8886</c:v>
                </c:pt>
                <c:pt idx="99">
                  <c:v>19.492999999999999</c:v>
                </c:pt>
                <c:pt idx="100">
                  <c:v>19.061299999999999</c:v>
                </c:pt>
                <c:pt idx="101">
                  <c:v>18.698</c:v>
                </c:pt>
                <c:pt idx="102">
                  <c:v>18.4055</c:v>
                </c:pt>
                <c:pt idx="103">
                  <c:v>17.9391</c:v>
                </c:pt>
                <c:pt idx="104">
                  <c:v>17.5733</c:v>
                </c:pt>
                <c:pt idx="105">
                  <c:v>17.276199999999999</c:v>
                </c:pt>
                <c:pt idx="106">
                  <c:v>16.942</c:v>
                </c:pt>
                <c:pt idx="107">
                  <c:v>16.497199999999999</c:v>
                </c:pt>
                <c:pt idx="108">
                  <c:v>15.947600000000001</c:v>
                </c:pt>
                <c:pt idx="109">
                  <c:v>15.4032</c:v>
                </c:pt>
                <c:pt idx="110">
                  <c:v>14.991099999999999</c:v>
                </c:pt>
                <c:pt idx="111">
                  <c:v>14.5063</c:v>
                </c:pt>
                <c:pt idx="112">
                  <c:v>14.13</c:v>
                </c:pt>
                <c:pt idx="113">
                  <c:v>13.772200000000002</c:v>
                </c:pt>
                <c:pt idx="114">
                  <c:v>13.329499999999999</c:v>
                </c:pt>
                <c:pt idx="115">
                  <c:v>12.9581</c:v>
                </c:pt>
                <c:pt idx="116">
                  <c:v>12.571099999999999</c:v>
                </c:pt>
                <c:pt idx="117">
                  <c:v>12.196099999999999</c:v>
                </c:pt>
                <c:pt idx="118">
                  <c:v>11.8726</c:v>
                </c:pt>
                <c:pt idx="119">
                  <c:v>11.434900000000001</c:v>
                </c:pt>
                <c:pt idx="120">
                  <c:v>11.129300000000001</c:v>
                </c:pt>
                <c:pt idx="121">
                  <c:v>10.783800000000001</c:v>
                </c:pt>
                <c:pt idx="122">
                  <c:v>10.361099999999999</c:v>
                </c:pt>
                <c:pt idx="123">
                  <c:v>10.287100000000001</c:v>
                </c:pt>
                <c:pt idx="124">
                  <c:v>10.431699999999999</c:v>
                </c:pt>
                <c:pt idx="125">
                  <c:v>10.520200000000001</c:v>
                </c:pt>
                <c:pt idx="126">
                  <c:v>10.639200000000001</c:v>
                </c:pt>
                <c:pt idx="127">
                  <c:v>10.739000000000001</c:v>
                </c:pt>
                <c:pt idx="128">
                  <c:v>10.924100000000001</c:v>
                </c:pt>
                <c:pt idx="129">
                  <c:v>11.0839</c:v>
                </c:pt>
                <c:pt idx="130">
                  <c:v>11.1709</c:v>
                </c:pt>
                <c:pt idx="131">
                  <c:v>11.246</c:v>
                </c:pt>
                <c:pt idx="132">
                  <c:v>11.3666</c:v>
                </c:pt>
                <c:pt idx="133">
                  <c:v>11.4816</c:v>
                </c:pt>
                <c:pt idx="134">
                  <c:v>11.6875</c:v>
                </c:pt>
                <c:pt idx="135">
                  <c:v>11.702199999999999</c:v>
                </c:pt>
                <c:pt idx="136">
                  <c:v>11.8445</c:v>
                </c:pt>
                <c:pt idx="137">
                  <c:v>12.043900000000001</c:v>
                </c:pt>
                <c:pt idx="138">
                  <c:v>12.264700000000001</c:v>
                </c:pt>
                <c:pt idx="139">
                  <c:v>12.687799999999999</c:v>
                </c:pt>
                <c:pt idx="140">
                  <c:v>12.9186</c:v>
                </c:pt>
                <c:pt idx="141">
                  <c:v>13.1434</c:v>
                </c:pt>
                <c:pt idx="142">
                  <c:v>13.490399999999999</c:v>
                </c:pt>
                <c:pt idx="143">
                  <c:v>13.725399999999999</c:v>
                </c:pt>
                <c:pt idx="144">
                  <c:v>13.927</c:v>
                </c:pt>
                <c:pt idx="145">
                  <c:v>14.2522</c:v>
                </c:pt>
                <c:pt idx="146">
                  <c:v>13.7486</c:v>
                </c:pt>
                <c:pt idx="147">
                  <c:v>13.8276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3.3955200000000003</c:v>
                </c:pt>
                <c:pt idx="1">
                  <c:v>3.4975499999999999</c:v>
                </c:pt>
                <c:pt idx="2">
                  <c:v>3.59545</c:v>
                </c:pt>
                <c:pt idx="3">
                  <c:v>3.6953100000000001</c:v>
                </c:pt>
                <c:pt idx="4">
                  <c:v>3.79589</c:v>
                </c:pt>
                <c:pt idx="5">
                  <c:v>3.8859300000000001</c:v>
                </c:pt>
                <c:pt idx="6">
                  <c:v>3.97377</c:v>
                </c:pt>
                <c:pt idx="7">
                  <c:v>4.05863</c:v>
                </c:pt>
                <c:pt idx="8">
                  <c:v>4.1357900000000001</c:v>
                </c:pt>
                <c:pt idx="9">
                  <c:v>4.2068599999999998</c:v>
                </c:pt>
                <c:pt idx="10">
                  <c:v>4.2729499999999998</c:v>
                </c:pt>
                <c:pt idx="11">
                  <c:v>4.33589</c:v>
                </c:pt>
                <c:pt idx="12">
                  <c:v>4.3952900000000001</c:v>
                </c:pt>
                <c:pt idx="13">
                  <c:v>4.4475800000000003</c:v>
                </c:pt>
                <c:pt idx="14">
                  <c:v>4.49153</c:v>
                </c:pt>
                <c:pt idx="15">
                  <c:v>4.5289700000000002</c:v>
                </c:pt>
                <c:pt idx="16">
                  <c:v>4.5636599999999996</c:v>
                </c:pt>
                <c:pt idx="17">
                  <c:v>4.5923400000000001</c:v>
                </c:pt>
                <c:pt idx="18">
                  <c:v>4.6175699999999997</c:v>
                </c:pt>
                <c:pt idx="19">
                  <c:v>4.6380999999999997</c:v>
                </c:pt>
                <c:pt idx="20">
                  <c:v>4.6510800000000003</c:v>
                </c:pt>
                <c:pt idx="21">
                  <c:v>4.65848</c:v>
                </c:pt>
                <c:pt idx="22">
                  <c:v>4.6610100000000001</c:v>
                </c:pt>
                <c:pt idx="23">
                  <c:v>4.6596200000000003</c:v>
                </c:pt>
                <c:pt idx="24">
                  <c:v>4.6573199999999995</c:v>
                </c:pt>
                <c:pt idx="25">
                  <c:v>4.6519199999999996</c:v>
                </c:pt>
                <c:pt idx="26">
                  <c:v>4.6441499999999998</c:v>
                </c:pt>
                <c:pt idx="27">
                  <c:v>4.6357799999999996</c:v>
                </c:pt>
                <c:pt idx="28">
                  <c:v>4.6265499999999999</c:v>
                </c:pt>
                <c:pt idx="29">
                  <c:v>4.6143400000000003</c:v>
                </c:pt>
                <c:pt idx="30">
                  <c:v>4.5988600000000002</c:v>
                </c:pt>
                <c:pt idx="31">
                  <c:v>4.5775900000000007</c:v>
                </c:pt>
                <c:pt idx="32">
                  <c:v>4.5520500000000004</c:v>
                </c:pt>
                <c:pt idx="33">
                  <c:v>4.5272699999999997</c:v>
                </c:pt>
                <c:pt idx="34">
                  <c:v>4.5045800000000007</c:v>
                </c:pt>
                <c:pt idx="35">
                  <c:v>4.4805200000000003</c:v>
                </c:pt>
                <c:pt idx="36">
                  <c:v>4.45784</c:v>
                </c:pt>
                <c:pt idx="37">
                  <c:v>4.4358599999999999</c:v>
                </c:pt>
                <c:pt idx="38">
                  <c:v>4.4173299999999998</c:v>
                </c:pt>
                <c:pt idx="39">
                  <c:v>4.4028299999999998</c:v>
                </c:pt>
                <c:pt idx="40">
                  <c:v>4.3960100000000004</c:v>
                </c:pt>
                <c:pt idx="41">
                  <c:v>4.3929600000000004</c:v>
                </c:pt>
                <c:pt idx="42">
                  <c:v>4.3891299999999998</c:v>
                </c:pt>
                <c:pt idx="43">
                  <c:v>4.3848799999999999</c:v>
                </c:pt>
                <c:pt idx="44">
                  <c:v>4.3837099999999998</c:v>
                </c:pt>
                <c:pt idx="45">
                  <c:v>4.3891</c:v>
                </c:pt>
                <c:pt idx="46">
                  <c:v>4.4001800000000006</c:v>
                </c:pt>
                <c:pt idx="47">
                  <c:v>4.4077000000000002</c:v>
                </c:pt>
                <c:pt idx="48">
                  <c:v>4.4131599999999995</c:v>
                </c:pt>
                <c:pt idx="49">
                  <c:v>4.4167000000000005</c:v>
                </c:pt>
                <c:pt idx="50">
                  <c:v>4.42225</c:v>
                </c:pt>
                <c:pt idx="51">
                  <c:v>4.4319699999999997</c:v>
                </c:pt>
                <c:pt idx="52">
                  <c:v>4.44442</c:v>
                </c:pt>
                <c:pt idx="53">
                  <c:v>4.4509999999999996</c:v>
                </c:pt>
                <c:pt idx="54">
                  <c:v>4.4570300000000005</c:v>
                </c:pt>
                <c:pt idx="55">
                  <c:v>4.4639800000000003</c:v>
                </c:pt>
                <c:pt idx="56">
                  <c:v>4.4705899999999996</c:v>
                </c:pt>
                <c:pt idx="57">
                  <c:v>4.4808399999999997</c:v>
                </c:pt>
                <c:pt idx="58">
                  <c:v>4.49587</c:v>
                </c:pt>
                <c:pt idx="59">
                  <c:v>4.5078000000000005</c:v>
                </c:pt>
                <c:pt idx="60">
                  <c:v>4.5245499999999996</c:v>
                </c:pt>
                <c:pt idx="61">
                  <c:v>4.5424999999999995</c:v>
                </c:pt>
                <c:pt idx="62">
                  <c:v>4.5613700000000001</c:v>
                </c:pt>
                <c:pt idx="63">
                  <c:v>4.5837899999999996</c:v>
                </c:pt>
                <c:pt idx="64">
                  <c:v>4.6070100000000007</c:v>
                </c:pt>
                <c:pt idx="65">
                  <c:v>4.6254800000000005</c:v>
                </c:pt>
                <c:pt idx="66">
                  <c:v>4.6421600000000005</c:v>
                </c:pt>
                <c:pt idx="67">
                  <c:v>4.6611799999999999</c:v>
                </c:pt>
                <c:pt idx="68">
                  <c:v>4.6810700000000001</c:v>
                </c:pt>
                <c:pt idx="69">
                  <c:v>4.6999700000000004</c:v>
                </c:pt>
                <c:pt idx="70">
                  <c:v>4.7170699999999997</c:v>
                </c:pt>
                <c:pt idx="71">
                  <c:v>4.73048</c:v>
                </c:pt>
                <c:pt idx="72">
                  <c:v>4.7444899999999999</c:v>
                </c:pt>
                <c:pt idx="73">
                  <c:v>4.7591599999999996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39.007799999999996</c:v>
                </c:pt>
                <c:pt idx="1">
                  <c:v>37.915599999999998</c:v>
                </c:pt>
                <c:pt idx="2">
                  <c:v>37.035600000000002</c:v>
                </c:pt>
                <c:pt idx="3">
                  <c:v>36.142099999999999</c:v>
                </c:pt>
                <c:pt idx="4">
                  <c:v>35.307600000000001</c:v>
                </c:pt>
                <c:pt idx="5">
                  <c:v>34.4131</c:v>
                </c:pt>
                <c:pt idx="6">
                  <c:v>33.419800000000002</c:v>
                </c:pt>
                <c:pt idx="7">
                  <c:v>32.450299999999999</c:v>
                </c:pt>
                <c:pt idx="8">
                  <c:v>31.833600000000001</c:v>
                </c:pt>
                <c:pt idx="9">
                  <c:v>31.4023</c:v>
                </c:pt>
                <c:pt idx="10">
                  <c:v>31.072300000000002</c:v>
                </c:pt>
                <c:pt idx="11">
                  <c:v>30.869000000000003</c:v>
                </c:pt>
                <c:pt idx="12">
                  <c:v>30.704500000000003</c:v>
                </c:pt>
                <c:pt idx="13">
                  <c:v>30.599900000000002</c:v>
                </c:pt>
                <c:pt idx="14">
                  <c:v>30.470199999999998</c:v>
                </c:pt>
                <c:pt idx="15">
                  <c:v>30.4054</c:v>
                </c:pt>
                <c:pt idx="16">
                  <c:v>30.299300000000002</c:v>
                </c:pt>
                <c:pt idx="17">
                  <c:v>30.083300000000001</c:v>
                </c:pt>
                <c:pt idx="18">
                  <c:v>29.854599999999998</c:v>
                </c:pt>
                <c:pt idx="19">
                  <c:v>29.575099999999999</c:v>
                </c:pt>
                <c:pt idx="20">
                  <c:v>29.326600000000003</c:v>
                </c:pt>
                <c:pt idx="21">
                  <c:v>29.092499999999998</c:v>
                </c:pt>
                <c:pt idx="22">
                  <c:v>28.697899999999997</c:v>
                </c:pt>
                <c:pt idx="23">
                  <c:v>28.313400000000001</c:v>
                </c:pt>
                <c:pt idx="24">
                  <c:v>27.992599999999999</c:v>
                </c:pt>
                <c:pt idx="25">
                  <c:v>27.687299999999997</c:v>
                </c:pt>
                <c:pt idx="26">
                  <c:v>27.478899999999999</c:v>
                </c:pt>
                <c:pt idx="27">
                  <c:v>27.281300000000002</c:v>
                </c:pt>
                <c:pt idx="28">
                  <c:v>27.059899999999999</c:v>
                </c:pt>
                <c:pt idx="29">
                  <c:v>26.904199999999999</c:v>
                </c:pt>
                <c:pt idx="30">
                  <c:v>26.872600000000002</c:v>
                </c:pt>
                <c:pt idx="31">
                  <c:v>27.036900000000003</c:v>
                </c:pt>
                <c:pt idx="32">
                  <c:v>27.230700000000002</c:v>
                </c:pt>
                <c:pt idx="33">
                  <c:v>27.306699999999999</c:v>
                </c:pt>
                <c:pt idx="34">
                  <c:v>27.3598</c:v>
                </c:pt>
                <c:pt idx="35">
                  <c:v>27.4741</c:v>
                </c:pt>
                <c:pt idx="36">
                  <c:v>27.577400000000001</c:v>
                </c:pt>
                <c:pt idx="37">
                  <c:v>27.6646</c:v>
                </c:pt>
                <c:pt idx="38">
                  <c:v>27.801599999999997</c:v>
                </c:pt>
                <c:pt idx="39">
                  <c:v>27.923900000000003</c:v>
                </c:pt>
                <c:pt idx="40">
                  <c:v>27.975100000000001</c:v>
                </c:pt>
                <c:pt idx="41">
                  <c:v>28.0594</c:v>
                </c:pt>
                <c:pt idx="42">
                  <c:v>28.151599999999998</c:v>
                </c:pt>
                <c:pt idx="43">
                  <c:v>28.244999999999997</c:v>
                </c:pt>
                <c:pt idx="44">
                  <c:v>28.363899999999997</c:v>
                </c:pt>
                <c:pt idx="45">
                  <c:v>28.384700000000002</c:v>
                </c:pt>
                <c:pt idx="46">
                  <c:v>28.264699999999998</c:v>
                </c:pt>
                <c:pt idx="47">
                  <c:v>28.2179</c:v>
                </c:pt>
                <c:pt idx="48">
                  <c:v>28.215800000000002</c:v>
                </c:pt>
                <c:pt idx="49">
                  <c:v>28.246399999999998</c:v>
                </c:pt>
                <c:pt idx="50">
                  <c:v>28.3018</c:v>
                </c:pt>
                <c:pt idx="51">
                  <c:v>28.243099999999998</c:v>
                </c:pt>
                <c:pt idx="52">
                  <c:v>28.0489</c:v>
                </c:pt>
                <c:pt idx="53">
                  <c:v>28.021800000000002</c:v>
                </c:pt>
                <c:pt idx="54">
                  <c:v>28.0075</c:v>
                </c:pt>
                <c:pt idx="55">
                  <c:v>27.9665</c:v>
                </c:pt>
                <c:pt idx="56">
                  <c:v>27.943899999999999</c:v>
                </c:pt>
                <c:pt idx="57">
                  <c:v>27.837499999999999</c:v>
                </c:pt>
                <c:pt idx="58">
                  <c:v>27.674900000000001</c:v>
                </c:pt>
                <c:pt idx="59">
                  <c:v>27.607300000000002</c:v>
                </c:pt>
                <c:pt idx="60">
                  <c:v>27.500599999999999</c:v>
                </c:pt>
                <c:pt idx="61">
                  <c:v>27.423500000000001</c:v>
                </c:pt>
                <c:pt idx="62">
                  <c:v>27.430700000000002</c:v>
                </c:pt>
                <c:pt idx="63">
                  <c:v>27.360099999999999</c:v>
                </c:pt>
                <c:pt idx="64">
                  <c:v>27.279599999999999</c:v>
                </c:pt>
                <c:pt idx="65">
                  <c:v>27.173399999999997</c:v>
                </c:pt>
                <c:pt idx="66">
                  <c:v>27.023099999999999</c:v>
                </c:pt>
                <c:pt idx="67">
                  <c:v>26.870100000000001</c:v>
                </c:pt>
                <c:pt idx="68">
                  <c:v>26.741700000000002</c:v>
                </c:pt>
                <c:pt idx="69">
                  <c:v>26.555299999999999</c:v>
                </c:pt>
                <c:pt idx="70">
                  <c:v>26.362300000000001</c:v>
                </c:pt>
                <c:pt idx="71">
                  <c:v>26.190600000000003</c:v>
                </c:pt>
                <c:pt idx="72">
                  <c:v>26.069799999999997</c:v>
                </c:pt>
                <c:pt idx="73">
                  <c:v>25.845200000000002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4.7591599999999996</c:v>
                </c:pt>
                <c:pt idx="1">
                  <c:v>4.7728799999999998</c:v>
                </c:pt>
                <c:pt idx="2">
                  <c:v>4.7817600000000002</c:v>
                </c:pt>
                <c:pt idx="3">
                  <c:v>4.7869600000000005</c:v>
                </c:pt>
                <c:pt idx="4">
                  <c:v>4.79061</c:v>
                </c:pt>
                <c:pt idx="5">
                  <c:v>4.7952499999999993</c:v>
                </c:pt>
                <c:pt idx="6">
                  <c:v>4.7996800000000004</c:v>
                </c:pt>
                <c:pt idx="7">
                  <c:v>4.8044199999999995</c:v>
                </c:pt>
                <c:pt idx="8">
                  <c:v>4.8087499999999999</c:v>
                </c:pt>
                <c:pt idx="9">
                  <c:v>4.8113799999999998</c:v>
                </c:pt>
                <c:pt idx="10">
                  <c:v>4.8084899999999999</c:v>
                </c:pt>
                <c:pt idx="11">
                  <c:v>4.8084500000000006</c:v>
                </c:pt>
                <c:pt idx="12">
                  <c:v>4.8049400000000002</c:v>
                </c:pt>
                <c:pt idx="13">
                  <c:v>4.7988099999999996</c:v>
                </c:pt>
                <c:pt idx="14">
                  <c:v>4.7942999999999998</c:v>
                </c:pt>
                <c:pt idx="15">
                  <c:v>4.7860700000000005</c:v>
                </c:pt>
                <c:pt idx="16">
                  <c:v>4.7762500000000001</c:v>
                </c:pt>
                <c:pt idx="17">
                  <c:v>4.76546</c:v>
                </c:pt>
                <c:pt idx="18">
                  <c:v>4.7514200000000004</c:v>
                </c:pt>
                <c:pt idx="19">
                  <c:v>4.73855</c:v>
                </c:pt>
                <c:pt idx="20">
                  <c:v>4.7277699999999996</c:v>
                </c:pt>
                <c:pt idx="21">
                  <c:v>4.7132199999999997</c:v>
                </c:pt>
                <c:pt idx="22">
                  <c:v>4.6983699999999997</c:v>
                </c:pt>
                <c:pt idx="23">
                  <c:v>4.6829200000000002</c:v>
                </c:pt>
                <c:pt idx="24">
                  <c:v>4.67347</c:v>
                </c:pt>
                <c:pt idx="25">
                  <c:v>4.6728399999999999</c:v>
                </c:pt>
                <c:pt idx="26">
                  <c:v>4.6693099999999994</c:v>
                </c:pt>
                <c:pt idx="27">
                  <c:v>4.6672799999999999</c:v>
                </c:pt>
                <c:pt idx="28">
                  <c:v>4.6651999999999996</c:v>
                </c:pt>
                <c:pt idx="29">
                  <c:v>4.66174</c:v>
                </c:pt>
                <c:pt idx="30">
                  <c:v>4.6615599999999997</c:v>
                </c:pt>
                <c:pt idx="31">
                  <c:v>4.6619000000000002</c:v>
                </c:pt>
                <c:pt idx="32">
                  <c:v>4.6606199999999998</c:v>
                </c:pt>
                <c:pt idx="33">
                  <c:v>4.6624999999999996</c:v>
                </c:pt>
                <c:pt idx="34">
                  <c:v>4.6635799999999996</c:v>
                </c:pt>
                <c:pt idx="35">
                  <c:v>4.6707299999999998</c:v>
                </c:pt>
                <c:pt idx="36">
                  <c:v>4.6785600000000001</c:v>
                </c:pt>
                <c:pt idx="37">
                  <c:v>4.6876499999999997</c:v>
                </c:pt>
                <c:pt idx="38">
                  <c:v>4.6971499999999997</c:v>
                </c:pt>
                <c:pt idx="39">
                  <c:v>4.7027299999999999</c:v>
                </c:pt>
                <c:pt idx="40">
                  <c:v>4.71035</c:v>
                </c:pt>
                <c:pt idx="41">
                  <c:v>4.7221700000000002</c:v>
                </c:pt>
                <c:pt idx="42">
                  <c:v>4.7372300000000003</c:v>
                </c:pt>
                <c:pt idx="43">
                  <c:v>4.75542</c:v>
                </c:pt>
                <c:pt idx="44">
                  <c:v>4.7711500000000004</c:v>
                </c:pt>
                <c:pt idx="45">
                  <c:v>4.7837699999999996</c:v>
                </c:pt>
                <c:pt idx="46">
                  <c:v>4.8039900000000006</c:v>
                </c:pt>
                <c:pt idx="47">
                  <c:v>4.82761</c:v>
                </c:pt>
                <c:pt idx="48">
                  <c:v>4.8530600000000002</c:v>
                </c:pt>
                <c:pt idx="49">
                  <c:v>4.8725000000000005</c:v>
                </c:pt>
                <c:pt idx="50">
                  <c:v>4.8750599999999995</c:v>
                </c:pt>
                <c:pt idx="51">
                  <c:v>4.87608</c:v>
                </c:pt>
                <c:pt idx="52">
                  <c:v>4.8810000000000002</c:v>
                </c:pt>
                <c:pt idx="53">
                  <c:v>4.8858899999999998</c:v>
                </c:pt>
                <c:pt idx="54">
                  <c:v>4.8907600000000002</c:v>
                </c:pt>
                <c:pt idx="55">
                  <c:v>4.89351</c:v>
                </c:pt>
                <c:pt idx="56">
                  <c:v>4.89602</c:v>
                </c:pt>
                <c:pt idx="57">
                  <c:v>4.9007100000000001</c:v>
                </c:pt>
                <c:pt idx="58">
                  <c:v>4.9037100000000002</c:v>
                </c:pt>
                <c:pt idx="59">
                  <c:v>4.9113199999999999</c:v>
                </c:pt>
                <c:pt idx="60">
                  <c:v>4.9166500000000006</c:v>
                </c:pt>
                <c:pt idx="61">
                  <c:v>4.9215999999999998</c:v>
                </c:pt>
                <c:pt idx="62">
                  <c:v>4.9279200000000003</c:v>
                </c:pt>
                <c:pt idx="63">
                  <c:v>4.9378100000000007</c:v>
                </c:pt>
                <c:pt idx="64">
                  <c:v>4.9508200000000002</c:v>
                </c:pt>
                <c:pt idx="65">
                  <c:v>4.9636500000000003</c:v>
                </c:pt>
                <c:pt idx="66">
                  <c:v>4.96896</c:v>
                </c:pt>
                <c:pt idx="67">
                  <c:v>4.9763700000000002</c:v>
                </c:pt>
                <c:pt idx="68">
                  <c:v>4.9891000000000005</c:v>
                </c:pt>
                <c:pt idx="69">
                  <c:v>4.9999000000000002</c:v>
                </c:pt>
                <c:pt idx="70">
                  <c:v>5.0151500000000002</c:v>
                </c:pt>
                <c:pt idx="71">
                  <c:v>5.0272199999999998</c:v>
                </c:pt>
                <c:pt idx="72">
                  <c:v>5.0240099999999996</c:v>
                </c:pt>
                <c:pt idx="73">
                  <c:v>5.0376099999999999</c:v>
                </c:pt>
                <c:pt idx="74">
                  <c:v>5.0297400000000003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25.845200000000002</c:v>
                </c:pt>
                <c:pt idx="1">
                  <c:v>25.593800000000002</c:v>
                </c:pt>
                <c:pt idx="2">
                  <c:v>25.373800000000003</c:v>
                </c:pt>
                <c:pt idx="3">
                  <c:v>25.087</c:v>
                </c:pt>
                <c:pt idx="4">
                  <c:v>24.8306</c:v>
                </c:pt>
                <c:pt idx="5">
                  <c:v>24.617900000000002</c:v>
                </c:pt>
                <c:pt idx="6">
                  <c:v>24.338099999999997</c:v>
                </c:pt>
                <c:pt idx="7">
                  <c:v>24.043800000000001</c:v>
                </c:pt>
                <c:pt idx="8">
                  <c:v>23.744100000000003</c:v>
                </c:pt>
                <c:pt idx="9">
                  <c:v>23.611499999999999</c:v>
                </c:pt>
                <c:pt idx="10">
                  <c:v>23.569000000000003</c:v>
                </c:pt>
                <c:pt idx="11">
                  <c:v>23.439699999999998</c:v>
                </c:pt>
                <c:pt idx="12">
                  <c:v>23.245200000000001</c:v>
                </c:pt>
                <c:pt idx="13">
                  <c:v>23.018000000000001</c:v>
                </c:pt>
                <c:pt idx="14">
                  <c:v>22.684099999999997</c:v>
                </c:pt>
                <c:pt idx="15">
                  <c:v>22.3355</c:v>
                </c:pt>
                <c:pt idx="16">
                  <c:v>21.9908</c:v>
                </c:pt>
                <c:pt idx="17">
                  <c:v>21.659500000000001</c:v>
                </c:pt>
                <c:pt idx="18">
                  <c:v>21.3706</c:v>
                </c:pt>
                <c:pt idx="19">
                  <c:v>21.0749</c:v>
                </c:pt>
                <c:pt idx="20">
                  <c:v>20.748699999999999</c:v>
                </c:pt>
                <c:pt idx="21">
                  <c:v>20.540700000000001</c:v>
                </c:pt>
                <c:pt idx="22">
                  <c:v>20.296199999999999</c:v>
                </c:pt>
                <c:pt idx="23">
                  <c:v>20.195499999999999</c:v>
                </c:pt>
                <c:pt idx="24">
                  <c:v>20.1218</c:v>
                </c:pt>
                <c:pt idx="25">
                  <c:v>19.8886</c:v>
                </c:pt>
                <c:pt idx="26">
                  <c:v>19.492999999999999</c:v>
                </c:pt>
                <c:pt idx="27">
                  <c:v>19.061299999999999</c:v>
                </c:pt>
                <c:pt idx="28">
                  <c:v>18.698</c:v>
                </c:pt>
                <c:pt idx="29">
                  <c:v>18.4055</c:v>
                </c:pt>
                <c:pt idx="30">
                  <c:v>17.9391</c:v>
                </c:pt>
                <c:pt idx="31">
                  <c:v>17.5733</c:v>
                </c:pt>
                <c:pt idx="32">
                  <c:v>17.276199999999999</c:v>
                </c:pt>
                <c:pt idx="33">
                  <c:v>16.942</c:v>
                </c:pt>
                <c:pt idx="34">
                  <c:v>16.497199999999999</c:v>
                </c:pt>
                <c:pt idx="35">
                  <c:v>15.947600000000001</c:v>
                </c:pt>
                <c:pt idx="36">
                  <c:v>15.4032</c:v>
                </c:pt>
                <c:pt idx="37">
                  <c:v>14.991099999999999</c:v>
                </c:pt>
                <c:pt idx="38">
                  <c:v>14.5063</c:v>
                </c:pt>
                <c:pt idx="39">
                  <c:v>14.13</c:v>
                </c:pt>
                <c:pt idx="40">
                  <c:v>13.772200000000002</c:v>
                </c:pt>
                <c:pt idx="41">
                  <c:v>13.329499999999999</c:v>
                </c:pt>
                <c:pt idx="42">
                  <c:v>12.9581</c:v>
                </c:pt>
                <c:pt idx="43">
                  <c:v>12.571099999999999</c:v>
                </c:pt>
                <c:pt idx="44">
                  <c:v>12.196099999999999</c:v>
                </c:pt>
                <c:pt idx="45">
                  <c:v>11.8726</c:v>
                </c:pt>
                <c:pt idx="46">
                  <c:v>11.434900000000001</c:v>
                </c:pt>
                <c:pt idx="47">
                  <c:v>11.129300000000001</c:v>
                </c:pt>
                <c:pt idx="48">
                  <c:v>10.783800000000001</c:v>
                </c:pt>
                <c:pt idx="49">
                  <c:v>10.361099999999999</c:v>
                </c:pt>
                <c:pt idx="50">
                  <c:v>10.287100000000001</c:v>
                </c:pt>
                <c:pt idx="51">
                  <c:v>10.431699999999999</c:v>
                </c:pt>
                <c:pt idx="52">
                  <c:v>10.520200000000001</c:v>
                </c:pt>
                <c:pt idx="53">
                  <c:v>10.639200000000001</c:v>
                </c:pt>
                <c:pt idx="54">
                  <c:v>10.739000000000001</c:v>
                </c:pt>
                <c:pt idx="55">
                  <c:v>10.924100000000001</c:v>
                </c:pt>
                <c:pt idx="56">
                  <c:v>11.0839</c:v>
                </c:pt>
                <c:pt idx="57">
                  <c:v>11.1709</c:v>
                </c:pt>
                <c:pt idx="58">
                  <c:v>11.246</c:v>
                </c:pt>
                <c:pt idx="59">
                  <c:v>11.3666</c:v>
                </c:pt>
                <c:pt idx="60">
                  <c:v>11.4816</c:v>
                </c:pt>
                <c:pt idx="61">
                  <c:v>11.6875</c:v>
                </c:pt>
                <c:pt idx="62">
                  <c:v>11.702199999999999</c:v>
                </c:pt>
                <c:pt idx="63">
                  <c:v>11.8445</c:v>
                </c:pt>
                <c:pt idx="64">
                  <c:v>12.043900000000001</c:v>
                </c:pt>
                <c:pt idx="65">
                  <c:v>12.264700000000001</c:v>
                </c:pt>
                <c:pt idx="66">
                  <c:v>12.687799999999999</c:v>
                </c:pt>
                <c:pt idx="67">
                  <c:v>12.9186</c:v>
                </c:pt>
                <c:pt idx="68">
                  <c:v>13.1434</c:v>
                </c:pt>
                <c:pt idx="69">
                  <c:v>13.490399999999999</c:v>
                </c:pt>
                <c:pt idx="70">
                  <c:v>13.725399999999999</c:v>
                </c:pt>
                <c:pt idx="71">
                  <c:v>13.927</c:v>
                </c:pt>
                <c:pt idx="72">
                  <c:v>14.2522</c:v>
                </c:pt>
                <c:pt idx="73">
                  <c:v>13.7486</c:v>
                </c:pt>
                <c:pt idx="74">
                  <c:v>13.8276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3.3955200000000003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39.007799999999996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4.4353935135135139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28.980378378378376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4.8108290540540546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16.565486486486495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4.8108290540540546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16.565486486486495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518</v>
      </c>
      <c r="D5" s="191"/>
      <c r="E5" s="191"/>
      <c r="F5" s="192"/>
      <c r="G5" s="48" t="str">
        <f>lang!B27</f>
        <v>编号</v>
      </c>
      <c r="H5" s="190">
        <v>1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517</v>
      </c>
      <c r="D6" s="145"/>
      <c r="E6" s="145"/>
      <c r="F6" s="146"/>
      <c r="G6" s="49" t="str">
        <f>lang!B28</f>
        <v xml:space="preserve"> 日期</v>
      </c>
      <c r="H6" s="129">
        <f>FH_info!A2</f>
        <v>43615.641388888886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/>
      <c r="D7" s="148"/>
      <c r="E7" s="148"/>
      <c r="F7" s="149"/>
      <c r="G7" s="50" t="str">
        <f>lang!B29</f>
        <v>误差率（%）</v>
      </c>
      <c r="H7" s="132">
        <f>M!B17*1</f>
        <v>18.744599999999998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51.135800000000003</v>
      </c>
      <c r="O8" s="59">
        <f>M!C5*1</f>
        <v>10.516500000000001</v>
      </c>
      <c r="P8" s="59">
        <f>M!D5*1</f>
        <v>20.565899999999999</v>
      </c>
      <c r="Q8" s="59">
        <f>M!E5*1</f>
        <v>20</v>
      </c>
      <c r="R8" s="59">
        <f>M!F5*1</f>
        <v>20.315200000000001</v>
      </c>
      <c r="S8" s="59">
        <f>M!G5*1</f>
        <v>50</v>
      </c>
      <c r="T8" s="59">
        <f>M!H5*1</f>
        <v>75.146500000000003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34.173200000000001</v>
      </c>
      <c r="O9" s="59">
        <f>M!C6*1</f>
        <v>2.9044699999999999</v>
      </c>
      <c r="P9" s="59">
        <f>M!D6*1</f>
        <v>8.4992699999999992</v>
      </c>
      <c r="Q9" s="59">
        <f>M!E6*1</f>
        <v>20</v>
      </c>
      <c r="R9" s="59">
        <f>M!F6*1</f>
        <v>27.5215</v>
      </c>
      <c r="S9" s="59">
        <f>M!G6*1</f>
        <v>40</v>
      </c>
      <c r="T9" s="59">
        <f>M!H6*1</f>
        <v>43.633499999999998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20.315200000000001</v>
      </c>
      <c r="D10" s="99">
        <f>N8</f>
        <v>51.135800000000003</v>
      </c>
      <c r="E10" s="100">
        <f>T8</f>
        <v>75.146500000000003</v>
      </c>
      <c r="F10" s="91">
        <f>P8</f>
        <v>20.565899999999999</v>
      </c>
      <c r="G10" s="81" t="str">
        <f>CONCATENATE(M9,"
(20 ~ 40)")</f>
        <v>压力
(20 ~ 40)</v>
      </c>
      <c r="H10" s="98">
        <f>R9</f>
        <v>27.5215</v>
      </c>
      <c r="I10" s="108">
        <f>N9</f>
        <v>34.173200000000001</v>
      </c>
      <c r="J10" s="98">
        <f>T9</f>
        <v>43.633499999999998</v>
      </c>
      <c r="K10" s="92">
        <f>P9</f>
        <v>8.4992699999999992</v>
      </c>
      <c r="L10" s="6"/>
      <c r="M10" s="27" t="str">
        <f>lang!B16</f>
        <v>焦虑</v>
      </c>
      <c r="N10" s="59">
        <f>M!B7*1</f>
        <v>23.674700000000001</v>
      </c>
      <c r="O10" s="59">
        <f>M!C7*1</f>
        <v>7.1590499999999997</v>
      </c>
      <c r="P10" s="59">
        <f>M!D7*1</f>
        <v>30.2392</v>
      </c>
      <c r="Q10" s="59">
        <f>M!E7*1</f>
        <v>15</v>
      </c>
      <c r="R10" s="59">
        <f>M!F7*1</f>
        <v>2.8286699999999998</v>
      </c>
      <c r="S10" s="59">
        <f>M!G7*1</f>
        <v>40</v>
      </c>
      <c r="T10" s="59">
        <f>M!H7*1</f>
        <v>42.5062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2.8286699999999998</v>
      </c>
      <c r="D11" s="102">
        <f>N10</f>
        <v>23.674700000000001</v>
      </c>
      <c r="E11" s="103">
        <f>T10</f>
        <v>42.5062</v>
      </c>
      <c r="F11" s="94">
        <f>P10</f>
        <v>30.2392</v>
      </c>
      <c r="G11" s="52" t="str">
        <f>CONCATENATE(M11,"
(20 ~ 50)")</f>
        <v>可疑
(20 ~ 50)</v>
      </c>
      <c r="H11" s="101">
        <f>R11</f>
        <v>20.71</v>
      </c>
      <c r="I11" s="104">
        <f>N11</f>
        <v>35.776899999999998</v>
      </c>
      <c r="J11" s="101">
        <f>T11</f>
        <v>46.389499999999998</v>
      </c>
      <c r="K11" s="95">
        <f>P11</f>
        <v>15.0237</v>
      </c>
      <c r="L11" s="4"/>
      <c r="M11" s="27" t="str">
        <f>lang!B17</f>
        <v>可疑</v>
      </c>
      <c r="N11" s="59">
        <f>M!B8*1</f>
        <v>35.776899999999998</v>
      </c>
      <c r="O11" s="59">
        <f>M!C8*1</f>
        <v>5.3750099999999996</v>
      </c>
      <c r="P11" s="59">
        <f>M!D8*1</f>
        <v>15.0237</v>
      </c>
      <c r="Q11" s="59">
        <f>M!E8*1</f>
        <v>20</v>
      </c>
      <c r="R11" s="59">
        <f>M!F8*1</f>
        <v>20.71</v>
      </c>
      <c r="S11" s="59">
        <f>M!G8*1</f>
        <v>50</v>
      </c>
      <c r="T11" s="59">
        <f>M!H8*1</f>
        <v>46.389499999999998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37.1342</v>
      </c>
      <c r="D12" s="104">
        <f>N12</f>
        <v>58.898600000000002</v>
      </c>
      <c r="E12" s="101">
        <f>T12</f>
        <v>69.828800000000001</v>
      </c>
      <c r="F12" s="93">
        <f>P12</f>
        <v>11.3697</v>
      </c>
      <c r="G12" s="52" t="str">
        <f>CONCATENATE(M13,"
(40 ~ 100)")</f>
        <v>自信
(40 ~ 100)</v>
      </c>
      <c r="H12" s="101">
        <f>R13</f>
        <v>57.006399999999999</v>
      </c>
      <c r="I12" s="104">
        <f>N13</f>
        <v>70.5655</v>
      </c>
      <c r="J12" s="101">
        <f>T13</f>
        <v>79.835300000000004</v>
      </c>
      <c r="K12" s="95">
        <f>P13</f>
        <v>6.6611500000000001</v>
      </c>
      <c r="L12" s="4"/>
      <c r="M12" s="27" t="str">
        <f>lang!B18</f>
        <v>平衡</v>
      </c>
      <c r="N12" s="59">
        <f>M!B9*1</f>
        <v>58.898600000000002</v>
      </c>
      <c r="O12" s="59">
        <f>M!C9*1</f>
        <v>6.69658</v>
      </c>
      <c r="P12" s="59">
        <f>M!D9*1</f>
        <v>11.3697</v>
      </c>
      <c r="Q12" s="59">
        <f>M!E9*1</f>
        <v>50</v>
      </c>
      <c r="R12" s="59">
        <f>M!F9*1</f>
        <v>37.1342</v>
      </c>
      <c r="S12" s="59">
        <f>M!G9*1</f>
        <v>100</v>
      </c>
      <c r="T12" s="59">
        <f>M!H9*1</f>
        <v>69.828800000000001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14.6204</v>
      </c>
      <c r="D13" s="102">
        <f>N14</f>
        <v>30.4695</v>
      </c>
      <c r="E13" s="103">
        <f>T14</f>
        <v>34.851599999999998</v>
      </c>
      <c r="F13" s="94">
        <f>P14</f>
        <v>12.5105</v>
      </c>
      <c r="G13" s="52" t="str">
        <f>CONCATENATE(M15,"
(50 ~ 100)")</f>
        <v>自我调节
(50 ~ 100)</v>
      </c>
      <c r="H13" s="101">
        <f>R15</f>
        <v>50.035600000000002</v>
      </c>
      <c r="I13" s="104">
        <f>N15</f>
        <v>65.758300000000006</v>
      </c>
      <c r="J13" s="101">
        <f>T15</f>
        <v>72.825100000000006</v>
      </c>
      <c r="K13" s="95">
        <f>P15</f>
        <v>7.1801000000000004</v>
      </c>
      <c r="L13" s="4"/>
      <c r="M13" s="27" t="str">
        <f>lang!B19</f>
        <v>自信</v>
      </c>
      <c r="N13" s="59">
        <f>M!B10*1</f>
        <v>70.5655</v>
      </c>
      <c r="O13" s="59">
        <f>M!C10*1</f>
        <v>4.7004700000000001</v>
      </c>
      <c r="P13" s="59">
        <f>M!D10*1</f>
        <v>6.6611500000000001</v>
      </c>
      <c r="Q13" s="59">
        <f>M!E10*1</f>
        <v>40</v>
      </c>
      <c r="R13" s="59">
        <f>M!F10*1</f>
        <v>57.006399999999999</v>
      </c>
      <c r="S13" s="59">
        <f>M!G10*1</f>
        <v>100</v>
      </c>
      <c r="T13" s="59">
        <f>M!H10*1</f>
        <v>79.835300000000004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12.3619</v>
      </c>
      <c r="D14" s="106">
        <f>N16</f>
        <v>16.679600000000001</v>
      </c>
      <c r="E14" s="107">
        <f>T16</f>
        <v>36.564599999999999</v>
      </c>
      <c r="F14" s="96">
        <f>P16</f>
        <v>22.834299999999999</v>
      </c>
      <c r="G14" s="112" t="str">
        <f>CONCATENATE(M17,"
(10 ~ 50)")</f>
        <v>神经质
(10 ~ 50)</v>
      </c>
      <c r="H14" s="105">
        <f>R17</f>
        <v>0.42693500000000001</v>
      </c>
      <c r="I14" s="106">
        <f>N17</f>
        <v>38.086799999999997</v>
      </c>
      <c r="J14" s="107">
        <f>T17</f>
        <v>82.611699999999999</v>
      </c>
      <c r="K14" s="97">
        <f>P17</f>
        <v>52.5625</v>
      </c>
      <c r="M14" s="27" t="str">
        <f>lang!B20</f>
        <v>活力</v>
      </c>
      <c r="N14" s="59">
        <f>M!B11*1</f>
        <v>30.4695</v>
      </c>
      <c r="O14" s="59">
        <f>M!C11*1</f>
        <v>3.81189</v>
      </c>
      <c r="P14" s="59">
        <f>M!D11*1</f>
        <v>12.5105</v>
      </c>
      <c r="Q14" s="59">
        <f>M!E11*1</f>
        <v>10</v>
      </c>
      <c r="R14" s="59">
        <f>M!F11*1</f>
        <v>14.6204</v>
      </c>
      <c r="S14" s="59">
        <f>M!G11*1</f>
        <v>50</v>
      </c>
      <c r="T14" s="59">
        <f>M!H11*1</f>
        <v>34.851599999999998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65.758300000000006</v>
      </c>
      <c r="O15" s="59">
        <f>M!C12*1</f>
        <v>4.7215100000000003</v>
      </c>
      <c r="P15" s="59">
        <f>M!D12*1</f>
        <v>7.1801000000000004</v>
      </c>
      <c r="Q15" s="59">
        <f>M!E12*1</f>
        <v>50</v>
      </c>
      <c r="R15" s="59">
        <f>M!F12*1</f>
        <v>50.035600000000002</v>
      </c>
      <c r="S15" s="59">
        <f>M!G12*1</f>
        <v>100</v>
      </c>
      <c r="T15" s="59">
        <f>M!H12*1</f>
        <v>72.825100000000006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16.679600000000001</v>
      </c>
      <c r="O16" s="59">
        <f>M!C13*1</f>
        <v>3.8086799999999998</v>
      </c>
      <c r="P16" s="59">
        <f>M!D13*1</f>
        <v>22.834299999999999</v>
      </c>
      <c r="Q16" s="59">
        <f>M!E13*1</f>
        <v>10</v>
      </c>
      <c r="R16" s="59">
        <f>M!F13*1</f>
        <v>12.3619</v>
      </c>
      <c r="S16" s="59">
        <f>M!G13*1</f>
        <v>25</v>
      </c>
      <c r="T16" s="59">
        <f>M!H13*1</f>
        <v>36.564599999999999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38.086799999999997</v>
      </c>
      <c r="O17" s="59">
        <f>M!C14*1</f>
        <v>20.019400000000001</v>
      </c>
      <c r="P17" s="59">
        <f>M!D14*1</f>
        <v>52.5625</v>
      </c>
      <c r="Q17" s="59">
        <f>M!E14*1</f>
        <v>10</v>
      </c>
      <c r="R17" s="59">
        <f>M!F14*1</f>
        <v>0.42693500000000001</v>
      </c>
      <c r="S17" s="59">
        <f>M!G14*1</f>
        <v>50</v>
      </c>
      <c r="T17" s="59">
        <f>M!H14*1</f>
        <v>82.611699999999999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56.422975000000008</v>
      </c>
      <c r="O18" s="22">
        <f>N18/(N18+N19+N20)</f>
        <v>0.47020585838774648</v>
      </c>
      <c r="P18" s="65">
        <f>SUM(P12:P15)/4</f>
        <v>9.4303625000000011</v>
      </c>
      <c r="Q18" s="22">
        <f>P18/(P18+P19+P20)</f>
        <v>0.1435131724201113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36.190150000000003</v>
      </c>
      <c r="O19" s="22">
        <f>N19/(N18+N19+N20)</f>
        <v>0.3015938196440599</v>
      </c>
      <c r="P19" s="18">
        <f>SUM(P8:P11)/4</f>
        <v>18.582017499999999</v>
      </c>
      <c r="Q19" s="22">
        <f>P19/(P18+P19+P20)</f>
        <v>0.28278491748233697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27.383199999999999</v>
      </c>
      <c r="O20" s="22">
        <f>N20/(N18+N19+N20)</f>
        <v>0.22820032196819356</v>
      </c>
      <c r="P20" s="18">
        <f>(P16+P17)/2</f>
        <v>37.698399999999999</v>
      </c>
      <c r="Q20" s="22">
        <f>P20/(P18+P19+P20)</f>
        <v>0.57370191009755167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-0.16169247297297282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2.2108952641422688</v>
      </c>
      <c r="D25" s="44" t="str">
        <f>lang!B11</f>
        <v>频率方差</v>
      </c>
      <c r="E25" s="182">
        <f ca="1">FH!L3</f>
        <v>0.76773593559461983</v>
      </c>
      <c r="F25" s="183"/>
      <c r="G25" s="174" t="str">
        <f>lang!B12</f>
        <v>生理变化率</v>
      </c>
      <c r="H25" s="175"/>
      <c r="I25" s="62" t="str">
        <f ca="1">CONCATENATE(info!M7,"-",info!M8)</f>
        <v>10.3-39</v>
      </c>
      <c r="J25" s="42" t="str">
        <f>lang!B13</f>
        <v>千卡l/分钟</v>
      </c>
      <c r="K25" s="41" t="str">
        <f ca="1">CONCATENATE(info!M5,"-",info!M6)</f>
        <v>3.4-5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83%]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34.7744</v>
      </c>
      <c r="F28" s="121"/>
      <c r="G28" s="135" t="str">
        <f>lang!B33</f>
        <v>稳定性</v>
      </c>
      <c r="H28" s="136"/>
      <c r="I28" s="137"/>
      <c r="J28" s="138">
        <f>M!B19*100</f>
        <v>46.540799999999997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43615.641388888886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7.9119000000000028</v>
      </c>
      <c r="O7" s="59">
        <f t="shared" ref="O7:T7" si="2">AG7-X7</f>
        <v>-1.6786899999999996</v>
      </c>
      <c r="P7" s="59">
        <f t="shared" si="2"/>
        <v>-5.5951000000000004</v>
      </c>
      <c r="Q7" s="59">
        <f t="shared" si="2"/>
        <v>0</v>
      </c>
      <c r="R7" s="59">
        <f t="shared" si="2"/>
        <v>28.052099999999999</v>
      </c>
      <c r="S7" s="59">
        <f t="shared" si="2"/>
        <v>0</v>
      </c>
      <c r="T7" s="59">
        <f t="shared" si="2"/>
        <v>17.508000000000003</v>
      </c>
      <c r="U7" s="14"/>
      <c r="V7" s="27" t="str">
        <f>M7</f>
        <v>攻击性</v>
      </c>
      <c r="W7" s="59">
        <f>'M1'!B5*1</f>
        <v>48.557899999999997</v>
      </c>
      <c r="X7" s="59">
        <f>'M1'!C5*1</f>
        <v>9.0882299999999994</v>
      </c>
      <c r="Y7" s="59">
        <f>'M1'!D5*1</f>
        <v>18.7163</v>
      </c>
      <c r="Z7" s="59">
        <f>'M1'!E5*1</f>
        <v>20</v>
      </c>
      <c r="AA7" s="59">
        <f>'M1'!F5*1</f>
        <v>20.315200000000001</v>
      </c>
      <c r="AB7" s="59">
        <f>'M1'!G5*1</f>
        <v>50</v>
      </c>
      <c r="AC7" s="59">
        <f>'M1'!H5*1</f>
        <v>57.638500000000001</v>
      </c>
      <c r="AE7" s="27" t="str">
        <f>V7</f>
        <v>攻击性</v>
      </c>
      <c r="AF7" s="59">
        <f>'M2'!B5*1</f>
        <v>56.469799999999999</v>
      </c>
      <c r="AG7" s="59">
        <f>'M2'!C5*1</f>
        <v>7.4095399999999998</v>
      </c>
      <c r="AH7" s="59">
        <f>'M2'!D5*1</f>
        <v>13.1212</v>
      </c>
      <c r="AI7" s="59">
        <f>'M2'!E5*1</f>
        <v>20</v>
      </c>
      <c r="AJ7" s="59">
        <f>'M2'!F5*1</f>
        <v>48.3673</v>
      </c>
      <c r="AK7" s="59">
        <f>'M2'!G5*1</f>
        <v>50</v>
      </c>
      <c r="AL7" s="59">
        <f>'M2'!H5*1</f>
        <v>75.146500000000003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2.2569999999999979</v>
      </c>
      <c r="O8" s="59">
        <f t="shared" ref="O8:O16" si="5">AG8-X8</f>
        <v>0.14698000000000011</v>
      </c>
      <c r="P8" s="59">
        <f t="shared" ref="P8:P16" si="6">AH8-Y8</f>
        <v>2.9309999999999725E-2</v>
      </c>
      <c r="Q8" s="59">
        <f t="shared" ref="Q8:Q16" si="7">AI8-Z8</f>
        <v>0</v>
      </c>
      <c r="R8" s="59">
        <f t="shared" ref="R8:R16" si="8">AJ8-AA8</f>
        <v>6.325999999999997</v>
      </c>
      <c r="S8" s="59">
        <f t="shared" ref="S8:S16" si="9">AK8-AB8</f>
        <v>0</v>
      </c>
      <c r="T8" s="59">
        <f t="shared" ref="T8:T16" si="10">AL8-AC8</f>
        <v>8.2716999999999956</v>
      </c>
      <c r="U8" s="15"/>
      <c r="V8" s="27" t="str">
        <f t="shared" ref="V8:V16" si="11">M8</f>
        <v>压力</v>
      </c>
      <c r="W8" s="59">
        <f>'M1'!B6*1</f>
        <v>32.698399999999999</v>
      </c>
      <c r="X8" s="59">
        <f>'M1'!C6*1</f>
        <v>1.9810099999999999</v>
      </c>
      <c r="Y8" s="59">
        <f>'M1'!D6*1</f>
        <v>6.0584300000000004</v>
      </c>
      <c r="Z8" s="59">
        <f>'M1'!E6*1</f>
        <v>20</v>
      </c>
      <c r="AA8" s="59">
        <f>'M1'!F6*1</f>
        <v>27.5215</v>
      </c>
      <c r="AB8" s="59">
        <f>'M1'!G6*1</f>
        <v>40</v>
      </c>
      <c r="AC8" s="59">
        <f>'M1'!H6*1</f>
        <v>35.361800000000002</v>
      </c>
      <c r="AE8" s="27" t="str">
        <f t="shared" ref="AE8:AE16" si="12">V8</f>
        <v>压力</v>
      </c>
      <c r="AF8" s="59">
        <f>'M2'!B6*1</f>
        <v>34.955399999999997</v>
      </c>
      <c r="AG8" s="59">
        <f>'M2'!C6*1</f>
        <v>2.12799</v>
      </c>
      <c r="AH8" s="59">
        <f>'M2'!D6*1</f>
        <v>6.0877400000000002</v>
      </c>
      <c r="AI8" s="59">
        <f>'M2'!E6*1</f>
        <v>20</v>
      </c>
      <c r="AJ8" s="59">
        <f>'M2'!F6*1</f>
        <v>33.847499999999997</v>
      </c>
      <c r="AK8" s="59">
        <f>'M2'!G6*1</f>
        <v>40</v>
      </c>
      <c r="AL8" s="59">
        <f>'M2'!H6*1</f>
        <v>43.633499999999998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28.052099999999999</v>
      </c>
      <c r="D9" s="78">
        <f>N7</f>
        <v>7.9119000000000028</v>
      </c>
      <c r="E9" s="79">
        <f>T7</f>
        <v>17.508000000000003</v>
      </c>
      <c r="F9" s="79">
        <f>P7</f>
        <v>-5.5951000000000004</v>
      </c>
      <c r="G9" s="80" t="str">
        <f>CONCATENATE(M8,"
(20 ~ 40)")</f>
        <v>压力
(20 ~ 40)</v>
      </c>
      <c r="H9" s="77">
        <f>R8</f>
        <v>6.325999999999997</v>
      </c>
      <c r="I9" s="81">
        <f>N8</f>
        <v>2.2569999999999979</v>
      </c>
      <c r="J9" s="77">
        <f>T8</f>
        <v>8.2716999999999956</v>
      </c>
      <c r="K9" s="82">
        <f>P8</f>
        <v>2.9309999999999725E-2</v>
      </c>
      <c r="L9" s="6"/>
      <c r="M9" s="27" t="str">
        <f>lang!B16</f>
        <v>焦虑</v>
      </c>
      <c r="N9" s="59">
        <f t="shared" si="4"/>
        <v>3.6183999999999976</v>
      </c>
      <c r="O9" s="59">
        <f t="shared" si="5"/>
        <v>3.1972500000000004</v>
      </c>
      <c r="P9" s="59">
        <f t="shared" si="6"/>
        <v>8.8895999999999979</v>
      </c>
      <c r="Q9" s="59">
        <f t="shared" si="7"/>
        <v>0</v>
      </c>
      <c r="R9" s="59">
        <f t="shared" si="8"/>
        <v>-4.4433199999999999</v>
      </c>
      <c r="S9" s="59">
        <f t="shared" si="9"/>
        <v>0</v>
      </c>
      <c r="T9" s="59">
        <f t="shared" si="10"/>
        <v>11.511199999999999</v>
      </c>
      <c r="U9" s="14"/>
      <c r="V9" s="27" t="str">
        <f t="shared" si="11"/>
        <v>焦虑</v>
      </c>
      <c r="W9" s="59">
        <f>'M1'!B7*1</f>
        <v>22.803000000000001</v>
      </c>
      <c r="X9" s="59">
        <f>'M1'!C7*1</f>
        <v>5.3472200000000001</v>
      </c>
      <c r="Y9" s="59">
        <f>'M1'!D7*1</f>
        <v>23.4496</v>
      </c>
      <c r="Z9" s="59">
        <f>'M1'!E7*1</f>
        <v>15</v>
      </c>
      <c r="AA9" s="59">
        <f>'M1'!F7*1</f>
        <v>7.2719899999999997</v>
      </c>
      <c r="AB9" s="59">
        <f>'M1'!G7*1</f>
        <v>40</v>
      </c>
      <c r="AC9" s="59">
        <f>'M1'!H7*1</f>
        <v>30.995000000000001</v>
      </c>
      <c r="AE9" s="27" t="str">
        <f t="shared" si="12"/>
        <v>焦虑</v>
      </c>
      <c r="AF9" s="59">
        <f>'M2'!B7*1</f>
        <v>26.421399999999998</v>
      </c>
      <c r="AG9" s="59">
        <f>'M2'!C7*1</f>
        <v>8.5444700000000005</v>
      </c>
      <c r="AH9" s="59">
        <f>'M2'!D7*1</f>
        <v>32.339199999999998</v>
      </c>
      <c r="AI9" s="59">
        <f>'M2'!E7*1</f>
        <v>15</v>
      </c>
      <c r="AJ9" s="59">
        <f>'M2'!F7*1</f>
        <v>2.8286699999999998</v>
      </c>
      <c r="AK9" s="59">
        <f>'M2'!G7*1</f>
        <v>40</v>
      </c>
      <c r="AL9" s="59">
        <f>'M2'!H7*1</f>
        <v>42.5062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-4.4433199999999999</v>
      </c>
      <c r="D10" s="51">
        <f>N9</f>
        <v>3.6183999999999976</v>
      </c>
      <c r="E10" s="53">
        <f>T9</f>
        <v>11.511199999999999</v>
      </c>
      <c r="F10" s="53">
        <f>P9</f>
        <v>8.8895999999999979</v>
      </c>
      <c r="G10" s="73" t="str">
        <f>CONCATENATE(M10,"
(20 ~ 50)")</f>
        <v>可疑
(20 ~ 50)</v>
      </c>
      <c r="H10" s="24">
        <f>R10</f>
        <v>13.972899999999996</v>
      </c>
      <c r="I10" s="52">
        <f>N10</f>
        <v>3.1060999999999979</v>
      </c>
      <c r="J10" s="24">
        <f>T10</f>
        <v>8.7975999999999956</v>
      </c>
      <c r="K10" s="25">
        <f>P10</f>
        <v>-5.7409999999999997</v>
      </c>
      <c r="L10" s="4"/>
      <c r="M10" s="27" t="str">
        <f>lang!B17</f>
        <v>可疑</v>
      </c>
      <c r="N10" s="59">
        <f t="shared" si="4"/>
        <v>3.1060999999999979</v>
      </c>
      <c r="O10" s="59">
        <f t="shared" si="5"/>
        <v>-1.7404100000000002</v>
      </c>
      <c r="P10" s="59">
        <f t="shared" si="6"/>
        <v>-5.7409999999999997</v>
      </c>
      <c r="Q10" s="59">
        <f t="shared" si="7"/>
        <v>0</v>
      </c>
      <c r="R10" s="59">
        <f t="shared" si="8"/>
        <v>13.972899999999996</v>
      </c>
      <c r="S10" s="59">
        <f t="shared" si="9"/>
        <v>0</v>
      </c>
      <c r="T10" s="59">
        <f t="shared" si="10"/>
        <v>8.7975999999999956</v>
      </c>
      <c r="U10" s="14"/>
      <c r="V10" s="27" t="str">
        <f t="shared" si="11"/>
        <v>可疑</v>
      </c>
      <c r="W10" s="59">
        <f>'M1'!B8*1</f>
        <v>35.088000000000001</v>
      </c>
      <c r="X10" s="59">
        <f>'M1'!C8*1</f>
        <v>5.1096300000000001</v>
      </c>
      <c r="Y10" s="59">
        <f>'M1'!D8*1</f>
        <v>14.5623</v>
      </c>
      <c r="Z10" s="59">
        <f>'M1'!E8*1</f>
        <v>20</v>
      </c>
      <c r="AA10" s="59">
        <f>'M1'!F8*1</f>
        <v>20.71</v>
      </c>
      <c r="AB10" s="59">
        <f>'M1'!G8*1</f>
        <v>50</v>
      </c>
      <c r="AC10" s="59">
        <f>'M1'!H8*1</f>
        <v>37.591900000000003</v>
      </c>
      <c r="AE10" s="27" t="str">
        <f t="shared" si="12"/>
        <v>可疑</v>
      </c>
      <c r="AF10" s="59">
        <f>'M2'!B8*1</f>
        <v>38.194099999999999</v>
      </c>
      <c r="AG10" s="59">
        <f>'M2'!C8*1</f>
        <v>3.3692199999999999</v>
      </c>
      <c r="AH10" s="59">
        <f>'M2'!D8*1</f>
        <v>8.8213000000000008</v>
      </c>
      <c r="AI10" s="59">
        <f>'M2'!E8*1</f>
        <v>20</v>
      </c>
      <c r="AJ10" s="59">
        <f>'M2'!F8*1</f>
        <v>34.682899999999997</v>
      </c>
      <c r="AK10" s="59">
        <f>'M2'!G8*1</f>
        <v>50</v>
      </c>
      <c r="AL10" s="59">
        <f>'M2'!H8*1</f>
        <v>46.389499999999998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-9.5080000000000027</v>
      </c>
      <c r="D11" s="52">
        <f>N11</f>
        <v>3.4998000000000005</v>
      </c>
      <c r="E11" s="24">
        <f>T11</f>
        <v>-0.79019999999999868</v>
      </c>
      <c r="F11" s="24">
        <f>P11</f>
        <v>7.5428599999999992</v>
      </c>
      <c r="G11" s="73" t="str">
        <f>CONCATENATE(M12,"
(40 ~ 100)")</f>
        <v>自信
(40 ~ 100)</v>
      </c>
      <c r="H11" s="24">
        <f>R12</f>
        <v>-12.671499999999995</v>
      </c>
      <c r="I11" s="52">
        <f>N12</f>
        <v>-7.1587999999999994</v>
      </c>
      <c r="J11" s="24">
        <f>T12</f>
        <v>-7.8944000000000045</v>
      </c>
      <c r="K11" s="25">
        <f>P12</f>
        <v>2.0331399999999999</v>
      </c>
      <c r="L11" s="4"/>
      <c r="M11" s="27" t="str">
        <f>lang!B18</f>
        <v>平衡</v>
      </c>
      <c r="N11" s="59">
        <f t="shared" si="4"/>
        <v>3.4998000000000005</v>
      </c>
      <c r="O11" s="59">
        <f t="shared" si="5"/>
        <v>4.8657900000000005</v>
      </c>
      <c r="P11" s="59">
        <f t="shared" si="6"/>
        <v>7.5428599999999992</v>
      </c>
      <c r="Q11" s="59">
        <f t="shared" si="7"/>
        <v>0</v>
      </c>
      <c r="R11" s="59">
        <f t="shared" si="8"/>
        <v>-9.5080000000000027</v>
      </c>
      <c r="S11" s="59">
        <f t="shared" si="9"/>
        <v>0</v>
      </c>
      <c r="T11" s="59">
        <f t="shared" si="10"/>
        <v>-0.79019999999999868</v>
      </c>
      <c r="U11" s="14"/>
      <c r="V11" s="27" t="str">
        <f t="shared" si="11"/>
        <v>平衡</v>
      </c>
      <c r="W11" s="59">
        <f>'M1'!B9*1</f>
        <v>57.990400000000001</v>
      </c>
      <c r="X11" s="59">
        <f>'M1'!C9*1</f>
        <v>3.7720699999999998</v>
      </c>
      <c r="Y11" s="59">
        <f>'M1'!D9*1</f>
        <v>6.5046400000000002</v>
      </c>
      <c r="Z11" s="59">
        <f>'M1'!E9*1</f>
        <v>50</v>
      </c>
      <c r="AA11" s="59">
        <f>'M1'!F9*1</f>
        <v>46.642200000000003</v>
      </c>
      <c r="AB11" s="59">
        <f>'M1'!G9*1</f>
        <v>100</v>
      </c>
      <c r="AC11" s="59">
        <f>'M1'!H9*1</f>
        <v>69.828800000000001</v>
      </c>
      <c r="AE11" s="27" t="str">
        <f t="shared" si="12"/>
        <v>平衡</v>
      </c>
      <c r="AF11" s="59">
        <f>'M2'!B9*1</f>
        <v>61.490200000000002</v>
      </c>
      <c r="AG11" s="59">
        <f>'M2'!C9*1</f>
        <v>8.6378599999999999</v>
      </c>
      <c r="AH11" s="59">
        <f>'M2'!D9*1</f>
        <v>14.047499999999999</v>
      </c>
      <c r="AI11" s="59">
        <f>'M2'!E9*1</f>
        <v>50</v>
      </c>
      <c r="AJ11" s="59">
        <f>'M2'!F9*1</f>
        <v>37.1342</v>
      </c>
      <c r="AK11" s="59">
        <f>'M2'!G9*1</f>
        <v>100</v>
      </c>
      <c r="AL11" s="59">
        <f>'M2'!H9*1</f>
        <v>69.038600000000002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14.2669</v>
      </c>
      <c r="D12" s="51">
        <f>N13</f>
        <v>1.4972999999999992</v>
      </c>
      <c r="E12" s="53">
        <f>T13</f>
        <v>-0.51089999999999947</v>
      </c>
      <c r="F12" s="53">
        <f>P13</f>
        <v>-11.264060000000001</v>
      </c>
      <c r="G12" s="73" t="str">
        <f>CONCATENATE(M14,"
(50 ~ 100)")</f>
        <v>自我调节
(50 ~ 100)</v>
      </c>
      <c r="H12" s="24">
        <f>R14</f>
        <v>-10.1554</v>
      </c>
      <c r="I12" s="52">
        <f>N14</f>
        <v>-1.7864000000000004</v>
      </c>
      <c r="J12" s="24">
        <f>T14</f>
        <v>-3.456300000000013</v>
      </c>
      <c r="K12" s="25">
        <f>P14</f>
        <v>5.48522</v>
      </c>
      <c r="L12" s="4"/>
      <c r="M12" s="27" t="str">
        <f>lang!B19</f>
        <v>自信</v>
      </c>
      <c r="N12" s="59">
        <f t="shared" si="4"/>
        <v>-7.1587999999999994</v>
      </c>
      <c r="O12" s="59">
        <f t="shared" si="5"/>
        <v>1.15842</v>
      </c>
      <c r="P12" s="59">
        <f t="shared" si="6"/>
        <v>2.0331399999999999</v>
      </c>
      <c r="Q12" s="59">
        <f t="shared" si="7"/>
        <v>0</v>
      </c>
      <c r="R12" s="59">
        <f t="shared" si="8"/>
        <v>-12.671499999999995</v>
      </c>
      <c r="S12" s="59">
        <f t="shared" si="9"/>
        <v>0</v>
      </c>
      <c r="T12" s="59">
        <f t="shared" si="10"/>
        <v>-7.8944000000000045</v>
      </c>
      <c r="U12" s="15"/>
      <c r="V12" s="27" t="str">
        <f t="shared" si="11"/>
        <v>自信</v>
      </c>
      <c r="W12" s="59">
        <f>'M1'!B10*1</f>
        <v>74.194999999999993</v>
      </c>
      <c r="X12" s="59">
        <f>'M1'!C10*1</f>
        <v>2.1197599999999999</v>
      </c>
      <c r="Y12" s="59">
        <f>'M1'!D10*1</f>
        <v>2.8570199999999999</v>
      </c>
      <c r="Z12" s="59">
        <f>'M1'!E10*1</f>
        <v>40</v>
      </c>
      <c r="AA12" s="59">
        <f>'M1'!F10*1</f>
        <v>69.677899999999994</v>
      </c>
      <c r="AB12" s="59">
        <f>'M1'!G10*1</f>
        <v>100</v>
      </c>
      <c r="AC12" s="59">
        <f>'M1'!H10*1</f>
        <v>79.835300000000004</v>
      </c>
      <c r="AE12" s="27" t="str">
        <f t="shared" si="12"/>
        <v>自信</v>
      </c>
      <c r="AF12" s="59">
        <f>'M2'!B10*1</f>
        <v>67.036199999999994</v>
      </c>
      <c r="AG12" s="59">
        <f>'M2'!C10*1</f>
        <v>3.2781799999999999</v>
      </c>
      <c r="AH12" s="59">
        <f>'M2'!D10*1</f>
        <v>4.8901599999999998</v>
      </c>
      <c r="AI12" s="59">
        <f>'M2'!E10*1</f>
        <v>40</v>
      </c>
      <c r="AJ12" s="59">
        <f>'M2'!F10*1</f>
        <v>57.006399999999999</v>
      </c>
      <c r="AK12" s="59">
        <f>'M2'!G10*1</f>
        <v>100</v>
      </c>
      <c r="AL12" s="59">
        <f>'M2'!H10*1</f>
        <v>71.940899999999999</v>
      </c>
    </row>
    <row r="13" spans="2:38" ht="25.5" customHeight="1" thickBot="1">
      <c r="B13" s="72" t="str">
        <f>CONCATENATE(M15,"
(10 ~ 25)")</f>
        <v>抑郁
(10 ~ 25)</v>
      </c>
      <c r="C13" s="54">
        <f>R15</f>
        <v>1.0701999999999998</v>
      </c>
      <c r="D13" s="55">
        <f>N15</f>
        <v>0.29579999999999984</v>
      </c>
      <c r="E13" s="56">
        <f>T15</f>
        <v>-2.1951999999999998</v>
      </c>
      <c r="F13" s="56">
        <f>P15</f>
        <v>-7.8013999999999974</v>
      </c>
      <c r="G13" s="74" t="str">
        <f>CONCATENATE(M16,"
(10 ~ 50)")</f>
        <v>神经质
(10 ~ 50)</v>
      </c>
      <c r="H13" s="54">
        <f>R16</f>
        <v>1.7488049999999997</v>
      </c>
      <c r="I13" s="55">
        <f>N16</f>
        <v>-12.257400000000001</v>
      </c>
      <c r="J13" s="56">
        <f>T16</f>
        <v>11.552899999999994</v>
      </c>
      <c r="K13" s="57">
        <f>P16</f>
        <v>2.1194999999999951</v>
      </c>
      <c r="M13" s="27" t="str">
        <f>lang!B20</f>
        <v>活力</v>
      </c>
      <c r="N13" s="59">
        <f t="shared" si="4"/>
        <v>1.4972999999999992</v>
      </c>
      <c r="O13" s="59">
        <f t="shared" si="5"/>
        <v>-3.2845200000000006</v>
      </c>
      <c r="P13" s="59">
        <f t="shared" si="6"/>
        <v>-11.264060000000001</v>
      </c>
      <c r="Q13" s="59">
        <f t="shared" si="7"/>
        <v>0</v>
      </c>
      <c r="R13" s="59">
        <f t="shared" si="8"/>
        <v>14.2669</v>
      </c>
      <c r="S13" s="59">
        <f t="shared" si="9"/>
        <v>0</v>
      </c>
      <c r="T13" s="59">
        <f t="shared" si="10"/>
        <v>-0.51089999999999947</v>
      </c>
      <c r="U13" s="14"/>
      <c r="V13" s="27" t="str">
        <f t="shared" si="11"/>
        <v>活力</v>
      </c>
      <c r="W13" s="59">
        <f>'M1'!B11*1</f>
        <v>29.793900000000001</v>
      </c>
      <c r="X13" s="59">
        <f>'M1'!C11*1</f>
        <v>4.7781900000000004</v>
      </c>
      <c r="Y13" s="59">
        <f>'M1'!D11*1</f>
        <v>16.037500000000001</v>
      </c>
      <c r="Z13" s="59">
        <f>'M1'!E11*1</f>
        <v>10</v>
      </c>
      <c r="AA13" s="59">
        <f>'M1'!F11*1</f>
        <v>14.6204</v>
      </c>
      <c r="AB13" s="59">
        <f>'M1'!G11*1</f>
        <v>50</v>
      </c>
      <c r="AC13" s="59">
        <f>'M1'!H11*1</f>
        <v>34.851599999999998</v>
      </c>
      <c r="AE13" s="27" t="str">
        <f t="shared" si="12"/>
        <v>活力</v>
      </c>
      <c r="AF13" s="59">
        <f>'M2'!B11*1</f>
        <v>31.2912</v>
      </c>
      <c r="AG13" s="59">
        <f>'M2'!C11*1</f>
        <v>1.4936700000000001</v>
      </c>
      <c r="AH13" s="59">
        <f>'M2'!D11*1</f>
        <v>4.7734399999999999</v>
      </c>
      <c r="AI13" s="59">
        <f>'M2'!E11*1</f>
        <v>10</v>
      </c>
      <c r="AJ13" s="59">
        <f>'M2'!F11*1</f>
        <v>28.8873</v>
      </c>
      <c r="AK13" s="59">
        <f>'M2'!G11*1</f>
        <v>50</v>
      </c>
      <c r="AL13" s="59">
        <f>'M2'!H11*1</f>
        <v>34.340699999999998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-1.7864000000000004</v>
      </c>
      <c r="O14" s="59">
        <f t="shared" si="5"/>
        <v>3.4612099999999995</v>
      </c>
      <c r="P14" s="59">
        <f t="shared" si="6"/>
        <v>5.48522</v>
      </c>
      <c r="Q14" s="59">
        <f t="shared" si="7"/>
        <v>0</v>
      </c>
      <c r="R14" s="59">
        <f t="shared" si="8"/>
        <v>-10.1554</v>
      </c>
      <c r="S14" s="59">
        <f t="shared" si="9"/>
        <v>0</v>
      </c>
      <c r="T14" s="59">
        <f t="shared" si="10"/>
        <v>-3.456300000000013</v>
      </c>
      <c r="U14" s="14"/>
      <c r="V14" s="27" t="str">
        <f t="shared" si="11"/>
        <v>自我调节</v>
      </c>
      <c r="W14" s="59">
        <f>'M1'!B12*1</f>
        <v>65.971599999999995</v>
      </c>
      <c r="X14" s="59">
        <f>'M1'!C12*1</f>
        <v>2.1970200000000002</v>
      </c>
      <c r="Y14" s="59">
        <f>'M1'!D12*1</f>
        <v>3.3302499999999999</v>
      </c>
      <c r="Z14" s="59">
        <f>'M1'!E12*1</f>
        <v>50</v>
      </c>
      <c r="AA14" s="59">
        <f>'M1'!F12*1</f>
        <v>60.191000000000003</v>
      </c>
      <c r="AB14" s="59">
        <f>'M1'!G12*1</f>
        <v>100</v>
      </c>
      <c r="AC14" s="59">
        <f>'M1'!H12*1</f>
        <v>72.825100000000006</v>
      </c>
      <c r="AE14" s="27" t="str">
        <f t="shared" si="12"/>
        <v>自我调节</v>
      </c>
      <c r="AF14" s="59">
        <f>'M2'!B12*1</f>
        <v>64.185199999999995</v>
      </c>
      <c r="AG14" s="59">
        <f>'M2'!C12*1</f>
        <v>5.6582299999999996</v>
      </c>
      <c r="AH14" s="59">
        <f>'M2'!D12*1</f>
        <v>8.8154699999999995</v>
      </c>
      <c r="AI14" s="59">
        <f>'M2'!E12*1</f>
        <v>50</v>
      </c>
      <c r="AJ14" s="59">
        <f>'M2'!F12*1</f>
        <v>50.035600000000002</v>
      </c>
      <c r="AK14" s="59">
        <f>'M2'!G12*1</f>
        <v>100</v>
      </c>
      <c r="AL14" s="59">
        <f>'M2'!H12*1</f>
        <v>69.368799999999993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0.29579999999999984</v>
      </c>
      <c r="O15" s="59">
        <f t="shared" si="5"/>
        <v>-1.2257400000000001</v>
      </c>
      <c r="P15" s="59">
        <f t="shared" si="6"/>
        <v>-7.8013999999999974</v>
      </c>
      <c r="Q15" s="59">
        <f t="shared" si="7"/>
        <v>0</v>
      </c>
      <c r="R15" s="59">
        <f t="shared" si="8"/>
        <v>1.0701999999999998</v>
      </c>
      <c r="S15" s="59">
        <f t="shared" si="9"/>
        <v>0</v>
      </c>
      <c r="T15" s="59">
        <f t="shared" si="10"/>
        <v>-2.1951999999999998</v>
      </c>
      <c r="U15" s="14"/>
      <c r="V15" s="27" t="str">
        <f t="shared" si="11"/>
        <v>抑郁</v>
      </c>
      <c r="W15" s="59">
        <f>'M1'!B13*1</f>
        <v>16.426500000000001</v>
      </c>
      <c r="X15" s="59">
        <f>'M1'!C13*1</f>
        <v>4.3779300000000001</v>
      </c>
      <c r="Y15" s="59">
        <f>'M1'!D13*1</f>
        <v>26.651599999999998</v>
      </c>
      <c r="Z15" s="59">
        <f>'M1'!E13*1</f>
        <v>10</v>
      </c>
      <c r="AA15" s="59">
        <f>'M1'!F13*1</f>
        <v>12.3619</v>
      </c>
      <c r="AB15" s="59">
        <f>'M1'!G13*1</f>
        <v>25</v>
      </c>
      <c r="AC15" s="59">
        <f>'M1'!H13*1</f>
        <v>36.564599999999999</v>
      </c>
      <c r="AE15" s="27" t="str">
        <f t="shared" si="12"/>
        <v>抑郁</v>
      </c>
      <c r="AF15" s="59">
        <f>'M2'!B13*1</f>
        <v>16.722300000000001</v>
      </c>
      <c r="AG15" s="59">
        <f>'M2'!C13*1</f>
        <v>3.15219</v>
      </c>
      <c r="AH15" s="59">
        <f>'M2'!D13*1</f>
        <v>18.850200000000001</v>
      </c>
      <c r="AI15" s="59">
        <f>'M2'!E13*1</f>
        <v>10</v>
      </c>
      <c r="AJ15" s="59">
        <f>'M2'!F13*1</f>
        <v>13.4321</v>
      </c>
      <c r="AK15" s="59">
        <f>'M2'!G13*1</f>
        <v>25</v>
      </c>
      <c r="AL15" s="59">
        <f>'M2'!H13*1</f>
        <v>34.369399999999999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-12.257400000000001</v>
      </c>
      <c r="O16" s="59">
        <f t="shared" si="5"/>
        <v>-5.6477000000000004</v>
      </c>
      <c r="P16" s="59">
        <f t="shared" si="6"/>
        <v>2.1194999999999951</v>
      </c>
      <c r="Q16" s="59">
        <f t="shared" si="7"/>
        <v>0</v>
      </c>
      <c r="R16" s="59">
        <f t="shared" si="8"/>
        <v>1.7488049999999997</v>
      </c>
      <c r="S16" s="59">
        <f t="shared" si="9"/>
        <v>0</v>
      </c>
      <c r="T16" s="59">
        <f t="shared" si="10"/>
        <v>11.552899999999994</v>
      </c>
      <c r="U16" s="15"/>
      <c r="V16" s="27" t="str">
        <f t="shared" si="11"/>
        <v>神经质</v>
      </c>
      <c r="W16" s="59">
        <f>'M1'!B14*1</f>
        <v>43.779299999999999</v>
      </c>
      <c r="X16" s="59">
        <f>'M1'!C14*1</f>
        <v>22.5579</v>
      </c>
      <c r="Y16" s="59">
        <f>'M1'!D14*1</f>
        <v>51.526400000000002</v>
      </c>
      <c r="Z16" s="59">
        <f>'M1'!E14*1</f>
        <v>10</v>
      </c>
      <c r="AA16" s="59">
        <f>'M1'!F14*1</f>
        <v>0.42693500000000001</v>
      </c>
      <c r="AB16" s="59">
        <f>'M1'!G14*1</f>
        <v>50</v>
      </c>
      <c r="AC16" s="59">
        <f>'M1'!H14*1</f>
        <v>71.058800000000005</v>
      </c>
      <c r="AE16" s="27" t="str">
        <f t="shared" si="12"/>
        <v>神经质</v>
      </c>
      <c r="AF16" s="59">
        <f>'M2'!B14*1</f>
        <v>31.521899999999999</v>
      </c>
      <c r="AG16" s="59">
        <f>'M2'!C14*1</f>
        <v>16.9102</v>
      </c>
      <c r="AH16" s="59">
        <f>'M2'!D14*1</f>
        <v>53.645899999999997</v>
      </c>
      <c r="AI16" s="59">
        <f>'M2'!E14*1</f>
        <v>10</v>
      </c>
      <c r="AJ16" s="59">
        <f>'M2'!F14*1</f>
        <v>2.1757399999999998</v>
      </c>
      <c r="AK16" s="59">
        <f>'M2'!G14*1</f>
        <v>50</v>
      </c>
      <c r="AL16" s="59">
        <f>'M2'!H14*1</f>
        <v>82.611699999999999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-0.98702500000000004</v>
      </c>
      <c r="O17" s="22">
        <f>N17/(N17+N18+N19)</f>
        <v>0.35964073274487818</v>
      </c>
      <c r="P17" s="65">
        <f>SUM(P11:P14)/4</f>
        <v>0.94928999999999952</v>
      </c>
      <c r="Q17" s="22">
        <f>P17/(P17+P18+P19)</f>
        <v>-0.38033099521926905</v>
      </c>
      <c r="R17" s="14"/>
      <c r="S17" s="14"/>
      <c r="T17" s="14"/>
      <c r="U17" s="14"/>
      <c r="V17" s="21" t="str">
        <f>M17</f>
        <v>Positive</v>
      </c>
      <c r="W17" s="65">
        <f>SUM(W11:W14)/4</f>
        <v>56.987724999999998</v>
      </c>
      <c r="X17" s="22">
        <f>W17/(W17+W18+W19)</f>
        <v>0.46758219014263913</v>
      </c>
      <c r="Y17" s="65">
        <f>SUM(Y11:Y14)/4</f>
        <v>7.1823525000000004</v>
      </c>
      <c r="Z17" s="22">
        <f>Y17/(Y17+Y18+Y19)</f>
        <v>0.11590419798860735</v>
      </c>
      <c r="AA17" s="14"/>
      <c r="AB17" s="14"/>
      <c r="AC17" s="14"/>
      <c r="AE17" s="21" t="str">
        <f>V17</f>
        <v>Positive</v>
      </c>
      <c r="AF17" s="65">
        <f>SUM(AF11:AF14)/4</f>
        <v>56.000699999999995</v>
      </c>
      <c r="AG17" s="22">
        <f>AF17/(AF17+AF18+AF19)</f>
        <v>0.47006884533858062</v>
      </c>
      <c r="AH17" s="65">
        <f>SUM(AH11:AH14)/4</f>
        <v>8.1316424999999999</v>
      </c>
      <c r="AI17" s="22">
        <f>AH17/(AH17+AH18+AH19)</f>
        <v>0.13673048361665338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4.223349999999999</v>
      </c>
      <c r="O18" s="22">
        <f>N18/(N17+N18+N19)</f>
        <v>-1.5388553366308664</v>
      </c>
      <c r="P18" s="18">
        <f>SUM(P7:P10)/4</f>
        <v>-0.6042975000000006</v>
      </c>
      <c r="Q18" s="22">
        <f>P18/(P17+P18+P19)</f>
        <v>0.242110492666642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34.786825</v>
      </c>
      <c r="X18" s="22">
        <f>W18/(W17+W18+W19)</f>
        <v>0.28542462120761469</v>
      </c>
      <c r="Y18" s="18">
        <f>SUM(Y7:Y10)/4</f>
        <v>15.696657500000001</v>
      </c>
      <c r="Z18" s="22">
        <f>Y18/(Y17+Y18+Y19)</f>
        <v>0.25330259112726067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39.010174999999997</v>
      </c>
      <c r="AG18" s="22">
        <f>AF18/(AF17+AF18+AF19)</f>
        <v>0.32745069112896741</v>
      </c>
      <c r="AH18" s="18">
        <f>SUM(AH7:AH10)/4</f>
        <v>15.092359999999999</v>
      </c>
      <c r="AI18" s="22">
        <f>AH18/(AH17+AH18+AH19)</f>
        <v>0.25377230758935049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-5.9808000000000003</v>
      </c>
      <c r="O19" s="22">
        <f>N19/(N17+N18+N19)</f>
        <v>2.1792146038859883</v>
      </c>
      <c r="P19" s="18">
        <f>(P15+P16)/2</f>
        <v>-2.8409500000000012</v>
      </c>
      <c r="Q19" s="22">
        <f>P19/(P17+P18+P19)</f>
        <v>1.1382205025526271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30.102899999999998</v>
      </c>
      <c r="X19" s="22">
        <f>W19/(W17+W18+W19)</f>
        <v>0.24699318864974609</v>
      </c>
      <c r="Y19" s="18">
        <f>(Y15+Y16)/2</f>
        <v>39.088999999999999</v>
      </c>
      <c r="Z19" s="22">
        <f>Y19/(Y17+Y18+Y19)</f>
        <v>0.63079321088413198</v>
      </c>
      <c r="AA19" s="14"/>
      <c r="AB19" s="14"/>
      <c r="AC19" s="14"/>
      <c r="AE19" s="21" t="str">
        <f t="shared" si="14"/>
        <v>Physiological</v>
      </c>
      <c r="AF19" s="18">
        <f>(AF15+AF16)/2</f>
        <v>24.1221</v>
      </c>
      <c r="AG19" s="22">
        <f>AF19/(AF17+AF18+AF19)</f>
        <v>0.20248046353245186</v>
      </c>
      <c r="AH19" s="18">
        <f>(AH15+AH16)/2</f>
        <v>36.248049999999999</v>
      </c>
      <c r="AI19" s="22">
        <f>AH19/(AH17+AH18+AH19)</f>
        <v>0.60949720879399616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2.08/2.34</v>
      </c>
      <c r="D24" s="44" t="str">
        <f>lang!B11</f>
        <v>频率方差</v>
      </c>
      <c r="E24" s="182" t="str">
        <f ca="1">CONCATENATE(ROUND('FH1'!L3,2),"/",ROUND('FH2'!L3,2))</f>
        <v>0.73/0.78</v>
      </c>
      <c r="F24" s="183"/>
      <c r="G24" s="174" t="str">
        <f>lang!B12</f>
        <v>生理变化率</v>
      </c>
      <c r="H24" s="175"/>
      <c r="I24" s="62" t="str">
        <f ca="1">CONCATENATE(info!M7,"-",info!M8)</f>
        <v>10.3-39</v>
      </c>
      <c r="J24" s="42" t="str">
        <f>lang!B13</f>
        <v>千卡l/分钟</v>
      </c>
      <c r="K24" s="41" t="str">
        <f ca="1">CONCATENATE(info!M5,"-",info!M6)</f>
        <v>3.4-5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83%]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14.004800000000001</v>
      </c>
      <c r="F27" s="121"/>
      <c r="G27" s="135" t="str">
        <f>lang!B33</f>
        <v>稳定性</v>
      </c>
      <c r="H27" s="136"/>
      <c r="I27" s="137"/>
      <c r="J27" s="138">
        <f>dM!B19*100</f>
        <v>6.6867999999999981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-0.91694241531472476</v>
      </c>
      <c r="C2">
        <f t="array" aca="1" ref="C2" ca="1">CORREL(FT_E02,FT_PH02)</f>
        <v>-0.4608857163265444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3.3955200000000003</v>
      </c>
      <c r="G2" s="61">
        <f>IF(FT!B2&lt;&gt;"",FT!B2*100,"")</f>
        <v>39.007799999999996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3.4975499999999999</v>
      </c>
      <c r="G3" s="61">
        <f>IF(FT!B3&lt;&gt;"",FT!B3*100,"")</f>
        <v>37.915599999999998</v>
      </c>
      <c r="H3" s="61">
        <f t="shared" ref="H3:H66" si="1">(IF(F3&lt;&gt;"",1,""))</f>
        <v>1</v>
      </c>
      <c r="I3" t="str">
        <f>IF(FT!B3&lt;&gt;"",FT!E3,"")</f>
        <v>1 [0.404412]</v>
      </c>
      <c r="J3">
        <f>IF(FT!B3&lt;&gt;"",FT!C3,"")</f>
        <v>0.40441199999999999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0.28980378378378374</v>
      </c>
      <c r="V3">
        <f ca="1">AVERAGE(OFFSET(FT!B2,info!$L$3/2,0,info!$L$3/2,1))</f>
        <v>0.16565486486486494</v>
      </c>
      <c r="W3">
        <f ca="1">AVERAGE(OFFSET(FT!A2,0,0,info!$L$3/2,1))</f>
        <v>0.44353935135135142</v>
      </c>
      <c r="X3">
        <f ca="1">AVERAGE(OFFSET(FT!A2,info!$L$3/2,0,info!$L$3/2,1))</f>
        <v>0.48108290540540544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3.59545</v>
      </c>
      <c r="G4" s="61">
        <f>IF(FT!B4&lt;&gt;"",FT!B4*100,"")</f>
        <v>37.035600000000002</v>
      </c>
      <c r="H4" s="61">
        <f t="shared" si="1"/>
        <v>1</v>
      </c>
      <c r="I4" t="str">
        <f>IF(FT!B4&lt;&gt;"",FT!E4,"")</f>
        <v>1 [0.809500]</v>
      </c>
      <c r="J4">
        <f>IF(FT!B4&lt;&gt;"",FT!C4,"")</f>
        <v>0.8095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14.933</v>
      </c>
      <c r="V4">
        <f>U4*3</f>
        <v>44.798999999999999</v>
      </c>
      <c r="W4">
        <f>U4</f>
        <v>14.933</v>
      </c>
      <c r="X4">
        <f>V4</f>
        <v>44.798999999999999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3.6953100000000001</v>
      </c>
      <c r="G5" s="61">
        <f>IF(FT!B5&lt;&gt;"",FT!B5*100,"")</f>
        <v>36.142099999999999</v>
      </c>
      <c r="H5" s="61">
        <f t="shared" si="1"/>
        <v>1</v>
      </c>
      <c r="I5" t="str">
        <f>IF(FT!B5&lt;&gt;"",FT!E5,"")</f>
        <v>1 [1.217828]</v>
      </c>
      <c r="J5">
        <f>IF(FT!B5&lt;&gt;"",FT!C5,"")</f>
        <v>1.21783</v>
      </c>
      <c r="K5" t="s">
        <v>53</v>
      </c>
      <c r="L5" s="63">
        <f ca="1">MIN(FT_E)</f>
        <v>3.3955200000000003</v>
      </c>
      <c r="M5" s="63">
        <f ca="1">ROUND(L5,1)</f>
        <v>3.4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28.980378378378376</v>
      </c>
      <c r="V5">
        <f ca="1">V3*100</f>
        <v>16.565486486486495</v>
      </c>
      <c r="W5">
        <f ca="1">W3*10</f>
        <v>4.4353935135135139</v>
      </c>
      <c r="X5">
        <f ca="1">X3*10</f>
        <v>4.8108290540540546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3.79589</v>
      </c>
      <c r="G6" s="61">
        <f>IF(FT!B6&lt;&gt;"",FT!B6*100,"")</f>
        <v>35.307600000000001</v>
      </c>
      <c r="H6" s="61">
        <f t="shared" si="1"/>
        <v>1</v>
      </c>
      <c r="I6" t="str">
        <f>IF(FT!B6&lt;&gt;"",FT!E6,"")</f>
        <v>1 [1.622730]</v>
      </c>
      <c r="J6">
        <f>IF(FT!B6&lt;&gt;"",FT!C6,"")</f>
        <v>1.62273</v>
      </c>
      <c r="K6" t="s">
        <v>54</v>
      </c>
      <c r="L6" s="63">
        <f ca="1">MAX(FT_E)</f>
        <v>5.0376099999999999</v>
      </c>
      <c r="M6" s="63">
        <f ca="1">ROUND(L6,1)</f>
        <v>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3.8859300000000001</v>
      </c>
      <c r="G7" s="61">
        <f>IF(FT!B7&lt;&gt;"",FT!B7*100,"")</f>
        <v>34.4131</v>
      </c>
      <c r="H7" s="61">
        <f t="shared" si="1"/>
        <v>1</v>
      </c>
      <c r="I7" t="str">
        <f>IF(FT!B7&lt;&gt;"",FT!E7,"")</f>
        <v>1 [2.029880]</v>
      </c>
      <c r="J7">
        <f>IF(FT!B7&lt;&gt;"",FT!C7,"")</f>
        <v>2.0298799999999999</v>
      </c>
      <c r="K7" t="s">
        <v>55</v>
      </c>
      <c r="L7" s="63">
        <f ca="1">MIN(FT_PH)</f>
        <v>10.287100000000001</v>
      </c>
      <c r="M7" s="63">
        <f ca="1">ROUND(L7,1)</f>
        <v>10.3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7957</v>
      </c>
      <c r="D8" s="61">
        <f>FH!B8*1</f>
        <v>7957</v>
      </c>
      <c r="E8">
        <f t="shared" si="3"/>
        <v>6</v>
      </c>
      <c r="F8" s="61">
        <f>IF(FT!A8&lt;&gt;"",FT!A8*10,"")</f>
        <v>3.97377</v>
      </c>
      <c r="G8" s="61">
        <f>IF(FT!B8&lt;&gt;"",FT!B8*100,"")</f>
        <v>33.419800000000002</v>
      </c>
      <c r="H8" s="61">
        <f t="shared" si="1"/>
        <v>1</v>
      </c>
      <c r="I8" t="str">
        <f>IF(FT!B8&lt;&gt;"",FT!E8,"")</f>
        <v>1 [2.436096]</v>
      </c>
      <c r="J8">
        <f>IF(FT!B8&lt;&gt;"",FT!C8,"")</f>
        <v>2.4361000000000002</v>
      </c>
      <c r="K8" t="s">
        <v>56</v>
      </c>
      <c r="L8" s="63">
        <f ca="1">MAX(FT_PH)</f>
        <v>39.007799999999996</v>
      </c>
      <c r="M8" s="63">
        <f ca="1">ROUND(L8,1)</f>
        <v>39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4.05863</v>
      </c>
      <c r="G9" s="61">
        <f>IF(FT!B9&lt;&gt;"",FT!B9*100,"")</f>
        <v>32.450299999999999</v>
      </c>
      <c r="H9" s="61">
        <f t="shared" si="1"/>
        <v>1</v>
      </c>
      <c r="I9" t="str">
        <f>IF(FT!B9&lt;&gt;"",FT!E9,"")</f>
        <v>1 [2.840550]</v>
      </c>
      <c r="J9">
        <f>IF(FT!B9&lt;&gt;"",FT!C9,"")</f>
        <v>2.8405499999999999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11700</v>
      </c>
      <c r="D10" s="61">
        <f>FH!B10*1</f>
        <v>11700</v>
      </c>
      <c r="E10">
        <f t="shared" si="3"/>
        <v>8</v>
      </c>
      <c r="F10" s="61">
        <f>IF(FT!A10&lt;&gt;"",FT!A10*10,"")</f>
        <v>4.1357900000000001</v>
      </c>
      <c r="G10" s="61">
        <f>IF(FT!B10&lt;&gt;"",FT!B10*100,"")</f>
        <v>31.833600000000001</v>
      </c>
      <c r="H10" s="61">
        <f t="shared" si="1"/>
        <v>1</v>
      </c>
      <c r="I10" t="str">
        <f>IF(FT!B10&lt;&gt;"",FT!E10,"")</f>
        <v>1 [3.247694]</v>
      </c>
      <c r="J10">
        <f>IF(FT!B10&lt;&gt;"",FT!C10,"")</f>
        <v>3.24769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4.2068599999999998</v>
      </c>
      <c r="G11" s="61">
        <f>IF(FT!B11&lt;&gt;"",FT!B11*100,"")</f>
        <v>31.4023</v>
      </c>
      <c r="H11" s="61">
        <f t="shared" si="1"/>
        <v>1</v>
      </c>
      <c r="I11" t="str">
        <f>IF(FT!B11&lt;&gt;"",FT!E11,"")</f>
        <v>1 [3.652779]</v>
      </c>
      <c r="J11">
        <f>IF(FT!B11&lt;&gt;"",FT!C11,"")</f>
        <v>3.6527799999999999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4.2729499999999998</v>
      </c>
      <c r="G12" s="61">
        <f>IF(FT!B12&lt;&gt;"",FT!B12*100,"")</f>
        <v>31.072300000000002</v>
      </c>
      <c r="H12" s="61">
        <f t="shared" si="1"/>
        <v>1</v>
      </c>
      <c r="I12" t="str">
        <f>IF(FT!B12&lt;&gt;"",FT!E12,"")</f>
        <v>1 [4.064002]</v>
      </c>
      <c r="J12">
        <f>IF(FT!B12&lt;&gt;"",FT!C12,"")</f>
        <v>4.0640000000000001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9336</v>
      </c>
      <c r="D13" s="61">
        <f>FH!B13*1</f>
        <v>9336</v>
      </c>
      <c r="E13">
        <f t="shared" si="3"/>
        <v>11</v>
      </c>
      <c r="F13" s="61">
        <f>IF(FT!A13&lt;&gt;"",FT!A13*10,"")</f>
        <v>4.33589</v>
      </c>
      <c r="G13" s="61">
        <f>IF(FT!B13&lt;&gt;"",FT!B13*100,"")</f>
        <v>30.869000000000003</v>
      </c>
      <c r="H13" s="61">
        <f t="shared" si="1"/>
        <v>1</v>
      </c>
      <c r="I13" t="str">
        <f>IF(FT!B13&lt;&gt;"",FT!E13,"")</f>
        <v>1 [4.467761]</v>
      </c>
      <c r="J13">
        <f>IF(FT!B13&lt;&gt;"",FT!C13,"")</f>
        <v>4.4677600000000002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4.3952900000000001</v>
      </c>
      <c r="G14" s="61">
        <f>IF(FT!B14&lt;&gt;"",FT!B14*100,"")</f>
        <v>30.704500000000003</v>
      </c>
      <c r="H14" s="61">
        <f t="shared" si="1"/>
        <v>1</v>
      </c>
      <c r="I14" t="str">
        <f>IF(FT!B14&lt;&gt;"",FT!E14,"")</f>
        <v>1 [4.873331]</v>
      </c>
      <c r="J14">
        <f>IF(FT!B14&lt;&gt;"",FT!C14,"")</f>
        <v>4.8733300000000002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9882</v>
      </c>
      <c r="D15" s="61">
        <f>FH!B15*1</f>
        <v>9882</v>
      </c>
      <c r="E15">
        <f t="shared" si="3"/>
        <v>13</v>
      </c>
      <c r="F15" s="61">
        <f>IF(FT!A15&lt;&gt;"",FT!A15*10,"")</f>
        <v>4.4475800000000003</v>
      </c>
      <c r="G15" s="61">
        <f>IF(FT!B15&lt;&gt;"",FT!B15*100,"")</f>
        <v>30.599900000000002</v>
      </c>
      <c r="H15" s="61">
        <f t="shared" si="1"/>
        <v>1</v>
      </c>
      <c r="I15" t="str">
        <f>IF(FT!B15&lt;&gt;"",FT!E15,"")</f>
        <v>1 [5.278023]</v>
      </c>
      <c r="J15">
        <f>IF(FT!B15&lt;&gt;"",FT!C15,"")</f>
        <v>5.2780199999999997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4.49153</v>
      </c>
      <c r="G16" s="61">
        <f>IF(FT!B16&lt;&gt;"",FT!B16*100,"")</f>
        <v>30.470199999999998</v>
      </c>
      <c r="H16" s="61">
        <f t="shared" si="1"/>
        <v>1</v>
      </c>
      <c r="I16" t="str">
        <f>IF(FT!B16&lt;&gt;"",FT!E16,"")</f>
        <v>1 [5.690535]</v>
      </c>
      <c r="J16">
        <f>IF(FT!B16&lt;&gt;"",FT!C16,"")</f>
        <v>5.6905400000000004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4.5289700000000002</v>
      </c>
      <c r="G17" s="61">
        <f>IF(FT!B17&lt;&gt;"",FT!B17*100,"")</f>
        <v>30.4054</v>
      </c>
      <c r="H17" s="61">
        <f t="shared" si="1"/>
        <v>1</v>
      </c>
      <c r="I17" t="str">
        <f>IF(FT!B17&lt;&gt;"",FT!E17,"")</f>
        <v>1 [6.094227]</v>
      </c>
      <c r="J17">
        <f>IF(FT!B17&lt;&gt;"",FT!C17,"")</f>
        <v>6.0942299999999996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13815</v>
      </c>
      <c r="D18" s="61">
        <f>FH!B18*1</f>
        <v>13815</v>
      </c>
      <c r="E18">
        <f t="shared" si="3"/>
        <v>16</v>
      </c>
      <c r="F18" s="61">
        <f>IF(FT!A18&lt;&gt;"",FT!A18*10,"")</f>
        <v>4.5636599999999996</v>
      </c>
      <c r="G18" s="61">
        <f>IF(FT!B18&lt;&gt;"",FT!B18*100,"")</f>
        <v>30.299300000000002</v>
      </c>
      <c r="H18" s="61">
        <f t="shared" si="1"/>
        <v>1</v>
      </c>
      <c r="I18" t="str">
        <f>IF(FT!B18&lt;&gt;"",FT!E18,"")</f>
        <v>1 [6.500414]</v>
      </c>
      <c r="J18">
        <f>IF(FT!B18&lt;&gt;"",FT!C18,"")</f>
        <v>6.5004099999999996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4.5923400000000001</v>
      </c>
      <c r="G19" s="61">
        <f>IF(FT!B19&lt;&gt;"",FT!B19*100,"")</f>
        <v>30.083300000000001</v>
      </c>
      <c r="H19" s="61">
        <f t="shared" si="1"/>
        <v>1</v>
      </c>
      <c r="I19" t="str">
        <f>IF(FT!B19&lt;&gt;"",FT!E19,"")</f>
        <v>1 [6.903694]</v>
      </c>
      <c r="J19">
        <f>IF(FT!B19&lt;&gt;"",FT!C19,"")</f>
        <v>6.9036900000000001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4.6175699999999997</v>
      </c>
      <c r="G20" s="61">
        <f>IF(FT!B20&lt;&gt;"",FT!B20*100,"")</f>
        <v>29.854599999999998</v>
      </c>
      <c r="H20" s="61">
        <f t="shared" si="1"/>
        <v>1</v>
      </c>
      <c r="I20" t="str">
        <f>IF(FT!B20&lt;&gt;"",FT!E20,"")</f>
        <v>1 [7.309832]</v>
      </c>
      <c r="J20">
        <f>IF(FT!B20&lt;&gt;"",FT!C20,"")</f>
        <v>7.3098299999999998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14884</v>
      </c>
      <c r="D21" s="61">
        <f>FH!B21*1</f>
        <v>14884</v>
      </c>
      <c r="E21">
        <f t="shared" si="3"/>
        <v>19</v>
      </c>
      <c r="F21" s="61">
        <f>IF(FT!A21&lt;&gt;"",FT!A21*10,"")</f>
        <v>4.6380999999999997</v>
      </c>
      <c r="G21" s="61">
        <f>IF(FT!B21&lt;&gt;"",FT!B21*100,"")</f>
        <v>29.575099999999999</v>
      </c>
      <c r="H21" s="61">
        <f t="shared" si="1"/>
        <v>1</v>
      </c>
      <c r="I21" t="str">
        <f>IF(FT!B21&lt;&gt;"",FT!E21,"")</f>
        <v>1 [7.716117]</v>
      </c>
      <c r="J21">
        <f>IF(FT!B21&lt;&gt;"",FT!C21,"")</f>
        <v>7.7161200000000001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4.6510800000000003</v>
      </c>
      <c r="G22" s="61">
        <f>IF(FT!B22&lt;&gt;"",FT!B22*100,"")</f>
        <v>29.326600000000003</v>
      </c>
      <c r="H22" s="61">
        <f t="shared" si="1"/>
        <v>1</v>
      </c>
      <c r="I22" t="str">
        <f>IF(FT!B22&lt;&gt;"",FT!E22,"")</f>
        <v>1 [8.124665]</v>
      </c>
      <c r="J22">
        <f>IF(FT!B22&lt;&gt;"",FT!C22,"")</f>
        <v>8.1246700000000001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15626</v>
      </c>
      <c r="D23" s="61">
        <f>FH!B23*1</f>
        <v>15626</v>
      </c>
      <c r="E23">
        <f t="shared" si="3"/>
        <v>21</v>
      </c>
      <c r="F23" s="61">
        <f>IF(FT!A23&lt;&gt;"",FT!A23*10,"")</f>
        <v>4.65848</v>
      </c>
      <c r="G23" s="61">
        <f>IF(FT!B23&lt;&gt;"",FT!B23*100,"")</f>
        <v>29.092499999999998</v>
      </c>
      <c r="H23" s="61">
        <f t="shared" si="1"/>
        <v>1</v>
      </c>
      <c r="I23" t="str">
        <f>IF(FT!B23&lt;&gt;"",FT!E23,"")</f>
        <v>1 [8.528813]</v>
      </c>
      <c r="J23">
        <f>IF(FT!B23&lt;&gt;"",FT!C23,"")</f>
        <v>8.52881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4.6610100000000001</v>
      </c>
      <c r="G24" s="61">
        <f>IF(FT!B24&lt;&gt;"",FT!B24*100,"")</f>
        <v>28.697899999999997</v>
      </c>
      <c r="H24" s="61">
        <f t="shared" si="1"/>
        <v>1</v>
      </c>
      <c r="I24" t="str">
        <f>IF(FT!B24&lt;&gt;"",FT!E24,"")</f>
        <v>1 [8.937432]</v>
      </c>
      <c r="J24">
        <f>IF(FT!B24&lt;&gt;"",FT!C24,"")</f>
        <v>8.9374300000000009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4.6596200000000003</v>
      </c>
      <c r="G25" s="61">
        <f>IF(FT!B25&lt;&gt;"",FT!B25*100,"")</f>
        <v>28.313400000000001</v>
      </c>
      <c r="H25" s="61">
        <f t="shared" si="1"/>
        <v>1</v>
      </c>
      <c r="I25" t="str">
        <f>IF(FT!B25&lt;&gt;"",FT!E25,"")</f>
        <v>1 [9.341799]</v>
      </c>
      <c r="J25">
        <f>IF(FT!B25&lt;&gt;"",FT!C25,"")</f>
        <v>9.3417999999999992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13502</v>
      </c>
      <c r="D26" s="61">
        <f>FH!B26*1</f>
        <v>13502</v>
      </c>
      <c r="E26">
        <f t="shared" si="3"/>
        <v>24</v>
      </c>
      <c r="F26" s="61">
        <f>IF(FT!A26&lt;&gt;"",FT!A26*10,"")</f>
        <v>4.6573199999999995</v>
      </c>
      <c r="G26" s="61">
        <f>IF(FT!B26&lt;&gt;"",FT!B26*100,"")</f>
        <v>27.992599999999999</v>
      </c>
      <c r="H26" s="61">
        <f t="shared" si="1"/>
        <v>1</v>
      </c>
      <c r="I26" t="str">
        <f>IF(FT!B26&lt;&gt;"",FT!E26,"")</f>
        <v>1 [9.747018]</v>
      </c>
      <c r="J26">
        <f>IF(FT!B26&lt;&gt;"",FT!C26,"")</f>
        <v>9.7470199999999991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4.6519199999999996</v>
      </c>
      <c r="G27" s="61">
        <f>IF(FT!B27&lt;&gt;"",FT!B27*100,"")</f>
        <v>27.687299999999997</v>
      </c>
      <c r="H27" s="61">
        <f t="shared" si="1"/>
        <v>1</v>
      </c>
      <c r="I27" t="str">
        <f>IF(FT!B27&lt;&gt;"",FT!E27,"")</f>
        <v>1 [10.153626]</v>
      </c>
      <c r="J27">
        <f>IF(FT!B27&lt;&gt;"",FT!C27,"")</f>
        <v>10.153600000000001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15806</v>
      </c>
      <c r="D28" s="61">
        <f>FH!B28*1</f>
        <v>15806</v>
      </c>
      <c r="E28">
        <f t="shared" si="3"/>
        <v>26</v>
      </c>
      <c r="F28" s="61">
        <f>IF(FT!A28&lt;&gt;"",FT!A28*10,"")</f>
        <v>4.6441499999999998</v>
      </c>
      <c r="G28" s="61">
        <f>IF(FT!B28&lt;&gt;"",FT!B28*100,"")</f>
        <v>27.478899999999999</v>
      </c>
      <c r="H28" s="61">
        <f t="shared" si="1"/>
        <v>1</v>
      </c>
      <c r="I28" t="str">
        <f>IF(FT!B28&lt;&gt;"",FT!E28,"")</f>
        <v>1 [10.562533]</v>
      </c>
      <c r="J28">
        <f>IF(FT!B28&lt;&gt;"",FT!C28,"")</f>
        <v>10.5625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4.6357799999999996</v>
      </c>
      <c r="G29" s="61">
        <f>IF(FT!B29&lt;&gt;"",FT!B29*100,"")</f>
        <v>27.281300000000002</v>
      </c>
      <c r="H29" s="61">
        <f t="shared" si="1"/>
        <v>1</v>
      </c>
      <c r="I29" t="str">
        <f>IF(FT!B29&lt;&gt;"",FT!E29,"")</f>
        <v>1 [10.970634]</v>
      </c>
      <c r="J29">
        <f>IF(FT!B29&lt;&gt;"",FT!C29,"")</f>
        <v>10.970599999999999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4.6265499999999999</v>
      </c>
      <c r="G30" s="61">
        <f>IF(FT!B30&lt;&gt;"",FT!B30*100,"")</f>
        <v>27.059899999999999</v>
      </c>
      <c r="H30" s="61">
        <f t="shared" si="1"/>
        <v>1</v>
      </c>
      <c r="I30" t="str">
        <f>IF(FT!B30&lt;&gt;"",FT!E30,"")</f>
        <v>1 [11.372762]</v>
      </c>
      <c r="J30">
        <f>IF(FT!B30&lt;&gt;"",FT!C30,"")</f>
        <v>11.3728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13645</v>
      </c>
      <c r="D31" s="61">
        <f>FH!B31*1</f>
        <v>13645</v>
      </c>
      <c r="E31">
        <f t="shared" si="3"/>
        <v>29</v>
      </c>
      <c r="F31" s="61">
        <f>IF(FT!A31&lt;&gt;"",FT!A31*10,"")</f>
        <v>4.6143400000000003</v>
      </c>
      <c r="G31" s="61">
        <f>IF(FT!B31&lt;&gt;"",FT!B31*100,"")</f>
        <v>26.904199999999999</v>
      </c>
      <c r="H31" s="61">
        <f t="shared" si="1"/>
        <v>1</v>
      </c>
      <c r="I31" t="str">
        <f>IF(FT!B31&lt;&gt;"",FT!E31,"")</f>
        <v>1 [11.779991]</v>
      </c>
      <c r="J31">
        <f>IF(FT!B31&lt;&gt;"",FT!C31,"")</f>
        <v>11.78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4.5988600000000002</v>
      </c>
      <c r="G32" s="61">
        <f>IF(FT!B32&lt;&gt;"",FT!B32*100,"")</f>
        <v>26.872600000000002</v>
      </c>
      <c r="H32" s="61">
        <f t="shared" si="1"/>
        <v>1</v>
      </c>
      <c r="I32" t="str">
        <f>IF(FT!B32&lt;&gt;"",FT!E32,"")</f>
        <v>1 [12.187097]</v>
      </c>
      <c r="J32">
        <f>IF(FT!B32&lt;&gt;"",FT!C32,"")</f>
        <v>12.187099999999999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16073</v>
      </c>
      <c r="D33" s="61">
        <f>FH!B33*1</f>
        <v>16073</v>
      </c>
      <c r="E33">
        <f t="shared" si="3"/>
        <v>31</v>
      </c>
      <c r="F33" s="61">
        <f>IF(FT!A33&lt;&gt;"",FT!A33*10,"")</f>
        <v>4.5775900000000007</v>
      </c>
      <c r="G33" s="61">
        <f>IF(FT!B33&lt;&gt;"",FT!B33*100,"")</f>
        <v>27.036900000000003</v>
      </c>
      <c r="H33" s="61">
        <f t="shared" si="1"/>
        <v>1</v>
      </c>
      <c r="I33" t="str">
        <f>IF(FT!B33&lt;&gt;"",FT!E33,"")</f>
        <v>1 [12.593924]</v>
      </c>
      <c r="J33">
        <f>IF(FT!B33&lt;&gt;"",FT!C33,"")</f>
        <v>12.5939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4.5520500000000004</v>
      </c>
      <c r="G34" s="61">
        <f>IF(FT!B34&lt;&gt;"",FT!B34*100,"")</f>
        <v>27.230700000000002</v>
      </c>
      <c r="H34" s="61">
        <f t="shared" si="1"/>
        <v>1</v>
      </c>
      <c r="I34" t="str">
        <f>IF(FT!B34&lt;&gt;"",FT!E34,"")</f>
        <v>1 [12.998341]</v>
      </c>
      <c r="J34">
        <f>IF(FT!B34&lt;&gt;"",FT!C34,"")</f>
        <v>12.9983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4.5272699999999997</v>
      </c>
      <c r="G35" s="61">
        <f>IF(FT!B35&lt;&gt;"",FT!B35*100,"")</f>
        <v>27.306699999999999</v>
      </c>
      <c r="H35" s="61">
        <f t="shared" si="1"/>
        <v>1</v>
      </c>
      <c r="I35" t="str">
        <f>IF(FT!B35&lt;&gt;"",FT!E35,"")</f>
        <v>1 [13.406177]</v>
      </c>
      <c r="J35">
        <f>IF(FT!B35&lt;&gt;"",FT!C35,"")</f>
        <v>13.4062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17335</v>
      </c>
      <c r="D36" s="61">
        <f>FH!B36*1</f>
        <v>17335</v>
      </c>
      <c r="E36">
        <f t="shared" si="3"/>
        <v>34</v>
      </c>
      <c r="F36" s="61">
        <f>IF(FT!A36&lt;&gt;"",FT!A36*10,"")</f>
        <v>4.5045800000000007</v>
      </c>
      <c r="G36" s="61">
        <f>IF(FT!B36&lt;&gt;"",FT!B36*100,"")</f>
        <v>27.3598</v>
      </c>
      <c r="H36" s="61">
        <f t="shared" si="1"/>
        <v>1</v>
      </c>
      <c r="I36" t="str">
        <f>IF(FT!B36&lt;&gt;"",FT!E36,"")</f>
        <v>1 [13.810676]</v>
      </c>
      <c r="J36">
        <f>IF(FT!B36&lt;&gt;"",FT!C36,"")</f>
        <v>13.810700000000001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4.4805200000000003</v>
      </c>
      <c r="G37" s="61">
        <f>IF(FT!B37&lt;&gt;"",FT!B37*100,"")</f>
        <v>27.4741</v>
      </c>
      <c r="H37" s="61">
        <f t="shared" si="1"/>
        <v>1</v>
      </c>
      <c r="I37" t="str">
        <f>IF(FT!B37&lt;&gt;"",FT!E37,"")</f>
        <v>1 [14.215753]</v>
      </c>
      <c r="J37">
        <f>IF(FT!B37&lt;&gt;"",FT!C37,"")</f>
        <v>14.2158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4.45784</v>
      </c>
      <c r="G38" s="61">
        <f>IF(FT!B38&lt;&gt;"",FT!B38*100,"")</f>
        <v>27.577400000000001</v>
      </c>
      <c r="H38" s="61">
        <f t="shared" si="1"/>
        <v>1</v>
      </c>
      <c r="I38" t="str">
        <f>IF(FT!B38&lt;&gt;"",FT!E38,"")</f>
        <v>1 [14.623086]</v>
      </c>
      <c r="J38">
        <f>IF(FT!B38&lt;&gt;"",FT!C38,"")</f>
        <v>14.623100000000001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18032</v>
      </c>
      <c r="D39" s="61">
        <f>FH!B39*1</f>
        <v>18032</v>
      </c>
      <c r="E39">
        <f t="shared" si="3"/>
        <v>37</v>
      </c>
      <c r="F39" s="61">
        <f>IF(FT!A39&lt;&gt;"",FT!A39*10,"")</f>
        <v>4.4358599999999999</v>
      </c>
      <c r="G39" s="61">
        <f>IF(FT!B39&lt;&gt;"",FT!B39*100,"")</f>
        <v>27.6646</v>
      </c>
      <c r="H39" s="61">
        <f t="shared" si="1"/>
        <v>1</v>
      </c>
      <c r="I39" t="str">
        <f>IF(FT!B39&lt;&gt;"",FT!E39,"")</f>
        <v>1 [15.028454]</v>
      </c>
      <c r="J39">
        <f>IF(FT!B39&lt;&gt;"",FT!C39,"")</f>
        <v>15.028499999999999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4.4173299999999998</v>
      </c>
      <c r="G40" s="61">
        <f>IF(FT!B40&lt;&gt;"",FT!B40*100,"")</f>
        <v>27.801599999999997</v>
      </c>
      <c r="H40" s="61">
        <f t="shared" si="1"/>
        <v>1</v>
      </c>
      <c r="I40" t="str">
        <f>IF(FT!B40&lt;&gt;"",FT!E40,"")</f>
        <v>1 [15.438672]</v>
      </c>
      <c r="J40">
        <f>IF(FT!B40&lt;&gt;"",FT!C40,"")</f>
        <v>15.438700000000001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21657</v>
      </c>
      <c r="D41" s="61">
        <f>FH!B41*1</f>
        <v>21657</v>
      </c>
      <c r="E41">
        <f t="shared" si="3"/>
        <v>39</v>
      </c>
      <c r="F41" s="61">
        <f>IF(FT!A41&lt;&gt;"",FT!A41*10,"")</f>
        <v>4.4028299999999998</v>
      </c>
      <c r="G41" s="61">
        <f>IF(FT!B41&lt;&gt;"",FT!B41*100,"")</f>
        <v>27.923900000000003</v>
      </c>
      <c r="H41" s="61">
        <f t="shared" si="1"/>
        <v>1</v>
      </c>
      <c r="I41" t="str">
        <f>IF(FT!B41&lt;&gt;"",FT!E41,"")</f>
        <v>1 [15.841450]</v>
      </c>
      <c r="J41">
        <f>IF(FT!B41&lt;&gt;"",FT!C41,"")</f>
        <v>15.8415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4.3960100000000004</v>
      </c>
      <c r="G42" s="61">
        <f>IF(FT!B42&lt;&gt;"",FT!B42*100,"")</f>
        <v>27.975100000000001</v>
      </c>
      <c r="H42" s="61">
        <f t="shared" si="1"/>
        <v>1</v>
      </c>
      <c r="I42" t="str">
        <f>IF(FT!B42&lt;&gt;"",FT!E42,"")</f>
        <v>1 [16.246650]</v>
      </c>
      <c r="J42">
        <f>IF(FT!B42&lt;&gt;"",FT!C42,"")</f>
        <v>16.246600000000001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4.3929600000000004</v>
      </c>
      <c r="G43" s="61">
        <f>IF(FT!B43&lt;&gt;"",FT!B43*100,"")</f>
        <v>28.0594</v>
      </c>
      <c r="H43" s="61">
        <f t="shared" si="1"/>
        <v>1</v>
      </c>
      <c r="I43" t="str">
        <f>IF(FT!B43&lt;&gt;"",FT!E43,"")</f>
        <v>1 [16.653481]</v>
      </c>
      <c r="J43">
        <f>IF(FT!B43&lt;&gt;"",FT!C43,"")</f>
        <v>16.653500000000001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21994</v>
      </c>
      <c r="D44" s="61">
        <f>FH!B44*1</f>
        <v>21994</v>
      </c>
      <c r="E44">
        <f t="shared" si="3"/>
        <v>42</v>
      </c>
      <c r="F44" s="61">
        <f>IF(FT!A44&lt;&gt;"",FT!A44*10,"")</f>
        <v>4.3891299999999998</v>
      </c>
      <c r="G44" s="61">
        <f>IF(FT!B44&lt;&gt;"",FT!B44*100,"")</f>
        <v>28.151599999999998</v>
      </c>
      <c r="H44" s="61">
        <f t="shared" si="1"/>
        <v>1</v>
      </c>
      <c r="I44" t="str">
        <f>IF(FT!B44&lt;&gt;"",FT!E44,"")</f>
        <v>1 [17.061523]</v>
      </c>
      <c r="J44">
        <f>IF(FT!B44&lt;&gt;"",FT!C44,"")</f>
        <v>17.061499999999999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4.3848799999999999</v>
      </c>
      <c r="G45" s="61">
        <f>IF(FT!B45&lt;&gt;"",FT!B45*100,"")</f>
        <v>28.244999999999997</v>
      </c>
      <c r="H45" s="61">
        <f t="shared" si="1"/>
        <v>1</v>
      </c>
      <c r="I45" t="str">
        <f>IF(FT!B45&lt;&gt;"",FT!E45,"")</f>
        <v>1 [17.470323]</v>
      </c>
      <c r="J45">
        <f>IF(FT!B45&lt;&gt;"",FT!C45,"")</f>
        <v>17.470300000000002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25008</v>
      </c>
      <c r="D46" s="61">
        <f>FH!B46*1</f>
        <v>25008</v>
      </c>
      <c r="E46">
        <f t="shared" si="3"/>
        <v>44</v>
      </c>
      <c r="F46" s="61">
        <f>IF(FT!A46&lt;&gt;"",FT!A46*10,"")</f>
        <v>4.3837099999999998</v>
      </c>
      <c r="G46" s="61">
        <f>IF(FT!B46&lt;&gt;"",FT!B46*100,"")</f>
        <v>28.363899999999997</v>
      </c>
      <c r="H46" s="61">
        <f t="shared" si="1"/>
        <v>1</v>
      </c>
      <c r="I46" t="str">
        <f>IF(FT!B46&lt;&gt;"",FT!E46,"")</f>
        <v>1 [17.874536]</v>
      </c>
      <c r="J46">
        <f>IF(FT!B46&lt;&gt;"",FT!C46,"")</f>
        <v>17.874500000000001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4.3891</v>
      </c>
      <c r="G47" s="61">
        <f>IF(FT!B47&lt;&gt;"",FT!B47*100,"")</f>
        <v>28.384700000000002</v>
      </c>
      <c r="H47" s="61">
        <f t="shared" si="1"/>
        <v>1</v>
      </c>
      <c r="I47" t="str">
        <f>IF(FT!B47&lt;&gt;"",FT!E47,"")</f>
        <v>1 [18.278690]</v>
      </c>
      <c r="J47">
        <f>IF(FT!B47&lt;&gt;"",FT!C47,"")</f>
        <v>18.278700000000001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4.4001800000000006</v>
      </c>
      <c r="G48" s="61">
        <f>IF(FT!B48&lt;&gt;"",FT!B48*100,"")</f>
        <v>28.264699999999998</v>
      </c>
      <c r="H48" s="61">
        <f t="shared" si="1"/>
        <v>1</v>
      </c>
      <c r="I48" t="str">
        <f>IF(FT!B48&lt;&gt;"",FT!E48,"")</f>
        <v>1 [18.685842]</v>
      </c>
      <c r="J48">
        <f>IF(FT!B48&lt;&gt;"",FT!C48,"")</f>
        <v>18.6858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28120</v>
      </c>
      <c r="D49" s="61">
        <f>FH!B49*1</f>
        <v>28120</v>
      </c>
      <c r="E49">
        <f t="shared" si="3"/>
        <v>47</v>
      </c>
      <c r="F49" s="61">
        <f>IF(FT!A49&lt;&gt;"",FT!A49*10,"")</f>
        <v>4.4077000000000002</v>
      </c>
      <c r="G49" s="61">
        <f>IF(FT!B49&lt;&gt;"",FT!B49*100,"")</f>
        <v>28.2179</v>
      </c>
      <c r="H49" s="61">
        <f t="shared" si="1"/>
        <v>1</v>
      </c>
      <c r="I49" t="str">
        <f>IF(FT!B49&lt;&gt;"",FT!E49,"")</f>
        <v>1 [19.094168]</v>
      </c>
      <c r="J49">
        <f>IF(FT!B49&lt;&gt;"",FT!C49,"")</f>
        <v>19.094200000000001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4.4131599999999995</v>
      </c>
      <c r="G50" s="61">
        <f>IF(FT!B50&lt;&gt;"",FT!B50*100,"")</f>
        <v>28.215800000000002</v>
      </c>
      <c r="H50" s="61">
        <f t="shared" si="1"/>
        <v>1</v>
      </c>
      <c r="I50" t="str">
        <f>IF(FT!B50&lt;&gt;"",FT!E50,"")</f>
        <v>1 [19.500444]</v>
      </c>
      <c r="J50">
        <f>IF(FT!B50&lt;&gt;"",FT!C50,"")</f>
        <v>19.500399999999999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37562</v>
      </c>
      <c r="D51" s="61">
        <f>FH!B51*1</f>
        <v>37562</v>
      </c>
      <c r="E51">
        <f t="shared" si="3"/>
        <v>49</v>
      </c>
      <c r="F51" s="61">
        <f>IF(FT!A51&lt;&gt;"",FT!A51*10,"")</f>
        <v>4.4167000000000005</v>
      </c>
      <c r="G51" s="61">
        <f>IF(FT!B51&lt;&gt;"",FT!B51*100,"")</f>
        <v>28.246399999999998</v>
      </c>
      <c r="H51" s="61">
        <f t="shared" si="1"/>
        <v>1</v>
      </c>
      <c r="I51" t="str">
        <f>IF(FT!B51&lt;&gt;"",FT!E51,"")</f>
        <v>1 [19.906901]</v>
      </c>
      <c r="J51">
        <f>IF(FT!B51&lt;&gt;"",FT!C51,"")</f>
        <v>19.9069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4.42225</v>
      </c>
      <c r="G52" s="61">
        <f>IF(FT!B52&lt;&gt;"",FT!B52*100,"")</f>
        <v>28.3018</v>
      </c>
      <c r="H52" s="61">
        <f t="shared" si="1"/>
        <v>1</v>
      </c>
      <c r="I52" t="str">
        <f>IF(FT!B52&lt;&gt;"",FT!E52,"")</f>
        <v>1 [20.310811]</v>
      </c>
      <c r="J52">
        <f>IF(FT!B52&lt;&gt;"",FT!C52,"")</f>
        <v>20.3108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4.4319699999999997</v>
      </c>
      <c r="G53" s="61">
        <f>IF(FT!B53&lt;&gt;"",FT!B53*100,"")</f>
        <v>28.243099999999998</v>
      </c>
      <c r="H53" s="61">
        <f t="shared" si="1"/>
        <v>1</v>
      </c>
      <c r="I53" t="str">
        <f>IF(FT!B53&lt;&gt;"",FT!E53,"")</f>
        <v>1 [20.716000]</v>
      </c>
      <c r="J53">
        <f>IF(FT!B53&lt;&gt;"",FT!C53,"")</f>
        <v>20.716000000000001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43394</v>
      </c>
      <c r="D54" s="61">
        <f>FH!B54*1</f>
        <v>43394</v>
      </c>
      <c r="E54">
        <f t="shared" si="3"/>
        <v>52</v>
      </c>
      <c r="F54" s="61">
        <f>IF(FT!A54&lt;&gt;"",FT!A54*10,"")</f>
        <v>4.44442</v>
      </c>
      <c r="G54" s="61">
        <f>IF(FT!B54&lt;&gt;"",FT!B54*100,"")</f>
        <v>28.0489</v>
      </c>
      <c r="H54" s="61">
        <f t="shared" si="1"/>
        <v>1</v>
      </c>
      <c r="I54" t="str">
        <f>IF(FT!B54&lt;&gt;"",FT!E54,"")</f>
        <v>1 [21.126250]</v>
      </c>
      <c r="J54">
        <f>IF(FT!B54&lt;&gt;"",FT!C54,"")</f>
        <v>21.126300000000001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4.4509999999999996</v>
      </c>
      <c r="G55" s="61">
        <f>IF(FT!B55&lt;&gt;"",FT!B55*100,"")</f>
        <v>28.021800000000002</v>
      </c>
      <c r="H55" s="61">
        <f t="shared" si="1"/>
        <v>1</v>
      </c>
      <c r="I55" t="str">
        <f>IF(FT!B55&lt;&gt;"",FT!E55,"")</f>
        <v>1 [21.531919]</v>
      </c>
      <c r="J55">
        <f>IF(FT!B55&lt;&gt;"",FT!C55,"")</f>
        <v>21.5319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4.4570300000000005</v>
      </c>
      <c r="G56" s="61">
        <f>IF(FT!B56&lt;&gt;"",FT!B56*100,"")</f>
        <v>28.0075</v>
      </c>
      <c r="H56" s="61">
        <f t="shared" si="1"/>
        <v>1</v>
      </c>
      <c r="I56" t="str">
        <f>IF(FT!B56&lt;&gt;"",FT!E56,"")</f>
        <v>1 [21.938485]</v>
      </c>
      <c r="J56">
        <f>IF(FT!B56&lt;&gt;"",FT!C56,"")</f>
        <v>21.938500000000001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49819</v>
      </c>
      <c r="D57" s="61">
        <f>FH!B57*1</f>
        <v>49819</v>
      </c>
      <c r="E57">
        <f t="shared" si="3"/>
        <v>55</v>
      </c>
      <c r="F57" s="61">
        <f>IF(FT!A57&lt;&gt;"",FT!A57*10,"")</f>
        <v>4.4639800000000003</v>
      </c>
      <c r="G57" s="61">
        <f>IF(FT!B57&lt;&gt;"",FT!B57*100,"")</f>
        <v>27.9665</v>
      </c>
      <c r="H57" s="61">
        <f t="shared" si="1"/>
        <v>1</v>
      </c>
      <c r="I57" t="str">
        <f>IF(FT!B57&lt;&gt;"",FT!E57,"")</f>
        <v>1 [22.341436]</v>
      </c>
      <c r="J57">
        <f>IF(FT!B57&lt;&gt;"",FT!C57,"")</f>
        <v>22.3414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4.4705899999999996</v>
      </c>
      <c r="G58" s="61">
        <f>IF(FT!B58&lt;&gt;"",FT!B58*100,"")</f>
        <v>27.943899999999999</v>
      </c>
      <c r="H58" s="61">
        <f t="shared" si="1"/>
        <v>1</v>
      </c>
      <c r="I58" t="str">
        <f>IF(FT!B58&lt;&gt;"",FT!E58,"")</f>
        <v>1 [22.748090]</v>
      </c>
      <c r="J58">
        <f>IF(FT!B58&lt;&gt;"",FT!C58,"")</f>
        <v>22.748100000000001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61690</v>
      </c>
      <c r="D59" s="61">
        <f>FH!B59*1</f>
        <v>61690</v>
      </c>
      <c r="E59">
        <f t="shared" si="3"/>
        <v>57</v>
      </c>
      <c r="F59" s="61">
        <f>IF(FT!A59&lt;&gt;"",FT!A59*10,"")</f>
        <v>4.4808399999999997</v>
      </c>
      <c r="G59" s="61">
        <f>IF(FT!B59&lt;&gt;"",FT!B59*100,"")</f>
        <v>27.837499999999999</v>
      </c>
      <c r="H59" s="61">
        <f t="shared" si="1"/>
        <v>1</v>
      </c>
      <c r="I59" t="str">
        <f>IF(FT!B59&lt;&gt;"",FT!E59,"")</f>
        <v>1 [23.154878]</v>
      </c>
      <c r="J59">
        <f>IF(FT!B59&lt;&gt;"",FT!C59,"")</f>
        <v>23.154900000000001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4.49587</v>
      </c>
      <c r="G60" s="61">
        <f>IF(FT!B60&lt;&gt;"",FT!B60*100,"")</f>
        <v>27.674900000000001</v>
      </c>
      <c r="H60" s="61">
        <f t="shared" si="1"/>
        <v>1</v>
      </c>
      <c r="I60" t="str">
        <f>IF(FT!B60&lt;&gt;"",FT!E60,"")</f>
        <v>1 [23.560611]</v>
      </c>
      <c r="J60">
        <f>IF(FT!B60&lt;&gt;"",FT!C60,"")</f>
        <v>23.560600000000001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4.5078000000000005</v>
      </c>
      <c r="G61" s="61">
        <f>IF(FT!B61&lt;&gt;"",FT!B61*100,"")</f>
        <v>27.607300000000002</v>
      </c>
      <c r="H61" s="61">
        <f t="shared" si="1"/>
        <v>1</v>
      </c>
      <c r="I61" t="str">
        <f>IF(FT!B61&lt;&gt;"",FT!E61,"")</f>
        <v>1 [23.969278]</v>
      </c>
      <c r="J61">
        <f>IF(FT!B61&lt;&gt;"",FT!C61,"")</f>
        <v>23.9693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77258</v>
      </c>
      <c r="D62" s="61">
        <f>FH!B62*1</f>
        <v>77258</v>
      </c>
      <c r="E62">
        <f t="shared" si="3"/>
        <v>60</v>
      </c>
      <c r="F62" s="61">
        <f>IF(FT!A62&lt;&gt;"",FT!A62*10,"")</f>
        <v>4.5245499999999996</v>
      </c>
      <c r="G62" s="61">
        <f>IF(FT!B62&lt;&gt;"",FT!B62*100,"")</f>
        <v>27.500599999999999</v>
      </c>
      <c r="H62" s="61">
        <f t="shared" si="1"/>
        <v>1</v>
      </c>
      <c r="I62" t="str">
        <f>IF(FT!B62&lt;&gt;"",FT!E62,"")</f>
        <v>1 [24.372195]</v>
      </c>
      <c r="J62">
        <f>IF(FT!B62&lt;&gt;"",FT!C62,"")</f>
        <v>24.372199999999999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4.5424999999999995</v>
      </c>
      <c r="G63" s="61">
        <f>IF(FT!B63&lt;&gt;"",FT!B63*100,"")</f>
        <v>27.423500000000001</v>
      </c>
      <c r="H63" s="61">
        <f t="shared" si="1"/>
        <v>1</v>
      </c>
      <c r="I63" t="str">
        <f>IF(FT!B63&lt;&gt;"",FT!E63,"")</f>
        <v>1 [24.782123]</v>
      </c>
      <c r="J63">
        <f>IF(FT!B63&lt;&gt;"",FT!C63,"")</f>
        <v>24.7821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82544</v>
      </c>
      <c r="D64" s="61">
        <f>FH!B64*1</f>
        <v>82544</v>
      </c>
      <c r="E64">
        <f t="shared" si="3"/>
        <v>62</v>
      </c>
      <c r="F64" s="61">
        <f>IF(FT!A64&lt;&gt;"",FT!A64*10,"")</f>
        <v>4.5613700000000001</v>
      </c>
      <c r="G64" s="61">
        <f>IF(FT!B64&lt;&gt;"",FT!B64*100,"")</f>
        <v>27.430700000000002</v>
      </c>
      <c r="H64" s="61">
        <f t="shared" si="1"/>
        <v>1</v>
      </c>
      <c r="I64" t="str">
        <f>IF(FT!B64&lt;&gt;"",FT!E64,"")</f>
        <v>1 [25.186809]</v>
      </c>
      <c r="J64">
        <f>IF(FT!B64&lt;&gt;"",FT!C64,"")</f>
        <v>25.186800000000002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4.5837899999999996</v>
      </c>
      <c r="G65" s="61">
        <f>IF(FT!B65&lt;&gt;"",FT!B65*100,"")</f>
        <v>27.360099999999999</v>
      </c>
      <c r="H65" s="61">
        <f t="shared" si="1"/>
        <v>1</v>
      </c>
      <c r="I65" t="str">
        <f>IF(FT!B65&lt;&gt;"",FT!E65,"")</f>
        <v>1 [25.592432]</v>
      </c>
      <c r="J65">
        <f>IF(FT!B65&lt;&gt;"",FT!C65,"")</f>
        <v>25.592400000000001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4.6070100000000007</v>
      </c>
      <c r="G66" s="61">
        <f>IF(FT!B66&lt;&gt;"",FT!B66*100,"")</f>
        <v>27.279599999999999</v>
      </c>
      <c r="H66" s="61">
        <f t="shared" si="1"/>
        <v>1</v>
      </c>
      <c r="I66" t="str">
        <f>IF(FT!B66&lt;&gt;"",FT!E66,"")</f>
        <v>1 [25.996804]</v>
      </c>
      <c r="J66">
        <f>IF(FT!B66&lt;&gt;"",FT!C66,"")</f>
        <v>25.9968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90299</v>
      </c>
      <c r="D67" s="61">
        <f>FH!B67*1</f>
        <v>90299</v>
      </c>
      <c r="E67">
        <f t="shared" si="3"/>
        <v>65</v>
      </c>
      <c r="F67" s="61">
        <f>IF(FT!A67&lt;&gt;"",FT!A67*10,"")</f>
        <v>4.6254800000000005</v>
      </c>
      <c r="G67" s="61">
        <f>IF(FT!B67&lt;&gt;"",FT!B67*100,"")</f>
        <v>27.173399999999997</v>
      </c>
      <c r="H67" s="61">
        <f t="shared" ref="H67:H130" si="9">(IF(F67&lt;&gt;"",1,""))</f>
        <v>1</v>
      </c>
      <c r="I67" t="str">
        <f>IF(FT!B67&lt;&gt;"",FT!E67,"")</f>
        <v>1 [26.410019]</v>
      </c>
      <c r="J67">
        <f>IF(FT!B67&lt;&gt;"",FT!C67,"")</f>
        <v>26.41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4.6421600000000005</v>
      </c>
      <c r="G68" s="61">
        <f>IF(FT!B68&lt;&gt;"",FT!B68*100,"")</f>
        <v>27.023099999999999</v>
      </c>
      <c r="H68" s="61">
        <f t="shared" si="9"/>
        <v>1</v>
      </c>
      <c r="I68" t="str">
        <f>IF(FT!B68&lt;&gt;"",FT!E68,"")</f>
        <v>1 [26.811237]</v>
      </c>
      <c r="J68">
        <f>IF(FT!B68&lt;&gt;"",FT!C68,"")</f>
        <v>26.811199999999999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96690</v>
      </c>
      <c r="D69" s="61">
        <f>FH!B69*1</f>
        <v>96690</v>
      </c>
      <c r="E69">
        <f t="shared" si="11"/>
        <v>67</v>
      </c>
      <c r="F69" s="61">
        <f>IF(FT!A69&lt;&gt;"",FT!A69*10,"")</f>
        <v>4.6611799999999999</v>
      </c>
      <c r="G69" s="61">
        <f>IF(FT!B69&lt;&gt;"",FT!B69*100,"")</f>
        <v>26.870100000000001</v>
      </c>
      <c r="H69" s="61">
        <f t="shared" si="9"/>
        <v>1</v>
      </c>
      <c r="I69" t="str">
        <f>IF(FT!B69&lt;&gt;"",FT!E69,"")</f>
        <v>1 [27.221657]</v>
      </c>
      <c r="J69">
        <f>IF(FT!B69&lt;&gt;"",FT!C69,"")</f>
        <v>27.221699999999998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4.6810700000000001</v>
      </c>
      <c r="G70" s="61">
        <f>IF(FT!B70&lt;&gt;"",FT!B70*100,"")</f>
        <v>26.741700000000002</v>
      </c>
      <c r="H70" s="61">
        <f t="shared" si="9"/>
        <v>1</v>
      </c>
      <c r="I70" t="str">
        <f>IF(FT!B70&lt;&gt;"",FT!E70,"")</f>
        <v>1 [27.627371]</v>
      </c>
      <c r="J70">
        <f>IF(FT!B70&lt;&gt;"",FT!C70,"")</f>
        <v>27.627400000000002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4.6999700000000004</v>
      </c>
      <c r="G71" s="61">
        <f>IF(FT!B71&lt;&gt;"",FT!B71*100,"")</f>
        <v>26.555299999999999</v>
      </c>
      <c r="H71" s="61">
        <f t="shared" si="9"/>
        <v>1</v>
      </c>
      <c r="I71" t="str">
        <f>IF(FT!B71&lt;&gt;"",FT!E71,"")</f>
        <v>1 [28.029350]</v>
      </c>
      <c r="J71">
        <f>IF(FT!B71&lt;&gt;"",FT!C71,"")</f>
        <v>28.029399999999999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101532</v>
      </c>
      <c r="D72" s="61">
        <f>FH!B72*1</f>
        <v>101532</v>
      </c>
      <c r="E72">
        <f t="shared" si="11"/>
        <v>70</v>
      </c>
      <c r="F72" s="61">
        <f>IF(FT!A72&lt;&gt;"",FT!A72*10,"")</f>
        <v>4.7170699999999997</v>
      </c>
      <c r="G72" s="61">
        <f>IF(FT!B72&lt;&gt;"",FT!B72*100,"")</f>
        <v>26.362300000000001</v>
      </c>
      <c r="H72" s="61">
        <f t="shared" si="9"/>
        <v>1</v>
      </c>
      <c r="I72" t="str">
        <f>IF(FT!B72&lt;&gt;"",FT!E72,"")</f>
        <v>1 [28.440469]</v>
      </c>
      <c r="J72">
        <f>IF(FT!B72&lt;&gt;"",FT!C72,"")</f>
        <v>28.4405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4.73048</v>
      </c>
      <c r="G73" s="61">
        <f>IF(FT!B73&lt;&gt;"",FT!B73*100,"")</f>
        <v>26.190600000000003</v>
      </c>
      <c r="H73" s="61">
        <f t="shared" si="9"/>
        <v>1</v>
      </c>
      <c r="I73" t="str">
        <f>IF(FT!B73&lt;&gt;"",FT!E73,"")</f>
        <v>1 [28.843081]</v>
      </c>
      <c r="J73">
        <f>IF(FT!B73&lt;&gt;"",FT!C73,"")</f>
        <v>28.8431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4.7444899999999999</v>
      </c>
      <c r="G74" s="61">
        <f>IF(FT!B74&lt;&gt;"",FT!B74*100,"")</f>
        <v>26.069799999999997</v>
      </c>
      <c r="H74" s="61">
        <f t="shared" si="9"/>
        <v>1</v>
      </c>
      <c r="I74" t="str">
        <f>IF(FT!B74&lt;&gt;"",FT!E74,"")</f>
        <v>1 [29.254464]</v>
      </c>
      <c r="J74">
        <f>IF(FT!B74&lt;&gt;"",FT!C74,"")</f>
        <v>29.2545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98717</v>
      </c>
      <c r="D75" s="61">
        <f>FH!B75*1</f>
        <v>98717</v>
      </c>
      <c r="E75">
        <f t="shared" si="11"/>
        <v>73</v>
      </c>
      <c r="F75" s="61">
        <f>IF(FT!A75&lt;&gt;"",FT!A75*10,"")</f>
        <v>4.7591599999999996</v>
      </c>
      <c r="G75" s="61">
        <f>IF(FT!B75&lt;&gt;"",FT!B75*100,"")</f>
        <v>25.845200000000002</v>
      </c>
      <c r="H75" s="61">
        <f t="shared" si="9"/>
        <v>1</v>
      </c>
      <c r="I75" t="str">
        <f>IF(FT!B75&lt;&gt;"",FT!E75,"")</f>
        <v>1 [29.657164]</v>
      </c>
      <c r="J75">
        <f>IF(FT!B75&lt;&gt;"",FT!C75,"")</f>
        <v>29.6572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4.7728799999999998</v>
      </c>
      <c r="G76" s="61">
        <f>IF(FT!B76&lt;&gt;"",FT!B76*100,"")</f>
        <v>25.593800000000002</v>
      </c>
      <c r="H76" s="61">
        <f t="shared" si="9"/>
        <v>1</v>
      </c>
      <c r="I76" t="str">
        <f>IF(FT!B76&lt;&gt;"",FT!E76,"")</f>
        <v>2 [30.062902]</v>
      </c>
      <c r="J76">
        <f>IF(FT!B76&lt;&gt;"",FT!C76,"")</f>
        <v>30.062899999999999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103677</v>
      </c>
      <c r="D77" s="61">
        <f>FH!B77*1</f>
        <v>103677</v>
      </c>
      <c r="E77">
        <f t="shared" si="11"/>
        <v>75</v>
      </c>
      <c r="F77" s="61">
        <f>IF(FT!A77&lt;&gt;"",FT!A77*10,"")</f>
        <v>4.7817600000000002</v>
      </c>
      <c r="G77" s="61">
        <f>IF(FT!B77&lt;&gt;"",FT!B77*100,"")</f>
        <v>25.373800000000003</v>
      </c>
      <c r="H77" s="61">
        <f t="shared" si="9"/>
        <v>1</v>
      </c>
      <c r="I77" t="str">
        <f>IF(FT!B77&lt;&gt;"",FT!E77,"")</f>
        <v>2 [30.484338]</v>
      </c>
      <c r="J77">
        <f>IF(FT!B77&lt;&gt;"",FT!C77,"")</f>
        <v>30.484300000000001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4.7869600000000005</v>
      </c>
      <c r="G78" s="61">
        <f>IF(FT!B78&lt;&gt;"",FT!B78*100,"")</f>
        <v>25.087</v>
      </c>
      <c r="H78" s="61">
        <f t="shared" si="9"/>
        <v>1</v>
      </c>
      <c r="I78" t="str">
        <f>IF(FT!B78&lt;&gt;"",FT!E78,"")</f>
        <v>2 [30.888388]</v>
      </c>
      <c r="J78">
        <f>IF(FT!B78&lt;&gt;"",FT!C78,"")</f>
        <v>30.888400000000001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4.79061</v>
      </c>
      <c r="G79" s="61">
        <f>IF(FT!B79&lt;&gt;"",FT!B79*100,"")</f>
        <v>24.8306</v>
      </c>
      <c r="H79" s="61">
        <f t="shared" si="9"/>
        <v>1</v>
      </c>
      <c r="I79" t="str">
        <f>IF(FT!B79&lt;&gt;"",FT!E79,"")</f>
        <v>2 [31.294858]</v>
      </c>
      <c r="J79">
        <f>IF(FT!B79&lt;&gt;"",FT!C79,"")</f>
        <v>31.294899999999998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113321</v>
      </c>
      <c r="D80" s="61">
        <f>FH!B80*1</f>
        <v>113321</v>
      </c>
      <c r="E80">
        <f t="shared" si="11"/>
        <v>78</v>
      </c>
      <c r="F80" s="61">
        <f>IF(FT!A80&lt;&gt;"",FT!A80*10,"")</f>
        <v>4.7952499999999993</v>
      </c>
      <c r="G80" s="61">
        <f>IF(FT!B80&lt;&gt;"",FT!B80*100,"")</f>
        <v>24.617900000000002</v>
      </c>
      <c r="H80" s="61">
        <f t="shared" si="9"/>
        <v>1</v>
      </c>
      <c r="I80" t="str">
        <f>IF(FT!B80&lt;&gt;"",FT!E80,"")</f>
        <v>2 [31.705545]</v>
      </c>
      <c r="J80">
        <f>IF(FT!B80&lt;&gt;"",FT!C80,"")</f>
        <v>31.705500000000001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4.7996800000000004</v>
      </c>
      <c r="G81" s="61">
        <f>IF(FT!B81&lt;&gt;"",FT!B81*100,"")</f>
        <v>24.338099999999997</v>
      </c>
      <c r="H81" s="61">
        <f t="shared" si="9"/>
        <v>1</v>
      </c>
      <c r="I81" t="str">
        <f>IF(FT!B81&lt;&gt;"",FT!E81,"")</f>
        <v>2 [32.109910]</v>
      </c>
      <c r="J81">
        <f>IF(FT!B81&lt;&gt;"",FT!C81,"")</f>
        <v>32.109900000000003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124161</v>
      </c>
      <c r="D82" s="61">
        <f>FH!B82*1</f>
        <v>124161</v>
      </c>
      <c r="E82">
        <f t="shared" si="11"/>
        <v>80</v>
      </c>
      <c r="F82" s="61">
        <f>IF(FT!A82&lt;&gt;"",FT!A82*10,"")</f>
        <v>4.8044199999999995</v>
      </c>
      <c r="G82" s="61">
        <f>IF(FT!B82&lt;&gt;"",FT!B82*100,"")</f>
        <v>24.043800000000001</v>
      </c>
      <c r="H82" s="61">
        <f t="shared" si="9"/>
        <v>1</v>
      </c>
      <c r="I82" t="str">
        <f>IF(FT!B82&lt;&gt;"",FT!E82,"")</f>
        <v>2 [32.515276]</v>
      </c>
      <c r="J82">
        <f>IF(FT!B82&lt;&gt;"",FT!C82,"")</f>
        <v>32.515300000000003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4.8087499999999999</v>
      </c>
      <c r="G83" s="61">
        <f>IF(FT!B83&lt;&gt;"",FT!B83*100,"")</f>
        <v>23.744100000000003</v>
      </c>
      <c r="H83" s="61">
        <f t="shared" si="9"/>
        <v>1</v>
      </c>
      <c r="I83" t="str">
        <f>IF(FT!B83&lt;&gt;"",FT!E83,"")</f>
        <v>2 [32.923121]</v>
      </c>
      <c r="J83">
        <f>IF(FT!B83&lt;&gt;"",FT!C83,"")</f>
        <v>32.923099999999998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4.8113799999999998</v>
      </c>
      <c r="G84" s="61">
        <f>IF(FT!B84&lt;&gt;"",FT!B84*100,"")</f>
        <v>23.611499999999999</v>
      </c>
      <c r="H84" s="61">
        <f t="shared" si="9"/>
        <v>1</v>
      </c>
      <c r="I84" t="str">
        <f>IF(FT!B84&lt;&gt;"",FT!E84,"")</f>
        <v>2 [33.326259]</v>
      </c>
      <c r="J84">
        <f>IF(FT!B84&lt;&gt;"",FT!C84,"")</f>
        <v>33.326300000000003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132513</v>
      </c>
      <c r="D85" s="61">
        <f>FH!B85*1</f>
        <v>132513</v>
      </c>
      <c r="E85">
        <f t="shared" si="11"/>
        <v>83</v>
      </c>
      <c r="F85" s="61">
        <f>IF(FT!A85&lt;&gt;"",FT!A85*10,"")</f>
        <v>4.8084899999999999</v>
      </c>
      <c r="G85" s="61">
        <f>IF(FT!B85&lt;&gt;"",FT!B85*100,"")</f>
        <v>23.569000000000003</v>
      </c>
      <c r="H85" s="61">
        <f t="shared" si="9"/>
        <v>1</v>
      </c>
      <c r="I85" t="str">
        <f>IF(FT!B85&lt;&gt;"",FT!E85,"")</f>
        <v>2 [33.734547]</v>
      </c>
      <c r="J85">
        <f>IF(FT!B85&lt;&gt;"",FT!C85,"")</f>
        <v>33.734499999999997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4.8084500000000006</v>
      </c>
      <c r="G86" s="61">
        <f>IF(FT!B86&lt;&gt;"",FT!B86*100,"")</f>
        <v>23.439699999999998</v>
      </c>
      <c r="H86" s="61">
        <f t="shared" si="9"/>
        <v>1</v>
      </c>
      <c r="I86" t="str">
        <f>IF(FT!B86&lt;&gt;"",FT!E86,"")</f>
        <v>2 [34.143562]</v>
      </c>
      <c r="J86">
        <f>IF(FT!B86&lt;&gt;"",FT!C86,"")</f>
        <v>34.143599999999999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4.8049400000000002</v>
      </c>
      <c r="G87" s="61">
        <f>IF(FT!B87&lt;&gt;"",FT!B87*100,"")</f>
        <v>23.245200000000001</v>
      </c>
      <c r="H87" s="61">
        <f t="shared" si="9"/>
        <v>1</v>
      </c>
      <c r="I87" t="str">
        <f>IF(FT!B87&lt;&gt;"",FT!E87,"")</f>
        <v>2 [34.546200]</v>
      </c>
      <c r="J87">
        <f>IF(FT!B87&lt;&gt;"",FT!C87,"")</f>
        <v>34.546199999999999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139595</v>
      </c>
      <c r="D88" s="61">
        <f>FH!B88*1</f>
        <v>139595</v>
      </c>
      <c r="E88">
        <f t="shared" si="11"/>
        <v>86</v>
      </c>
      <c r="F88" s="61">
        <f>IF(FT!A88&lt;&gt;"",FT!A88*10,"")</f>
        <v>4.7988099999999996</v>
      </c>
      <c r="G88" s="61">
        <f>IF(FT!B88&lt;&gt;"",FT!B88*100,"")</f>
        <v>23.018000000000001</v>
      </c>
      <c r="H88" s="61">
        <f t="shared" si="9"/>
        <v>1</v>
      </c>
      <c r="I88" t="str">
        <f>IF(FT!B88&lt;&gt;"",FT!E88,"")</f>
        <v>2 [34.951341]</v>
      </c>
      <c r="J88">
        <f>IF(FT!B88&lt;&gt;"",FT!C88,"")</f>
        <v>34.951300000000003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4.7942999999999998</v>
      </c>
      <c r="G89" s="61">
        <f>IF(FT!B89&lt;&gt;"",FT!B89*100,"")</f>
        <v>22.684099999999997</v>
      </c>
      <c r="H89" s="61">
        <f t="shared" si="9"/>
        <v>1</v>
      </c>
      <c r="I89" t="str">
        <f>IF(FT!B89&lt;&gt;"",FT!E89,"")</f>
        <v>2 [35.356853]</v>
      </c>
      <c r="J89">
        <f>IF(FT!B89&lt;&gt;"",FT!C89,"")</f>
        <v>35.356900000000003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139301</v>
      </c>
      <c r="D90" s="61">
        <f>FH!B90*1</f>
        <v>139301</v>
      </c>
      <c r="E90">
        <f t="shared" si="11"/>
        <v>88</v>
      </c>
      <c r="F90" s="61">
        <f>IF(FT!A90&lt;&gt;"",FT!A90*10,"")</f>
        <v>4.7860700000000005</v>
      </c>
      <c r="G90" s="61">
        <f>IF(FT!B90&lt;&gt;"",FT!B90*100,"")</f>
        <v>22.3355</v>
      </c>
      <c r="H90" s="61">
        <f t="shared" si="9"/>
        <v>1</v>
      </c>
      <c r="I90" t="str">
        <f>IF(FT!B90&lt;&gt;"",FT!E90,"")</f>
        <v>2 [35.766313]</v>
      </c>
      <c r="J90">
        <f>IF(FT!B90&lt;&gt;"",FT!C90,"")</f>
        <v>35.766300000000001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4.7762500000000001</v>
      </c>
      <c r="G91" s="61">
        <f>IF(FT!B91&lt;&gt;"",FT!B91*100,"")</f>
        <v>21.9908</v>
      </c>
      <c r="H91" s="61">
        <f t="shared" si="9"/>
        <v>1</v>
      </c>
      <c r="I91" t="str">
        <f>IF(FT!B91&lt;&gt;"",FT!E91,"")</f>
        <v>2 [36.171938]</v>
      </c>
      <c r="J91">
        <f>IF(FT!B91&lt;&gt;"",FT!C91,"")</f>
        <v>36.171900000000001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4.76546</v>
      </c>
      <c r="G92" s="61">
        <f>IF(FT!B92&lt;&gt;"",FT!B92*100,"")</f>
        <v>21.659500000000001</v>
      </c>
      <c r="H92" s="61">
        <f t="shared" si="9"/>
        <v>1</v>
      </c>
      <c r="I92" t="str">
        <f>IF(FT!B92&lt;&gt;"",FT!E92,"")</f>
        <v>2 [36.580212]</v>
      </c>
      <c r="J92">
        <f>IF(FT!B92&lt;&gt;"",FT!C92,"")</f>
        <v>36.580199999999998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142959</v>
      </c>
      <c r="D93" s="61">
        <f>FH!B93*1</f>
        <v>142959</v>
      </c>
      <c r="E93">
        <f t="shared" si="11"/>
        <v>91</v>
      </c>
      <c r="F93" s="61">
        <f>IF(FT!A93&lt;&gt;"",FT!A93*10,"")</f>
        <v>4.7514200000000004</v>
      </c>
      <c r="G93" s="61">
        <f>IF(FT!B93&lt;&gt;"",FT!B93*100,"")</f>
        <v>21.3706</v>
      </c>
      <c r="H93" s="61">
        <f t="shared" si="9"/>
        <v>1</v>
      </c>
      <c r="I93" t="str">
        <f>IF(FT!B93&lt;&gt;"",FT!E93,"")</f>
        <v>2 [36.985467]</v>
      </c>
      <c r="J93">
        <f>IF(FT!B93&lt;&gt;"",FT!C93,"")</f>
        <v>36.985500000000002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4.73855</v>
      </c>
      <c r="G94" s="61">
        <f>IF(FT!B94&lt;&gt;"",FT!B94*100,"")</f>
        <v>21.0749</v>
      </c>
      <c r="H94" s="61">
        <f t="shared" si="9"/>
        <v>1</v>
      </c>
      <c r="I94" t="str">
        <f>IF(FT!B94&lt;&gt;"",FT!E94,"")</f>
        <v>2 [37.387705]</v>
      </c>
      <c r="J94">
        <f>IF(FT!B94&lt;&gt;"",FT!C94,"")</f>
        <v>37.387700000000002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152376</v>
      </c>
      <c r="D95" s="61">
        <f>FH!B95*1</f>
        <v>152376</v>
      </c>
      <c r="E95">
        <f t="shared" si="11"/>
        <v>93</v>
      </c>
      <c r="F95" s="61">
        <f>IF(FT!A95&lt;&gt;"",FT!A95*10,"")</f>
        <v>4.7277699999999996</v>
      </c>
      <c r="G95" s="61">
        <f>IF(FT!B95&lt;&gt;"",FT!B95*100,"")</f>
        <v>20.748699999999999</v>
      </c>
      <c r="H95" s="61">
        <f t="shared" si="9"/>
        <v>1</v>
      </c>
      <c r="I95" t="str">
        <f>IF(FT!B95&lt;&gt;"",FT!E95,"")</f>
        <v>2 [37.796375]</v>
      </c>
      <c r="J95">
        <f>IF(FT!B95&lt;&gt;"",FT!C95,"")</f>
        <v>37.796399999999998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4.7132199999999997</v>
      </c>
      <c r="G96" s="61">
        <f>IF(FT!B96&lt;&gt;"",FT!B96*100,"")</f>
        <v>20.540700000000001</v>
      </c>
      <c r="H96" s="61">
        <f t="shared" si="9"/>
        <v>1</v>
      </c>
      <c r="I96" t="str">
        <f>IF(FT!B96&lt;&gt;"",FT!E96,"")</f>
        <v>2 [38.202562]</v>
      </c>
      <c r="J96">
        <f>IF(FT!B96&lt;&gt;"",FT!C96,"")</f>
        <v>38.202599999999997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4.6983699999999997</v>
      </c>
      <c r="G97" s="61">
        <f>IF(FT!B97&lt;&gt;"",FT!B97*100,"")</f>
        <v>20.296199999999999</v>
      </c>
      <c r="H97" s="61">
        <f t="shared" si="9"/>
        <v>1</v>
      </c>
      <c r="I97" t="str">
        <f>IF(FT!B97&lt;&gt;"",FT!E97,"")</f>
        <v>2 [38.611840]</v>
      </c>
      <c r="J97">
        <f>IF(FT!B97&lt;&gt;"",FT!C97,"")</f>
        <v>38.611800000000002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166647</v>
      </c>
      <c r="D98" s="61">
        <f>FH!B98*1</f>
        <v>166647</v>
      </c>
      <c r="E98">
        <f t="shared" si="11"/>
        <v>96</v>
      </c>
      <c r="F98" s="61">
        <f>IF(FT!A98&lt;&gt;"",FT!A98*10,"")</f>
        <v>4.6829200000000002</v>
      </c>
      <c r="G98" s="61">
        <f>IF(FT!B98&lt;&gt;"",FT!B98*100,"")</f>
        <v>20.195499999999999</v>
      </c>
      <c r="H98" s="61">
        <f t="shared" si="9"/>
        <v>1</v>
      </c>
      <c r="I98" t="str">
        <f>IF(FT!B98&lt;&gt;"",FT!E98,"")</f>
        <v>2 [39.017638]</v>
      </c>
      <c r="J98">
        <f>IF(FT!B98&lt;&gt;"",FT!C98,"")</f>
        <v>39.017600000000002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4.67347</v>
      </c>
      <c r="G99" s="61">
        <f>IF(FT!B99&lt;&gt;"",FT!B99*100,"")</f>
        <v>20.1218</v>
      </c>
      <c r="H99" s="61">
        <f t="shared" si="9"/>
        <v>1</v>
      </c>
      <c r="I99" t="str">
        <f>IF(FT!B99&lt;&gt;"",FT!E99,"")</f>
        <v>2 [39.426762]</v>
      </c>
      <c r="J99">
        <f>IF(FT!B99&lt;&gt;"",FT!C99,"")</f>
        <v>39.4268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177431</v>
      </c>
      <c r="D100" s="61">
        <f>FH!B100*1</f>
        <v>177431</v>
      </c>
      <c r="E100">
        <f t="shared" si="11"/>
        <v>98</v>
      </c>
      <c r="F100" s="61">
        <f>IF(FT!A100&lt;&gt;"",FT!A100*10,"")</f>
        <v>4.6728399999999999</v>
      </c>
      <c r="G100" s="61">
        <f>IF(FT!B100&lt;&gt;"",FT!B100*100,"")</f>
        <v>19.8886</v>
      </c>
      <c r="H100" s="61">
        <f t="shared" si="9"/>
        <v>1</v>
      </c>
      <c r="I100" t="str">
        <f>IF(FT!B100&lt;&gt;"",FT!E100,"")</f>
        <v>2 [39.827361]</v>
      </c>
      <c r="J100">
        <f>IF(FT!B100&lt;&gt;"",FT!C100,"")</f>
        <v>39.827399999999997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4.6693099999999994</v>
      </c>
      <c r="G101" s="61">
        <f>IF(FT!B101&lt;&gt;"",FT!B101*100,"")</f>
        <v>19.492999999999999</v>
      </c>
      <c r="H101" s="61">
        <f t="shared" si="9"/>
        <v>1</v>
      </c>
      <c r="I101" t="str">
        <f>IF(FT!B101&lt;&gt;"",FT!E101,"")</f>
        <v>2 [40.233366]</v>
      </c>
      <c r="J101">
        <f>IF(FT!B101&lt;&gt;"",FT!C101,"")</f>
        <v>40.233400000000003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4.6672799999999999</v>
      </c>
      <c r="G102" s="61">
        <f>IF(FT!B102&lt;&gt;"",FT!B102*100,"")</f>
        <v>19.061299999999999</v>
      </c>
      <c r="H102" s="61">
        <f t="shared" si="9"/>
        <v>1</v>
      </c>
      <c r="I102" t="str">
        <f>IF(FT!B102&lt;&gt;"",FT!E102,"")</f>
        <v>2 [40.643370]</v>
      </c>
      <c r="J102">
        <f>IF(FT!B102&lt;&gt;"",FT!C102,"")</f>
        <v>40.6434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193139</v>
      </c>
      <c r="D103" s="61">
        <f>FH!B103*1</f>
        <v>193139</v>
      </c>
      <c r="E103">
        <f t="shared" si="11"/>
        <v>101</v>
      </c>
      <c r="F103" s="61">
        <f>IF(FT!A103&lt;&gt;"",FT!A103*10,"")</f>
        <v>4.6651999999999996</v>
      </c>
      <c r="G103" s="61">
        <f>IF(FT!B103&lt;&gt;"",FT!B103*100,"")</f>
        <v>18.698</v>
      </c>
      <c r="H103" s="61">
        <f t="shared" si="9"/>
        <v>1</v>
      </c>
      <c r="I103" t="str">
        <f>IF(FT!B103&lt;&gt;"",FT!E103,"")</f>
        <v>2 [41.046689]</v>
      </c>
      <c r="J103">
        <f>IF(FT!B103&lt;&gt;"",FT!C103,"")</f>
        <v>41.046700000000001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4.66174</v>
      </c>
      <c r="G104" s="61">
        <f>IF(FT!B104&lt;&gt;"",FT!B104*100,"")</f>
        <v>18.4055</v>
      </c>
      <c r="H104" s="61">
        <f t="shared" si="9"/>
        <v>1</v>
      </c>
      <c r="I104" t="str">
        <f>IF(FT!B104&lt;&gt;"",FT!E104,"")</f>
        <v>2 [41.451430]</v>
      </c>
      <c r="J104">
        <f>IF(FT!B104&lt;&gt;"",FT!C104,"")</f>
        <v>41.4514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4.6615599999999997</v>
      </c>
      <c r="G105" s="61">
        <f>IF(FT!B105&lt;&gt;"",FT!B105*100,"")</f>
        <v>17.9391</v>
      </c>
      <c r="H105" s="61">
        <f t="shared" si="9"/>
        <v>1</v>
      </c>
      <c r="I105" t="str">
        <f>IF(FT!B105&lt;&gt;"",FT!E105,"")</f>
        <v>2 [41.864286]</v>
      </c>
      <c r="J105">
        <f>IF(FT!B105&lt;&gt;"",FT!C105,"")</f>
        <v>41.8643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203634</v>
      </c>
      <c r="D106" s="61">
        <f>FH!B106*1</f>
        <v>203634</v>
      </c>
      <c r="E106">
        <f t="shared" si="11"/>
        <v>104</v>
      </c>
      <c r="F106" s="61">
        <f>IF(FT!A106&lt;&gt;"",FT!A106*10,"")</f>
        <v>4.6619000000000002</v>
      </c>
      <c r="G106" s="61">
        <f>IF(FT!B106&lt;&gt;"",FT!B106*100,"")</f>
        <v>17.5733</v>
      </c>
      <c r="H106" s="61">
        <f t="shared" si="9"/>
        <v>1</v>
      </c>
      <c r="I106" t="str">
        <f>IF(FT!B106&lt;&gt;"",FT!E106,"")</f>
        <v>2 [42.263224]</v>
      </c>
      <c r="J106">
        <f>IF(FT!B106&lt;&gt;"",FT!C106,"")</f>
        <v>42.263199999999998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4.6606199999999998</v>
      </c>
      <c r="G107" s="61">
        <f>IF(FT!B107&lt;&gt;"",FT!B107*100,"")</f>
        <v>17.276199999999999</v>
      </c>
      <c r="H107" s="61">
        <f t="shared" si="9"/>
        <v>1</v>
      </c>
      <c r="I107" t="str">
        <f>IF(FT!B107&lt;&gt;"",FT!E107,"")</f>
        <v>2 [42.671140]</v>
      </c>
      <c r="J107">
        <f>IF(FT!B107&lt;&gt;"",FT!C107,"")</f>
        <v>42.671100000000003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214264</v>
      </c>
      <c r="D108" s="61">
        <f>FH!B108*1</f>
        <v>214264</v>
      </c>
      <c r="E108">
        <f t="shared" si="11"/>
        <v>106</v>
      </c>
      <c r="F108" s="61">
        <f>IF(FT!A108&lt;&gt;"",FT!A108*10,"")</f>
        <v>4.6624999999999996</v>
      </c>
      <c r="G108" s="61">
        <f>IF(FT!B108&lt;&gt;"",FT!B108*100,"")</f>
        <v>16.942</v>
      </c>
      <c r="H108" s="61">
        <f t="shared" si="9"/>
        <v>1</v>
      </c>
      <c r="I108" t="str">
        <f>IF(FT!B108&lt;&gt;"",FT!E108,"")</f>
        <v>2 [43.078426]</v>
      </c>
      <c r="J108">
        <f>IF(FT!B108&lt;&gt;"",FT!C108,"")</f>
        <v>43.078400000000002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4.6635799999999996</v>
      </c>
      <c r="G109" s="61">
        <f>IF(FT!B109&lt;&gt;"",FT!B109*100,"")</f>
        <v>16.497199999999999</v>
      </c>
      <c r="H109" s="61">
        <f t="shared" si="9"/>
        <v>1</v>
      </c>
      <c r="I109" t="str">
        <f>IF(FT!B109&lt;&gt;"",FT!E109,"")</f>
        <v>2 [43.484315]</v>
      </c>
      <c r="J109">
        <f>IF(FT!B109&lt;&gt;"",FT!C109,"")</f>
        <v>43.484299999999998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4.6707299999999998</v>
      </c>
      <c r="G110" s="61">
        <f>IF(FT!B110&lt;&gt;"",FT!B110*100,"")</f>
        <v>15.947600000000001</v>
      </c>
      <c r="H110" s="61">
        <f t="shared" si="9"/>
        <v>1</v>
      </c>
      <c r="I110" t="str">
        <f>IF(FT!B110&lt;&gt;"",FT!E110,"")</f>
        <v>2 [43.891061]</v>
      </c>
      <c r="J110">
        <f>IF(FT!B110&lt;&gt;"",FT!C110,"")</f>
        <v>43.891100000000002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206330</v>
      </c>
      <c r="D111" s="61">
        <f>FH!B111*1</f>
        <v>206330</v>
      </c>
      <c r="E111">
        <f t="shared" si="11"/>
        <v>109</v>
      </c>
      <c r="F111" s="61">
        <f>IF(FT!A111&lt;&gt;"",FT!A111*10,"")</f>
        <v>4.6785600000000001</v>
      </c>
      <c r="G111" s="61">
        <f>IF(FT!B111&lt;&gt;"",FT!B111*100,"")</f>
        <v>15.4032</v>
      </c>
      <c r="H111" s="61">
        <f t="shared" si="9"/>
        <v>1</v>
      </c>
      <c r="I111" t="str">
        <f>IF(FT!B111&lt;&gt;"",FT!E111,"")</f>
        <v>2 [44.297748]</v>
      </c>
      <c r="J111">
        <f>IF(FT!B111&lt;&gt;"",FT!C111,"")</f>
        <v>44.297699999999999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4.6876499999999997</v>
      </c>
      <c r="G112" s="61">
        <f>IF(FT!B112&lt;&gt;"",FT!B112*100,"")</f>
        <v>14.991099999999999</v>
      </c>
      <c r="H112" s="61">
        <f t="shared" si="9"/>
        <v>1</v>
      </c>
      <c r="I112" t="str">
        <f>IF(FT!B112&lt;&gt;"",FT!E112,"")</f>
        <v>2 [44.702630]</v>
      </c>
      <c r="J112">
        <f>IF(FT!B112&lt;&gt;"",FT!C112,"")</f>
        <v>44.702599999999997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199297</v>
      </c>
      <c r="D113" s="61">
        <f>FH!B113*1</f>
        <v>199297</v>
      </c>
      <c r="E113">
        <f t="shared" si="11"/>
        <v>111</v>
      </c>
      <c r="F113" s="61">
        <f>IF(FT!A113&lt;&gt;"",FT!A113*10,"")</f>
        <v>4.6971499999999997</v>
      </c>
      <c r="G113" s="61">
        <f>IF(FT!B113&lt;&gt;"",FT!B113*100,"")</f>
        <v>14.5063</v>
      </c>
      <c r="H113" s="61">
        <f t="shared" si="9"/>
        <v>1</v>
      </c>
      <c r="I113" t="str">
        <f>IF(FT!B113&lt;&gt;"",FT!E113,"")</f>
        <v>2 [45.108452]</v>
      </c>
      <c r="J113">
        <f>IF(FT!B113&lt;&gt;"",FT!C113,"")</f>
        <v>45.108499999999999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4.7027299999999999</v>
      </c>
      <c r="G114" s="61">
        <f>IF(FT!B114&lt;&gt;"",FT!B114*100,"")</f>
        <v>14.13</v>
      </c>
      <c r="H114" s="61">
        <f t="shared" si="9"/>
        <v>1</v>
      </c>
      <c r="I114" t="str">
        <f>IF(FT!B114&lt;&gt;"",FT!E114,"")</f>
        <v>2 [45.517220]</v>
      </c>
      <c r="J114">
        <f>IF(FT!B114&lt;&gt;"",FT!C114,"")</f>
        <v>45.517200000000003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4.71035</v>
      </c>
      <c r="G115" s="61">
        <f>IF(FT!B115&lt;&gt;"",FT!B115*100,"")</f>
        <v>13.772200000000002</v>
      </c>
      <c r="H115" s="61">
        <f t="shared" si="9"/>
        <v>1</v>
      </c>
      <c r="I115" t="str">
        <f>IF(FT!B115&lt;&gt;"",FT!E115,"")</f>
        <v>2 [45.921349]</v>
      </c>
      <c r="J115">
        <f>IF(FT!B115&lt;&gt;"",FT!C115,"")</f>
        <v>45.921300000000002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195635</v>
      </c>
      <c r="D116" s="61">
        <f>FH!B116*1</f>
        <v>195635</v>
      </c>
      <c r="E116">
        <f t="shared" si="11"/>
        <v>114</v>
      </c>
      <c r="F116" s="61">
        <f>IF(FT!A116&lt;&gt;"",FT!A116*10,"")</f>
        <v>4.7221700000000002</v>
      </c>
      <c r="G116" s="61">
        <f>IF(FT!B116&lt;&gt;"",FT!B116*100,"")</f>
        <v>13.329499999999999</v>
      </c>
      <c r="H116" s="61">
        <f t="shared" si="9"/>
        <v>1</v>
      </c>
      <c r="I116" t="str">
        <f>IF(FT!B116&lt;&gt;"",FT!E116,"")</f>
        <v>2 [46.325267]</v>
      </c>
      <c r="J116">
        <f>IF(FT!B116&lt;&gt;"",FT!C116,"")</f>
        <v>46.325299999999999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4.7372300000000003</v>
      </c>
      <c r="G117" s="61">
        <f>IF(FT!B117&lt;&gt;"",FT!B117*100,"")</f>
        <v>12.9581</v>
      </c>
      <c r="H117" s="61">
        <f t="shared" si="9"/>
        <v>1</v>
      </c>
      <c r="I117" t="str">
        <f>IF(FT!B117&lt;&gt;"",FT!E117,"")</f>
        <v>2 [46.730858]</v>
      </c>
      <c r="J117">
        <f>IF(FT!B117&lt;&gt;"",FT!C117,"")</f>
        <v>46.730899999999998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181316</v>
      </c>
      <c r="D118" s="61">
        <f>FH!B118*1</f>
        <v>181316</v>
      </c>
      <c r="E118">
        <f t="shared" si="11"/>
        <v>116</v>
      </c>
      <c r="F118" s="61">
        <f>IF(FT!A118&lt;&gt;"",FT!A118*10,"")</f>
        <v>4.75542</v>
      </c>
      <c r="G118" s="61">
        <f>IF(FT!B118&lt;&gt;"",FT!B118*100,"")</f>
        <v>12.571099999999999</v>
      </c>
      <c r="H118" s="61">
        <f t="shared" si="9"/>
        <v>1</v>
      </c>
      <c r="I118" t="str">
        <f>IF(FT!B118&lt;&gt;"",FT!E118,"")</f>
        <v>2 [47.139589]</v>
      </c>
      <c r="J118">
        <f>IF(FT!B118&lt;&gt;"",FT!C118,"")</f>
        <v>47.139600000000002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4.7711500000000004</v>
      </c>
      <c r="G119" s="61">
        <f>IF(FT!B119&lt;&gt;"",FT!B119*100,"")</f>
        <v>12.196099999999999</v>
      </c>
      <c r="H119" s="61">
        <f t="shared" si="9"/>
        <v>1</v>
      </c>
      <c r="I119" t="str">
        <f>IF(FT!B119&lt;&gt;"",FT!E119,"")</f>
        <v>2 [47.542652]</v>
      </c>
      <c r="J119">
        <f>IF(FT!B119&lt;&gt;"",FT!C119,"")</f>
        <v>47.542700000000004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4.7837699999999996</v>
      </c>
      <c r="G120" s="61">
        <f>IF(FT!B120&lt;&gt;"",FT!B120*100,"")</f>
        <v>11.8726</v>
      </c>
      <c r="H120" s="61">
        <f t="shared" si="9"/>
        <v>1</v>
      </c>
      <c r="I120" t="str">
        <f>IF(FT!B120&lt;&gt;"",FT!E120,"")</f>
        <v>2 [47.950606]</v>
      </c>
      <c r="J120">
        <f>IF(FT!B120&lt;&gt;"",FT!C120,"")</f>
        <v>47.950600000000001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186122</v>
      </c>
      <c r="D121" s="61">
        <f>FH!B121*1</f>
        <v>186122</v>
      </c>
      <c r="E121">
        <f t="shared" si="11"/>
        <v>119</v>
      </c>
      <c r="F121" s="61">
        <f>IF(FT!A121&lt;&gt;"",FT!A121*10,"")</f>
        <v>4.8039900000000006</v>
      </c>
      <c r="G121" s="61">
        <f>IF(FT!B121&lt;&gt;"",FT!B121*100,"")</f>
        <v>11.434900000000001</v>
      </c>
      <c r="H121" s="61">
        <f t="shared" si="9"/>
        <v>1</v>
      </c>
      <c r="I121" t="str">
        <f>IF(FT!B121&lt;&gt;"",FT!E121,"")</f>
        <v>2 [48.358489]</v>
      </c>
      <c r="J121">
        <f>IF(FT!B121&lt;&gt;"",FT!C121,"")</f>
        <v>48.358499999999999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4.82761</v>
      </c>
      <c r="G122" s="61">
        <f>IF(FT!B122&lt;&gt;"",FT!B122*100,"")</f>
        <v>11.129300000000001</v>
      </c>
      <c r="H122" s="61">
        <f t="shared" si="9"/>
        <v>1</v>
      </c>
      <c r="I122" t="str">
        <f>IF(FT!B122&lt;&gt;"",FT!E122,"")</f>
        <v>2 [48.764266]</v>
      </c>
      <c r="J122">
        <f>IF(FT!B122&lt;&gt;"",FT!C122,"")</f>
        <v>48.764299999999999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4.8530600000000002</v>
      </c>
      <c r="G123" s="61">
        <f>IF(FT!B123&lt;&gt;"",FT!B123*100,"")</f>
        <v>10.783800000000001</v>
      </c>
      <c r="H123" s="61">
        <f t="shared" si="9"/>
        <v>1</v>
      </c>
      <c r="I123" t="str">
        <f>IF(FT!B123&lt;&gt;"",FT!E123,"")</f>
        <v>2 [49.170101]</v>
      </c>
      <c r="J123">
        <f>IF(FT!B123&lt;&gt;"",FT!C123,"")</f>
        <v>49.170099999999998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180519</v>
      </c>
      <c r="D124" s="61">
        <f>FH!B124*1</f>
        <v>180519</v>
      </c>
      <c r="E124">
        <f t="shared" si="11"/>
        <v>122</v>
      </c>
      <c r="F124" s="61">
        <f>IF(FT!A124&lt;&gt;"",FT!A124*10,"")</f>
        <v>4.8725000000000005</v>
      </c>
      <c r="G124" s="61">
        <f>IF(FT!B124&lt;&gt;"",FT!B124*100,"")</f>
        <v>10.361099999999999</v>
      </c>
      <c r="H124" s="61">
        <f t="shared" si="9"/>
        <v>1</v>
      </c>
      <c r="I124" t="str">
        <f>IF(FT!B124&lt;&gt;"",FT!E124,"")</f>
        <v>2 [49.579667]</v>
      </c>
      <c r="J124">
        <f>IF(FT!B124&lt;&gt;"",FT!C124,"")</f>
        <v>49.579700000000003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4.8750599999999995</v>
      </c>
      <c r="G125" s="61">
        <f>IF(FT!B125&lt;&gt;"",FT!B125*100,"")</f>
        <v>10.287100000000001</v>
      </c>
      <c r="H125" s="61">
        <f t="shared" si="9"/>
        <v>1</v>
      </c>
      <c r="I125" t="str">
        <f>IF(FT!B125&lt;&gt;"",FT!E125,"")</f>
        <v>2 [49.985537]</v>
      </c>
      <c r="J125">
        <f>IF(FT!B125&lt;&gt;"",FT!C125,"")</f>
        <v>49.985500000000002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177565</v>
      </c>
      <c r="D126" s="61">
        <f>FH!B126*1</f>
        <v>177565</v>
      </c>
      <c r="E126">
        <f t="shared" si="11"/>
        <v>124</v>
      </c>
      <c r="F126" s="61">
        <f>IF(FT!A126&lt;&gt;"",FT!A126*10,"")</f>
        <v>4.87608</v>
      </c>
      <c r="G126" s="61">
        <f>IF(FT!B126&lt;&gt;"",FT!B126*100,"")</f>
        <v>10.431699999999999</v>
      </c>
      <c r="H126" s="61">
        <f t="shared" si="9"/>
        <v>1</v>
      </c>
      <c r="I126" t="str">
        <f>IF(FT!B126&lt;&gt;"",FT!E126,"")</f>
        <v>2 [50.388592]</v>
      </c>
      <c r="J126">
        <f>IF(FT!B126&lt;&gt;"",FT!C126,"")</f>
        <v>50.388599999999997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4.8810000000000002</v>
      </c>
      <c r="G127" s="61">
        <f>IF(FT!B127&lt;&gt;"",FT!B127*100,"")</f>
        <v>10.520200000000001</v>
      </c>
      <c r="H127" s="61">
        <f t="shared" si="9"/>
        <v>1</v>
      </c>
      <c r="I127" t="str">
        <f>IF(FT!B127&lt;&gt;"",FT!E127,"")</f>
        <v>2 [50.794131]</v>
      </c>
      <c r="J127">
        <f>IF(FT!B127&lt;&gt;"",FT!C127,"")</f>
        <v>50.7941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4.8858899999999998</v>
      </c>
      <c r="G128" s="61">
        <f>IF(FT!B128&lt;&gt;"",FT!B128*100,"")</f>
        <v>10.639200000000001</v>
      </c>
      <c r="H128" s="61">
        <f t="shared" si="9"/>
        <v>1</v>
      </c>
      <c r="I128" t="str">
        <f>IF(FT!B128&lt;&gt;"",FT!E128,"")</f>
        <v>2 [51.201418]</v>
      </c>
      <c r="J128">
        <f>IF(FT!B128&lt;&gt;"",FT!C128,"")</f>
        <v>51.2014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162928</v>
      </c>
      <c r="D129" s="61">
        <f>FH!B129*1</f>
        <v>162928</v>
      </c>
      <c r="E129">
        <f t="shared" si="11"/>
        <v>127</v>
      </c>
      <c r="F129" s="61">
        <f>IF(FT!A129&lt;&gt;"",FT!A129*10,"")</f>
        <v>4.8907600000000002</v>
      </c>
      <c r="G129" s="61">
        <f>IF(FT!B129&lt;&gt;"",FT!B129*100,"")</f>
        <v>10.739000000000001</v>
      </c>
      <c r="H129" s="61">
        <f t="shared" si="9"/>
        <v>1</v>
      </c>
      <c r="I129" t="str">
        <f>IF(FT!B129&lt;&gt;"",FT!E129,"")</f>
        <v>2 [51.610207]</v>
      </c>
      <c r="J129">
        <f>IF(FT!B129&lt;&gt;"",FT!C129,"")</f>
        <v>51.610199999999999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4.89351</v>
      </c>
      <c r="G130" s="61">
        <f>IF(FT!B130&lt;&gt;"",FT!B130*100,"")</f>
        <v>10.924100000000001</v>
      </c>
      <c r="H130" s="61">
        <f t="shared" si="9"/>
        <v>1</v>
      </c>
      <c r="I130" t="str">
        <f>IF(FT!B130&lt;&gt;"",FT!E130,"")</f>
        <v>2 [52.014934]</v>
      </c>
      <c r="J130">
        <f>IF(FT!B130&lt;&gt;"",FT!C130,"")</f>
        <v>52.014899999999997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160409</v>
      </c>
      <c r="D131" s="61">
        <f>FH!B131*1</f>
        <v>160409</v>
      </c>
      <c r="E131">
        <f t="shared" si="11"/>
        <v>129</v>
      </c>
      <c r="F131" s="61">
        <f>IF(FT!A131&lt;&gt;"",FT!A131*10,"")</f>
        <v>4.89602</v>
      </c>
      <c r="G131" s="61">
        <f>IF(FT!B131&lt;&gt;"",FT!B131*100,"")</f>
        <v>11.0839</v>
      </c>
      <c r="H131" s="61">
        <f t="shared" ref="H131:H194" si="13">(IF(F131&lt;&gt;"",1,""))</f>
        <v>1</v>
      </c>
      <c r="I131" t="str">
        <f>IF(FT!B131&lt;&gt;"",FT!E131,"")</f>
        <v>2 [52.423002]</v>
      </c>
      <c r="J131">
        <f>IF(FT!B131&lt;&gt;"",FT!C131,"")</f>
        <v>52.423000000000002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4.9007100000000001</v>
      </c>
      <c r="G132" s="61">
        <f>IF(FT!B132&lt;&gt;"",FT!B132*100,"")</f>
        <v>11.1709</v>
      </c>
      <c r="H132" s="61">
        <f t="shared" si="13"/>
        <v>1</v>
      </c>
      <c r="I132" t="str">
        <f>IF(FT!B132&lt;&gt;"",FT!E132,"")</f>
        <v>2 [52.825545]</v>
      </c>
      <c r="J132">
        <f>IF(FT!B132&lt;&gt;"",FT!C132,"")</f>
        <v>52.825499999999998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4.9037100000000002</v>
      </c>
      <c r="G133" s="61">
        <f>IF(FT!B133&lt;&gt;"",FT!B133*100,"")</f>
        <v>11.246</v>
      </c>
      <c r="H133" s="61">
        <f t="shared" si="13"/>
        <v>1</v>
      </c>
      <c r="I133" t="str">
        <f>IF(FT!B133&lt;&gt;"",FT!E133,"")</f>
        <v>2 [53.234647]</v>
      </c>
      <c r="J133">
        <f>IF(FT!B133&lt;&gt;"",FT!C133,"")</f>
        <v>53.2346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155358</v>
      </c>
      <c r="D134" s="61">
        <f>FH!B134*1</f>
        <v>155358</v>
      </c>
      <c r="E134">
        <f t="shared" si="15"/>
        <v>132</v>
      </c>
      <c r="F134" s="61">
        <f>IF(FT!A134&lt;&gt;"",FT!A134*10,"")</f>
        <v>4.9113199999999999</v>
      </c>
      <c r="G134" s="61">
        <f>IF(FT!B134&lt;&gt;"",FT!B134*100,"")</f>
        <v>11.3666</v>
      </c>
      <c r="H134" s="61">
        <f t="shared" si="13"/>
        <v>1</v>
      </c>
      <c r="I134" t="str">
        <f>IF(FT!B134&lt;&gt;"",FT!E134,"")</f>
        <v>2 [53.638370]</v>
      </c>
      <c r="J134">
        <f>IF(FT!B134&lt;&gt;"",FT!C134,"")</f>
        <v>53.638399999999997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4.9166500000000006</v>
      </c>
      <c r="G135" s="61">
        <f>IF(FT!B135&lt;&gt;"",FT!B135*100,"")</f>
        <v>11.4816</v>
      </c>
      <c r="H135" s="61">
        <f t="shared" si="13"/>
        <v>1</v>
      </c>
      <c r="I135" t="str">
        <f>IF(FT!B135&lt;&gt;"",FT!E135,"")</f>
        <v>2 [54.044022]</v>
      </c>
      <c r="J135">
        <f>IF(FT!B135&lt;&gt;"",FT!C135,"")</f>
        <v>54.043999999999997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157392</v>
      </c>
      <c r="D136" s="61">
        <f>FH!B136*1</f>
        <v>157392</v>
      </c>
      <c r="E136">
        <f t="shared" si="15"/>
        <v>134</v>
      </c>
      <c r="F136" s="61">
        <f>IF(FT!A136&lt;&gt;"",FT!A136*10,"")</f>
        <v>4.9215999999999998</v>
      </c>
      <c r="G136" s="61">
        <f>IF(FT!B136&lt;&gt;"",FT!B136*100,"")</f>
        <v>11.6875</v>
      </c>
      <c r="H136" s="61">
        <f t="shared" si="13"/>
        <v>1</v>
      </c>
      <c r="I136" t="str">
        <f>IF(FT!B136&lt;&gt;"",FT!E136,"")</f>
        <v>2 [54.450795]</v>
      </c>
      <c r="J136">
        <f>IF(FT!B136&lt;&gt;"",FT!C136,"")</f>
        <v>54.450800000000001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4.9279200000000003</v>
      </c>
      <c r="G137" s="61">
        <f>IF(FT!B137&lt;&gt;"",FT!B137*100,"")</f>
        <v>11.702199999999999</v>
      </c>
      <c r="H137" s="61">
        <f t="shared" si="13"/>
        <v>1</v>
      </c>
      <c r="I137" t="str">
        <f>IF(FT!B137&lt;&gt;"",FT!E137,"")</f>
        <v>2 [54.859991]</v>
      </c>
      <c r="J137">
        <f>IF(FT!B137&lt;&gt;"",FT!C137,"")</f>
        <v>54.86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4.9378100000000007</v>
      </c>
      <c r="G138" s="61">
        <f>IF(FT!B138&lt;&gt;"",FT!B138*100,"")</f>
        <v>11.8445</v>
      </c>
      <c r="H138" s="61">
        <f t="shared" si="13"/>
        <v>1</v>
      </c>
      <c r="I138" t="str">
        <f>IF(FT!B138&lt;&gt;"",FT!E138,"")</f>
        <v>2 [55.261689]</v>
      </c>
      <c r="J138">
        <f>IF(FT!B138&lt;&gt;"",FT!C138,"")</f>
        <v>55.261699999999998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153883</v>
      </c>
      <c r="D139" s="61">
        <f>FH!B139*1</f>
        <v>153883</v>
      </c>
      <c r="E139">
        <f t="shared" si="15"/>
        <v>137</v>
      </c>
      <c r="F139" s="61">
        <f>IF(FT!A139&lt;&gt;"",FT!A139*10,"")</f>
        <v>4.9508200000000002</v>
      </c>
      <c r="G139" s="61">
        <f>IF(FT!B139&lt;&gt;"",FT!B139*100,"")</f>
        <v>12.043900000000001</v>
      </c>
      <c r="H139" s="61">
        <f t="shared" si="13"/>
        <v>1</v>
      </c>
      <c r="I139" t="str">
        <f>IF(FT!B139&lt;&gt;"",FT!E139,"")</f>
        <v>2 [55.670418]</v>
      </c>
      <c r="J139">
        <f>IF(FT!B139&lt;&gt;"",FT!C139,"")</f>
        <v>55.670400000000001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4.9636500000000003</v>
      </c>
      <c r="G140" s="61">
        <f>IF(FT!B140&lt;&gt;"",FT!B140*100,"")</f>
        <v>12.264700000000001</v>
      </c>
      <c r="H140" s="61">
        <f t="shared" si="13"/>
        <v>1</v>
      </c>
      <c r="I140" t="str">
        <f>IF(FT!B140&lt;&gt;"",FT!E140,"")</f>
        <v>2 [56.076200]</v>
      </c>
      <c r="J140">
        <f>IF(FT!B140&lt;&gt;"",FT!C140,"")</f>
        <v>56.0762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4.96896</v>
      </c>
      <c r="G141" s="61">
        <f>IF(FT!B141&lt;&gt;"",FT!B141*100,"")</f>
        <v>12.687799999999999</v>
      </c>
      <c r="H141" s="61">
        <f t="shared" si="13"/>
        <v>1</v>
      </c>
      <c r="I141" t="str">
        <f>IF(FT!B141&lt;&gt;"",FT!E141,"")</f>
        <v>2 [56.484571]</v>
      </c>
      <c r="J141">
        <f>IF(FT!B141&lt;&gt;"",FT!C141,"")</f>
        <v>56.4846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143795</v>
      </c>
      <c r="D142" s="61">
        <f>FH!B142*1</f>
        <v>143795</v>
      </c>
      <c r="E142">
        <f t="shared" si="15"/>
        <v>140</v>
      </c>
      <c r="F142" s="61">
        <f>IF(FT!A142&lt;&gt;"",FT!A142*10,"")</f>
        <v>4.9763700000000002</v>
      </c>
      <c r="G142" s="61">
        <f>IF(FT!B142&lt;&gt;"",FT!B142*100,"")</f>
        <v>12.9186</v>
      </c>
      <c r="H142" s="61">
        <f t="shared" si="13"/>
        <v>1</v>
      </c>
      <c r="I142" t="str">
        <f>IF(FT!B142&lt;&gt;"",FT!E142,"")</f>
        <v>2 [56.890613]</v>
      </c>
      <c r="J142">
        <f>IF(FT!B142&lt;&gt;"",FT!C142,"")</f>
        <v>56.890599999999999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4.9891000000000005</v>
      </c>
      <c r="G143" s="61">
        <f>IF(FT!B143&lt;&gt;"",FT!B143*100,"")</f>
        <v>13.1434</v>
      </c>
      <c r="H143" s="61">
        <f t="shared" si="13"/>
        <v>1</v>
      </c>
      <c r="I143" t="str">
        <f>IF(FT!B143&lt;&gt;"",FT!E143,"")</f>
        <v>2 [57.296609]</v>
      </c>
      <c r="J143">
        <f>IF(FT!B143&lt;&gt;"",FT!C143,"")</f>
        <v>57.296599999999998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130939</v>
      </c>
      <c r="D144" s="61">
        <f>FH!B144*1</f>
        <v>130939</v>
      </c>
      <c r="E144">
        <f t="shared" si="15"/>
        <v>142</v>
      </c>
      <c r="F144" s="61">
        <f>IF(FT!A144&lt;&gt;"",FT!A144*10,"")</f>
        <v>4.9999000000000002</v>
      </c>
      <c r="G144" s="61">
        <f>IF(FT!B144&lt;&gt;"",FT!B144*100,"")</f>
        <v>13.490399999999999</v>
      </c>
      <c r="H144" s="61">
        <f t="shared" si="13"/>
        <v>1</v>
      </c>
      <c r="I144" t="str">
        <f>IF(FT!B144&lt;&gt;"",FT!E144,"")</f>
        <v>2 [57.702771]</v>
      </c>
      <c r="J144">
        <f>IF(FT!B144&lt;&gt;"",FT!C144,"")</f>
        <v>57.702800000000003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5.0151500000000002</v>
      </c>
      <c r="G145" s="61">
        <f>IF(FT!B145&lt;&gt;"",FT!B145*100,"")</f>
        <v>13.725399999999999</v>
      </c>
      <c r="H145" s="61">
        <f t="shared" si="13"/>
        <v>1</v>
      </c>
      <c r="I145" t="str">
        <f>IF(FT!B145&lt;&gt;"",FT!E145,"")</f>
        <v>2 [58.108155]</v>
      </c>
      <c r="J145">
        <f>IF(FT!B145&lt;&gt;"",FT!C145,"")</f>
        <v>58.108199999999997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5.0272199999999998</v>
      </c>
      <c r="G146" s="61">
        <f>IF(FT!B146&lt;&gt;"",FT!B146*100,"")</f>
        <v>13.927</v>
      </c>
      <c r="H146" s="61">
        <f t="shared" si="13"/>
        <v>1</v>
      </c>
      <c r="I146" t="str">
        <f>IF(FT!B146&lt;&gt;"",FT!E146,"")</f>
        <v>2 [58.513073]</v>
      </c>
      <c r="J146">
        <f>IF(FT!B146&lt;&gt;"",FT!C146,"")</f>
        <v>58.513100000000001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115670</v>
      </c>
      <c r="D147" s="61">
        <f>FH!B147*1</f>
        <v>115670</v>
      </c>
      <c r="E147">
        <f t="shared" si="15"/>
        <v>145</v>
      </c>
      <c r="F147" s="61">
        <f>IF(FT!A147&lt;&gt;"",FT!A147*10,"")</f>
        <v>5.0240099999999996</v>
      </c>
      <c r="G147" s="61">
        <f>IF(FT!B147&lt;&gt;"",FT!B147*100,"")</f>
        <v>14.2522</v>
      </c>
      <c r="H147" s="61">
        <f t="shared" si="13"/>
        <v>1</v>
      </c>
      <c r="I147" t="str">
        <f>IF(FT!B147&lt;&gt;"",FT!E147,"")</f>
        <v>2 [58.919001]</v>
      </c>
      <c r="J147">
        <f>IF(FT!B147&lt;&gt;"",FT!C147,"")</f>
        <v>58.918999999999997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5.0376099999999999</v>
      </c>
      <c r="G148" s="61">
        <f>IF(FT!B148&lt;&gt;"",FT!B148*100,"")</f>
        <v>13.7486</v>
      </c>
      <c r="H148" s="61">
        <f t="shared" si="13"/>
        <v>1</v>
      </c>
      <c r="I148" t="str">
        <f>IF(FT!B148&lt;&gt;"",FT!E148,"")</f>
        <v>2 [59.327871]</v>
      </c>
      <c r="J148">
        <f>IF(FT!B148&lt;&gt;"",FT!C148,"")</f>
        <v>59.3279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97958</v>
      </c>
      <c r="D149" s="61">
        <f>FH!B149*1</f>
        <v>97958</v>
      </c>
      <c r="E149">
        <f t="shared" si="15"/>
        <v>147</v>
      </c>
      <c r="F149" s="61">
        <f>IF(FT!A149&lt;&gt;"",FT!A149*10,"")</f>
        <v>5.0297400000000003</v>
      </c>
      <c r="G149" s="61">
        <f>IF(FT!B149&lt;&gt;"",FT!B149*100,"")</f>
        <v>13.8276</v>
      </c>
      <c r="H149" s="61">
        <f t="shared" si="13"/>
        <v>1</v>
      </c>
      <c r="I149" t="str">
        <f>IF(FT!B149&lt;&gt;"",FT!E149,"")</f>
        <v>2 [59.732029]</v>
      </c>
      <c r="J149">
        <f>IF(FT!B149&lt;&gt;"",FT!C149,"")</f>
        <v>59.731999999999999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87577</v>
      </c>
      <c r="D152" s="61">
        <f>FH!B152*1</f>
        <v>87577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77206</v>
      </c>
      <c r="D154" s="61">
        <f>FH!B154*1</f>
        <v>77206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73571</v>
      </c>
      <c r="D157" s="61">
        <f>FH!B157*1</f>
        <v>73571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58643</v>
      </c>
      <c r="D160" s="61">
        <f>FH!B160*1</f>
        <v>58643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47965</v>
      </c>
      <c r="D162" s="61">
        <f>FH!B162*1</f>
        <v>47965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38579</v>
      </c>
      <c r="D165" s="61">
        <f>FH!B165*1</f>
        <v>38579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34632</v>
      </c>
      <c r="D167" s="61">
        <f>FH!B167*1</f>
        <v>34632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32349</v>
      </c>
      <c r="D170" s="61">
        <f>FH!B170*1</f>
        <v>32349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28692</v>
      </c>
      <c r="D173" s="61">
        <f>FH!B173*1</f>
        <v>28692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31133</v>
      </c>
      <c r="D175" s="61">
        <f>FH!B175*1</f>
        <v>31133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37531</v>
      </c>
      <c r="D178" s="61">
        <f>FH!B178*1</f>
        <v>37531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41541</v>
      </c>
      <c r="D180" s="61">
        <f>FH!B180*1</f>
        <v>41541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56548</v>
      </c>
      <c r="D183" s="61">
        <f>FH!B183*1</f>
        <v>56548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61320</v>
      </c>
      <c r="D185" s="61">
        <f>FH!B185*1</f>
        <v>61320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75070</v>
      </c>
      <c r="D188" s="61">
        <f>FH!B188*1</f>
        <v>75070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82990</v>
      </c>
      <c r="D191" s="61">
        <f>FH!B191*1</f>
        <v>82990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81584</v>
      </c>
      <c r="D193" s="61">
        <f>FH!B193*1</f>
        <v>81584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74123</v>
      </c>
      <c r="D196" s="61">
        <f>FH!B196*1</f>
        <v>74123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63965</v>
      </c>
      <c r="D198" s="61">
        <f>FH!B198*1</f>
        <v>63965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53731</v>
      </c>
      <c r="D201" s="61">
        <f>FH!B201*1</f>
        <v>53731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27116</v>
      </c>
      <c r="D203" s="61">
        <f>FH!B203*1</f>
        <v>27116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18043</v>
      </c>
      <c r="D206" s="61">
        <f>FH!B206*1</f>
        <v>18043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13822</v>
      </c>
      <c r="D209" s="61">
        <f>FH!B209*1</f>
        <v>13822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4769</v>
      </c>
      <c r="D211" s="61">
        <f>FH!B211*1</f>
        <v>4769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1549</v>
      </c>
      <c r="D214" s="61">
        <f>FH!B214*1</f>
        <v>1549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971</v>
      </c>
      <c r="D216" s="61">
        <f>FH!B216*1</f>
        <v>971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732</v>
      </c>
      <c r="D219" s="61">
        <f>FH!B219*1</f>
        <v>732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51.135800000000003</v>
      </c>
      <c r="C5" s="66">
        <v>10.516500000000001</v>
      </c>
      <c r="D5" s="66">
        <v>20.565899999999999</v>
      </c>
      <c r="E5" s="66">
        <v>20</v>
      </c>
      <c r="F5" s="66">
        <v>20.315200000000001</v>
      </c>
      <c r="G5" s="66">
        <v>50</v>
      </c>
      <c r="H5" s="66">
        <v>75.146500000000003</v>
      </c>
    </row>
    <row r="6" spans="1:8">
      <c r="A6" s="58" t="s">
        <v>303</v>
      </c>
      <c r="B6" s="66">
        <v>34.173200000000001</v>
      </c>
      <c r="C6" s="66">
        <v>2.9044699999999999</v>
      </c>
      <c r="D6" s="66">
        <v>8.4992699999999992</v>
      </c>
      <c r="E6" s="66">
        <v>20</v>
      </c>
      <c r="F6" s="66">
        <v>27.5215</v>
      </c>
      <c r="G6" s="66">
        <v>40</v>
      </c>
      <c r="H6" s="66">
        <v>43.633499999999998</v>
      </c>
    </row>
    <row r="7" spans="1:8">
      <c r="A7" s="58" t="s">
        <v>304</v>
      </c>
      <c r="B7" s="66">
        <v>23.674700000000001</v>
      </c>
      <c r="C7" s="66">
        <v>7.1590499999999997</v>
      </c>
      <c r="D7" s="66">
        <v>30.2392</v>
      </c>
      <c r="E7" s="66">
        <v>15</v>
      </c>
      <c r="F7" s="66">
        <v>2.8286699999999998</v>
      </c>
      <c r="G7" s="66">
        <v>40</v>
      </c>
      <c r="H7" s="66">
        <v>42.5062</v>
      </c>
    </row>
    <row r="8" spans="1:8">
      <c r="A8" s="58" t="s">
        <v>305</v>
      </c>
      <c r="B8" s="66">
        <v>35.776899999999998</v>
      </c>
      <c r="C8" s="66">
        <v>5.3750099999999996</v>
      </c>
      <c r="D8" s="66">
        <v>15.0237</v>
      </c>
      <c r="E8" s="66">
        <v>20</v>
      </c>
      <c r="F8" s="66">
        <v>20.71</v>
      </c>
      <c r="G8" s="66">
        <v>50</v>
      </c>
      <c r="H8" s="66">
        <v>46.389499999999998</v>
      </c>
    </row>
    <row r="9" spans="1:8">
      <c r="A9" s="58" t="s">
        <v>306</v>
      </c>
      <c r="B9" s="66">
        <v>58.898600000000002</v>
      </c>
      <c r="C9" s="66">
        <v>6.69658</v>
      </c>
      <c r="D9" s="66">
        <v>11.3697</v>
      </c>
      <c r="E9" s="66">
        <v>50</v>
      </c>
      <c r="F9" s="66">
        <v>37.1342</v>
      </c>
      <c r="G9" s="66">
        <v>100</v>
      </c>
      <c r="H9" s="66">
        <v>69.828800000000001</v>
      </c>
    </row>
    <row r="10" spans="1:8">
      <c r="A10" s="58" t="s">
        <v>307</v>
      </c>
      <c r="B10" s="66">
        <v>70.5655</v>
      </c>
      <c r="C10" s="66">
        <v>4.7004700000000001</v>
      </c>
      <c r="D10" s="66">
        <v>6.6611500000000001</v>
      </c>
      <c r="E10" s="66">
        <v>40</v>
      </c>
      <c r="F10" s="66">
        <v>57.006399999999999</v>
      </c>
      <c r="G10" s="66">
        <v>100</v>
      </c>
      <c r="H10" s="66">
        <v>79.835300000000004</v>
      </c>
    </row>
    <row r="11" spans="1:8">
      <c r="A11" s="58" t="s">
        <v>308</v>
      </c>
      <c r="B11" s="66">
        <v>30.4695</v>
      </c>
      <c r="C11" s="66">
        <v>3.81189</v>
      </c>
      <c r="D11" s="66">
        <v>12.5105</v>
      </c>
      <c r="E11" s="66">
        <v>10</v>
      </c>
      <c r="F11" s="66">
        <v>14.6204</v>
      </c>
      <c r="G11" s="66">
        <v>50</v>
      </c>
      <c r="H11" s="66">
        <v>34.851599999999998</v>
      </c>
    </row>
    <row r="12" spans="1:8">
      <c r="A12" s="58" t="s">
        <v>309</v>
      </c>
      <c r="B12" s="66">
        <v>65.758300000000006</v>
      </c>
      <c r="C12" s="66">
        <v>4.7215100000000003</v>
      </c>
      <c r="D12" s="66">
        <v>7.1801000000000004</v>
      </c>
      <c r="E12" s="66">
        <v>50</v>
      </c>
      <c r="F12" s="66">
        <v>50.035600000000002</v>
      </c>
      <c r="G12" s="66">
        <v>100</v>
      </c>
      <c r="H12" s="66">
        <v>72.825100000000006</v>
      </c>
    </row>
    <row r="13" spans="1:8">
      <c r="A13" s="58" t="s">
        <v>310</v>
      </c>
      <c r="B13" s="66">
        <v>16.679600000000001</v>
      </c>
      <c r="C13" s="66">
        <v>3.8086799999999998</v>
      </c>
      <c r="D13" s="66">
        <v>22.834299999999999</v>
      </c>
      <c r="E13" s="66">
        <v>10</v>
      </c>
      <c r="F13" s="66">
        <v>12.3619</v>
      </c>
      <c r="G13" s="66">
        <v>25</v>
      </c>
      <c r="H13" s="66">
        <v>36.564599999999999</v>
      </c>
    </row>
    <row r="14" spans="1:8">
      <c r="A14" s="58" t="s">
        <v>311</v>
      </c>
      <c r="B14" s="66">
        <v>38.086799999999997</v>
      </c>
      <c r="C14" s="66">
        <v>20.019400000000001</v>
      </c>
      <c r="D14" s="66">
        <v>52.5625</v>
      </c>
      <c r="E14" s="66">
        <v>10</v>
      </c>
      <c r="F14" s="66">
        <v>0.42693500000000001</v>
      </c>
      <c r="G14" s="66">
        <v>50</v>
      </c>
      <c r="H14" s="66">
        <v>82.611699999999999</v>
      </c>
    </row>
    <row r="15" spans="1:8">
      <c r="A15" s="58" t="s">
        <v>312</v>
      </c>
      <c r="B15" s="66">
        <v>-3.1447700000000002E-2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-1.33694E-2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18.744599999999998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0.347744</v>
      </c>
      <c r="C18" s="66">
        <v>1.9889500000000001E-2</v>
      </c>
      <c r="D18" s="66">
        <v>5.7195900000000001E-2</v>
      </c>
      <c r="E18" s="66">
        <v>0</v>
      </c>
      <c r="F18" s="66">
        <v>0.32785399999999998</v>
      </c>
      <c r="G18" s="66">
        <v>0</v>
      </c>
      <c r="H18" s="66">
        <v>0.36763400000000002</v>
      </c>
    </row>
    <row r="19" spans="1:8">
      <c r="A19" s="58" t="s">
        <v>316</v>
      </c>
      <c r="B19" s="66">
        <v>0.46540799999999999</v>
      </c>
      <c r="C19" s="66">
        <v>1.4984000000000001E-2</v>
      </c>
      <c r="D19" s="66">
        <v>3.2195399999999999E-2</v>
      </c>
      <c r="E19" s="66">
        <v>0</v>
      </c>
      <c r="F19" s="66">
        <v>0.45042399999999999</v>
      </c>
      <c r="G19" s="66">
        <v>0</v>
      </c>
      <c r="H19" s="66">
        <v>0.48039199999999999</v>
      </c>
    </row>
    <row r="20" spans="1:8">
      <c r="A20" s="58" t="s">
        <v>317</v>
      </c>
      <c r="B20" s="66">
        <v>5.68149E-3</v>
      </c>
      <c r="C20" s="66">
        <v>0.51532299999999998</v>
      </c>
      <c r="D20" s="66">
        <v>90.702100000000002</v>
      </c>
      <c r="E20" s="66">
        <v>0</v>
      </c>
      <c r="F20" s="66">
        <v>3.1057400000000001E-3</v>
      </c>
      <c r="G20" s="66">
        <v>0</v>
      </c>
      <c r="H20" s="66">
        <v>6.31792</v>
      </c>
    </row>
    <row r="21" spans="1:8">
      <c r="A21" s="58" t="s">
        <v>318</v>
      </c>
      <c r="B21" s="66">
        <v>9.6937899999999994E-2</v>
      </c>
      <c r="C21" s="66">
        <v>1.78582</v>
      </c>
      <c r="D21" s="66">
        <v>18.4224</v>
      </c>
      <c r="E21" s="66">
        <v>0</v>
      </c>
      <c r="F21" s="66">
        <v>5.4647799999999998E-3</v>
      </c>
      <c r="G21" s="66">
        <v>0</v>
      </c>
      <c r="H21" s="66">
        <v>16.904299999999999</v>
      </c>
    </row>
    <row r="22" spans="1:8">
      <c r="A22" s="58" t="s">
        <v>319</v>
      </c>
      <c r="B22" s="66">
        <v>36.902099999999997</v>
      </c>
      <c r="C22" s="66">
        <v>36.395299999999999</v>
      </c>
      <c r="D22" s="66">
        <v>0.98626599999999998</v>
      </c>
      <c r="E22" s="66">
        <v>0</v>
      </c>
      <c r="F22" s="66">
        <v>23.906700000000001</v>
      </c>
      <c r="G22" s="66">
        <v>0</v>
      </c>
      <c r="H22" s="66">
        <v>278.23899999999998</v>
      </c>
    </row>
    <row r="23" spans="1:8">
      <c r="A23" s="58" t="s">
        <v>320</v>
      </c>
      <c r="B23" s="66">
        <v>18.736599999999999</v>
      </c>
      <c r="C23" s="66">
        <v>3.3444400000000001</v>
      </c>
      <c r="D23" s="66">
        <v>0.17849699999999999</v>
      </c>
      <c r="E23" s="66">
        <v>0</v>
      </c>
      <c r="F23" s="66">
        <v>11.429500000000001</v>
      </c>
      <c r="G23" s="66">
        <v>0</v>
      </c>
      <c r="H23" s="66">
        <v>24.787500000000001</v>
      </c>
    </row>
    <row r="24" spans="1:8">
      <c r="A24" s="58" t="s">
        <v>321</v>
      </c>
      <c r="B24" s="66">
        <v>5.93649E-3</v>
      </c>
      <c r="C24" s="66">
        <v>0.48717899999999997</v>
      </c>
      <c r="D24" s="66">
        <v>82.065100000000001</v>
      </c>
      <c r="E24" s="66">
        <v>0</v>
      </c>
      <c r="F24" s="66">
        <v>4.0595199999999996E-3</v>
      </c>
      <c r="G24" s="66">
        <v>0</v>
      </c>
      <c r="H24" s="66">
        <v>5.2594599999999998</v>
      </c>
    </row>
    <row r="25" spans="1:8">
      <c r="A25" s="58" t="s">
        <v>322</v>
      </c>
      <c r="B25" s="66">
        <v>9.26757E-2</v>
      </c>
      <c r="C25" s="66">
        <v>1.2853300000000001</v>
      </c>
      <c r="D25" s="66">
        <v>13.869199999999999</v>
      </c>
      <c r="E25" s="66">
        <v>0</v>
      </c>
      <c r="F25" s="66">
        <v>4.5064E-2</v>
      </c>
      <c r="G25" s="66">
        <v>0</v>
      </c>
      <c r="H25" s="66">
        <v>8.1558200000000003</v>
      </c>
    </row>
    <row r="26" spans="1:8">
      <c r="A26" s="58" t="s">
        <v>323</v>
      </c>
      <c r="B26" s="66">
        <v>1.18829E-3</v>
      </c>
      <c r="C26" s="66">
        <v>1.72327E-2</v>
      </c>
      <c r="D26" s="66">
        <v>14.5021</v>
      </c>
      <c r="E26" s="66">
        <v>0</v>
      </c>
      <c r="F26" s="66">
        <v>5.0223200000000003E-4</v>
      </c>
      <c r="G26" s="66">
        <v>0</v>
      </c>
      <c r="H26" s="66">
        <v>0.20533399999999999</v>
      </c>
    </row>
    <row r="27" spans="1:8">
      <c r="A27" s="58" t="s">
        <v>324</v>
      </c>
      <c r="B27" s="196">
        <v>-1.31303E-5</v>
      </c>
      <c r="C27" s="66">
        <v>2.4458599999999998E-3</v>
      </c>
      <c r="D27" s="66">
        <v>-186.27699999999999</v>
      </c>
      <c r="E27" s="66">
        <v>0</v>
      </c>
      <c r="F27" s="66">
        <v>-2.1451499999999998E-2</v>
      </c>
      <c r="G27" s="66">
        <v>0</v>
      </c>
      <c r="H27" s="66">
        <v>2.6897299999999999E-2</v>
      </c>
    </row>
    <row r="28" spans="1:8">
      <c r="A28" s="58" t="s">
        <v>325</v>
      </c>
      <c r="B28" s="66">
        <v>1.54395E-2</v>
      </c>
      <c r="C28" s="66">
        <v>2.9647900000000001E-2</v>
      </c>
      <c r="D28" s="66">
        <v>1.9202699999999999</v>
      </c>
      <c r="E28" s="66">
        <v>0</v>
      </c>
      <c r="F28" s="66">
        <v>1.35417E-3</v>
      </c>
      <c r="G28" s="66">
        <v>0</v>
      </c>
      <c r="H28" s="66">
        <v>0.288522</v>
      </c>
    </row>
    <row r="29" spans="1:8">
      <c r="A29" s="58" t="s">
        <v>326</v>
      </c>
      <c r="B29" s="66">
        <v>79.427400000000006</v>
      </c>
      <c r="C29" s="66">
        <v>7.82803</v>
      </c>
      <c r="D29" s="66">
        <v>9.8555799999999999E-2</v>
      </c>
      <c r="E29" s="66">
        <v>0</v>
      </c>
      <c r="F29" s="66">
        <v>55.912199999999999</v>
      </c>
      <c r="G29" s="66">
        <v>0</v>
      </c>
      <c r="H29" s="66">
        <v>96.765299999999996</v>
      </c>
    </row>
    <row r="30" spans="1:8">
      <c r="A30" s="58" t="s">
        <v>327</v>
      </c>
      <c r="B30" s="66">
        <v>25.622699999999998</v>
      </c>
      <c r="C30" s="66">
        <v>7.6970400000000003</v>
      </c>
      <c r="D30" s="66">
        <v>0.3004</v>
      </c>
      <c r="E30" s="66">
        <v>0</v>
      </c>
      <c r="F30" s="66">
        <v>12.292199999999999</v>
      </c>
      <c r="G30" s="66">
        <v>0</v>
      </c>
      <c r="H30" s="66">
        <v>35.9405</v>
      </c>
    </row>
    <row r="31" spans="1:8">
      <c r="A31" s="58" t="s">
        <v>328</v>
      </c>
      <c r="B31" s="66">
        <v>121.848</v>
      </c>
      <c r="C31" s="66">
        <v>19.750900000000001</v>
      </c>
      <c r="D31" s="66">
        <v>0.16209499999999999</v>
      </c>
      <c r="E31" s="66">
        <v>0</v>
      </c>
      <c r="F31" s="66">
        <v>54.908900000000003</v>
      </c>
      <c r="G31" s="66">
        <v>0</v>
      </c>
      <c r="H31" s="66">
        <v>171.29499999999999</v>
      </c>
    </row>
    <row r="32" spans="1:8">
      <c r="A32" s="58" t="s">
        <v>329</v>
      </c>
      <c r="B32" s="66">
        <v>0.23674700000000001</v>
      </c>
      <c r="C32" s="66">
        <v>7.1590500000000001E-2</v>
      </c>
      <c r="D32" s="66">
        <v>0.30239199999999999</v>
      </c>
      <c r="E32" s="66">
        <v>0.15</v>
      </c>
      <c r="F32" s="66">
        <v>2.8286700000000001E-2</v>
      </c>
      <c r="G32" s="66">
        <v>0.4</v>
      </c>
      <c r="H32" s="66">
        <v>0.425062</v>
      </c>
    </row>
    <row r="33" spans="1:8">
      <c r="A33" s="58" t="s">
        <v>330</v>
      </c>
      <c r="B33" s="66">
        <v>0.34582099999999999</v>
      </c>
      <c r="C33" s="66">
        <v>8.1717799999999993E-2</v>
      </c>
      <c r="D33" s="66">
        <v>0.23630100000000001</v>
      </c>
      <c r="E33" s="66">
        <v>0</v>
      </c>
      <c r="F33" s="66">
        <v>0.14150599999999999</v>
      </c>
      <c r="G33" s="66">
        <v>0</v>
      </c>
      <c r="H33" s="66">
        <v>0.40724199999999999</v>
      </c>
    </row>
    <row r="34" spans="1:8">
      <c r="A34" s="58" t="s">
        <v>331</v>
      </c>
      <c r="B34" s="66">
        <v>0.166796</v>
      </c>
      <c r="C34" s="66">
        <v>3.8086799999999997E-2</v>
      </c>
      <c r="D34" s="66">
        <v>0.22834299999999999</v>
      </c>
      <c r="E34" s="66">
        <v>0.1</v>
      </c>
      <c r="F34" s="66">
        <v>0.12361900000000001</v>
      </c>
      <c r="G34" s="66">
        <v>0.25</v>
      </c>
      <c r="H34" s="66">
        <v>0.36564600000000003</v>
      </c>
    </row>
    <row r="35" spans="1:8">
      <c r="A35" s="58" t="s">
        <v>332</v>
      </c>
      <c r="B35" s="66">
        <v>6.6532499999999994E-2</v>
      </c>
      <c r="C35" s="66">
        <v>3.3564999999999998E-2</v>
      </c>
      <c r="D35" s="66">
        <v>0.50448999999999999</v>
      </c>
      <c r="E35" s="66">
        <v>0</v>
      </c>
      <c r="F35" s="66">
        <v>3.4341000000000003E-2</v>
      </c>
      <c r="G35" s="66">
        <v>0</v>
      </c>
      <c r="H35" s="66">
        <v>0.25217299999999998</v>
      </c>
    </row>
    <row r="36" spans="1:8">
      <c r="A36" s="58" t="s">
        <v>333</v>
      </c>
      <c r="B36" s="66">
        <v>0.15487400000000001</v>
      </c>
      <c r="C36" s="66">
        <v>8.5928500000000005E-2</v>
      </c>
      <c r="D36" s="66">
        <v>0.55482699999999996</v>
      </c>
      <c r="E36" s="66">
        <v>0</v>
      </c>
      <c r="F36" s="66">
        <v>3.7966600000000003E-2</v>
      </c>
      <c r="G36" s="66">
        <v>0</v>
      </c>
      <c r="H36" s="66">
        <v>0.65395199999999998</v>
      </c>
    </row>
    <row r="37" spans="1:8">
      <c r="A37" s="58" t="s">
        <v>334</v>
      </c>
      <c r="B37" s="66">
        <v>0.38086799999999998</v>
      </c>
      <c r="C37" s="66">
        <v>0.20019400000000001</v>
      </c>
      <c r="D37" s="66">
        <v>0.52562500000000001</v>
      </c>
      <c r="E37" s="66">
        <v>0.1</v>
      </c>
      <c r="F37" s="66">
        <v>4.2693499999999999E-3</v>
      </c>
      <c r="G37" s="66">
        <v>0.5</v>
      </c>
      <c r="H37" s="66">
        <v>0.82611699999999999</v>
      </c>
    </row>
    <row r="38" spans="1:8">
      <c r="A38" s="58" t="s">
        <v>335</v>
      </c>
      <c r="B38" s="66">
        <v>-11.3485</v>
      </c>
      <c r="C38" s="66">
        <v>108.068</v>
      </c>
      <c r="D38" s="66">
        <v>-9.5226299999999995</v>
      </c>
      <c r="E38" s="66">
        <v>0</v>
      </c>
      <c r="F38" s="66">
        <v>-1314.35</v>
      </c>
      <c r="G38" s="66">
        <v>0</v>
      </c>
      <c r="H38" s="66">
        <v>698.37400000000002</v>
      </c>
    </row>
    <row r="39" spans="1:8">
      <c r="A39" s="58" t="s">
        <v>336</v>
      </c>
      <c r="B39" s="66">
        <v>1.7777000000000001</v>
      </c>
      <c r="C39" s="66">
        <v>22.560400000000001</v>
      </c>
      <c r="D39" s="66">
        <v>12.690799999999999</v>
      </c>
      <c r="E39" s="66">
        <v>0</v>
      </c>
      <c r="F39" s="66">
        <v>-151.898</v>
      </c>
      <c r="G39" s="66">
        <v>0</v>
      </c>
      <c r="H39" s="66">
        <v>146.137</v>
      </c>
    </row>
    <row r="40" spans="1:8">
      <c r="A40" s="58" t="s">
        <v>337</v>
      </c>
      <c r="B40" s="66">
        <v>2.19441</v>
      </c>
      <c r="C40" s="66">
        <v>1.4495400000000001</v>
      </c>
      <c r="D40" s="66">
        <v>0.66056000000000004</v>
      </c>
      <c r="E40" s="66">
        <v>0</v>
      </c>
      <c r="F40" s="66">
        <v>-10.125400000000001</v>
      </c>
      <c r="G40" s="66">
        <v>0</v>
      </c>
      <c r="H40" s="66">
        <v>3.9643199999999998</v>
      </c>
    </row>
    <row r="41" spans="1:8">
      <c r="A41" s="58" t="s">
        <v>338</v>
      </c>
      <c r="B41" s="66">
        <v>7.0693699999999998E-2</v>
      </c>
      <c r="C41" s="66">
        <v>0.28903000000000001</v>
      </c>
      <c r="D41" s="66">
        <v>4.0884799999999997</v>
      </c>
      <c r="E41" s="66">
        <v>0</v>
      </c>
      <c r="F41" s="66">
        <v>-0.88961800000000002</v>
      </c>
      <c r="G41" s="66">
        <v>0</v>
      </c>
      <c r="H41" s="66">
        <v>1</v>
      </c>
    </row>
    <row r="42" spans="1:8">
      <c r="A42" s="58" t="s">
        <v>339</v>
      </c>
      <c r="B42" s="66">
        <v>0.11119800000000001</v>
      </c>
      <c r="C42" s="66">
        <v>0.139098</v>
      </c>
      <c r="D42" s="66">
        <v>1.25091</v>
      </c>
      <c r="E42" s="66">
        <v>0</v>
      </c>
      <c r="F42" s="66">
        <v>-0.69029200000000002</v>
      </c>
      <c r="G42" s="66">
        <v>0</v>
      </c>
      <c r="H42" s="66">
        <v>0.87091300000000005</v>
      </c>
    </row>
    <row r="43" spans="1:8">
      <c r="A43" s="58" t="s">
        <v>340</v>
      </c>
      <c r="B43" s="66">
        <v>0.14699599999999999</v>
      </c>
      <c r="C43" s="66">
        <v>7.3527099999999998E-2</v>
      </c>
      <c r="D43" s="66">
        <v>0.500197</v>
      </c>
      <c r="E43" s="66">
        <v>0</v>
      </c>
      <c r="F43" s="66">
        <v>-0.44583499999999998</v>
      </c>
      <c r="G43" s="66">
        <v>0</v>
      </c>
      <c r="H43" s="66">
        <v>0.21637300000000001</v>
      </c>
    </row>
    <row r="44" spans="1:8">
      <c r="A44" s="58" t="s">
        <v>341</v>
      </c>
      <c r="B44" s="66">
        <v>-16.363700000000001</v>
      </c>
      <c r="C44" s="66">
        <v>10.6936</v>
      </c>
      <c r="D44" s="66">
        <v>-0.65349400000000002</v>
      </c>
      <c r="E44" s="66">
        <v>0</v>
      </c>
      <c r="F44" s="66">
        <v>-62.371200000000002</v>
      </c>
      <c r="G44" s="66">
        <v>0</v>
      </c>
      <c r="H44" s="66">
        <v>2.8919800000000002</v>
      </c>
    </row>
    <row r="45" spans="1:8">
      <c r="A45" s="58" t="s">
        <v>342</v>
      </c>
      <c r="B45" s="66">
        <v>55.0824</v>
      </c>
      <c r="C45" s="66">
        <v>4.8717899999999998</v>
      </c>
      <c r="D45" s="66">
        <v>8.8445399999999993E-2</v>
      </c>
      <c r="E45" s="66">
        <v>0</v>
      </c>
      <c r="F45" s="66">
        <v>40.4238</v>
      </c>
      <c r="G45" s="66">
        <v>0</v>
      </c>
      <c r="H45" s="66">
        <v>67.538700000000006</v>
      </c>
    </row>
    <row r="46" spans="1:8">
      <c r="A46" s="58" t="s">
        <v>343</v>
      </c>
      <c r="B46" s="66">
        <v>42.033099999999997</v>
      </c>
      <c r="C46" s="66">
        <v>7.1120299999999999</v>
      </c>
      <c r="D46" s="66">
        <v>0.16920099999999999</v>
      </c>
      <c r="E46" s="66">
        <v>0</v>
      </c>
      <c r="F46" s="66">
        <v>17.400200000000002</v>
      </c>
      <c r="G46" s="66">
        <v>0</v>
      </c>
      <c r="H46" s="66">
        <v>51.271799999999999</v>
      </c>
    </row>
    <row r="47" spans="1:8">
      <c r="A47" s="58" t="s">
        <v>344</v>
      </c>
      <c r="B47" s="66">
        <v>1.0239400000000001</v>
      </c>
      <c r="C47" s="66">
        <v>0.30800499999999997</v>
      </c>
      <c r="D47" s="66">
        <v>0.30080400000000002</v>
      </c>
      <c r="E47" s="66">
        <v>0</v>
      </c>
      <c r="F47" s="66">
        <v>0.433083</v>
      </c>
      <c r="G47" s="66">
        <v>0</v>
      </c>
      <c r="H47" s="66">
        <v>2.3356400000000002</v>
      </c>
    </row>
    <row r="48" spans="1:8">
      <c r="A48" s="58" t="s">
        <v>345</v>
      </c>
      <c r="B48" s="66">
        <v>0.98201099999999997</v>
      </c>
      <c r="C48" s="66">
        <v>0.134495</v>
      </c>
      <c r="D48" s="66">
        <v>0.136958</v>
      </c>
      <c r="E48" s="66">
        <v>0</v>
      </c>
      <c r="F48" s="66">
        <v>0.83289100000000005</v>
      </c>
      <c r="G48" s="66">
        <v>0</v>
      </c>
      <c r="H48" s="66">
        <v>1.34893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7.9119000000000028</v>
      </c>
      <c r="C5" s="66">
        <f>'M2'!C5-'M1'!C5</f>
        <v>-1.6786899999999996</v>
      </c>
      <c r="D5" s="66">
        <f>'M2'!D5-'M1'!D5</f>
        <v>-5.5951000000000004</v>
      </c>
      <c r="E5" s="66">
        <f>'M2'!E5-'M1'!E5</f>
        <v>0</v>
      </c>
      <c r="F5" s="66">
        <f>'M2'!F5-'M1'!F5</f>
        <v>28.052099999999999</v>
      </c>
      <c r="G5" s="66">
        <f>'M2'!G5-'M1'!G5</f>
        <v>0</v>
      </c>
      <c r="H5" s="66">
        <f>'M2'!H5-'M1'!H5</f>
        <v>17.508000000000003</v>
      </c>
    </row>
    <row r="6" spans="1:8">
      <c r="A6" s="66" t="s">
        <v>244</v>
      </c>
      <c r="B6" s="66">
        <f>'M2'!B6-'M1'!B6</f>
        <v>2.2569999999999979</v>
      </c>
      <c r="C6" s="66">
        <f>'M2'!C6-'M1'!C6</f>
        <v>0.14698000000000011</v>
      </c>
      <c r="D6" s="66">
        <f>'M2'!D6-'M1'!D6</f>
        <v>2.9309999999999725E-2</v>
      </c>
      <c r="E6" s="66">
        <f>'M2'!E6-'M1'!E6</f>
        <v>0</v>
      </c>
      <c r="F6" s="66">
        <f>'M2'!F6-'M1'!F6</f>
        <v>6.325999999999997</v>
      </c>
      <c r="G6" s="66">
        <f>'M2'!G6-'M1'!G6</f>
        <v>0</v>
      </c>
      <c r="H6" s="66">
        <f>'M2'!H6-'M1'!H6</f>
        <v>8.2716999999999956</v>
      </c>
    </row>
    <row r="7" spans="1:8">
      <c r="A7" s="66" t="s">
        <v>245</v>
      </c>
      <c r="B7" s="66">
        <f>'M2'!B7-'M1'!B7</f>
        <v>3.6183999999999976</v>
      </c>
      <c r="C7" s="66">
        <f>'M2'!C7-'M1'!C7</f>
        <v>3.1972500000000004</v>
      </c>
      <c r="D7" s="66">
        <f>'M2'!D7-'M1'!D7</f>
        <v>8.8895999999999979</v>
      </c>
      <c r="E7" s="66">
        <f>'M2'!E7-'M1'!E7</f>
        <v>0</v>
      </c>
      <c r="F7" s="66">
        <f>'M2'!F7-'M1'!F7</f>
        <v>-4.4433199999999999</v>
      </c>
      <c r="G7" s="66">
        <f>'M2'!G7-'M1'!G7</f>
        <v>0</v>
      </c>
      <c r="H7" s="66">
        <f>'M2'!H7-'M1'!H7</f>
        <v>11.511199999999999</v>
      </c>
    </row>
    <row r="8" spans="1:8">
      <c r="A8" s="66" t="s">
        <v>246</v>
      </c>
      <c r="B8" s="66">
        <f>'M2'!B8-'M1'!B8</f>
        <v>3.1060999999999979</v>
      </c>
      <c r="C8" s="66">
        <f>'M2'!C8-'M1'!C8</f>
        <v>-1.7404100000000002</v>
      </c>
      <c r="D8" s="66">
        <f>'M2'!D8-'M1'!D8</f>
        <v>-5.7409999999999997</v>
      </c>
      <c r="E8" s="66">
        <f>'M2'!E8-'M1'!E8</f>
        <v>0</v>
      </c>
      <c r="F8" s="66">
        <f>'M2'!F8-'M1'!F8</f>
        <v>13.972899999999996</v>
      </c>
      <c r="G8" s="66">
        <f>'M2'!G8-'M1'!G8</f>
        <v>0</v>
      </c>
      <c r="H8" s="66">
        <f>'M2'!H8-'M1'!H8</f>
        <v>8.7975999999999956</v>
      </c>
    </row>
    <row r="9" spans="1:8">
      <c r="A9" s="66" t="s">
        <v>247</v>
      </c>
      <c r="B9" s="66">
        <f>'M2'!B9-'M1'!B9</f>
        <v>3.4998000000000005</v>
      </c>
      <c r="C9" s="66">
        <f>'M2'!C9-'M1'!C9</f>
        <v>4.8657900000000005</v>
      </c>
      <c r="D9" s="66">
        <f>'M2'!D9-'M1'!D9</f>
        <v>7.5428599999999992</v>
      </c>
      <c r="E9" s="66">
        <f>'M2'!E9-'M1'!E9</f>
        <v>0</v>
      </c>
      <c r="F9" s="66">
        <f>'M2'!F9-'M1'!F9</f>
        <v>-9.5080000000000027</v>
      </c>
      <c r="G9" s="66">
        <f>'M2'!G9-'M1'!G9</f>
        <v>0</v>
      </c>
      <c r="H9" s="66">
        <f>'M2'!H9-'M1'!H9</f>
        <v>-0.79019999999999868</v>
      </c>
    </row>
    <row r="10" spans="1:8">
      <c r="A10" s="66" t="s">
        <v>248</v>
      </c>
      <c r="B10" s="66">
        <f>'M2'!B10-'M1'!B10</f>
        <v>-7.1587999999999994</v>
      </c>
      <c r="C10" s="66">
        <f>'M2'!C10-'M1'!C10</f>
        <v>1.15842</v>
      </c>
      <c r="D10" s="66">
        <f>'M2'!D10-'M1'!D10</f>
        <v>2.0331399999999999</v>
      </c>
      <c r="E10" s="66">
        <f>'M2'!E10-'M1'!E10</f>
        <v>0</v>
      </c>
      <c r="F10" s="66">
        <f>'M2'!F10-'M1'!F10</f>
        <v>-12.671499999999995</v>
      </c>
      <c r="G10" s="66">
        <f>'M2'!G10-'M1'!G10</f>
        <v>0</v>
      </c>
      <c r="H10" s="66">
        <f>'M2'!H10-'M1'!H10</f>
        <v>-7.8944000000000045</v>
      </c>
    </row>
    <row r="11" spans="1:8">
      <c r="A11" s="66" t="s">
        <v>249</v>
      </c>
      <c r="B11" s="66">
        <f>'M2'!B11-'M1'!B11</f>
        <v>1.4972999999999992</v>
      </c>
      <c r="C11" s="66">
        <f>'M2'!C11-'M1'!C11</f>
        <v>-3.2845200000000006</v>
      </c>
      <c r="D11" s="66">
        <f>'M2'!D11-'M1'!D11</f>
        <v>-11.264060000000001</v>
      </c>
      <c r="E11" s="66">
        <f>'M2'!E11-'M1'!E11</f>
        <v>0</v>
      </c>
      <c r="F11" s="66">
        <f>'M2'!F11-'M1'!F11</f>
        <v>14.2669</v>
      </c>
      <c r="G11" s="66">
        <f>'M2'!G11-'M1'!G11</f>
        <v>0</v>
      </c>
      <c r="H11" s="66">
        <f>'M2'!H11-'M1'!H11</f>
        <v>-0.51089999999999947</v>
      </c>
    </row>
    <row r="12" spans="1:8">
      <c r="A12" s="66" t="s">
        <v>250</v>
      </c>
      <c r="B12" s="66">
        <f>'M2'!B12-'M1'!B12</f>
        <v>-1.7864000000000004</v>
      </c>
      <c r="C12" s="66">
        <f>'M2'!C12-'M1'!C12</f>
        <v>3.4612099999999995</v>
      </c>
      <c r="D12" s="66">
        <f>'M2'!D12-'M1'!D12</f>
        <v>5.48522</v>
      </c>
      <c r="E12" s="66">
        <f>'M2'!E12-'M1'!E12</f>
        <v>0</v>
      </c>
      <c r="F12" s="66">
        <f>'M2'!F12-'M1'!F12</f>
        <v>-10.1554</v>
      </c>
      <c r="G12" s="66">
        <f>'M2'!G12-'M1'!G12</f>
        <v>0</v>
      </c>
      <c r="H12" s="66">
        <f>'M2'!H12-'M1'!H12</f>
        <v>-3.456300000000013</v>
      </c>
    </row>
    <row r="13" spans="1:8">
      <c r="A13" s="66" t="s">
        <v>251</v>
      </c>
      <c r="B13" s="66">
        <f>'M2'!B13-'M1'!B13</f>
        <v>0.29579999999999984</v>
      </c>
      <c r="C13" s="66">
        <f>'M2'!C13-'M1'!C13</f>
        <v>-1.2257400000000001</v>
      </c>
      <c r="D13" s="66">
        <f>'M2'!D13-'M1'!D13</f>
        <v>-7.8013999999999974</v>
      </c>
      <c r="E13" s="66">
        <f>'M2'!E13-'M1'!E13</f>
        <v>0</v>
      </c>
      <c r="F13" s="66">
        <f>'M2'!F13-'M1'!F13</f>
        <v>1.0701999999999998</v>
      </c>
      <c r="G13" s="66">
        <f>'M2'!G13-'M1'!G13</f>
        <v>0</v>
      </c>
      <c r="H13" s="66">
        <f>'M2'!H13-'M1'!H13</f>
        <v>-2.1951999999999998</v>
      </c>
    </row>
    <row r="14" spans="1:8">
      <c r="A14" s="66" t="s">
        <v>252</v>
      </c>
      <c r="B14" s="66">
        <f>'M2'!B14-'M1'!B14</f>
        <v>-12.257400000000001</v>
      </c>
      <c r="C14" s="66">
        <f>'M2'!C14-'M1'!C14</f>
        <v>-5.6477000000000004</v>
      </c>
      <c r="D14" s="66">
        <f>'M2'!D14-'M1'!D14</f>
        <v>2.1194999999999951</v>
      </c>
      <c r="E14" s="66">
        <f>'M2'!E14-'M1'!E14</f>
        <v>0</v>
      </c>
      <c r="F14" s="66">
        <f>'M2'!F14-'M1'!F14</f>
        <v>1.7488049999999997</v>
      </c>
      <c r="G14" s="66">
        <f>'M2'!G14-'M1'!G14</f>
        <v>0</v>
      </c>
      <c r="H14" s="66">
        <f>'M2'!H14-'M1'!H14</f>
        <v>11.552899999999994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0.14004800000000001</v>
      </c>
      <c r="C18" s="66">
        <f>'M2'!C18-'M1'!C18</f>
        <v>1.9889500000000001E-2</v>
      </c>
      <c r="D18" s="66">
        <f>'M2'!D18-'M1'!D18</f>
        <v>5.7195900000000001E-2</v>
      </c>
      <c r="E18" s="66">
        <f>'M2'!E18-'M1'!E18</f>
        <v>0</v>
      </c>
      <c r="F18" s="66">
        <f>'M2'!F18-'M1'!F18</f>
        <v>0.32785399999999998</v>
      </c>
      <c r="G18" s="66">
        <f>'M2'!G18-'M1'!G18</f>
        <v>0</v>
      </c>
      <c r="H18" s="66">
        <f>'M2'!H18-'M1'!H18</f>
        <v>0.36763400000000002</v>
      </c>
    </row>
    <row r="19" spans="1:8">
      <c r="A19" s="66" t="s">
        <v>256</v>
      </c>
      <c r="B19" s="66">
        <f>'M2'!B19-'M1'!B19</f>
        <v>6.6867999999999983E-2</v>
      </c>
      <c r="C19" s="66">
        <f>'M2'!C19-'M1'!C19</f>
        <v>1.4984000000000001E-2</v>
      </c>
      <c r="D19" s="66">
        <f>'M2'!D19-'M1'!D19</f>
        <v>3.2195399999999999E-2</v>
      </c>
      <c r="E19" s="66">
        <f>'M2'!E19-'M1'!E19</f>
        <v>0</v>
      </c>
      <c r="F19" s="66">
        <f>'M2'!F19-'M1'!F19</f>
        <v>0.45042399999999999</v>
      </c>
      <c r="G19" s="66">
        <f>'M2'!G19-'M1'!G19</f>
        <v>0</v>
      </c>
      <c r="H19" s="66">
        <f>'M2'!H19-'M1'!H19</f>
        <v>0.48039199999999999</v>
      </c>
    </row>
    <row r="20" spans="1:8">
      <c r="A20" s="66" t="s">
        <v>63</v>
      </c>
      <c r="B20" s="66">
        <f>'M2'!B20-'M1'!B20</f>
        <v>6.4187000000000011E-4</v>
      </c>
      <c r="C20" s="66">
        <f>'M2'!C20-'M1'!C20</f>
        <v>0.71289574</v>
      </c>
      <c r="D20" s="66">
        <f>'M2'!D20-'M1'!D20</f>
        <v>119.76011</v>
      </c>
      <c r="E20" s="66">
        <f>'M2'!E20-'M1'!E20</f>
        <v>0</v>
      </c>
      <c r="F20" s="66">
        <f>'M2'!F20-'M1'!F20</f>
        <v>1.0931000000000005E-4</v>
      </c>
      <c r="G20" s="66">
        <f>'M2'!G20-'M1'!G20</f>
        <v>0</v>
      </c>
      <c r="H20" s="66">
        <f>'M2'!H20-'M1'!H20</f>
        <v>6.2177470000000001</v>
      </c>
    </row>
    <row r="21" spans="1:8">
      <c r="A21" s="66" t="s">
        <v>64</v>
      </c>
      <c r="B21" s="66">
        <f>'M2'!B21-'M1'!B21</f>
        <v>2.9451400000000003E-2</v>
      </c>
      <c r="C21" s="66">
        <f>'M2'!C21-'M1'!C21</f>
        <v>2.3310230000000001</v>
      </c>
      <c r="D21" s="66">
        <f>'M2'!D21-'M1'!D21</f>
        <v>20.76145</v>
      </c>
      <c r="E21" s="66">
        <f>'M2'!E21-'M1'!E21</f>
        <v>0</v>
      </c>
      <c r="F21" s="66">
        <f>'M2'!F21-'M1'!F21</f>
        <v>3.24304E-3</v>
      </c>
      <c r="G21" s="66">
        <f>'M2'!G21-'M1'!G21</f>
        <v>0</v>
      </c>
      <c r="H21" s="66">
        <f>'M2'!H21-'M1'!H21</f>
        <v>15.56077</v>
      </c>
    </row>
    <row r="22" spans="1:8">
      <c r="A22" s="66" t="s">
        <v>65</v>
      </c>
      <c r="B22" s="66">
        <f>'M2'!B22-'M1'!B22</f>
        <v>4.4348000000000027</v>
      </c>
      <c r="C22" s="66">
        <f>'M2'!C22-'M1'!C22</f>
        <v>41.945189999999997</v>
      </c>
      <c r="D22" s="66">
        <f>'M2'!D22-'M1'!D22</f>
        <v>1.0414489999999998</v>
      </c>
      <c r="E22" s="66">
        <f>'M2'!E22-'M1'!E22</f>
        <v>0</v>
      </c>
      <c r="F22" s="66">
        <f>'M2'!F22-'M1'!F22</f>
        <v>3.7792999999999992</v>
      </c>
      <c r="G22" s="66">
        <f>'M2'!G22-'M1'!G22</f>
        <v>0</v>
      </c>
      <c r="H22" s="66">
        <f>'M2'!H22-'M1'!H22</f>
        <v>210.66069999999996</v>
      </c>
    </row>
    <row r="23" spans="1:8">
      <c r="A23" s="66" t="s">
        <v>66</v>
      </c>
      <c r="B23" s="66">
        <f>'M2'!B23-'M1'!B23</f>
        <v>4.4059999999999988</v>
      </c>
      <c r="C23" s="66">
        <f>'M2'!C23-'M1'!C23</f>
        <v>0.52817999999999987</v>
      </c>
      <c r="D23" s="66">
        <f>'M2'!D23-'M1'!D23</f>
        <v>-1.6289999999999916E-3</v>
      </c>
      <c r="E23" s="66">
        <f>'M2'!E23-'M1'!E23</f>
        <v>0</v>
      </c>
      <c r="F23" s="66">
        <f>'M2'!F23-'M1'!F23</f>
        <v>2.7847999999999988</v>
      </c>
      <c r="G23" s="66">
        <f>'M2'!G23-'M1'!G23</f>
        <v>0</v>
      </c>
      <c r="H23" s="66">
        <f>'M2'!H23-'M1'!H23</f>
        <v>4.8844999999999992</v>
      </c>
    </row>
    <row r="24" spans="1:8">
      <c r="A24" s="66" t="s">
        <v>67</v>
      </c>
      <c r="B24" s="66">
        <f>'M2'!B24-'M1'!B24</f>
        <v>9.9665999999999991E-4</v>
      </c>
      <c r="C24" s="66">
        <f>'M2'!C24-'M1'!C24</f>
        <v>0.67408877999999994</v>
      </c>
      <c r="D24" s="66">
        <f>'M2'!D24-'M1'!D24</f>
        <v>103.45233999999999</v>
      </c>
      <c r="E24" s="66">
        <f>'M2'!E24-'M1'!E24</f>
        <v>0</v>
      </c>
      <c r="F24" s="66">
        <f>'M2'!F24-'M1'!F24</f>
        <v>1.8049000000000016E-4</v>
      </c>
      <c r="G24" s="66">
        <f>'M2'!G24-'M1'!G24</f>
        <v>0</v>
      </c>
      <c r="H24" s="66">
        <f>'M2'!H24-'M1'!H24</f>
        <v>5.1865876999999996</v>
      </c>
    </row>
    <row r="25" spans="1:8">
      <c r="A25" s="66" t="s">
        <v>68</v>
      </c>
      <c r="B25" s="66">
        <f>'M2'!B25-'M1'!B25</f>
        <v>2.5428599999999996E-2</v>
      </c>
      <c r="C25" s="66">
        <f>'M2'!C25-'M1'!C25</f>
        <v>1.6866041000000001</v>
      </c>
      <c r="D25" s="66">
        <f>'M2'!D25-'M1'!D25</f>
        <v>15.988270000000002</v>
      </c>
      <c r="E25" s="66">
        <f>'M2'!E25-'M1'!E25</f>
        <v>0</v>
      </c>
      <c r="F25" s="66">
        <f>'M2'!F25-'M1'!F25</f>
        <v>1.7700999999999967E-3</v>
      </c>
      <c r="G25" s="66">
        <f>'M2'!G25-'M1'!G25</f>
        <v>0</v>
      </c>
      <c r="H25" s="66">
        <f>'M2'!H25-'M1'!H25</f>
        <v>7.6562160000000006</v>
      </c>
    </row>
    <row r="26" spans="1:8">
      <c r="A26" s="66" t="s">
        <v>69</v>
      </c>
      <c r="B26" s="66">
        <f>'M2'!B26-'M1'!B26</f>
        <v>2.3305999999999999E-4</v>
      </c>
      <c r="C26" s="66">
        <f>'M2'!C26-'M1'!C26</f>
        <v>2.2245399999999999E-2</v>
      </c>
      <c r="D26" s="66">
        <f>'M2'!D26-'M1'!D26</f>
        <v>17.055519999999998</v>
      </c>
      <c r="E26" s="66">
        <f>'M2'!E26-'M1'!E26</f>
        <v>0</v>
      </c>
      <c r="F26" s="66">
        <f>'M2'!F26-'M1'!F26</f>
        <v>2.954299999999993E-5</v>
      </c>
      <c r="G26" s="66">
        <f>'M2'!G26-'M1'!G26</f>
        <v>0</v>
      </c>
      <c r="H26" s="66">
        <f>'M2'!H26-'M1'!H26</f>
        <v>0.1875983</v>
      </c>
    </row>
    <row r="27" spans="1:8">
      <c r="A27" s="66" t="s">
        <v>70</v>
      </c>
      <c r="B27" s="66">
        <f>'M2'!B27-'M1'!B27</f>
        <v>-1.6412769999999998E-5</v>
      </c>
      <c r="C27" s="66">
        <f>'M2'!C27-'M1'!C27</f>
        <v>2.9278379999999999E-3</v>
      </c>
      <c r="D27" s="66">
        <f>'M2'!D27-'M1'!D27</f>
        <v>-73.247499999999988</v>
      </c>
      <c r="E27" s="66">
        <f>'M2'!E27-'M1'!E27</f>
        <v>0</v>
      </c>
      <c r="F27" s="66">
        <f>'M2'!F27-'M1'!F27</f>
        <v>-1.5940079999999999E-2</v>
      </c>
      <c r="G27" s="66">
        <f>'M2'!G27-'M1'!G27</f>
        <v>0</v>
      </c>
      <c r="H27" s="66">
        <f>'M2'!H27-'M1'!H27</f>
        <v>2.2249189999999999E-2</v>
      </c>
    </row>
    <row r="28" spans="1:8">
      <c r="A28" s="66" t="s">
        <v>71</v>
      </c>
      <c r="B28" s="66">
        <f>'M2'!B28-'M1'!B28</f>
        <v>2.7701999999999987E-3</v>
      </c>
      <c r="C28" s="66">
        <f>'M2'!C28-'M1'!C28</f>
        <v>2.7202200000000003E-2</v>
      </c>
      <c r="D28" s="66">
        <f>'M2'!D28-'M1'!D28</f>
        <v>1.483695</v>
      </c>
      <c r="E28" s="66">
        <f>'M2'!E28-'M1'!E28</f>
        <v>0</v>
      </c>
      <c r="F28" s="66">
        <f>'M2'!F28-'M1'!F28</f>
        <v>5.3710999999999993E-4</v>
      </c>
      <c r="G28" s="66">
        <f>'M2'!G28-'M1'!G28</f>
        <v>0</v>
      </c>
      <c r="H28" s="66">
        <f>'M2'!H28-'M1'!H28</f>
        <v>0.20128570000000001</v>
      </c>
    </row>
    <row r="29" spans="1:8">
      <c r="A29" s="66" t="s">
        <v>72</v>
      </c>
      <c r="B29" s="66">
        <f>'M2'!B29-'M1'!B29</f>
        <v>6.3400000000001455E-2</v>
      </c>
      <c r="C29" s="66">
        <f>'M2'!C29-'M1'!C29</f>
        <v>1.2783800000000003</v>
      </c>
      <c r="D29" s="66">
        <f>'M2'!D29-'M1'!D29</f>
        <v>1.6008600000000012E-2</v>
      </c>
      <c r="E29" s="66">
        <f>'M2'!E29-'M1'!E29</f>
        <v>0</v>
      </c>
      <c r="F29" s="66">
        <f>'M2'!F29-'M1'!F29</f>
        <v>-2.0767999999999986</v>
      </c>
      <c r="G29" s="66">
        <f>'M2'!G29-'M1'!G29</f>
        <v>0</v>
      </c>
      <c r="H29" s="66">
        <f>'M2'!H29-'M1'!H29</f>
        <v>-1.2463999999999942</v>
      </c>
    </row>
    <row r="30" spans="1:8">
      <c r="A30" s="66" t="s">
        <v>73</v>
      </c>
      <c r="B30" s="66">
        <f>'M2'!B30-'M1'!B30</f>
        <v>1.1390999999999991</v>
      </c>
      <c r="C30" s="66">
        <f>'M2'!C30-'M1'!C30</f>
        <v>4.6749100000000006</v>
      </c>
      <c r="D30" s="66">
        <f>'M2'!D30-'M1'!D30</f>
        <v>0.17040399999999997</v>
      </c>
      <c r="E30" s="66">
        <f>'M2'!E30-'M1'!E30</f>
        <v>0</v>
      </c>
      <c r="F30" s="66">
        <f>'M2'!F30-'M1'!F30</f>
        <v>-3.5606000000000009</v>
      </c>
      <c r="G30" s="66">
        <f>'M2'!G30-'M1'!G30</f>
        <v>0</v>
      </c>
      <c r="H30" s="66">
        <f>'M2'!H30-'M1'!H30</f>
        <v>1.4093000000000018</v>
      </c>
    </row>
    <row r="31" spans="1:8">
      <c r="A31" s="66" t="s">
        <v>74</v>
      </c>
      <c r="B31" s="66">
        <f>'M2'!B31-'M1'!B31</f>
        <v>6.0819999999999936</v>
      </c>
      <c r="C31" s="66">
        <f>'M2'!C31-'M1'!C31</f>
        <v>-9.7471000000000014</v>
      </c>
      <c r="D31" s="66">
        <f>'M2'!D31-'M1'!D31</f>
        <v>-8.7187100000000003E-2</v>
      </c>
      <c r="E31" s="66">
        <f>'M2'!E31-'M1'!E31</f>
        <v>0</v>
      </c>
      <c r="F31" s="66">
        <f>'M2'!F31-'M1'!F31</f>
        <v>60.990099999999998</v>
      </c>
      <c r="G31" s="66">
        <f>'M2'!G31-'M1'!G31</f>
        <v>0</v>
      </c>
      <c r="H31" s="66">
        <f>'M2'!H31-'M1'!H31</f>
        <v>38.019000000000005</v>
      </c>
    </row>
    <row r="32" spans="1:8">
      <c r="A32" s="66" t="s">
        <v>75</v>
      </c>
      <c r="B32" s="66">
        <f>'M2'!B32-'M1'!B32</f>
        <v>3.6183999999999994E-2</v>
      </c>
      <c r="C32" s="66">
        <f>'M2'!C32-'M1'!C32</f>
        <v>3.1972500000000001E-2</v>
      </c>
      <c r="D32" s="66">
        <f>'M2'!D32-'M1'!D32</f>
        <v>8.8896000000000003E-2</v>
      </c>
      <c r="E32" s="66">
        <f>'M2'!E32-'M1'!E32</f>
        <v>0</v>
      </c>
      <c r="F32" s="66">
        <f>'M2'!F32-'M1'!F32</f>
        <v>-4.4433200000000006E-2</v>
      </c>
      <c r="G32" s="66">
        <f>'M2'!G32-'M1'!G32</f>
        <v>0</v>
      </c>
      <c r="H32" s="66">
        <f>'M2'!H32-'M1'!H32</f>
        <v>0.11511199999999999</v>
      </c>
    </row>
    <row r="33" spans="1:8">
      <c r="A33" s="66" t="s">
        <v>76</v>
      </c>
      <c r="B33" s="66">
        <f>'M2'!B33-'M1'!B33</f>
        <v>2.7963999999999989E-2</v>
      </c>
      <c r="C33" s="66">
        <f>'M2'!C33-'M1'!C33</f>
        <v>7.655010000000001E-2</v>
      </c>
      <c r="D33" s="66">
        <f>'M2'!D33-'M1'!D33</f>
        <v>0.20200819999999997</v>
      </c>
      <c r="E33" s="66">
        <f>'M2'!E33-'M1'!E33</f>
        <v>0</v>
      </c>
      <c r="F33" s="66">
        <f>'M2'!F33-'M1'!F33</f>
        <v>-6.2650000000000011E-2</v>
      </c>
      <c r="G33" s="66">
        <f>'M2'!G33-'M1'!G33</f>
        <v>0</v>
      </c>
      <c r="H33" s="66">
        <f>'M2'!H33-'M1'!H33</f>
        <v>6.2299999999998468E-4</v>
      </c>
    </row>
    <row r="34" spans="1:8">
      <c r="A34" s="66" t="s">
        <v>77</v>
      </c>
      <c r="B34" s="66">
        <f>'M2'!B34-'M1'!B34</f>
        <v>2.9580000000000162E-3</v>
      </c>
      <c r="C34" s="66">
        <f>'M2'!C34-'M1'!C34</f>
        <v>-1.2257400000000002E-2</v>
      </c>
      <c r="D34" s="66">
        <f>'M2'!D34-'M1'!D34</f>
        <v>-7.8013999999999972E-2</v>
      </c>
      <c r="E34" s="66">
        <f>'M2'!E34-'M1'!E34</f>
        <v>0</v>
      </c>
      <c r="F34" s="66">
        <f>'M2'!F34-'M1'!F34</f>
        <v>1.0701999999999989E-2</v>
      </c>
      <c r="G34" s="66">
        <f>'M2'!G34-'M1'!G34</f>
        <v>0</v>
      </c>
      <c r="H34" s="66">
        <f>'M2'!H34-'M1'!H34</f>
        <v>-2.1952000000000027E-2</v>
      </c>
    </row>
    <row r="35" spans="1:8">
      <c r="A35" s="66" t="s">
        <v>78</v>
      </c>
      <c r="B35" s="66">
        <f>'M2'!B35-'M1'!B35</f>
        <v>-1.6420999999999936E-3</v>
      </c>
      <c r="C35" s="66">
        <f>'M2'!C35-'M1'!C35</f>
        <v>1.5334799999999999E-2</v>
      </c>
      <c r="D35" s="66">
        <f>'M2'!D35-'M1'!D35</f>
        <v>0.24417900000000003</v>
      </c>
      <c r="E35" s="66">
        <f>'M2'!E35-'M1'!E35</f>
        <v>0</v>
      </c>
      <c r="F35" s="66">
        <f>'M2'!F35-'M1'!F35</f>
        <v>-4.1618999999999962E-3</v>
      </c>
      <c r="G35" s="66">
        <f>'M2'!G35-'M1'!G35</f>
        <v>0</v>
      </c>
      <c r="H35" s="66">
        <f>'M2'!H35-'M1'!H35</f>
        <v>6.6450999999999982E-2</v>
      </c>
    </row>
    <row r="36" spans="1:8">
      <c r="A36" s="66" t="s">
        <v>79</v>
      </c>
      <c r="B36" s="66">
        <f>'M2'!B36-'M1'!B36</f>
        <v>-1.8389999999999795E-3</v>
      </c>
      <c r="C36" s="66">
        <f>'M2'!C36-'M1'!C36</f>
        <v>1.9184000000000007E-3</v>
      </c>
      <c r="D36" s="66">
        <f>'M2'!D36-'M1'!D36</f>
        <v>1.8971999999999989E-2</v>
      </c>
      <c r="E36" s="66">
        <f>'M2'!E36-'M1'!E36</f>
        <v>0</v>
      </c>
      <c r="F36" s="66">
        <f>'M2'!F36-'M1'!F36</f>
        <v>6.7259999999999542E-4</v>
      </c>
      <c r="G36" s="66">
        <f>'M2'!G36-'M1'!G36</f>
        <v>0</v>
      </c>
      <c r="H36" s="66">
        <f>'M2'!H36-'M1'!H36</f>
        <v>6.6074999999999995E-2</v>
      </c>
    </row>
    <row r="37" spans="1:8">
      <c r="A37" s="66" t="s">
        <v>80</v>
      </c>
      <c r="B37" s="66">
        <f>'M2'!B37-'M1'!B37</f>
        <v>-0.12257399999999996</v>
      </c>
      <c r="C37" s="66">
        <f>'M2'!C37-'M1'!C37</f>
        <v>-5.6476999999999999E-2</v>
      </c>
      <c r="D37" s="66">
        <f>'M2'!D37-'M1'!D37</f>
        <v>2.1194999999999964E-2</v>
      </c>
      <c r="E37" s="66">
        <f>'M2'!E37-'M1'!E37</f>
        <v>0</v>
      </c>
      <c r="F37" s="66">
        <f>'M2'!F37-'M1'!F37</f>
        <v>1.7488049999999998E-2</v>
      </c>
      <c r="G37" s="66">
        <f>'M2'!G37-'M1'!G37</f>
        <v>0</v>
      </c>
      <c r="H37" s="66">
        <f>'M2'!H37-'M1'!H37</f>
        <v>0.11552899999999999</v>
      </c>
    </row>
    <row r="38" spans="1:8">
      <c r="A38" s="66" t="s">
        <v>81</v>
      </c>
      <c r="B38" s="66">
        <f>'M2'!B38-'M1'!B38</f>
        <v>-10.385210000000001</v>
      </c>
      <c r="C38" s="66">
        <f>'M2'!C38-'M1'!C38</f>
        <v>111.73820000000001</v>
      </c>
      <c r="D38" s="66">
        <f>'M2'!D38-'M1'!D38</f>
        <v>-3.3054000000000006</v>
      </c>
      <c r="E38" s="66">
        <f>'M2'!E38-'M1'!E38</f>
        <v>0</v>
      </c>
      <c r="F38" s="66">
        <f>'M2'!F38-'M1'!F38</f>
        <v>-1182.1179999999999</v>
      </c>
      <c r="G38" s="66">
        <f>'M2'!G38-'M1'!G38</f>
        <v>0</v>
      </c>
      <c r="H38" s="66">
        <f>'M2'!H38-'M1'!H38</f>
        <v>596.03899999999999</v>
      </c>
    </row>
    <row r="39" spans="1:8">
      <c r="A39" s="66" t="s">
        <v>82</v>
      </c>
      <c r="B39" s="66">
        <f>'M2'!B39-'M1'!B39</f>
        <v>-2.7248490000000003</v>
      </c>
      <c r="C39" s="66">
        <f>'M2'!C39-'M1'!C39</f>
        <v>29.964780000000001</v>
      </c>
      <c r="D39" s="66">
        <f>'M2'!D39-'M1'!D39</f>
        <v>-216.689775</v>
      </c>
      <c r="E39" s="66">
        <f>'M2'!E39-'M1'!E39</f>
        <v>0</v>
      </c>
      <c r="F39" s="66">
        <f>'M2'!F39-'M1'!F39</f>
        <v>-147.51704000000001</v>
      </c>
      <c r="G39" s="66">
        <f>'M2'!G39-'M1'!G39</f>
        <v>0</v>
      </c>
      <c r="H39" s="66">
        <f>'M2'!H39-'M1'!H39</f>
        <v>138.92017000000001</v>
      </c>
    </row>
    <row r="40" spans="1:8">
      <c r="A40" s="66" t="s">
        <v>83</v>
      </c>
      <c r="B40" s="66">
        <f>'M2'!B40-'M1'!B40</f>
        <v>1.3007899999999999</v>
      </c>
      <c r="C40" s="66">
        <f>'M2'!C40-'M1'!C40</f>
        <v>1.3231890000000002</v>
      </c>
      <c r="D40" s="66">
        <f>'M2'!D40-'M1'!D40</f>
        <v>0.30191500000000004</v>
      </c>
      <c r="E40" s="66">
        <f>'M2'!E40-'M1'!E40</f>
        <v>0</v>
      </c>
      <c r="F40" s="66">
        <f>'M2'!F40-'M1'!F40</f>
        <v>-10.813080000000001</v>
      </c>
      <c r="G40" s="66">
        <f>'M2'!G40-'M1'!G40</f>
        <v>0</v>
      </c>
      <c r="H40" s="66">
        <f>'M2'!H40-'M1'!H40</f>
        <v>0.69500999999999991</v>
      </c>
    </row>
    <row r="41" spans="1:8">
      <c r="A41" s="66" t="s">
        <v>84</v>
      </c>
      <c r="B41" s="66">
        <f>'M2'!B41-'M1'!B41</f>
        <v>-5.2695599999999995E-2</v>
      </c>
      <c r="C41" s="66">
        <f>'M2'!C41-'M1'!C41</f>
        <v>2.725099999999997E-2</v>
      </c>
      <c r="D41" s="66">
        <f>'M2'!D41-'M1'!D41</f>
        <v>4.5294600000000003</v>
      </c>
      <c r="E41" s="66">
        <f>'M2'!E41-'M1'!E41</f>
        <v>0</v>
      </c>
      <c r="F41" s="66">
        <f>'M2'!F41-'M1'!F41</f>
        <v>-0.16373000000000004</v>
      </c>
      <c r="G41" s="66">
        <f>'M2'!G41-'M1'!G41</f>
        <v>0</v>
      </c>
      <c r="H41" s="66">
        <f>'M2'!H41-'M1'!H41</f>
        <v>-0.10084000000000004</v>
      </c>
    </row>
    <row r="42" spans="1:8">
      <c r="A42" s="66" t="s">
        <v>85</v>
      </c>
      <c r="B42" s="66">
        <f>'M2'!B42-'M1'!B42</f>
        <v>-4.3471300000000004E-2</v>
      </c>
      <c r="C42" s="66">
        <f>'M2'!C42-'M1'!C42</f>
        <v>0.14566989999999999</v>
      </c>
      <c r="D42" s="66">
        <f>'M2'!D42-'M1'!D42</f>
        <v>2.1970480000000001</v>
      </c>
      <c r="E42" s="66">
        <f>'M2'!E42-'M1'!E42</f>
        <v>0</v>
      </c>
      <c r="F42" s="66">
        <f>'M2'!F42-'M1'!F42</f>
        <v>-0.66149930000000001</v>
      </c>
      <c r="G42" s="66">
        <f>'M2'!G42-'M1'!G42</f>
        <v>0</v>
      </c>
      <c r="H42" s="66">
        <f>'M2'!H42-'M1'!H42</f>
        <v>0.66097300000000003</v>
      </c>
    </row>
    <row r="43" spans="1:8">
      <c r="A43" s="66" t="s">
        <v>86</v>
      </c>
      <c r="B43" s="66">
        <f>'M2'!B43-'M1'!B43</f>
        <v>7.4854799999999999E-2</v>
      </c>
      <c r="C43" s="66">
        <f>'M2'!C43-'M1'!C43</f>
        <v>4.2995800000000001E-2</v>
      </c>
      <c r="D43" s="66">
        <f>'M2'!D43-'M1'!D43</f>
        <v>4.7065999999999997E-2</v>
      </c>
      <c r="E43" s="66">
        <f>'M2'!E43-'M1'!E43</f>
        <v>0</v>
      </c>
      <c r="F43" s="66">
        <f>'M2'!F43-'M1'!F43</f>
        <v>-0.4732538</v>
      </c>
      <c r="G43" s="66">
        <f>'M2'!G43-'M1'!G43</f>
        <v>0</v>
      </c>
      <c r="H43" s="66">
        <f>'M2'!H43-'M1'!H43</f>
        <v>-2.2000000000022002E-5</v>
      </c>
    </row>
    <row r="44" spans="1:8">
      <c r="A44" s="66" t="s">
        <v>87</v>
      </c>
      <c r="B44" s="66">
        <f>'M2'!B44-'M1'!B44</f>
        <v>-5.8286000000000016</v>
      </c>
      <c r="C44" s="66">
        <f>'M2'!C44-'M1'!C44</f>
        <v>4.5559100000000008</v>
      </c>
      <c r="D44" s="66">
        <f>'M2'!D44-'M1'!D44</f>
        <v>-8.0725000000000047E-2</v>
      </c>
      <c r="E44" s="66">
        <f>'M2'!E44-'M1'!E44</f>
        <v>0</v>
      </c>
      <c r="F44" s="66">
        <f>'M2'!F44-'M1'!F44</f>
        <v>-42.372700000000002</v>
      </c>
      <c r="G44" s="66">
        <f>'M2'!G44-'M1'!G44</f>
        <v>0</v>
      </c>
      <c r="H44" s="66">
        <f>'M2'!H44-'M1'!H44</f>
        <v>-7.5047600000000001</v>
      </c>
    </row>
    <row r="45" spans="1:8">
      <c r="A45" s="66" t="s">
        <v>88</v>
      </c>
      <c r="B45" s="66">
        <f>'M2'!B45-'M1'!B45</f>
        <v>3.4219000000000008</v>
      </c>
      <c r="C45" s="66">
        <f>'M2'!C45-'M1'!C45</f>
        <v>-0.54342000000000024</v>
      </c>
      <c r="D45" s="66">
        <f>'M2'!D45-'M1'!D45</f>
        <v>-1.4879500000000004E-2</v>
      </c>
      <c r="E45" s="66">
        <f>'M2'!E45-'M1'!E45</f>
        <v>0</v>
      </c>
      <c r="F45" s="66">
        <f>'M2'!F45-'M1'!F45</f>
        <v>9.1415999999999968</v>
      </c>
      <c r="G45" s="66">
        <f>'M2'!G45-'M1'!G45</f>
        <v>0</v>
      </c>
      <c r="H45" s="66">
        <f>'M2'!H45-'M1'!H45</f>
        <v>4.310600000000008</v>
      </c>
    </row>
    <row r="46" spans="1:8">
      <c r="A46" s="66" t="s">
        <v>89</v>
      </c>
      <c r="B46" s="66">
        <f>'M2'!B46-'M1'!B46</f>
        <v>4.5268999999999977</v>
      </c>
      <c r="C46" s="66">
        <f>'M2'!C46-'M1'!C46</f>
        <v>-4.0956600000000005</v>
      </c>
      <c r="D46" s="66">
        <f>'M2'!D46-'M1'!D46</f>
        <v>-0.1121538</v>
      </c>
      <c r="E46" s="66">
        <f>'M2'!E46-'M1'!E46</f>
        <v>0</v>
      </c>
      <c r="F46" s="66">
        <f>'M2'!F46-'M1'!F46</f>
        <v>23.118100000000002</v>
      </c>
      <c r="G46" s="66">
        <f>'M2'!G46-'M1'!G46</f>
        <v>0</v>
      </c>
      <c r="H46" s="66">
        <f>'M2'!H46-'M1'!H46</f>
        <v>7.9365000000000023</v>
      </c>
    </row>
    <row r="47" spans="1:8">
      <c r="A47" s="66" t="s">
        <v>90</v>
      </c>
      <c r="B47" s="66">
        <f>'M2'!B47-'M1'!B47</f>
        <v>-7.8610000000000069E-2</v>
      </c>
      <c r="C47" s="66">
        <f>'M2'!C47-'M1'!C47</f>
        <v>-1.4124000000000025E-2</v>
      </c>
      <c r="D47" s="66">
        <f>'M2'!D47-'M1'!D47</f>
        <v>9.0349999999999597E-3</v>
      </c>
      <c r="E47" s="66">
        <f>'M2'!E47-'M1'!E47</f>
        <v>0</v>
      </c>
      <c r="F47" s="66">
        <f>'M2'!F47-'M1'!F47</f>
        <v>-2.6730000000000032E-2</v>
      </c>
      <c r="G47" s="66">
        <f>'M2'!G47-'M1'!G47</f>
        <v>0</v>
      </c>
      <c r="H47" s="66">
        <f>'M2'!H47-'M1'!H47</f>
        <v>-0.18697000000000008</v>
      </c>
    </row>
    <row r="48" spans="1:8">
      <c r="A48" s="66" t="s">
        <v>91</v>
      </c>
      <c r="B48" s="66">
        <f>'M2'!B48-'M1'!B48</f>
        <v>-0.19401400000000013</v>
      </c>
      <c r="C48" s="66">
        <f>'M2'!C48-'M1'!C48</f>
        <v>-6.2913799999999992E-2</v>
      </c>
      <c r="D48" s="66">
        <f>'M2'!D48-'M1'!D48</f>
        <v>-4.2469900000000005E-2</v>
      </c>
      <c r="E48" s="66">
        <f>'M2'!E48-'M1'!E48</f>
        <v>0</v>
      </c>
      <c r="F48" s="66">
        <f>'M2'!F48-'M1'!F48</f>
        <v>-4.9011999999999944E-2</v>
      </c>
      <c r="G48" s="66">
        <f>'M2'!G48-'M1'!G48</f>
        <v>0</v>
      </c>
      <c r="H48" s="66">
        <f>'M2'!H48-'M1'!H48</f>
        <v>-0.24537999999999993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48.557899999999997</v>
      </c>
      <c r="C5" s="66">
        <v>9.0882299999999994</v>
      </c>
      <c r="D5" s="66">
        <v>18.7163</v>
      </c>
      <c r="E5" s="66">
        <v>20</v>
      </c>
      <c r="F5" s="66">
        <v>20.315200000000001</v>
      </c>
      <c r="G5" s="66">
        <v>50</v>
      </c>
      <c r="H5" s="66">
        <v>57.638500000000001</v>
      </c>
    </row>
    <row r="6" spans="1:8">
      <c r="A6" s="66" t="s">
        <v>303</v>
      </c>
      <c r="B6" s="66">
        <v>32.698399999999999</v>
      </c>
      <c r="C6" s="66">
        <v>1.9810099999999999</v>
      </c>
      <c r="D6" s="66">
        <v>6.0584300000000004</v>
      </c>
      <c r="E6" s="66">
        <v>20</v>
      </c>
      <c r="F6" s="66">
        <v>27.5215</v>
      </c>
      <c r="G6" s="66">
        <v>40</v>
      </c>
      <c r="H6" s="66">
        <v>35.361800000000002</v>
      </c>
    </row>
    <row r="7" spans="1:8">
      <c r="A7" s="66" t="s">
        <v>304</v>
      </c>
      <c r="B7" s="66">
        <v>22.803000000000001</v>
      </c>
      <c r="C7" s="66">
        <v>5.3472200000000001</v>
      </c>
      <c r="D7" s="66">
        <v>23.4496</v>
      </c>
      <c r="E7" s="66">
        <v>15</v>
      </c>
      <c r="F7" s="66">
        <v>7.2719899999999997</v>
      </c>
      <c r="G7" s="66">
        <v>40</v>
      </c>
      <c r="H7" s="66">
        <v>30.995000000000001</v>
      </c>
    </row>
    <row r="8" spans="1:8">
      <c r="A8" s="66" t="s">
        <v>305</v>
      </c>
      <c r="B8" s="66">
        <v>35.088000000000001</v>
      </c>
      <c r="C8" s="66">
        <v>5.1096300000000001</v>
      </c>
      <c r="D8" s="66">
        <v>14.5623</v>
      </c>
      <c r="E8" s="66">
        <v>20</v>
      </c>
      <c r="F8" s="66">
        <v>20.71</v>
      </c>
      <c r="G8" s="66">
        <v>50</v>
      </c>
      <c r="H8" s="66">
        <v>37.591900000000003</v>
      </c>
    </row>
    <row r="9" spans="1:8">
      <c r="A9" s="66" t="s">
        <v>306</v>
      </c>
      <c r="B9" s="66">
        <v>57.990400000000001</v>
      </c>
      <c r="C9" s="66">
        <v>3.7720699999999998</v>
      </c>
      <c r="D9" s="66">
        <v>6.5046400000000002</v>
      </c>
      <c r="E9" s="66">
        <v>50</v>
      </c>
      <c r="F9" s="66">
        <v>46.642200000000003</v>
      </c>
      <c r="G9" s="66">
        <v>100</v>
      </c>
      <c r="H9" s="66">
        <v>69.828800000000001</v>
      </c>
    </row>
    <row r="10" spans="1:8">
      <c r="A10" s="66" t="s">
        <v>307</v>
      </c>
      <c r="B10" s="66">
        <v>74.194999999999993</v>
      </c>
      <c r="C10" s="66">
        <v>2.1197599999999999</v>
      </c>
      <c r="D10" s="66">
        <v>2.8570199999999999</v>
      </c>
      <c r="E10" s="66">
        <v>40</v>
      </c>
      <c r="F10" s="66">
        <v>69.677899999999994</v>
      </c>
      <c r="G10" s="66">
        <v>100</v>
      </c>
      <c r="H10" s="66">
        <v>79.835300000000004</v>
      </c>
    </row>
    <row r="11" spans="1:8">
      <c r="A11" s="66" t="s">
        <v>308</v>
      </c>
      <c r="B11" s="66">
        <v>29.793900000000001</v>
      </c>
      <c r="C11" s="66">
        <v>4.7781900000000004</v>
      </c>
      <c r="D11" s="66">
        <v>16.037500000000001</v>
      </c>
      <c r="E11" s="66">
        <v>10</v>
      </c>
      <c r="F11" s="66">
        <v>14.6204</v>
      </c>
      <c r="G11" s="66">
        <v>50</v>
      </c>
      <c r="H11" s="66">
        <v>34.851599999999998</v>
      </c>
    </row>
    <row r="12" spans="1:8">
      <c r="A12" s="66" t="s">
        <v>309</v>
      </c>
      <c r="B12" s="66">
        <v>65.971599999999995</v>
      </c>
      <c r="C12" s="66">
        <v>2.1970200000000002</v>
      </c>
      <c r="D12" s="66">
        <v>3.3302499999999999</v>
      </c>
      <c r="E12" s="66">
        <v>50</v>
      </c>
      <c r="F12" s="66">
        <v>60.191000000000003</v>
      </c>
      <c r="G12" s="66">
        <v>100</v>
      </c>
      <c r="H12" s="66">
        <v>72.825100000000006</v>
      </c>
    </row>
    <row r="13" spans="1:8">
      <c r="A13" s="66" t="s">
        <v>310</v>
      </c>
      <c r="B13" s="66">
        <v>16.426500000000001</v>
      </c>
      <c r="C13" s="66">
        <v>4.3779300000000001</v>
      </c>
      <c r="D13" s="66">
        <v>26.651599999999998</v>
      </c>
      <c r="E13" s="66">
        <v>10</v>
      </c>
      <c r="F13" s="66">
        <v>12.3619</v>
      </c>
      <c r="G13" s="66">
        <v>25</v>
      </c>
      <c r="H13" s="66">
        <v>36.564599999999999</v>
      </c>
    </row>
    <row r="14" spans="1:8">
      <c r="A14" s="66" t="s">
        <v>311</v>
      </c>
      <c r="B14" s="66">
        <v>43.779299999999999</v>
      </c>
      <c r="C14" s="66">
        <v>22.5579</v>
      </c>
      <c r="D14" s="66">
        <v>51.526400000000002</v>
      </c>
      <c r="E14" s="66">
        <v>10</v>
      </c>
      <c r="F14" s="66">
        <v>0.42693500000000001</v>
      </c>
      <c r="G14" s="66">
        <v>50</v>
      </c>
      <c r="H14" s="66">
        <v>71.058800000000005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0.20769599999999999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0.39854000000000001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5.3015299999999996E-3</v>
      </c>
      <c r="C20" s="66">
        <v>9.1922600000000007E-3</v>
      </c>
      <c r="D20" s="66">
        <v>1.7338899999999999</v>
      </c>
      <c r="E20" s="66">
        <v>0</v>
      </c>
      <c r="F20" s="66">
        <v>3.1057400000000001E-3</v>
      </c>
      <c r="G20" s="66">
        <v>0</v>
      </c>
      <c r="H20" s="66">
        <v>0.100173</v>
      </c>
    </row>
    <row r="21" spans="1:8">
      <c r="A21" s="66" t="s">
        <v>318</v>
      </c>
      <c r="B21" s="66">
        <v>7.9858600000000002E-2</v>
      </c>
      <c r="C21" s="66">
        <v>0.16699700000000001</v>
      </c>
      <c r="D21" s="66">
        <v>2.0911499999999998</v>
      </c>
      <c r="E21" s="66">
        <v>0</v>
      </c>
      <c r="F21" s="66">
        <v>5.4647799999999998E-3</v>
      </c>
      <c r="G21" s="66">
        <v>0</v>
      </c>
      <c r="H21" s="66">
        <v>1.3435299999999999</v>
      </c>
    </row>
    <row r="22" spans="1:8">
      <c r="A22" s="66" t="s">
        <v>319</v>
      </c>
      <c r="B22" s="66">
        <v>34.923099999999998</v>
      </c>
      <c r="C22" s="66">
        <v>7.5291100000000002</v>
      </c>
      <c r="D22" s="66">
        <v>0.215591</v>
      </c>
      <c r="E22" s="66">
        <v>0</v>
      </c>
      <c r="F22" s="66">
        <v>23.906700000000001</v>
      </c>
      <c r="G22" s="66">
        <v>0</v>
      </c>
      <c r="H22" s="66">
        <v>67.578299999999999</v>
      </c>
    </row>
    <row r="23" spans="1:8">
      <c r="A23" s="66" t="s">
        <v>320</v>
      </c>
      <c r="B23" s="66">
        <v>16.658100000000001</v>
      </c>
      <c r="C23" s="66">
        <v>2.1266500000000002</v>
      </c>
      <c r="D23" s="66">
        <v>0.127665</v>
      </c>
      <c r="E23" s="66">
        <v>0</v>
      </c>
      <c r="F23" s="66">
        <v>11.429500000000001</v>
      </c>
      <c r="G23" s="66">
        <v>0</v>
      </c>
      <c r="H23" s="66">
        <v>19.8935</v>
      </c>
    </row>
    <row r="24" spans="1:8">
      <c r="A24" s="66" t="s">
        <v>347</v>
      </c>
      <c r="B24" s="66">
        <v>5.5057200000000004E-3</v>
      </c>
      <c r="C24" s="66">
        <v>7.7612200000000001E-3</v>
      </c>
      <c r="D24" s="66">
        <v>1.4096599999999999</v>
      </c>
      <c r="E24" s="66">
        <v>0</v>
      </c>
      <c r="F24" s="66">
        <v>4.0595199999999996E-3</v>
      </c>
      <c r="G24" s="66">
        <v>0</v>
      </c>
      <c r="H24" s="66">
        <v>7.2872300000000001E-2</v>
      </c>
    </row>
    <row r="25" spans="1:8">
      <c r="A25" s="66" t="s">
        <v>322</v>
      </c>
      <c r="B25" s="66">
        <v>7.8172400000000003E-2</v>
      </c>
      <c r="C25" s="66">
        <v>9.2855900000000005E-2</v>
      </c>
      <c r="D25" s="66">
        <v>1.1878299999999999</v>
      </c>
      <c r="E25" s="66">
        <v>0</v>
      </c>
      <c r="F25" s="66">
        <v>4.5064E-2</v>
      </c>
      <c r="G25" s="66">
        <v>0</v>
      </c>
      <c r="H25" s="66">
        <v>0.49960399999999999</v>
      </c>
    </row>
    <row r="26" spans="1:8">
      <c r="A26" s="66" t="s">
        <v>323</v>
      </c>
      <c r="B26" s="66">
        <v>1.04714E-3</v>
      </c>
      <c r="C26" s="66">
        <v>1.8465000000000001E-3</v>
      </c>
      <c r="D26" s="66">
        <v>1.7633799999999999</v>
      </c>
      <c r="E26" s="66">
        <v>0</v>
      </c>
      <c r="F26" s="66">
        <v>5.0223200000000003E-4</v>
      </c>
      <c r="G26" s="66">
        <v>0</v>
      </c>
      <c r="H26" s="66">
        <v>1.77357E-2</v>
      </c>
    </row>
    <row r="27" spans="1:8">
      <c r="A27" s="66" t="s">
        <v>324</v>
      </c>
      <c r="B27" s="196">
        <v>-6.5651299999999996E-6</v>
      </c>
      <c r="C27" s="66">
        <v>4.9790200000000005E-4</v>
      </c>
      <c r="D27" s="66">
        <v>-75.840500000000006</v>
      </c>
      <c r="E27" s="66">
        <v>0</v>
      </c>
      <c r="F27" s="66">
        <v>-5.5114200000000004E-3</v>
      </c>
      <c r="G27" s="66">
        <v>0</v>
      </c>
      <c r="H27" s="66">
        <v>4.6481099999999996E-3</v>
      </c>
    </row>
    <row r="28" spans="1:8">
      <c r="A28" s="66" t="s">
        <v>325</v>
      </c>
      <c r="B28" s="66">
        <v>1.3896500000000001E-2</v>
      </c>
      <c r="C28" s="66">
        <v>1.24105E-2</v>
      </c>
      <c r="D28" s="66">
        <v>0.893065</v>
      </c>
      <c r="E28" s="66">
        <v>0</v>
      </c>
      <c r="F28" s="66">
        <v>1.35417E-3</v>
      </c>
      <c r="G28" s="66">
        <v>0</v>
      </c>
      <c r="H28" s="66">
        <v>8.7236300000000003E-2</v>
      </c>
    </row>
    <row r="29" spans="1:8">
      <c r="A29" s="66" t="s">
        <v>326</v>
      </c>
      <c r="B29" s="66">
        <v>79.433599999999998</v>
      </c>
      <c r="C29" s="66">
        <v>7.1765299999999996</v>
      </c>
      <c r="D29" s="66">
        <v>9.0346399999999993E-2</v>
      </c>
      <c r="E29" s="66">
        <v>0</v>
      </c>
      <c r="F29" s="66">
        <v>57.988999999999997</v>
      </c>
      <c r="G29" s="66">
        <v>0</v>
      </c>
      <c r="H29" s="66">
        <v>96.765299999999996</v>
      </c>
    </row>
    <row r="30" spans="1:8">
      <c r="A30" s="66" t="s">
        <v>327</v>
      </c>
      <c r="B30" s="66">
        <v>24.961300000000001</v>
      </c>
      <c r="C30" s="66">
        <v>4.98095</v>
      </c>
      <c r="D30" s="66">
        <v>0.199547</v>
      </c>
      <c r="E30" s="66">
        <v>0</v>
      </c>
      <c r="F30" s="66">
        <v>15.8528</v>
      </c>
      <c r="G30" s="66">
        <v>0</v>
      </c>
      <c r="H30" s="66">
        <v>34.531199999999998</v>
      </c>
    </row>
    <row r="31" spans="1:8">
      <c r="A31" s="66" t="s">
        <v>328</v>
      </c>
      <c r="B31" s="66">
        <v>118.203</v>
      </c>
      <c r="C31" s="66">
        <v>21.162800000000001</v>
      </c>
      <c r="D31" s="66">
        <v>0.179038</v>
      </c>
      <c r="E31" s="66">
        <v>0</v>
      </c>
      <c r="F31" s="66">
        <v>54.908900000000003</v>
      </c>
      <c r="G31" s="66">
        <v>0</v>
      </c>
      <c r="H31" s="66">
        <v>132.471</v>
      </c>
    </row>
    <row r="32" spans="1:8">
      <c r="A32" s="66" t="s">
        <v>329</v>
      </c>
      <c r="B32" s="66">
        <v>0.22803000000000001</v>
      </c>
      <c r="C32" s="66">
        <v>5.3472199999999998E-2</v>
      </c>
      <c r="D32" s="66">
        <v>0.23449600000000001</v>
      </c>
      <c r="E32" s="66">
        <v>0.15</v>
      </c>
      <c r="F32" s="66">
        <v>7.2719900000000004E-2</v>
      </c>
      <c r="G32" s="66">
        <v>0.4</v>
      </c>
      <c r="H32" s="66">
        <v>0.30995</v>
      </c>
    </row>
    <row r="33" spans="1:8">
      <c r="A33" s="66" t="s">
        <v>330</v>
      </c>
      <c r="B33" s="66">
        <v>0.338175</v>
      </c>
      <c r="C33" s="66">
        <v>3.1288900000000001E-2</v>
      </c>
      <c r="D33" s="66">
        <v>9.2522800000000002E-2</v>
      </c>
      <c r="E33" s="66">
        <v>0</v>
      </c>
      <c r="F33" s="66">
        <v>0.204156</v>
      </c>
      <c r="G33" s="66">
        <v>0</v>
      </c>
      <c r="H33" s="66">
        <v>0.40661900000000001</v>
      </c>
    </row>
    <row r="34" spans="1:8">
      <c r="A34" s="66" t="s">
        <v>331</v>
      </c>
      <c r="B34" s="66">
        <v>0.16426499999999999</v>
      </c>
      <c r="C34" s="66">
        <v>4.37793E-2</v>
      </c>
      <c r="D34" s="66">
        <v>0.26651599999999998</v>
      </c>
      <c r="E34" s="66">
        <v>0.1</v>
      </c>
      <c r="F34" s="66">
        <v>0.12361900000000001</v>
      </c>
      <c r="G34" s="66">
        <v>0.25</v>
      </c>
      <c r="H34" s="66">
        <v>0.36564600000000003</v>
      </c>
    </row>
    <row r="35" spans="1:8">
      <c r="A35" s="66" t="s">
        <v>332</v>
      </c>
      <c r="B35" s="66">
        <v>6.6942299999999996E-2</v>
      </c>
      <c r="C35" s="66">
        <v>2.48705E-2</v>
      </c>
      <c r="D35" s="66">
        <v>0.37152099999999999</v>
      </c>
      <c r="E35" s="66">
        <v>0</v>
      </c>
      <c r="F35" s="66">
        <v>3.85029E-2</v>
      </c>
      <c r="G35" s="66">
        <v>0</v>
      </c>
      <c r="H35" s="66">
        <v>0.185722</v>
      </c>
    </row>
    <row r="36" spans="1:8">
      <c r="A36" s="66" t="s">
        <v>333</v>
      </c>
      <c r="B36" s="66">
        <v>0.15579399999999999</v>
      </c>
      <c r="C36" s="66">
        <v>8.4935399999999994E-2</v>
      </c>
      <c r="D36" s="66">
        <v>0.54517899999999997</v>
      </c>
      <c r="E36" s="66">
        <v>0</v>
      </c>
      <c r="F36" s="66">
        <v>3.7966600000000003E-2</v>
      </c>
      <c r="G36" s="66">
        <v>0</v>
      </c>
      <c r="H36" s="66">
        <v>0.58787699999999998</v>
      </c>
    </row>
    <row r="37" spans="1:8">
      <c r="A37" s="66" t="s">
        <v>334</v>
      </c>
      <c r="B37" s="66">
        <v>0.43779299999999999</v>
      </c>
      <c r="C37" s="66">
        <v>0.225579</v>
      </c>
      <c r="D37" s="66">
        <v>0.51526400000000006</v>
      </c>
      <c r="E37" s="66">
        <v>0.1</v>
      </c>
      <c r="F37" s="66">
        <v>4.2693499999999999E-3</v>
      </c>
      <c r="G37" s="66">
        <v>0.5</v>
      </c>
      <c r="H37" s="66">
        <v>0.710588</v>
      </c>
    </row>
    <row r="38" spans="1:8">
      <c r="A38" s="66" t="s">
        <v>335</v>
      </c>
      <c r="B38" s="66">
        <v>-6.8384900000000002</v>
      </c>
      <c r="C38" s="66">
        <v>36.089799999999997</v>
      </c>
      <c r="D38" s="66">
        <v>-5.27745</v>
      </c>
      <c r="E38" s="66">
        <v>0</v>
      </c>
      <c r="F38" s="66">
        <v>-132.232</v>
      </c>
      <c r="G38" s="66">
        <v>0</v>
      </c>
      <c r="H38" s="66">
        <v>102.33499999999999</v>
      </c>
    </row>
    <row r="39" spans="1:8">
      <c r="A39" s="66" t="s">
        <v>336</v>
      </c>
      <c r="B39" s="66">
        <v>2.5769600000000001</v>
      </c>
      <c r="C39" s="66">
        <v>1.9682200000000001</v>
      </c>
      <c r="D39" s="66">
        <v>0.76377499999999998</v>
      </c>
      <c r="E39" s="66">
        <v>0</v>
      </c>
      <c r="F39" s="66">
        <v>-4.38096</v>
      </c>
      <c r="G39" s="66">
        <v>0</v>
      </c>
      <c r="H39" s="66">
        <v>7.2168299999999999</v>
      </c>
    </row>
    <row r="40" spans="1:8">
      <c r="A40" s="66" t="s">
        <v>337</v>
      </c>
      <c r="B40" s="66">
        <v>1.62992</v>
      </c>
      <c r="C40" s="66">
        <v>0.54927099999999995</v>
      </c>
      <c r="D40" s="66">
        <v>0.33699299999999999</v>
      </c>
      <c r="E40" s="66">
        <v>0</v>
      </c>
      <c r="F40" s="66">
        <v>0.68767999999999996</v>
      </c>
      <c r="G40" s="66">
        <v>0</v>
      </c>
      <c r="H40" s="66">
        <v>3.2693099999999999</v>
      </c>
    </row>
    <row r="41" spans="1:8">
      <c r="A41" s="66" t="s">
        <v>338</v>
      </c>
      <c r="B41" s="66">
        <v>9.2823699999999995E-2</v>
      </c>
      <c r="C41" s="66">
        <v>0.27216600000000002</v>
      </c>
      <c r="D41" s="66">
        <v>2.93207</v>
      </c>
      <c r="E41" s="66">
        <v>0</v>
      </c>
      <c r="F41" s="66">
        <v>-0.72588799999999998</v>
      </c>
      <c r="G41" s="66">
        <v>0</v>
      </c>
      <c r="H41" s="66">
        <v>1</v>
      </c>
    </row>
    <row r="42" spans="1:8">
      <c r="A42" s="66" t="s">
        <v>339</v>
      </c>
      <c r="B42" s="66">
        <v>0.11702700000000001</v>
      </c>
      <c r="C42" s="66">
        <v>4.2901099999999998E-2</v>
      </c>
      <c r="D42" s="66">
        <v>0.36659199999999997</v>
      </c>
      <c r="E42" s="66">
        <v>0</v>
      </c>
      <c r="F42" s="66">
        <v>-2.8792700000000001E-2</v>
      </c>
      <c r="G42" s="66">
        <v>0</v>
      </c>
      <c r="H42" s="66">
        <v>0.20993999999999999</v>
      </c>
    </row>
    <row r="43" spans="1:8">
      <c r="A43" s="66" t="s">
        <v>340</v>
      </c>
      <c r="B43" s="66">
        <v>9.5685199999999998E-2</v>
      </c>
      <c r="C43" s="66">
        <v>4.4700400000000001E-2</v>
      </c>
      <c r="D43" s="66">
        <v>0.46716099999999999</v>
      </c>
      <c r="E43" s="66">
        <v>0</v>
      </c>
      <c r="F43" s="66">
        <v>2.74188E-2</v>
      </c>
      <c r="G43" s="66">
        <v>0</v>
      </c>
      <c r="H43" s="66">
        <v>0.21637300000000001</v>
      </c>
    </row>
    <row r="44" spans="1:8">
      <c r="A44" s="66" t="s">
        <v>341</v>
      </c>
      <c r="B44" s="66">
        <v>-12.273</v>
      </c>
      <c r="C44" s="66">
        <v>6.5161899999999999</v>
      </c>
      <c r="D44" s="66">
        <v>-0.53093699999999999</v>
      </c>
      <c r="E44" s="66">
        <v>0</v>
      </c>
      <c r="F44" s="66">
        <v>-19.9985</v>
      </c>
      <c r="G44" s="66">
        <v>0</v>
      </c>
      <c r="H44" s="66">
        <v>2.8919800000000002</v>
      </c>
    </row>
    <row r="45" spans="1:8">
      <c r="A45" s="66" t="s">
        <v>342</v>
      </c>
      <c r="B45" s="66">
        <v>53.174700000000001</v>
      </c>
      <c r="C45" s="66">
        <v>4.6418900000000001</v>
      </c>
      <c r="D45" s="66">
        <v>8.7294999999999998E-2</v>
      </c>
      <c r="E45" s="66">
        <v>0</v>
      </c>
      <c r="F45" s="66">
        <v>40.4238</v>
      </c>
      <c r="G45" s="66">
        <v>0</v>
      </c>
      <c r="H45" s="66">
        <v>63.228099999999998</v>
      </c>
    </row>
    <row r="46" spans="1:8">
      <c r="A46" s="66" t="s">
        <v>343</v>
      </c>
      <c r="B46" s="66">
        <v>39.262700000000002</v>
      </c>
      <c r="C46" s="66">
        <v>7.0731000000000002</v>
      </c>
      <c r="D46" s="66">
        <v>0.180148</v>
      </c>
      <c r="E46" s="66">
        <v>0</v>
      </c>
      <c r="F46" s="66">
        <v>17.400200000000002</v>
      </c>
      <c r="G46" s="66">
        <v>0</v>
      </c>
      <c r="H46" s="66">
        <v>43.335299999999997</v>
      </c>
    </row>
    <row r="47" spans="1:8">
      <c r="A47" s="66" t="s">
        <v>344</v>
      </c>
      <c r="B47" s="66">
        <v>1.0697700000000001</v>
      </c>
      <c r="C47" s="66">
        <v>0.31407400000000002</v>
      </c>
      <c r="D47" s="66">
        <v>0.29359000000000002</v>
      </c>
      <c r="E47" s="66">
        <v>0</v>
      </c>
      <c r="F47" s="66">
        <v>0.45981300000000003</v>
      </c>
      <c r="G47" s="66">
        <v>0</v>
      </c>
      <c r="H47" s="66">
        <v>2.3356400000000002</v>
      </c>
    </row>
    <row r="48" spans="1:8">
      <c r="A48" s="66" t="s">
        <v>345</v>
      </c>
      <c r="B48" s="66">
        <v>1.1147100000000001</v>
      </c>
      <c r="C48" s="66">
        <v>0.13680899999999999</v>
      </c>
      <c r="D48" s="66">
        <v>0.12273000000000001</v>
      </c>
      <c r="E48" s="66">
        <v>0</v>
      </c>
      <c r="F48" s="66">
        <v>0.88190299999999999</v>
      </c>
      <c r="G48" s="66">
        <v>0</v>
      </c>
      <c r="H48" s="66">
        <v>1.34893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56.469799999999999</v>
      </c>
      <c r="C5" s="66">
        <v>7.4095399999999998</v>
      </c>
      <c r="D5" s="66">
        <v>13.1212</v>
      </c>
      <c r="E5" s="66">
        <v>20</v>
      </c>
      <c r="F5" s="66">
        <v>48.3673</v>
      </c>
      <c r="G5" s="66">
        <v>50</v>
      </c>
      <c r="H5" s="66">
        <v>75.146500000000003</v>
      </c>
    </row>
    <row r="6" spans="1:8">
      <c r="A6" s="66" t="s">
        <v>303</v>
      </c>
      <c r="B6" s="66">
        <v>34.955399999999997</v>
      </c>
      <c r="C6" s="66">
        <v>2.12799</v>
      </c>
      <c r="D6" s="66">
        <v>6.0877400000000002</v>
      </c>
      <c r="E6" s="66">
        <v>20</v>
      </c>
      <c r="F6" s="66">
        <v>33.847499999999997</v>
      </c>
      <c r="G6" s="66">
        <v>40</v>
      </c>
      <c r="H6" s="66">
        <v>43.633499999999998</v>
      </c>
    </row>
    <row r="7" spans="1:8">
      <c r="A7" s="66" t="s">
        <v>304</v>
      </c>
      <c r="B7" s="66">
        <v>26.421399999999998</v>
      </c>
      <c r="C7" s="66">
        <v>8.5444700000000005</v>
      </c>
      <c r="D7" s="66">
        <v>32.339199999999998</v>
      </c>
      <c r="E7" s="66">
        <v>15</v>
      </c>
      <c r="F7" s="66">
        <v>2.8286699999999998</v>
      </c>
      <c r="G7" s="66">
        <v>40</v>
      </c>
      <c r="H7" s="66">
        <v>42.5062</v>
      </c>
    </row>
    <row r="8" spans="1:8">
      <c r="A8" s="66" t="s">
        <v>305</v>
      </c>
      <c r="B8" s="66">
        <v>38.194099999999999</v>
      </c>
      <c r="C8" s="66">
        <v>3.3692199999999999</v>
      </c>
      <c r="D8" s="66">
        <v>8.8213000000000008</v>
      </c>
      <c r="E8" s="66">
        <v>20</v>
      </c>
      <c r="F8" s="66">
        <v>34.682899999999997</v>
      </c>
      <c r="G8" s="66">
        <v>50</v>
      </c>
      <c r="H8" s="66">
        <v>46.389499999999998</v>
      </c>
    </row>
    <row r="9" spans="1:8">
      <c r="A9" s="66" t="s">
        <v>306</v>
      </c>
      <c r="B9" s="66">
        <v>61.490200000000002</v>
      </c>
      <c r="C9" s="66">
        <v>8.6378599999999999</v>
      </c>
      <c r="D9" s="66">
        <v>14.047499999999999</v>
      </c>
      <c r="E9" s="66">
        <v>50</v>
      </c>
      <c r="F9" s="66">
        <v>37.1342</v>
      </c>
      <c r="G9" s="66">
        <v>100</v>
      </c>
      <c r="H9" s="66">
        <v>69.038600000000002</v>
      </c>
    </row>
    <row r="10" spans="1:8">
      <c r="A10" s="66" t="s">
        <v>307</v>
      </c>
      <c r="B10" s="66">
        <v>67.036199999999994</v>
      </c>
      <c r="C10" s="66">
        <v>3.2781799999999999</v>
      </c>
      <c r="D10" s="66">
        <v>4.8901599999999998</v>
      </c>
      <c r="E10" s="66">
        <v>40</v>
      </c>
      <c r="F10" s="66">
        <v>57.006399999999999</v>
      </c>
      <c r="G10" s="66">
        <v>100</v>
      </c>
      <c r="H10" s="66">
        <v>71.940899999999999</v>
      </c>
    </row>
    <row r="11" spans="1:8">
      <c r="A11" s="66" t="s">
        <v>308</v>
      </c>
      <c r="B11" s="66">
        <v>31.2912</v>
      </c>
      <c r="C11" s="66">
        <v>1.4936700000000001</v>
      </c>
      <c r="D11" s="66">
        <v>4.7734399999999999</v>
      </c>
      <c r="E11" s="66">
        <v>10</v>
      </c>
      <c r="F11" s="66">
        <v>28.8873</v>
      </c>
      <c r="G11" s="66">
        <v>50</v>
      </c>
      <c r="H11" s="66">
        <v>34.340699999999998</v>
      </c>
    </row>
    <row r="12" spans="1:8">
      <c r="A12" s="66" t="s">
        <v>309</v>
      </c>
      <c r="B12" s="66">
        <v>64.185199999999995</v>
      </c>
      <c r="C12" s="66">
        <v>5.6582299999999996</v>
      </c>
      <c r="D12" s="66">
        <v>8.8154699999999995</v>
      </c>
      <c r="E12" s="66">
        <v>50</v>
      </c>
      <c r="F12" s="66">
        <v>50.035600000000002</v>
      </c>
      <c r="G12" s="66">
        <v>100</v>
      </c>
      <c r="H12" s="66">
        <v>69.368799999999993</v>
      </c>
    </row>
    <row r="13" spans="1:8">
      <c r="A13" s="66" t="s">
        <v>310</v>
      </c>
      <c r="B13" s="66">
        <v>16.722300000000001</v>
      </c>
      <c r="C13" s="66">
        <v>3.15219</v>
      </c>
      <c r="D13" s="66">
        <v>18.850200000000001</v>
      </c>
      <c r="E13" s="66">
        <v>10</v>
      </c>
      <c r="F13" s="66">
        <v>13.4321</v>
      </c>
      <c r="G13" s="66">
        <v>25</v>
      </c>
      <c r="H13" s="66">
        <v>34.369399999999999</v>
      </c>
    </row>
    <row r="14" spans="1:8">
      <c r="A14" s="66" t="s">
        <v>311</v>
      </c>
      <c r="B14" s="66">
        <v>31.521899999999999</v>
      </c>
      <c r="C14" s="66">
        <v>16.9102</v>
      </c>
      <c r="D14" s="66">
        <v>53.645899999999997</v>
      </c>
      <c r="E14" s="66">
        <v>10</v>
      </c>
      <c r="F14" s="66">
        <v>2.1757399999999998</v>
      </c>
      <c r="G14" s="66">
        <v>50</v>
      </c>
      <c r="H14" s="66">
        <v>82.611699999999999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0.347744</v>
      </c>
      <c r="C18" s="66">
        <v>1.9889500000000001E-2</v>
      </c>
      <c r="D18" s="66">
        <v>5.7195900000000001E-2</v>
      </c>
      <c r="E18" s="66">
        <v>0</v>
      </c>
      <c r="F18" s="66">
        <v>0.32785399999999998</v>
      </c>
      <c r="G18" s="66">
        <v>0</v>
      </c>
      <c r="H18" s="66">
        <v>0.36763400000000002</v>
      </c>
    </row>
    <row r="19" spans="1:8">
      <c r="A19" s="66" t="s">
        <v>316</v>
      </c>
      <c r="B19" s="66">
        <v>0.46540799999999999</v>
      </c>
      <c r="C19" s="66">
        <v>1.4984000000000001E-2</v>
      </c>
      <c r="D19" s="66">
        <v>3.2195399999999999E-2</v>
      </c>
      <c r="E19" s="66">
        <v>0</v>
      </c>
      <c r="F19" s="66">
        <v>0.45042399999999999</v>
      </c>
      <c r="G19" s="66">
        <v>0</v>
      </c>
      <c r="H19" s="66">
        <v>0.48039199999999999</v>
      </c>
    </row>
    <row r="20" spans="1:8">
      <c r="A20" s="66" t="s">
        <v>317</v>
      </c>
      <c r="B20" s="66">
        <v>5.9433999999999997E-3</v>
      </c>
      <c r="C20" s="66">
        <v>0.72208799999999995</v>
      </c>
      <c r="D20" s="66">
        <v>121.494</v>
      </c>
      <c r="E20" s="66">
        <v>0</v>
      </c>
      <c r="F20" s="66">
        <v>3.2150500000000001E-3</v>
      </c>
      <c r="G20" s="66">
        <v>0</v>
      </c>
      <c r="H20" s="66">
        <v>6.31792</v>
      </c>
    </row>
    <row r="21" spans="1:8">
      <c r="A21" s="66" t="s">
        <v>318</v>
      </c>
      <c r="B21" s="66">
        <v>0.10931</v>
      </c>
      <c r="C21" s="66">
        <v>2.4980199999999999</v>
      </c>
      <c r="D21" s="66">
        <v>22.852599999999999</v>
      </c>
      <c r="E21" s="66">
        <v>0</v>
      </c>
      <c r="F21" s="66">
        <v>8.7078199999999998E-3</v>
      </c>
      <c r="G21" s="66">
        <v>0</v>
      </c>
      <c r="H21" s="66">
        <v>16.904299999999999</v>
      </c>
    </row>
    <row r="22" spans="1:8">
      <c r="A22" s="66" t="s">
        <v>319</v>
      </c>
      <c r="B22" s="66">
        <v>39.357900000000001</v>
      </c>
      <c r="C22" s="66">
        <v>49.474299999999999</v>
      </c>
      <c r="D22" s="66">
        <v>1.2570399999999999</v>
      </c>
      <c r="E22" s="66">
        <v>0</v>
      </c>
      <c r="F22" s="66">
        <v>27.686</v>
      </c>
      <c r="G22" s="66">
        <v>0</v>
      </c>
      <c r="H22" s="66">
        <v>278.23899999999998</v>
      </c>
    </row>
    <row r="23" spans="1:8">
      <c r="A23" s="66" t="s">
        <v>320</v>
      </c>
      <c r="B23" s="66">
        <v>21.0641</v>
      </c>
      <c r="C23" s="66">
        <v>2.65483</v>
      </c>
      <c r="D23" s="66">
        <v>0.12603600000000001</v>
      </c>
      <c r="E23" s="66">
        <v>0</v>
      </c>
      <c r="F23" s="66">
        <v>14.2143</v>
      </c>
      <c r="G23" s="66">
        <v>0</v>
      </c>
      <c r="H23" s="66">
        <v>24.777999999999999</v>
      </c>
    </row>
    <row r="24" spans="1:8">
      <c r="A24" s="66" t="s">
        <v>321</v>
      </c>
      <c r="B24" s="66">
        <v>6.5023800000000003E-3</v>
      </c>
      <c r="C24" s="66">
        <v>0.68184999999999996</v>
      </c>
      <c r="D24" s="66">
        <v>104.86199999999999</v>
      </c>
      <c r="E24" s="66">
        <v>0</v>
      </c>
      <c r="F24" s="66">
        <v>4.2400099999999998E-3</v>
      </c>
      <c r="G24" s="66">
        <v>0</v>
      </c>
      <c r="H24" s="66">
        <v>5.2594599999999998</v>
      </c>
    </row>
    <row r="25" spans="1:8">
      <c r="A25" s="66" t="s">
        <v>322</v>
      </c>
      <c r="B25" s="66">
        <v>0.103601</v>
      </c>
      <c r="C25" s="66">
        <v>1.77946</v>
      </c>
      <c r="D25" s="66">
        <v>17.176100000000002</v>
      </c>
      <c r="E25" s="66">
        <v>0</v>
      </c>
      <c r="F25" s="66">
        <v>4.6834099999999997E-2</v>
      </c>
      <c r="G25" s="66">
        <v>0</v>
      </c>
      <c r="H25" s="66">
        <v>8.1558200000000003</v>
      </c>
    </row>
    <row r="26" spans="1:8">
      <c r="A26" s="66" t="s">
        <v>323</v>
      </c>
      <c r="B26" s="66">
        <v>1.2802E-3</v>
      </c>
      <c r="C26" s="66">
        <v>2.4091899999999999E-2</v>
      </c>
      <c r="D26" s="66">
        <v>18.818899999999999</v>
      </c>
      <c r="E26" s="66">
        <v>0</v>
      </c>
      <c r="F26" s="66">
        <v>5.3177499999999996E-4</v>
      </c>
      <c r="G26" s="66">
        <v>0</v>
      </c>
      <c r="H26" s="66">
        <v>0.20533399999999999</v>
      </c>
    </row>
    <row r="27" spans="1:8">
      <c r="A27" s="66" t="s">
        <v>324</v>
      </c>
      <c r="B27" s="196">
        <v>-2.2977899999999999E-5</v>
      </c>
      <c r="C27" s="66">
        <v>3.42574E-3</v>
      </c>
      <c r="D27" s="66">
        <v>-149.08799999999999</v>
      </c>
      <c r="E27" s="66">
        <v>0</v>
      </c>
      <c r="F27" s="66">
        <v>-2.1451499999999998E-2</v>
      </c>
      <c r="G27" s="66">
        <v>0</v>
      </c>
      <c r="H27" s="66">
        <v>2.6897299999999999E-2</v>
      </c>
    </row>
    <row r="28" spans="1:8">
      <c r="A28" s="66" t="s">
        <v>325</v>
      </c>
      <c r="B28" s="66">
        <v>1.66667E-2</v>
      </c>
      <c r="C28" s="66">
        <v>3.9612700000000001E-2</v>
      </c>
      <c r="D28" s="66">
        <v>2.37676</v>
      </c>
      <c r="E28" s="66">
        <v>0</v>
      </c>
      <c r="F28" s="66">
        <v>1.89128E-3</v>
      </c>
      <c r="G28" s="66">
        <v>0</v>
      </c>
      <c r="H28" s="66">
        <v>0.288522</v>
      </c>
    </row>
    <row r="29" spans="1:8">
      <c r="A29" s="66" t="s">
        <v>326</v>
      </c>
      <c r="B29" s="66">
        <v>79.497</v>
      </c>
      <c r="C29" s="66">
        <v>8.4549099999999999</v>
      </c>
      <c r="D29" s="66">
        <v>0.10635500000000001</v>
      </c>
      <c r="E29" s="66">
        <v>0</v>
      </c>
      <c r="F29" s="66">
        <v>55.912199999999999</v>
      </c>
      <c r="G29" s="66">
        <v>0</v>
      </c>
      <c r="H29" s="66">
        <v>95.518900000000002</v>
      </c>
    </row>
    <row r="30" spans="1:8">
      <c r="A30" s="66" t="s">
        <v>327</v>
      </c>
      <c r="B30" s="66">
        <v>26.1004</v>
      </c>
      <c r="C30" s="66">
        <v>9.6558600000000006</v>
      </c>
      <c r="D30" s="66">
        <v>0.36995099999999997</v>
      </c>
      <c r="E30" s="66">
        <v>0</v>
      </c>
      <c r="F30" s="66">
        <v>12.292199999999999</v>
      </c>
      <c r="G30" s="66">
        <v>0</v>
      </c>
      <c r="H30" s="66">
        <v>35.9405</v>
      </c>
    </row>
    <row r="31" spans="1:8">
      <c r="A31" s="66" t="s">
        <v>328</v>
      </c>
      <c r="B31" s="66">
        <v>124.285</v>
      </c>
      <c r="C31" s="66">
        <v>11.415699999999999</v>
      </c>
      <c r="D31" s="66">
        <v>9.1850899999999999E-2</v>
      </c>
      <c r="E31" s="66">
        <v>0</v>
      </c>
      <c r="F31" s="66">
        <v>115.899</v>
      </c>
      <c r="G31" s="66">
        <v>0</v>
      </c>
      <c r="H31" s="66">
        <v>170.49</v>
      </c>
    </row>
    <row r="32" spans="1:8">
      <c r="A32" s="66" t="s">
        <v>329</v>
      </c>
      <c r="B32" s="66">
        <v>0.264214</v>
      </c>
      <c r="C32" s="66">
        <v>8.5444699999999998E-2</v>
      </c>
      <c r="D32" s="66">
        <v>0.32339200000000001</v>
      </c>
      <c r="E32" s="66">
        <v>0.15</v>
      </c>
      <c r="F32" s="66">
        <v>2.8286700000000001E-2</v>
      </c>
      <c r="G32" s="66">
        <v>0.4</v>
      </c>
      <c r="H32" s="66">
        <v>0.425062</v>
      </c>
    </row>
    <row r="33" spans="1:8">
      <c r="A33" s="66" t="s">
        <v>330</v>
      </c>
      <c r="B33" s="66">
        <v>0.36613899999999999</v>
      </c>
      <c r="C33" s="66">
        <v>0.107839</v>
      </c>
      <c r="D33" s="66">
        <v>0.29453099999999999</v>
      </c>
      <c r="E33" s="66">
        <v>0</v>
      </c>
      <c r="F33" s="66">
        <v>0.14150599999999999</v>
      </c>
      <c r="G33" s="66">
        <v>0</v>
      </c>
      <c r="H33" s="66">
        <v>0.40724199999999999</v>
      </c>
    </row>
    <row r="34" spans="1:8">
      <c r="A34" s="66" t="s">
        <v>331</v>
      </c>
      <c r="B34" s="66">
        <v>0.16722300000000001</v>
      </c>
      <c r="C34" s="66">
        <v>3.1521899999999999E-2</v>
      </c>
      <c r="D34" s="66">
        <v>0.188502</v>
      </c>
      <c r="E34" s="66">
        <v>0.1</v>
      </c>
      <c r="F34" s="66">
        <v>0.134321</v>
      </c>
      <c r="G34" s="66">
        <v>0.25</v>
      </c>
      <c r="H34" s="66">
        <v>0.343694</v>
      </c>
    </row>
    <row r="35" spans="1:8">
      <c r="A35" s="66" t="s">
        <v>332</v>
      </c>
      <c r="B35" s="66">
        <v>6.5300200000000003E-2</v>
      </c>
      <c r="C35" s="66">
        <v>4.0205299999999999E-2</v>
      </c>
      <c r="D35" s="66">
        <v>0.61570000000000003</v>
      </c>
      <c r="E35" s="66">
        <v>0</v>
      </c>
      <c r="F35" s="66">
        <v>3.4341000000000003E-2</v>
      </c>
      <c r="G35" s="66">
        <v>0</v>
      </c>
      <c r="H35" s="66">
        <v>0.25217299999999998</v>
      </c>
    </row>
    <row r="36" spans="1:8">
      <c r="A36" s="66" t="s">
        <v>333</v>
      </c>
      <c r="B36" s="66">
        <v>0.15395500000000001</v>
      </c>
      <c r="C36" s="66">
        <v>8.6853799999999995E-2</v>
      </c>
      <c r="D36" s="66">
        <v>0.56415099999999996</v>
      </c>
      <c r="E36" s="66">
        <v>0</v>
      </c>
      <c r="F36" s="66">
        <v>3.8639199999999999E-2</v>
      </c>
      <c r="G36" s="66">
        <v>0</v>
      </c>
      <c r="H36" s="66">
        <v>0.65395199999999998</v>
      </c>
    </row>
    <row r="37" spans="1:8">
      <c r="A37" s="66" t="s">
        <v>334</v>
      </c>
      <c r="B37" s="66">
        <v>0.31521900000000003</v>
      </c>
      <c r="C37" s="66">
        <v>0.169102</v>
      </c>
      <c r="D37" s="66">
        <v>0.53645900000000002</v>
      </c>
      <c r="E37" s="66">
        <v>0.1</v>
      </c>
      <c r="F37" s="66">
        <v>2.17574E-2</v>
      </c>
      <c r="G37" s="66">
        <v>0.5</v>
      </c>
      <c r="H37" s="66">
        <v>0.82611699999999999</v>
      </c>
    </row>
    <row r="38" spans="1:8">
      <c r="A38" s="66" t="s">
        <v>335</v>
      </c>
      <c r="B38" s="66">
        <v>-17.223700000000001</v>
      </c>
      <c r="C38" s="66">
        <v>147.828</v>
      </c>
      <c r="D38" s="66">
        <v>-8.5828500000000005</v>
      </c>
      <c r="E38" s="66">
        <v>0</v>
      </c>
      <c r="F38" s="66">
        <v>-1314.35</v>
      </c>
      <c r="G38" s="66">
        <v>0</v>
      </c>
      <c r="H38" s="66">
        <v>698.37400000000002</v>
      </c>
    </row>
    <row r="39" spans="1:8">
      <c r="A39" s="66" t="s">
        <v>336</v>
      </c>
      <c r="B39" s="66">
        <v>-0.14788899999999999</v>
      </c>
      <c r="C39" s="66">
        <v>31.933</v>
      </c>
      <c r="D39" s="66">
        <v>-215.92599999999999</v>
      </c>
      <c r="E39" s="66">
        <v>0</v>
      </c>
      <c r="F39" s="66">
        <v>-151.898</v>
      </c>
      <c r="G39" s="66">
        <v>0</v>
      </c>
      <c r="H39" s="66">
        <v>146.137</v>
      </c>
    </row>
    <row r="40" spans="1:8">
      <c r="A40" s="66" t="s">
        <v>337</v>
      </c>
      <c r="B40" s="66">
        <v>2.9307099999999999</v>
      </c>
      <c r="C40" s="66">
        <v>1.87246</v>
      </c>
      <c r="D40" s="66">
        <v>0.63890800000000003</v>
      </c>
      <c r="E40" s="66">
        <v>0</v>
      </c>
      <c r="F40" s="66">
        <v>-10.125400000000001</v>
      </c>
      <c r="G40" s="66">
        <v>0</v>
      </c>
      <c r="H40" s="66">
        <v>3.9643199999999998</v>
      </c>
    </row>
    <row r="41" spans="1:8">
      <c r="A41" s="66" t="s">
        <v>338</v>
      </c>
      <c r="B41" s="66">
        <v>4.01281E-2</v>
      </c>
      <c r="C41" s="66">
        <v>0.29941699999999999</v>
      </c>
      <c r="D41" s="66">
        <v>7.4615299999999998</v>
      </c>
      <c r="E41" s="66">
        <v>0</v>
      </c>
      <c r="F41" s="66">
        <v>-0.88961800000000002</v>
      </c>
      <c r="G41" s="66">
        <v>0</v>
      </c>
      <c r="H41" s="66">
        <v>0.89915999999999996</v>
      </c>
    </row>
    <row r="42" spans="1:8">
      <c r="A42" s="66" t="s">
        <v>339</v>
      </c>
      <c r="B42" s="66">
        <v>7.3555700000000002E-2</v>
      </c>
      <c r="C42" s="66">
        <v>0.18857099999999999</v>
      </c>
      <c r="D42" s="66">
        <v>2.5636399999999999</v>
      </c>
      <c r="E42" s="66">
        <v>0</v>
      </c>
      <c r="F42" s="66">
        <v>-0.69029200000000002</v>
      </c>
      <c r="G42" s="66">
        <v>0</v>
      </c>
      <c r="H42" s="66">
        <v>0.87091300000000005</v>
      </c>
    </row>
    <row r="43" spans="1:8">
      <c r="A43" s="66" t="s">
        <v>340</v>
      </c>
      <c r="B43" s="66">
        <v>0.17054</v>
      </c>
      <c r="C43" s="66">
        <v>8.7696200000000002E-2</v>
      </c>
      <c r="D43" s="66">
        <v>0.51422699999999999</v>
      </c>
      <c r="E43" s="66">
        <v>0</v>
      </c>
      <c r="F43" s="66">
        <v>-0.44583499999999998</v>
      </c>
      <c r="G43" s="66">
        <v>0</v>
      </c>
      <c r="H43" s="66">
        <v>0.21635099999999999</v>
      </c>
    </row>
    <row r="44" spans="1:8">
      <c r="A44" s="66" t="s">
        <v>341</v>
      </c>
      <c r="B44" s="66">
        <v>-18.101600000000001</v>
      </c>
      <c r="C44" s="66">
        <v>11.072100000000001</v>
      </c>
      <c r="D44" s="66">
        <v>-0.61166200000000004</v>
      </c>
      <c r="E44" s="66">
        <v>0</v>
      </c>
      <c r="F44" s="66">
        <v>-62.371200000000002</v>
      </c>
      <c r="G44" s="66">
        <v>0</v>
      </c>
      <c r="H44" s="66">
        <v>-4.6127799999999999</v>
      </c>
    </row>
    <row r="45" spans="1:8">
      <c r="A45" s="66" t="s">
        <v>342</v>
      </c>
      <c r="B45" s="66">
        <v>56.596600000000002</v>
      </c>
      <c r="C45" s="66">
        <v>4.0984699999999998</v>
      </c>
      <c r="D45" s="66">
        <v>7.2415499999999994E-2</v>
      </c>
      <c r="E45" s="66">
        <v>0</v>
      </c>
      <c r="F45" s="66">
        <v>49.565399999999997</v>
      </c>
      <c r="G45" s="66">
        <v>0</v>
      </c>
      <c r="H45" s="66">
        <v>67.538700000000006</v>
      </c>
    </row>
    <row r="46" spans="1:8">
      <c r="A46" s="66" t="s">
        <v>343</v>
      </c>
      <c r="B46" s="66">
        <v>43.7896</v>
      </c>
      <c r="C46" s="66">
        <v>2.9774400000000001</v>
      </c>
      <c r="D46" s="66">
        <v>6.7994200000000005E-2</v>
      </c>
      <c r="E46" s="66">
        <v>0</v>
      </c>
      <c r="F46" s="66">
        <v>40.518300000000004</v>
      </c>
      <c r="G46" s="66">
        <v>0</v>
      </c>
      <c r="H46" s="66">
        <v>51.271799999999999</v>
      </c>
    </row>
    <row r="47" spans="1:8">
      <c r="A47" s="66" t="s">
        <v>344</v>
      </c>
      <c r="B47" s="66">
        <v>0.99116000000000004</v>
      </c>
      <c r="C47" s="66">
        <v>0.29994999999999999</v>
      </c>
      <c r="D47" s="66">
        <v>0.30262499999999998</v>
      </c>
      <c r="E47" s="66">
        <v>0</v>
      </c>
      <c r="F47" s="66">
        <v>0.433083</v>
      </c>
      <c r="G47" s="66">
        <v>0</v>
      </c>
      <c r="H47" s="66">
        <v>2.1486700000000001</v>
      </c>
    </row>
    <row r="48" spans="1:8">
      <c r="A48" s="66" t="s">
        <v>345</v>
      </c>
      <c r="B48" s="66">
        <v>0.92069599999999996</v>
      </c>
      <c r="C48" s="66">
        <v>7.3895199999999994E-2</v>
      </c>
      <c r="D48" s="66">
        <v>8.0260100000000001E-2</v>
      </c>
      <c r="E48" s="66">
        <v>0</v>
      </c>
      <c r="F48" s="66">
        <v>0.83289100000000005</v>
      </c>
      <c r="G48" s="66">
        <v>0</v>
      </c>
      <c r="H48" s="66">
        <v>1.10355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114.50971833673785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2.2108952641422688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0.76773593559461983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7957</v>
      </c>
      <c r="B8" s="66">
        <v>7957</v>
      </c>
      <c r="D8">
        <f t="shared" si="0"/>
        <v>3.713642982488892E-2</v>
      </c>
      <c r="E8">
        <f t="shared" si="0"/>
        <v>3.713642982488892E-2</v>
      </c>
      <c r="G8">
        <f t="shared" ca="1" si="1"/>
        <v>6</v>
      </c>
      <c r="H8">
        <f t="shared" ca="1" si="2"/>
        <v>0.22281857894933352</v>
      </c>
      <c r="I8">
        <f t="shared" ca="1" si="3"/>
        <v>437.25765575310908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11700</v>
      </c>
      <c r="B10" s="66">
        <v>11700</v>
      </c>
      <c r="D10">
        <f t="shared" si="0"/>
        <v>5.4605533360713887E-2</v>
      </c>
      <c r="E10">
        <f t="shared" si="0"/>
        <v>5.4605533360713887E-2</v>
      </c>
      <c r="G10">
        <f t="shared" ca="1" si="1"/>
        <v>8</v>
      </c>
      <c r="H10">
        <f t="shared" ca="1" si="2"/>
        <v>0.4368442668857111</v>
      </c>
      <c r="I10">
        <f t="shared" ca="1" si="3"/>
        <v>619.46264968451726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9336</v>
      </c>
      <c r="B13" s="66">
        <v>9336</v>
      </c>
      <c r="D13">
        <f t="shared" si="0"/>
        <v>4.3572415338087596E-2</v>
      </c>
      <c r="E13">
        <f t="shared" si="0"/>
        <v>4.3572415338087596E-2</v>
      </c>
      <c r="G13">
        <f t="shared" ca="1" si="1"/>
        <v>11</v>
      </c>
      <c r="H13">
        <f t="shared" ca="1" si="2"/>
        <v>0.47929656871896353</v>
      </c>
      <c r="I13">
        <f t="shared" ca="1" si="3"/>
        <v>466.84626476145274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9882</v>
      </c>
      <c r="B15" s="66">
        <v>9882</v>
      </c>
      <c r="D15">
        <f t="shared" si="0"/>
        <v>4.6120673561587576E-2</v>
      </c>
      <c r="E15">
        <f t="shared" si="0"/>
        <v>4.6120673561587576E-2</v>
      </c>
      <c r="G15">
        <f t="shared" ca="1" si="1"/>
        <v>13</v>
      </c>
      <c r="H15">
        <f t="shared" ca="1" si="2"/>
        <v>0.59956875630063844</v>
      </c>
      <c r="I15">
        <f t="shared" ca="1" si="3"/>
        <v>475.23770145174024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13815</v>
      </c>
      <c r="B18" s="66">
        <v>13815</v>
      </c>
      <c r="D18">
        <f t="shared" si="0"/>
        <v>6.4476533622073701E-2</v>
      </c>
      <c r="E18">
        <f t="shared" si="0"/>
        <v>6.4476533622073701E-2</v>
      </c>
      <c r="G18">
        <f t="shared" ca="1" si="1"/>
        <v>16</v>
      </c>
      <c r="H18">
        <f t="shared" ca="1" si="2"/>
        <v>1.0316245379531792</v>
      </c>
      <c r="I18">
        <f t="shared" ca="1" si="3"/>
        <v>625.69089554340906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14884</v>
      </c>
      <c r="B21" s="66">
        <v>14884</v>
      </c>
      <c r="D21">
        <f t="shared" si="0"/>
        <v>6.946570585819363E-2</v>
      </c>
      <c r="E21">
        <f t="shared" si="0"/>
        <v>6.946570585819363E-2</v>
      </c>
      <c r="G21">
        <f t="shared" ca="1" si="1"/>
        <v>19</v>
      </c>
      <c r="H21">
        <f t="shared" ca="1" si="2"/>
        <v>1.319848411305679</v>
      </c>
      <c r="I21">
        <f t="shared" ca="1" si="3"/>
        <v>633.67355281811444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15626</v>
      </c>
      <c r="B23" s="66">
        <v>15626</v>
      </c>
      <c r="D23">
        <f t="shared" si="0"/>
        <v>7.2928723443975663E-2</v>
      </c>
      <c r="E23">
        <f t="shared" si="0"/>
        <v>7.2928723443975663E-2</v>
      </c>
      <c r="G23">
        <f t="shared" ca="1" si="1"/>
        <v>21</v>
      </c>
      <c r="H23">
        <f t="shared" ca="1" si="2"/>
        <v>1.531503192323489</v>
      </c>
      <c r="I23">
        <f t="shared" ca="1" si="3"/>
        <v>637.69367489778574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13502</v>
      </c>
      <c r="B26" s="66">
        <v>13502</v>
      </c>
      <c r="D26">
        <f t="shared" si="0"/>
        <v>6.3015718926184516E-2</v>
      </c>
      <c r="E26">
        <f t="shared" si="0"/>
        <v>6.3015718926184516E-2</v>
      </c>
      <c r="G26">
        <f t="shared" ca="1" si="1"/>
        <v>24</v>
      </c>
      <c r="H26">
        <f t="shared" ca="1" si="2"/>
        <v>1.5123772542284284</v>
      </c>
      <c r="I26">
        <f t="shared" ca="1" si="3"/>
        <v>516.2253437304804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15806</v>
      </c>
      <c r="B28" s="66">
        <v>15806</v>
      </c>
      <c r="D28">
        <f t="shared" si="0"/>
        <v>7.3768808572602027E-2</v>
      </c>
      <c r="E28">
        <f t="shared" si="0"/>
        <v>7.3768808572602027E-2</v>
      </c>
      <c r="G28">
        <f t="shared" ca="1" si="1"/>
        <v>26</v>
      </c>
      <c r="H28">
        <f t="shared" ca="1" si="2"/>
        <v>1.9179890228876526</v>
      </c>
      <c r="I28">
        <f t="shared" ca="1" si="3"/>
        <v>577.90265100161128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13645</v>
      </c>
      <c r="B31" s="66">
        <v>13645</v>
      </c>
      <c r="D31">
        <f t="shared" si="0"/>
        <v>6.3683119889482137E-2</v>
      </c>
      <c r="E31">
        <f t="shared" si="0"/>
        <v>6.3683119889482137E-2</v>
      </c>
      <c r="G31">
        <f t="shared" ca="1" si="1"/>
        <v>29</v>
      </c>
      <c r="H31">
        <f t="shared" ca="1" si="2"/>
        <v>1.846810476794982</v>
      </c>
      <c r="I31">
        <f t="shared" ca="1" si="3"/>
        <v>465.64536406132316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16073</v>
      </c>
      <c r="B33" s="66">
        <v>16073</v>
      </c>
      <c r="D33">
        <f t="shared" si="0"/>
        <v>7.5014934846731135E-2</v>
      </c>
      <c r="E33">
        <f t="shared" si="0"/>
        <v>7.5014934846731135E-2</v>
      </c>
      <c r="G33">
        <f t="shared" ca="1" si="1"/>
        <v>31</v>
      </c>
      <c r="H33">
        <f t="shared" ca="1" si="2"/>
        <v>2.3254629802486653</v>
      </c>
      <c r="I33">
        <f t="shared" ca="1" si="3"/>
        <v>523.14463297632062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17335</v>
      </c>
      <c r="B36" s="66">
        <v>17335</v>
      </c>
      <c r="D36">
        <f t="shared" si="0"/>
        <v>8.0904865026322673E-2</v>
      </c>
      <c r="E36">
        <f t="shared" si="0"/>
        <v>8.0904865026322673E-2</v>
      </c>
      <c r="G36">
        <f t="shared" ca="1" si="1"/>
        <v>34</v>
      </c>
      <c r="H36">
        <f t="shared" ca="1" si="2"/>
        <v>2.7507654108949708</v>
      </c>
      <c r="I36">
        <f t="shared" ca="1" si="3"/>
        <v>524.41034720422499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18032</v>
      </c>
      <c r="B39" s="66">
        <v>18032</v>
      </c>
      <c r="D39">
        <f t="shared" si="0"/>
        <v>8.4157861329948097E-2</v>
      </c>
      <c r="E39">
        <f t="shared" si="0"/>
        <v>8.4157861329948097E-2</v>
      </c>
      <c r="G39">
        <f t="shared" ca="1" si="1"/>
        <v>37</v>
      </c>
      <c r="H39">
        <f t="shared" ca="1" si="2"/>
        <v>3.1138408692080795</v>
      </c>
      <c r="I39">
        <f t="shared" ca="1" si="3"/>
        <v>505.59993309888881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21657</v>
      </c>
      <c r="B41" s="66">
        <v>21657</v>
      </c>
      <c r="D41">
        <f t="shared" si="0"/>
        <v>0.10107624239256245</v>
      </c>
      <c r="E41">
        <f t="shared" si="0"/>
        <v>0.10107624239256245</v>
      </c>
      <c r="G41">
        <f t="shared" ca="1" si="1"/>
        <v>39</v>
      </c>
      <c r="H41">
        <f t="shared" ca="1" si="2"/>
        <v>3.9419734533099358</v>
      </c>
      <c r="I41">
        <f t="shared" ca="1" si="3"/>
        <v>576.30818648138279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21994</v>
      </c>
      <c r="B44" s="66">
        <v>21994</v>
      </c>
      <c r="D44">
        <f t="shared" si="0"/>
        <v>0.10264906843893515</v>
      </c>
      <c r="E44">
        <f t="shared" si="0"/>
        <v>0.10264906843893515</v>
      </c>
      <c r="G44">
        <f t="shared" ca="1" si="1"/>
        <v>42</v>
      </c>
      <c r="H44">
        <f t="shared" ca="1" si="2"/>
        <v>4.3112608744352761</v>
      </c>
      <c r="I44">
        <f t="shared" ca="1" si="3"/>
        <v>539.69382451782667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25008</v>
      </c>
      <c r="B46" s="66">
        <v>25008</v>
      </c>
      <c r="D46">
        <f t="shared" si="0"/>
        <v>0.11671582720382333</v>
      </c>
      <c r="E46">
        <f t="shared" si="0"/>
        <v>0.11671582720382333</v>
      </c>
      <c r="G46">
        <f t="shared" ca="1" si="1"/>
        <v>44</v>
      </c>
      <c r="H46">
        <f t="shared" ca="1" si="2"/>
        <v>5.1354963969682261</v>
      </c>
      <c r="I46">
        <f t="shared" ca="1" si="3"/>
        <v>580.26678518646179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28120</v>
      </c>
      <c r="B49" s="66">
        <v>28120</v>
      </c>
      <c r="D49">
        <f t="shared" si="0"/>
        <v>0.13123996564985252</v>
      </c>
      <c r="E49">
        <f t="shared" si="0"/>
        <v>0.13123996564985252</v>
      </c>
      <c r="G49">
        <f t="shared" ca="1" si="1"/>
        <v>47</v>
      </c>
      <c r="H49">
        <f t="shared" ca="1" si="2"/>
        <v>6.1682783855430685</v>
      </c>
      <c r="I49">
        <f t="shared" ca="1" si="3"/>
        <v>598.13428950149193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37562</v>
      </c>
      <c r="B51" s="66">
        <v>37562</v>
      </c>
      <c r="D51">
        <f t="shared" si="0"/>
        <v>0.17530709778590897</v>
      </c>
      <c r="E51">
        <f t="shared" si="0"/>
        <v>0.17530709778590897</v>
      </c>
      <c r="G51">
        <f t="shared" ca="1" si="1"/>
        <v>49</v>
      </c>
      <c r="H51">
        <f t="shared" ca="1" si="2"/>
        <v>8.590047791509539</v>
      </c>
      <c r="I51">
        <f t="shared" ca="1" si="3"/>
        <v>752.3344766696174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43394</v>
      </c>
      <c r="B54" s="66">
        <v>43394</v>
      </c>
      <c r="D54">
        <f t="shared" si="0"/>
        <v>0.20252585595340328</v>
      </c>
      <c r="E54">
        <f t="shared" si="0"/>
        <v>0.20252585595340328</v>
      </c>
      <c r="G54">
        <f t="shared" ca="1" si="1"/>
        <v>52</v>
      </c>
      <c r="H54">
        <f t="shared" ca="1" si="2"/>
        <v>10.53134450957697</v>
      </c>
      <c r="I54">
        <f t="shared" ca="1" si="3"/>
        <v>791.36267075403703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49819</v>
      </c>
      <c r="B57" s="66">
        <v>49819</v>
      </c>
      <c r="D57">
        <f t="shared" si="0"/>
        <v>0.23251222790576112</v>
      </c>
      <c r="E57">
        <f t="shared" si="0"/>
        <v>0.23251222790576112</v>
      </c>
      <c r="G57">
        <f t="shared" ca="1" si="1"/>
        <v>55</v>
      </c>
      <c r="H57">
        <f t="shared" ca="1" si="2"/>
        <v>12.788172534816862</v>
      </c>
      <c r="I57">
        <f t="shared" ca="1" si="3"/>
        <v>823.42033302628499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61690</v>
      </c>
      <c r="B59" s="66">
        <v>61690</v>
      </c>
      <c r="D59">
        <f t="shared" si="0"/>
        <v>0.28791584213867005</v>
      </c>
      <c r="E59">
        <f t="shared" si="0"/>
        <v>0.28791584213867005</v>
      </c>
      <c r="G59">
        <f t="shared" ca="1" si="1"/>
        <v>57</v>
      </c>
      <c r="H59">
        <f t="shared" ca="1" si="2"/>
        <v>16.411203001904195</v>
      </c>
      <c r="I59">
        <f t="shared" ca="1" si="3"/>
        <v>952.24355752069471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77258</v>
      </c>
      <c r="B62" s="66">
        <v>77258</v>
      </c>
      <c r="D62">
        <f t="shared" si="0"/>
        <v>0.3605738714856439</v>
      </c>
      <c r="E62">
        <f t="shared" si="0"/>
        <v>0.3605738714856439</v>
      </c>
      <c r="G62">
        <f t="shared" ca="1" si="1"/>
        <v>60</v>
      </c>
      <c r="H62">
        <f t="shared" ca="1" si="2"/>
        <v>21.634432289138633</v>
      </c>
      <c r="I62">
        <f t="shared" ca="1" si="3"/>
        <v>1071.3765312699329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82544</v>
      </c>
      <c r="B64" s="66">
        <v>82544</v>
      </c>
      <c r="D64">
        <f t="shared" si="0"/>
        <v>0.38524437142963819</v>
      </c>
      <c r="E64">
        <f t="shared" si="0"/>
        <v>0.38524437142963819</v>
      </c>
      <c r="G64">
        <f t="shared" ca="1" si="1"/>
        <v>62</v>
      </c>
      <c r="H64">
        <f t="shared" ca="1" si="2"/>
        <v>23.885151028637569</v>
      </c>
      <c r="I64">
        <f t="shared" ca="1" si="3"/>
        <v>1062.2229482631876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90299</v>
      </c>
      <c r="B67" s="66">
        <v>90299</v>
      </c>
      <c r="D67">
        <f t="shared" ref="D67:E130" si="4">IFERROR( A67/MAX(A$2:A$257), 0 )</f>
        <v>0.42143803905462418</v>
      </c>
      <c r="E67">
        <f t="shared" si="4"/>
        <v>0.42143803905462418</v>
      </c>
      <c r="G67">
        <f t="shared" ref="G67:G130" ca="1" si="5">CELL("row",D67)-2</f>
        <v>65</v>
      </c>
      <c r="H67">
        <f t="shared" ref="H67:H130" ca="1" si="6">D67*G67</f>
        <v>27.393472538550572</v>
      </c>
      <c r="I67">
        <f t="shared" ref="I67:I130" ca="1" si="7">D67*((G67-$L$1)^2)</f>
        <v>1033.0340669977484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96690</v>
      </c>
      <c r="B69" s="66">
        <v>96690</v>
      </c>
      <c r="D69">
        <f t="shared" si="4"/>
        <v>0.45126572826046374</v>
      </c>
      <c r="E69">
        <f t="shared" si="4"/>
        <v>0.45126572826046374</v>
      </c>
      <c r="G69">
        <f t="shared" ca="1" si="5"/>
        <v>67</v>
      </c>
      <c r="H69">
        <f t="shared" ca="1" si="6"/>
        <v>30.234803793451071</v>
      </c>
      <c r="I69">
        <f t="shared" ca="1" si="7"/>
        <v>1018.5849694769664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101532</v>
      </c>
      <c r="B72" s="66">
        <v>101532</v>
      </c>
      <c r="D72">
        <f t="shared" si="4"/>
        <v>0.47386401822051299</v>
      </c>
      <c r="E72">
        <f t="shared" si="4"/>
        <v>0.47386401822051299</v>
      </c>
      <c r="G72">
        <f t="shared" ca="1" si="5"/>
        <v>70</v>
      </c>
      <c r="H72">
        <f t="shared" ca="1" si="6"/>
        <v>33.170481275435911</v>
      </c>
      <c r="I72">
        <f t="shared" ca="1" si="7"/>
        <v>938.77912697439911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98717</v>
      </c>
      <c r="B75" s="66">
        <v>98717</v>
      </c>
      <c r="D75">
        <f t="shared" si="4"/>
        <v>0.46072602023671733</v>
      </c>
      <c r="E75">
        <f t="shared" si="4"/>
        <v>0.46072602023671733</v>
      </c>
      <c r="G75">
        <f t="shared" ca="1" si="5"/>
        <v>73</v>
      </c>
      <c r="H75">
        <f t="shared" ca="1" si="6"/>
        <v>33.632999477280364</v>
      </c>
      <c r="I75">
        <f t="shared" ca="1" si="7"/>
        <v>793.85706358695745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103677</v>
      </c>
      <c r="B77" s="66">
        <v>103677</v>
      </c>
      <c r="D77">
        <f t="shared" si="4"/>
        <v>0.48387503266997722</v>
      </c>
      <c r="E77">
        <f t="shared" si="4"/>
        <v>0.48387503266997722</v>
      </c>
      <c r="G77">
        <f t="shared" ca="1" si="5"/>
        <v>75</v>
      </c>
      <c r="H77">
        <f t="shared" ca="1" si="6"/>
        <v>36.290627450248294</v>
      </c>
      <c r="I77">
        <f t="shared" ca="1" si="7"/>
        <v>755.33755980344199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113321</v>
      </c>
      <c r="B80" s="66">
        <v>113321</v>
      </c>
      <c r="D80">
        <f t="shared" si="4"/>
        <v>0.52888492700593659</v>
      </c>
      <c r="E80">
        <f t="shared" si="4"/>
        <v>0.52888492700593659</v>
      </c>
      <c r="G80">
        <f t="shared" ca="1" si="5"/>
        <v>78</v>
      </c>
      <c r="H80">
        <f t="shared" ca="1" si="6"/>
        <v>41.253024306463054</v>
      </c>
      <c r="I80">
        <f t="shared" ca="1" si="7"/>
        <v>704.98220532734513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124161</v>
      </c>
      <c r="B82" s="66">
        <v>124161</v>
      </c>
      <c r="D82">
        <f t="shared" si="4"/>
        <v>0.57947672030765784</v>
      </c>
      <c r="E82">
        <f t="shared" si="4"/>
        <v>0.57947672030765784</v>
      </c>
      <c r="G82">
        <f t="shared" ca="1" si="5"/>
        <v>80</v>
      </c>
      <c r="H82">
        <f t="shared" ca="1" si="6"/>
        <v>46.358137624612624</v>
      </c>
      <c r="I82">
        <f t="shared" ca="1" si="7"/>
        <v>690.11079801856681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132513</v>
      </c>
      <c r="B85" s="66">
        <v>132513</v>
      </c>
      <c r="D85">
        <f t="shared" si="4"/>
        <v>0.61845667027592133</v>
      </c>
      <c r="E85">
        <f t="shared" si="4"/>
        <v>0.61845667027592133</v>
      </c>
      <c r="G85">
        <f t="shared" ca="1" si="5"/>
        <v>83</v>
      </c>
      <c r="H85">
        <f t="shared" ca="1" si="6"/>
        <v>51.331903632901472</v>
      </c>
      <c r="I85">
        <f t="shared" ca="1" si="7"/>
        <v>614.04234281339336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139595</v>
      </c>
      <c r="B88" s="66">
        <v>139595</v>
      </c>
      <c r="D88">
        <f t="shared" si="4"/>
        <v>0.65150935294776535</v>
      </c>
      <c r="E88">
        <f t="shared" si="4"/>
        <v>0.65150935294776535</v>
      </c>
      <c r="G88">
        <f t="shared" ca="1" si="5"/>
        <v>86</v>
      </c>
      <c r="H88">
        <f t="shared" ca="1" si="6"/>
        <v>56.029804353507821</v>
      </c>
      <c r="I88">
        <f t="shared" ca="1" si="7"/>
        <v>529.54943393926851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139301</v>
      </c>
      <c r="B90" s="66">
        <v>139301</v>
      </c>
      <c r="D90">
        <f t="shared" si="4"/>
        <v>0.65013721390434231</v>
      </c>
      <c r="E90">
        <f t="shared" si="4"/>
        <v>0.65013721390434231</v>
      </c>
      <c r="G90">
        <f t="shared" ca="1" si="5"/>
        <v>88</v>
      </c>
      <c r="H90">
        <f t="shared" ca="1" si="6"/>
        <v>57.212074823582121</v>
      </c>
      <c r="I90">
        <f t="shared" ca="1" si="7"/>
        <v>456.89378724286649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142959</v>
      </c>
      <c r="B93" s="66">
        <v>142959</v>
      </c>
      <c r="D93">
        <f t="shared" si="4"/>
        <v>0.66720961057387151</v>
      </c>
      <c r="E93">
        <f t="shared" si="4"/>
        <v>0.66720961057387151</v>
      </c>
      <c r="G93">
        <f t="shared" ca="1" si="5"/>
        <v>91</v>
      </c>
      <c r="H93">
        <f t="shared" ca="1" si="6"/>
        <v>60.71607456222231</v>
      </c>
      <c r="I93">
        <f t="shared" ca="1" si="7"/>
        <v>368.77132633524883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152376</v>
      </c>
      <c r="B95" s="66">
        <v>152376</v>
      </c>
      <c r="D95">
        <f t="shared" si="4"/>
        <v>0.7111600642198409</v>
      </c>
      <c r="E95">
        <f t="shared" si="4"/>
        <v>0.7111600642198409</v>
      </c>
      <c r="G95">
        <f t="shared" ca="1" si="5"/>
        <v>93</v>
      </c>
      <c r="H95">
        <f t="shared" ca="1" si="6"/>
        <v>66.137885972445204</v>
      </c>
      <c r="I95">
        <f t="shared" ca="1" si="7"/>
        <v>329.03099244997367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166647</v>
      </c>
      <c r="B98" s="66">
        <v>166647</v>
      </c>
      <c r="D98">
        <f t="shared" si="4"/>
        <v>0.77776481350110149</v>
      </c>
      <c r="E98">
        <f t="shared" si="4"/>
        <v>0.77776481350110149</v>
      </c>
      <c r="G98">
        <f t="shared" ca="1" si="5"/>
        <v>96</v>
      </c>
      <c r="H98">
        <f t="shared" ca="1" si="6"/>
        <v>74.665422096105743</v>
      </c>
      <c r="I98">
        <f t="shared" ca="1" si="7"/>
        <v>266.46974835091794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177431</v>
      </c>
      <c r="B100" s="66">
        <v>177431</v>
      </c>
      <c r="D100">
        <f t="shared" si="4"/>
        <v>0.82809524698502779</v>
      </c>
      <c r="E100">
        <f t="shared" si="4"/>
        <v>0.82809524698502779</v>
      </c>
      <c r="G100">
        <f t="shared" ca="1" si="5"/>
        <v>98</v>
      </c>
      <c r="H100">
        <f t="shared" ca="1" si="6"/>
        <v>81.153334204532726</v>
      </c>
      <c r="I100">
        <f t="shared" ca="1" si="7"/>
        <v>225.71458358123462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193139</v>
      </c>
      <c r="B103" s="66">
        <v>193139</v>
      </c>
      <c r="D103">
        <f t="shared" si="4"/>
        <v>0.90140667587648882</v>
      </c>
      <c r="E103">
        <f t="shared" si="4"/>
        <v>0.90140667587648882</v>
      </c>
      <c r="G103">
        <f t="shared" ca="1" si="5"/>
        <v>101</v>
      </c>
      <c r="H103">
        <f t="shared" ca="1" si="6"/>
        <v>91.042074263525365</v>
      </c>
      <c r="I103">
        <f t="shared" ca="1" si="7"/>
        <v>164.51797650038276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203634</v>
      </c>
      <c r="B106" s="66">
        <v>203634</v>
      </c>
      <c r="D106">
        <f t="shared" si="4"/>
        <v>0.95038830601500957</v>
      </c>
      <c r="E106">
        <f t="shared" si="4"/>
        <v>0.95038830601500957</v>
      </c>
      <c r="G106">
        <f t="shared" ca="1" si="5"/>
        <v>104</v>
      </c>
      <c r="H106">
        <f t="shared" ca="1" si="6"/>
        <v>98.840383825560991</v>
      </c>
      <c r="I106">
        <f t="shared" ca="1" si="7"/>
        <v>104.97436056397518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214264</v>
      </c>
      <c r="B108" s="66">
        <v>214264</v>
      </c>
      <c r="D108">
        <f t="shared" si="4"/>
        <v>1</v>
      </c>
      <c r="E108">
        <f t="shared" si="4"/>
        <v>1</v>
      </c>
      <c r="G108">
        <f t="shared" ca="1" si="5"/>
        <v>106</v>
      </c>
      <c r="H108">
        <f t="shared" ca="1" si="6"/>
        <v>106</v>
      </c>
      <c r="I108">
        <f t="shared" ca="1" si="7"/>
        <v>72.415306170612368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206330</v>
      </c>
      <c r="B111" s="66">
        <v>206330</v>
      </c>
      <c r="D111">
        <f t="shared" si="4"/>
        <v>0.96297091438599114</v>
      </c>
      <c r="E111">
        <f t="shared" si="4"/>
        <v>0.96297091438599114</v>
      </c>
      <c r="G111">
        <f t="shared" ca="1" si="5"/>
        <v>109</v>
      </c>
      <c r="H111">
        <f t="shared" ca="1" si="6"/>
        <v>104.96382966807303</v>
      </c>
      <c r="I111">
        <f t="shared" ca="1" si="7"/>
        <v>29.232904340755926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199297</v>
      </c>
      <c r="B113" s="66">
        <v>199297</v>
      </c>
      <c r="D113">
        <f t="shared" si="4"/>
        <v>0.93014692155471757</v>
      </c>
      <c r="E113">
        <f t="shared" si="4"/>
        <v>0.93014692155471757</v>
      </c>
      <c r="G113">
        <f t="shared" ca="1" si="5"/>
        <v>111</v>
      </c>
      <c r="H113">
        <f t="shared" ca="1" si="6"/>
        <v>103.24630829257364</v>
      </c>
      <c r="I113">
        <f t="shared" ca="1" si="7"/>
        <v>11.457664004760964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195635</v>
      </c>
      <c r="B116" s="66">
        <v>195635</v>
      </c>
      <c r="D116">
        <f t="shared" si="4"/>
        <v>0.91305585632677444</v>
      </c>
      <c r="E116">
        <f t="shared" si="4"/>
        <v>0.91305585632677444</v>
      </c>
      <c r="G116">
        <f t="shared" ca="1" si="5"/>
        <v>114</v>
      </c>
      <c r="H116">
        <f t="shared" ca="1" si="6"/>
        <v>104.08836762125229</v>
      </c>
      <c r="I116">
        <f t="shared" ca="1" si="7"/>
        <v>0.23722358289030315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181316</v>
      </c>
      <c r="B118" s="66">
        <v>181316</v>
      </c>
      <c r="D118">
        <f t="shared" si="4"/>
        <v>0.84622708434454696</v>
      </c>
      <c r="E118">
        <f t="shared" si="4"/>
        <v>0.84622708434454696</v>
      </c>
      <c r="G118">
        <f t="shared" ca="1" si="5"/>
        <v>116</v>
      </c>
      <c r="H118">
        <f t="shared" ca="1" si="6"/>
        <v>98.162341783967449</v>
      </c>
      <c r="I118">
        <f t="shared" ca="1" si="7"/>
        <v>1.879419103309744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186122</v>
      </c>
      <c r="B121" s="66">
        <v>186122</v>
      </c>
      <c r="D121">
        <f t="shared" si="4"/>
        <v>0.86865735727887095</v>
      </c>
      <c r="E121">
        <f t="shared" si="4"/>
        <v>0.86865735727887095</v>
      </c>
      <c r="G121">
        <f t="shared" ca="1" si="5"/>
        <v>119</v>
      </c>
      <c r="H121">
        <f t="shared" ca="1" si="6"/>
        <v>103.37022551618564</v>
      </c>
      <c r="I121">
        <f t="shared" ca="1" si="7"/>
        <v>17.51441638379919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180519</v>
      </c>
      <c r="B124" s="66">
        <v>180519</v>
      </c>
      <c r="D124">
        <f t="shared" si="4"/>
        <v>0.84250737408057352</v>
      </c>
      <c r="E124">
        <f t="shared" si="4"/>
        <v>0.84250737408057352</v>
      </c>
      <c r="G124">
        <f t="shared" ca="1" si="5"/>
        <v>122</v>
      </c>
      <c r="H124">
        <f t="shared" ca="1" si="6"/>
        <v>102.78589963782997</v>
      </c>
      <c r="I124">
        <f t="shared" ca="1" si="7"/>
        <v>47.268302808060284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177565</v>
      </c>
      <c r="B126" s="66">
        <v>177565</v>
      </c>
      <c r="D126">
        <f t="shared" si="4"/>
        <v>0.82872064369189413</v>
      </c>
      <c r="E126">
        <f t="shared" si="4"/>
        <v>0.82872064369189413</v>
      </c>
      <c r="G126">
        <f t="shared" ca="1" si="5"/>
        <v>124</v>
      </c>
      <c r="H126">
        <f t="shared" ca="1" si="6"/>
        <v>102.76135981779487</v>
      </c>
      <c r="I126">
        <f t="shared" ca="1" si="7"/>
        <v>74.63909442333744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162928</v>
      </c>
      <c r="B129" s="66">
        <v>162928</v>
      </c>
      <c r="D129">
        <f t="shared" si="4"/>
        <v>0.76040772131575995</v>
      </c>
      <c r="E129">
        <f t="shared" si="4"/>
        <v>0.76040772131575995</v>
      </c>
      <c r="G129">
        <f t="shared" ca="1" si="5"/>
        <v>127</v>
      </c>
      <c r="H129">
        <f t="shared" ca="1" si="6"/>
        <v>96.571780607101516</v>
      </c>
      <c r="I129">
        <f t="shared" ca="1" si="7"/>
        <v>118.62903081576242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160409</v>
      </c>
      <c r="B131" s="66">
        <v>160409</v>
      </c>
      <c r="D131">
        <f t="shared" ref="D131:E194" si="8">IFERROR( A131/MAX(A$2:A$257), 0 )</f>
        <v>0.74865119665459434</v>
      </c>
      <c r="E131">
        <f t="shared" si="8"/>
        <v>0.74865119665459434</v>
      </c>
      <c r="G131">
        <f t="shared" ref="G131:G194" ca="1" si="9">CELL("row",D131)-2</f>
        <v>129</v>
      </c>
      <c r="H131">
        <f t="shared" ref="H131:H194" ca="1" si="10">D131*G131</f>
        <v>96.576004368442668</v>
      </c>
      <c r="I131">
        <f t="shared" ref="I131:I194" ca="1" si="11">D131*((G131-$L$1)^2)</f>
        <v>157.1929911153708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155358</v>
      </c>
      <c r="B134" s="66">
        <v>155358</v>
      </c>
      <c r="D134">
        <f t="shared" si="8"/>
        <v>0.72507747451741777</v>
      </c>
      <c r="E134">
        <f t="shared" si="8"/>
        <v>0.72507747451741777</v>
      </c>
      <c r="G134">
        <f t="shared" ca="1" si="9"/>
        <v>132</v>
      </c>
      <c r="H134">
        <f t="shared" ca="1" si="10"/>
        <v>95.71022663629914</v>
      </c>
      <c r="I134">
        <f t="shared" ca="1" si="11"/>
        <v>221.80841590463277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157392</v>
      </c>
      <c r="B136" s="66">
        <v>157392</v>
      </c>
      <c r="D136">
        <f t="shared" si="8"/>
        <v>0.7345704364708957</v>
      </c>
      <c r="E136">
        <f t="shared" si="8"/>
        <v>0.7345704364708957</v>
      </c>
      <c r="G136">
        <f t="shared" ca="1" si="9"/>
        <v>134</v>
      </c>
      <c r="H136">
        <f t="shared" ca="1" si="10"/>
        <v>98.432438487100029</v>
      </c>
      <c r="I136">
        <f t="shared" ca="1" si="11"/>
        <v>279.0420645338358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153883</v>
      </c>
      <c r="B139" s="66">
        <v>153883</v>
      </c>
      <c r="D139">
        <f t="shared" si="8"/>
        <v>0.71819344360228499</v>
      </c>
      <c r="E139">
        <f t="shared" si="8"/>
        <v>0.71819344360228499</v>
      </c>
      <c r="G139">
        <f t="shared" ca="1" si="9"/>
        <v>137</v>
      </c>
      <c r="H139">
        <f t="shared" ca="1" si="10"/>
        <v>98.392501773513047</v>
      </c>
      <c r="I139">
        <f t="shared" ca="1" si="11"/>
        <v>363.27141459645139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143795</v>
      </c>
      <c r="B142" s="66">
        <v>143795</v>
      </c>
      <c r="D142">
        <f t="shared" si="8"/>
        <v>0.67111133928238065</v>
      </c>
      <c r="E142">
        <f t="shared" si="8"/>
        <v>0.67111133928238065</v>
      </c>
      <c r="G142">
        <f t="shared" ca="1" si="9"/>
        <v>140</v>
      </c>
      <c r="H142">
        <f t="shared" ca="1" si="10"/>
        <v>93.955587499533294</v>
      </c>
      <c r="I142">
        <f t="shared" ca="1" si="11"/>
        <v>436.05758536702535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130939</v>
      </c>
      <c r="B144" s="66">
        <v>130939</v>
      </c>
      <c r="D144">
        <f t="shared" si="8"/>
        <v>0.61111059254004407</v>
      </c>
      <c r="E144">
        <f t="shared" si="8"/>
        <v>0.61111059254004407</v>
      </c>
      <c r="G144">
        <f t="shared" ca="1" si="9"/>
        <v>142</v>
      </c>
      <c r="H144">
        <f t="shared" ca="1" si="10"/>
        <v>86.777704140686254</v>
      </c>
      <c r="I144">
        <f t="shared" ca="1" si="11"/>
        <v>461.8257995066711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115670</v>
      </c>
      <c r="B147" s="66">
        <v>115670</v>
      </c>
      <c r="D147">
        <f t="shared" si="8"/>
        <v>0.53984803793451075</v>
      </c>
      <c r="E147">
        <f t="shared" si="8"/>
        <v>0.53984803793451075</v>
      </c>
      <c r="G147">
        <f t="shared" ca="1" si="9"/>
        <v>145</v>
      </c>
      <c r="H147">
        <f t="shared" ca="1" si="10"/>
        <v>78.277965500504052</v>
      </c>
      <c r="I147">
        <f t="shared" ca="1" si="11"/>
        <v>501.87365634888891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97958</v>
      </c>
      <c r="B149" s="66">
        <v>97958</v>
      </c>
      <c r="D149">
        <f t="shared" si="8"/>
        <v>0.45718366127767612</v>
      </c>
      <c r="E149">
        <f t="shared" si="8"/>
        <v>0.45718366127767612</v>
      </c>
      <c r="G149">
        <f t="shared" ca="1" si="9"/>
        <v>147</v>
      </c>
      <c r="H149">
        <f t="shared" ca="1" si="10"/>
        <v>67.205998207818396</v>
      </c>
      <c r="I149">
        <f t="shared" ca="1" si="11"/>
        <v>482.61148619360796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87577</v>
      </c>
      <c r="B152" s="66">
        <v>87577</v>
      </c>
      <c r="D152">
        <f t="shared" si="8"/>
        <v>0.40873408505395215</v>
      </c>
      <c r="E152">
        <f t="shared" si="8"/>
        <v>0.40873408505395215</v>
      </c>
      <c r="G152">
        <f t="shared" ca="1" si="9"/>
        <v>150</v>
      </c>
      <c r="H152">
        <f t="shared" ca="1" si="10"/>
        <v>61.310112758092821</v>
      </c>
      <c r="I152">
        <f t="shared" ca="1" si="11"/>
        <v>514.82514199386071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77206</v>
      </c>
      <c r="B154" s="66">
        <v>77206</v>
      </c>
      <c r="D154">
        <f t="shared" si="8"/>
        <v>0.36033118022626293</v>
      </c>
      <c r="E154">
        <f t="shared" si="8"/>
        <v>0.36033118022626293</v>
      </c>
      <c r="G154">
        <f t="shared" ca="1" si="9"/>
        <v>152</v>
      </c>
      <c r="H154">
        <f t="shared" ca="1" si="10"/>
        <v>54.770339394391968</v>
      </c>
      <c r="I154">
        <f t="shared" ca="1" si="11"/>
        <v>506.45311974405183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73571</v>
      </c>
      <c r="B157" s="66">
        <v>73571</v>
      </c>
      <c r="D157">
        <f t="shared" si="8"/>
        <v>0.34336612776761377</v>
      </c>
      <c r="E157">
        <f t="shared" si="8"/>
        <v>0.34336612776761377</v>
      </c>
      <c r="G157">
        <f t="shared" ca="1" si="9"/>
        <v>155</v>
      </c>
      <c r="H157">
        <f t="shared" ca="1" si="10"/>
        <v>53.221749803980131</v>
      </c>
      <c r="I157">
        <f t="shared" ca="1" si="11"/>
        <v>562.93603074043415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58643</v>
      </c>
      <c r="B160" s="66">
        <v>58643</v>
      </c>
      <c r="D160">
        <f t="shared" si="8"/>
        <v>0.27369506776686703</v>
      </c>
      <c r="E160">
        <f t="shared" si="8"/>
        <v>0.27369506776686703</v>
      </c>
      <c r="G160">
        <f t="shared" ca="1" si="9"/>
        <v>158</v>
      </c>
      <c r="H160">
        <f t="shared" ca="1" si="10"/>
        <v>43.243820707164993</v>
      </c>
      <c r="I160">
        <f t="shared" ca="1" si="11"/>
        <v>517.6681099388893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47965</v>
      </c>
      <c r="B162" s="66">
        <v>47965</v>
      </c>
      <c r="D162">
        <f t="shared" si="8"/>
        <v>0.22385935108090954</v>
      </c>
      <c r="E162">
        <f t="shared" si="8"/>
        <v>0.22385935108090954</v>
      </c>
      <c r="G162">
        <f t="shared" ca="1" si="9"/>
        <v>160</v>
      </c>
      <c r="H162">
        <f t="shared" ca="1" si="10"/>
        <v>35.817496172945525</v>
      </c>
      <c r="I162">
        <f t="shared" ca="1" si="11"/>
        <v>463.2468685273181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38579</v>
      </c>
      <c r="B165" s="66">
        <v>38579</v>
      </c>
      <c r="D165">
        <f t="shared" si="8"/>
        <v>0.18005357876264794</v>
      </c>
      <c r="E165">
        <f t="shared" si="8"/>
        <v>0.18005357876264794</v>
      </c>
      <c r="G165">
        <f t="shared" ca="1" si="9"/>
        <v>163</v>
      </c>
      <c r="H165">
        <f t="shared" ca="1" si="10"/>
        <v>29.348733338311614</v>
      </c>
      <c r="I165">
        <f t="shared" ca="1" si="11"/>
        <v>423.36131498279212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34632</v>
      </c>
      <c r="B167" s="66">
        <v>34632</v>
      </c>
      <c r="D167">
        <f t="shared" si="8"/>
        <v>0.16163237874771311</v>
      </c>
      <c r="E167">
        <f t="shared" si="8"/>
        <v>0.16163237874771311</v>
      </c>
      <c r="G167">
        <f t="shared" ca="1" si="9"/>
        <v>165</v>
      </c>
      <c r="H167">
        <f t="shared" ca="1" si="10"/>
        <v>26.669342493372664</v>
      </c>
      <c r="I167">
        <f t="shared" ca="1" si="11"/>
        <v>412.0443385805728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32349</v>
      </c>
      <c r="B170" s="66">
        <v>32349</v>
      </c>
      <c r="D170">
        <f t="shared" si="8"/>
        <v>0.15097729903296866</v>
      </c>
      <c r="E170">
        <f t="shared" si="8"/>
        <v>0.15097729903296866</v>
      </c>
      <c r="G170">
        <f t="shared" ca="1" si="9"/>
        <v>168</v>
      </c>
      <c r="H170">
        <f t="shared" ca="1" si="10"/>
        <v>25.364186237538735</v>
      </c>
      <c r="I170">
        <f t="shared" ca="1" si="11"/>
        <v>431.97779285552724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28692</v>
      </c>
      <c r="B173" s="66">
        <v>28692</v>
      </c>
      <c r="D173">
        <f t="shared" si="8"/>
        <v>0.13390956950304297</v>
      </c>
      <c r="E173">
        <f t="shared" si="8"/>
        <v>0.13390956950304297</v>
      </c>
      <c r="G173">
        <f t="shared" ca="1" si="9"/>
        <v>171</v>
      </c>
      <c r="H173">
        <f t="shared" ca="1" si="10"/>
        <v>22.89853638502035</v>
      </c>
      <c r="I173">
        <f t="shared" ca="1" si="11"/>
        <v>427.32578014668121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31133</v>
      </c>
      <c r="B175" s="66">
        <v>31133</v>
      </c>
      <c r="D175">
        <f t="shared" si="8"/>
        <v>0.1453020572751372</v>
      </c>
      <c r="E175">
        <f t="shared" si="8"/>
        <v>0.1453020572751372</v>
      </c>
      <c r="G175">
        <f t="shared" ca="1" si="9"/>
        <v>173</v>
      </c>
      <c r="H175">
        <f t="shared" ca="1" si="10"/>
        <v>25.137255908598735</v>
      </c>
      <c r="I175">
        <f t="shared" ca="1" si="11"/>
        <v>497.09476419745408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37531</v>
      </c>
      <c r="B178" s="66">
        <v>37531</v>
      </c>
      <c r="D178">
        <f t="shared" si="8"/>
        <v>0.1751624164582011</v>
      </c>
      <c r="E178">
        <f t="shared" si="8"/>
        <v>0.1751624164582011</v>
      </c>
      <c r="G178">
        <f t="shared" ca="1" si="9"/>
        <v>176</v>
      </c>
      <c r="H178">
        <f t="shared" ca="1" si="10"/>
        <v>30.828585296643393</v>
      </c>
      <c r="I178">
        <f t="shared" ca="1" si="11"/>
        <v>662.29868484875715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41541</v>
      </c>
      <c r="B180" s="66">
        <v>41541</v>
      </c>
      <c r="D180">
        <f t="shared" si="8"/>
        <v>0.19387764626815518</v>
      </c>
      <c r="E180">
        <f t="shared" si="8"/>
        <v>0.19387764626815518</v>
      </c>
      <c r="G180">
        <f t="shared" ca="1" si="9"/>
        <v>178</v>
      </c>
      <c r="H180">
        <f t="shared" ca="1" si="10"/>
        <v>34.510221035731625</v>
      </c>
      <c r="I180">
        <f t="shared" ca="1" si="11"/>
        <v>781.5238681076986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56548</v>
      </c>
      <c r="B183" s="66">
        <v>56548</v>
      </c>
      <c r="D183">
        <f t="shared" si="8"/>
        <v>0.26391741029757682</v>
      </c>
      <c r="E183">
        <f t="shared" si="8"/>
        <v>0.26391741029757682</v>
      </c>
      <c r="G183">
        <f t="shared" ca="1" si="9"/>
        <v>181</v>
      </c>
      <c r="H183">
        <f t="shared" ca="1" si="10"/>
        <v>47.769051263861407</v>
      </c>
      <c r="I183">
        <f t="shared" ca="1" si="11"/>
        <v>1166.7676691252752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61320</v>
      </c>
      <c r="B185" s="66">
        <v>61320</v>
      </c>
      <c r="D185">
        <f t="shared" si="8"/>
        <v>0.28618900048538254</v>
      </c>
      <c r="E185">
        <f t="shared" si="8"/>
        <v>0.28618900048538254</v>
      </c>
      <c r="G185">
        <f t="shared" ca="1" si="9"/>
        <v>183</v>
      </c>
      <c r="H185">
        <f t="shared" ca="1" si="10"/>
        <v>52.372587088825007</v>
      </c>
      <c r="I185">
        <f t="shared" ca="1" si="11"/>
        <v>1342.4893290493605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75070</v>
      </c>
      <c r="B188" s="66">
        <v>75070</v>
      </c>
      <c r="D188">
        <f t="shared" si="8"/>
        <v>0.35036217003323006</v>
      </c>
      <c r="E188">
        <f t="shared" si="8"/>
        <v>0.35036217003323006</v>
      </c>
      <c r="G188">
        <f t="shared" ca="1" si="9"/>
        <v>186</v>
      </c>
      <c r="H188">
        <f t="shared" ca="1" si="10"/>
        <v>65.167363626180787</v>
      </c>
      <c r="I188">
        <f t="shared" ca="1" si="11"/>
        <v>1790.6521307732621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82990</v>
      </c>
      <c r="B191" s="66">
        <v>82990</v>
      </c>
      <c r="D191">
        <f t="shared" si="8"/>
        <v>0.38732591569279018</v>
      </c>
      <c r="E191">
        <f t="shared" si="8"/>
        <v>0.38732591569279018</v>
      </c>
      <c r="G191">
        <f t="shared" ca="1" si="9"/>
        <v>189</v>
      </c>
      <c r="H191">
        <f t="shared" ca="1" si="10"/>
        <v>73.204598065937347</v>
      </c>
      <c r="I191">
        <f t="shared" ca="1" si="11"/>
        <v>2149.1948397675951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81584</v>
      </c>
      <c r="B193" s="66">
        <v>81584</v>
      </c>
      <c r="D193">
        <f t="shared" si="8"/>
        <v>0.38076391741029758</v>
      </c>
      <c r="E193">
        <f t="shared" si="8"/>
        <v>0.38076391741029758</v>
      </c>
      <c r="G193">
        <f t="shared" ca="1" si="9"/>
        <v>191</v>
      </c>
      <c r="H193">
        <f t="shared" ca="1" si="10"/>
        <v>72.725908225366837</v>
      </c>
      <c r="I193">
        <f t="shared" ca="1" si="11"/>
        <v>2227.7595116551156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74123</v>
      </c>
      <c r="B196" s="66">
        <v>74123</v>
      </c>
      <c r="D196">
        <f t="shared" si="12"/>
        <v>0.34594238882873463</v>
      </c>
      <c r="E196">
        <f t="shared" si="12"/>
        <v>0.34594238882873463</v>
      </c>
      <c r="G196">
        <f t="shared" ca="1" si="13"/>
        <v>194</v>
      </c>
      <c r="H196">
        <f t="shared" ca="1" si="14"/>
        <v>67.112823432774519</v>
      </c>
      <c r="I196">
        <f t="shared" ca="1" si="15"/>
        <v>2185.90786011209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63965</v>
      </c>
      <c r="B198" s="66">
        <v>63965</v>
      </c>
      <c r="D198">
        <f t="shared" si="12"/>
        <v>0.29853358473658664</v>
      </c>
      <c r="E198">
        <f t="shared" si="12"/>
        <v>0.29853358473658664</v>
      </c>
      <c r="G198">
        <f t="shared" ca="1" si="13"/>
        <v>196</v>
      </c>
      <c r="H198">
        <f t="shared" ca="1" si="14"/>
        <v>58.512582608370984</v>
      </c>
      <c r="I198">
        <f t="shared" ca="1" si="15"/>
        <v>1982.4618276775598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53731</v>
      </c>
      <c r="B201" s="66">
        <v>53731</v>
      </c>
      <c r="D201">
        <f t="shared" si="12"/>
        <v>0.25077007803457418</v>
      </c>
      <c r="E201">
        <f t="shared" si="12"/>
        <v>0.25077007803457418</v>
      </c>
      <c r="G201">
        <f t="shared" ca="1" si="13"/>
        <v>199</v>
      </c>
      <c r="H201">
        <f t="shared" ca="1" si="14"/>
        <v>49.903245528880262</v>
      </c>
      <c r="I201">
        <f t="shared" ca="1" si="15"/>
        <v>1790.1492088681189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27116</v>
      </c>
      <c r="B203" s="66">
        <v>27116</v>
      </c>
      <c r="D203">
        <f t="shared" si="12"/>
        <v>0.12655415748795878</v>
      </c>
      <c r="E203">
        <f t="shared" si="12"/>
        <v>0.12655415748795878</v>
      </c>
      <c r="G203">
        <f t="shared" ca="1" si="13"/>
        <v>201</v>
      </c>
      <c r="H203">
        <f t="shared" ca="1" si="14"/>
        <v>25.437385655079716</v>
      </c>
      <c r="I203">
        <f t="shared" ca="1" si="15"/>
        <v>946.69708482300086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18043</v>
      </c>
      <c r="B206" s="66">
        <v>18043</v>
      </c>
      <c r="D206">
        <f t="shared" si="12"/>
        <v>8.4209199865586379E-2</v>
      </c>
      <c r="E206">
        <f t="shared" si="12"/>
        <v>8.4209199865586379E-2</v>
      </c>
      <c r="G206">
        <f t="shared" ca="1" si="13"/>
        <v>204</v>
      </c>
      <c r="H206">
        <f t="shared" ca="1" si="14"/>
        <v>17.178676772579621</v>
      </c>
      <c r="I206">
        <f t="shared" ca="1" si="15"/>
        <v>674.3902623449726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13822</v>
      </c>
      <c r="B209" s="66">
        <v>13822</v>
      </c>
      <c r="D209">
        <f t="shared" si="12"/>
        <v>6.4509203599298057E-2</v>
      </c>
      <c r="E209">
        <f t="shared" si="12"/>
        <v>6.4509203599298057E-2</v>
      </c>
      <c r="G209">
        <f t="shared" ca="1" si="13"/>
        <v>207</v>
      </c>
      <c r="H209">
        <f t="shared" ca="1" si="14"/>
        <v>13.353405145054698</v>
      </c>
      <c r="I209">
        <f t="shared" ca="1" si="15"/>
        <v>551.84089878893008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4769</v>
      </c>
      <c r="B211" s="66">
        <v>4769</v>
      </c>
      <c r="D211">
        <f t="shared" si="12"/>
        <v>2.2257588768995258E-2</v>
      </c>
      <c r="E211">
        <f t="shared" si="12"/>
        <v>2.2257588768995258E-2</v>
      </c>
      <c r="G211">
        <f t="shared" ca="1" si="13"/>
        <v>209</v>
      </c>
      <c r="H211">
        <f t="shared" ca="1" si="14"/>
        <v>4.6518360527200091</v>
      </c>
      <c r="I211">
        <f t="shared" ca="1" si="15"/>
        <v>198.72495223210464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1549</v>
      </c>
      <c r="B214" s="66">
        <v>1549</v>
      </c>
      <c r="D214">
        <f t="shared" si="12"/>
        <v>7.2293992457902398E-3</v>
      </c>
      <c r="E214">
        <f t="shared" si="12"/>
        <v>7.2293992457902398E-3</v>
      </c>
      <c r="G214">
        <f t="shared" ca="1" si="13"/>
        <v>212</v>
      </c>
      <c r="H214">
        <f t="shared" ca="1" si="14"/>
        <v>1.5326326401075308</v>
      </c>
      <c r="I214">
        <f t="shared" ca="1" si="15"/>
        <v>68.710777004506639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971</v>
      </c>
      <c r="B216" s="66">
        <v>971</v>
      </c>
      <c r="D216">
        <f t="shared" si="12"/>
        <v>4.5317925549789046E-3</v>
      </c>
      <c r="E216">
        <f t="shared" si="12"/>
        <v>4.5317925549789046E-3</v>
      </c>
      <c r="G216">
        <f t="shared" ca="1" si="13"/>
        <v>214</v>
      </c>
      <c r="H216">
        <f t="shared" ca="1" si="14"/>
        <v>0.9698036067654856</v>
      </c>
      <c r="I216">
        <f t="shared" ca="1" si="15"/>
        <v>44.857115414710897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732</v>
      </c>
      <c r="B219" s="66">
        <v>732</v>
      </c>
      <c r="D219">
        <f t="shared" si="12"/>
        <v>3.4163461897472277E-3</v>
      </c>
      <c r="E219">
        <f t="shared" si="12"/>
        <v>3.4163461897472277E-3</v>
      </c>
      <c r="G219">
        <f t="shared" ca="1" si="13"/>
        <v>217</v>
      </c>
      <c r="H219">
        <f t="shared" ca="1" si="14"/>
        <v>0.74134712317514839</v>
      </c>
      <c r="I219">
        <f t="shared" ca="1" si="15"/>
        <v>35.886181232141851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107.60049623865858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2.0774955262210746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0.72581443853932437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1380</v>
      </c>
      <c r="B8" s="66">
        <v>1380</v>
      </c>
      <c r="D8">
        <f t="shared" si="0"/>
        <v>1.1890708875811025</v>
      </c>
      <c r="E8">
        <f t="shared" si="1"/>
        <v>1.1890708875811025</v>
      </c>
      <c r="G8">
        <f t="shared" ca="1" si="2"/>
        <v>6</v>
      </c>
      <c r="H8">
        <f t="shared" ca="1" si="3"/>
        <v>7.1344253254866148</v>
      </c>
      <c r="I8">
        <f t="shared" ca="1" si="4"/>
        <v>12274.375482391855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3356</v>
      </c>
      <c r="B10" s="66">
        <v>3356</v>
      </c>
      <c r="D10">
        <f t="shared" si="0"/>
        <v>2.8916825353059274</v>
      </c>
      <c r="E10">
        <f t="shared" si="1"/>
        <v>2.8916825353059274</v>
      </c>
      <c r="G10">
        <f t="shared" ca="1" si="2"/>
        <v>8</v>
      </c>
      <c r="H10">
        <f t="shared" ca="1" si="3"/>
        <v>23.13346028244742</v>
      </c>
      <c r="I10">
        <f t="shared" ca="1" si="4"/>
        <v>28686.239265113276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3645</v>
      </c>
      <c r="B13" s="66">
        <v>3645</v>
      </c>
      <c r="D13">
        <f t="shared" si="0"/>
        <v>3.1406981052413898</v>
      </c>
      <c r="E13">
        <f t="shared" si="1"/>
        <v>3.1406981052413898</v>
      </c>
      <c r="G13">
        <f t="shared" ca="1" si="2"/>
        <v>11</v>
      </c>
      <c r="H13">
        <f t="shared" ca="1" si="3"/>
        <v>34.547679157655288</v>
      </c>
      <c r="I13">
        <f t="shared" ca="1" si="4"/>
        <v>29307.913920839157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4482</v>
      </c>
      <c r="B15" s="66">
        <v>4482</v>
      </c>
      <c r="D15">
        <f t="shared" si="0"/>
        <v>3.8618954479264498</v>
      </c>
      <c r="E15">
        <f t="shared" si="1"/>
        <v>3.8618954479264498</v>
      </c>
      <c r="G15">
        <f t="shared" ca="1" si="2"/>
        <v>13</v>
      </c>
      <c r="H15">
        <f t="shared" ca="1" si="3"/>
        <v>50.204640823043846</v>
      </c>
      <c r="I15">
        <f t="shared" ca="1" si="4"/>
        <v>34561.082854724184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7999</v>
      </c>
      <c r="B18" s="66">
        <v>7999</v>
      </c>
      <c r="D18">
        <f t="shared" si="0"/>
        <v>6.8923029201168395</v>
      </c>
      <c r="E18">
        <f t="shared" si="1"/>
        <v>6.8923029201168395</v>
      </c>
      <c r="G18">
        <f t="shared" ca="1" si="2"/>
        <v>16</v>
      </c>
      <c r="H18">
        <f t="shared" ca="1" si="3"/>
        <v>110.27684672186943</v>
      </c>
      <c r="I18">
        <f t="shared" ca="1" si="4"/>
        <v>57830.907776727705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7206</v>
      </c>
      <c r="B21" s="66">
        <v>7206</v>
      </c>
      <c r="D21">
        <f t="shared" si="0"/>
        <v>6.2090179825430605</v>
      </c>
      <c r="E21">
        <f t="shared" si="1"/>
        <v>6.2090179825430605</v>
      </c>
      <c r="G21">
        <f t="shared" ca="1" si="2"/>
        <v>19</v>
      </c>
      <c r="H21">
        <f t="shared" ca="1" si="3"/>
        <v>117.97134166831815</v>
      </c>
      <c r="I21">
        <f t="shared" ca="1" si="4"/>
        <v>48741.088784395251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9071</v>
      </c>
      <c r="B23" s="66">
        <v>9071</v>
      </c>
      <c r="D23">
        <f t="shared" si="0"/>
        <v>7.8159869719189707</v>
      </c>
      <c r="E23">
        <f t="shared" si="1"/>
        <v>7.8159869719189707</v>
      </c>
      <c r="G23">
        <f t="shared" ca="1" si="2"/>
        <v>21</v>
      </c>
      <c r="H23">
        <f t="shared" ca="1" si="3"/>
        <v>164.13572641029839</v>
      </c>
      <c r="I23">
        <f t="shared" ca="1" si="4"/>
        <v>58617.135029684359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6973</v>
      </c>
      <c r="B26" s="66">
        <v>6973</v>
      </c>
      <c r="D26">
        <f t="shared" si="0"/>
        <v>6.0082545645674106</v>
      </c>
      <c r="E26">
        <f t="shared" si="1"/>
        <v>6.0082545645674106</v>
      </c>
      <c r="G26">
        <f t="shared" ca="1" si="2"/>
        <v>24</v>
      </c>
      <c r="H26">
        <f t="shared" ca="1" si="3"/>
        <v>144.19810954961787</v>
      </c>
      <c r="I26">
        <f t="shared" ca="1" si="4"/>
        <v>41991.949334571218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8897</v>
      </c>
      <c r="B28" s="66">
        <v>8897</v>
      </c>
      <c r="D28">
        <f t="shared" si="0"/>
        <v>7.6660606426152667</v>
      </c>
      <c r="E28">
        <f t="shared" si="1"/>
        <v>7.6660606426152667</v>
      </c>
      <c r="G28">
        <f t="shared" ca="1" si="2"/>
        <v>26</v>
      </c>
      <c r="H28">
        <f t="shared" ca="1" si="3"/>
        <v>199.31757670799692</v>
      </c>
      <c r="I28">
        <f t="shared" ca="1" si="4"/>
        <v>51045.545599110163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9010</v>
      </c>
      <c r="B31" s="66">
        <v>9010</v>
      </c>
      <c r="D31">
        <f t="shared" si="0"/>
        <v>7.7634265921056036</v>
      </c>
      <c r="E31">
        <f t="shared" si="1"/>
        <v>7.7634265921056036</v>
      </c>
      <c r="G31">
        <f t="shared" ca="1" si="2"/>
        <v>29</v>
      </c>
      <c r="H31">
        <f t="shared" ca="1" si="3"/>
        <v>225.13937117106249</v>
      </c>
      <c r="I31">
        <f t="shared" ca="1" si="4"/>
        <v>47962.744565825473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9901</v>
      </c>
      <c r="B33" s="66">
        <v>9901</v>
      </c>
      <c r="D33">
        <f t="shared" si="0"/>
        <v>8.5311527956090547</v>
      </c>
      <c r="E33">
        <f t="shared" si="1"/>
        <v>8.5311527956090547</v>
      </c>
      <c r="G33">
        <f t="shared" ca="1" si="2"/>
        <v>31</v>
      </c>
      <c r="H33">
        <f t="shared" ca="1" si="3"/>
        <v>264.4657366638807</v>
      </c>
      <c r="I33">
        <f t="shared" ca="1" si="4"/>
        <v>50057.699469838619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11546</v>
      </c>
      <c r="B36" s="66">
        <v>11546</v>
      </c>
      <c r="D36">
        <f t="shared" si="0"/>
        <v>9.9485597594285569</v>
      </c>
      <c r="E36">
        <f t="shared" si="1"/>
        <v>9.9485597594285569</v>
      </c>
      <c r="G36">
        <f t="shared" ca="1" si="2"/>
        <v>34</v>
      </c>
      <c r="H36">
        <f t="shared" ca="1" si="3"/>
        <v>338.25103182057092</v>
      </c>
      <c r="I36">
        <f t="shared" ca="1" si="4"/>
        <v>53891.676982668585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12367</v>
      </c>
      <c r="B39" s="66">
        <v>12367</v>
      </c>
      <c r="D39">
        <f t="shared" si="0"/>
        <v>10.655970772982242</v>
      </c>
      <c r="E39">
        <f t="shared" si="1"/>
        <v>10.655970772982242</v>
      </c>
      <c r="G39">
        <f t="shared" ca="1" si="2"/>
        <v>37</v>
      </c>
      <c r="H39">
        <f t="shared" ca="1" si="3"/>
        <v>394.27091860034295</v>
      </c>
      <c r="I39">
        <f t="shared" ca="1" si="4"/>
        <v>53113.941136781315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15135</v>
      </c>
      <c r="B41" s="66">
        <v>15135</v>
      </c>
      <c r="D41">
        <f t="shared" si="0"/>
        <v>13.041005712710135</v>
      </c>
      <c r="E41">
        <f t="shared" si="1"/>
        <v>13.041005712710135</v>
      </c>
      <c r="G41">
        <f t="shared" ca="1" si="2"/>
        <v>39</v>
      </c>
      <c r="H41">
        <f t="shared" ca="1" si="3"/>
        <v>508.59922279569525</v>
      </c>
      <c r="I41">
        <f t="shared" ca="1" si="4"/>
        <v>61371.339130098851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15334</v>
      </c>
      <c r="B44" s="66">
        <v>15334</v>
      </c>
      <c r="D44">
        <f t="shared" si="0"/>
        <v>13.212473181281611</v>
      </c>
      <c r="E44">
        <f t="shared" si="1"/>
        <v>13.212473181281611</v>
      </c>
      <c r="G44">
        <f t="shared" ca="1" si="2"/>
        <v>42</v>
      </c>
      <c r="H44">
        <f t="shared" ca="1" si="3"/>
        <v>554.92387361382771</v>
      </c>
      <c r="I44">
        <f t="shared" ca="1" si="4"/>
        <v>56858.888810697441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17661</v>
      </c>
      <c r="B46" s="66">
        <v>17661</v>
      </c>
      <c r="D46">
        <f t="shared" si="0"/>
        <v>15.217522424325978</v>
      </c>
      <c r="E46">
        <f t="shared" si="1"/>
        <v>15.217522424325978</v>
      </c>
      <c r="G46">
        <f t="shared" ca="1" si="2"/>
        <v>44</v>
      </c>
      <c r="H46">
        <f t="shared" ca="1" si="3"/>
        <v>669.57098667034302</v>
      </c>
      <c r="I46">
        <f t="shared" ca="1" si="4"/>
        <v>61555.230062963725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21152</v>
      </c>
      <c r="B49" s="66">
        <v>21152</v>
      </c>
      <c r="D49">
        <f t="shared" si="0"/>
        <v>18.225527111677881</v>
      </c>
      <c r="E49">
        <f t="shared" si="1"/>
        <v>18.225527111677881</v>
      </c>
      <c r="G49">
        <f t="shared" ca="1" si="2"/>
        <v>47</v>
      </c>
      <c r="H49">
        <f t="shared" ca="1" si="3"/>
        <v>856.5997742488604</v>
      </c>
      <c r="I49">
        <f t="shared" ca="1" si="4"/>
        <v>66931.792906717907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26786</v>
      </c>
      <c r="B51" s="66">
        <v>26786</v>
      </c>
      <c r="D51">
        <f t="shared" si="0"/>
        <v>23.08003825706334</v>
      </c>
      <c r="E51">
        <f t="shared" si="1"/>
        <v>23.08003825706334</v>
      </c>
      <c r="G51">
        <f t="shared" ca="1" si="2"/>
        <v>49</v>
      </c>
      <c r="H51">
        <f t="shared" ca="1" si="3"/>
        <v>1130.9218745961036</v>
      </c>
      <c r="I51">
        <f t="shared" ca="1" si="4"/>
        <v>79257.270494795477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30439</v>
      </c>
      <c r="B54" s="66">
        <v>30439</v>
      </c>
      <c r="D54">
        <f t="shared" si="0"/>
        <v>26.227629526870416</v>
      </c>
      <c r="E54">
        <f t="shared" si="1"/>
        <v>26.227629526870416</v>
      </c>
      <c r="G54">
        <f t="shared" ca="1" si="2"/>
        <v>52</v>
      </c>
      <c r="H54">
        <f t="shared" ca="1" si="3"/>
        <v>1363.8367353972617</v>
      </c>
      <c r="I54">
        <f t="shared" ca="1" si="4"/>
        <v>81080.492106847538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32049</v>
      </c>
      <c r="B57" s="66">
        <v>32049</v>
      </c>
      <c r="D57">
        <f t="shared" si="0"/>
        <v>27.614878895715037</v>
      </c>
      <c r="E57">
        <f t="shared" si="1"/>
        <v>27.614878895715037</v>
      </c>
      <c r="G57">
        <f t="shared" ca="1" si="2"/>
        <v>55</v>
      </c>
      <c r="H57">
        <f t="shared" ca="1" si="3"/>
        <v>1518.8183392643271</v>
      </c>
      <c r="I57">
        <f t="shared" ca="1" si="4"/>
        <v>76405.18395592118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38803</v>
      </c>
      <c r="B59" s="66">
        <v>38803</v>
      </c>
      <c r="D59">
        <f t="shared" si="0"/>
        <v>33.434433080296749</v>
      </c>
      <c r="E59">
        <f t="shared" si="1"/>
        <v>33.434433080296749</v>
      </c>
      <c r="G59">
        <f t="shared" ca="1" si="2"/>
        <v>57</v>
      </c>
      <c r="H59">
        <f t="shared" ca="1" si="3"/>
        <v>1905.7626855769147</v>
      </c>
      <c r="I59">
        <f t="shared" ca="1" si="4"/>
        <v>85605.864145273983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47969</v>
      </c>
      <c r="B62" s="66">
        <v>47969</v>
      </c>
      <c r="D62">
        <f t="shared" si="0"/>
        <v>41.33227638143326</v>
      </c>
      <c r="E62">
        <f t="shared" si="1"/>
        <v>41.33227638143326</v>
      </c>
      <c r="G62">
        <f t="shared" ca="1" si="2"/>
        <v>60</v>
      </c>
      <c r="H62">
        <f t="shared" ca="1" si="3"/>
        <v>2479.9365828859954</v>
      </c>
      <c r="I62">
        <f t="shared" ca="1" si="4"/>
        <v>93650.971160280911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53348</v>
      </c>
      <c r="B64" s="66">
        <v>53348</v>
      </c>
      <c r="D64">
        <f t="shared" si="0"/>
        <v>45.967067906287426</v>
      </c>
      <c r="E64">
        <f t="shared" si="1"/>
        <v>45.967067906287426</v>
      </c>
      <c r="G64">
        <f t="shared" ca="1" si="2"/>
        <v>62</v>
      </c>
      <c r="H64">
        <f t="shared" ca="1" si="3"/>
        <v>2849.9582101898204</v>
      </c>
      <c r="I64">
        <f t="shared" ca="1" si="4"/>
        <v>95584.162662951188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57077</v>
      </c>
      <c r="B67" s="66">
        <v>57077</v>
      </c>
      <c r="D67">
        <f t="shared" ref="D67:D130" si="5">IFERROR( 100*A67/MAX(A$2:A$257), 0 )</f>
        <v>49.18014423946854</v>
      </c>
      <c r="E67">
        <f t="shared" ref="E67:E130" si="6">IFERROR( 100*B67/MAX(B$2:B$257), 0 )</f>
        <v>49.18014423946854</v>
      </c>
      <c r="G67">
        <f t="shared" ref="G67:G130" ca="1" si="7">CELL("row",D67)-2</f>
        <v>65</v>
      </c>
      <c r="H67">
        <f t="shared" ref="H67:H130" ca="1" si="8">D67*G67</f>
        <v>3196.709375565455</v>
      </c>
      <c r="I67">
        <f t="shared" ref="I67:I130" ca="1" si="9">D67*((G67-$L$1)^2)</f>
        <v>89252.237885694965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58909</v>
      </c>
      <c r="B69" s="66">
        <v>58909</v>
      </c>
      <c r="D69">
        <f t="shared" si="5"/>
        <v>50.758678925010983</v>
      </c>
      <c r="E69">
        <f t="shared" si="6"/>
        <v>50.758678925010983</v>
      </c>
      <c r="G69">
        <f t="shared" ca="1" si="7"/>
        <v>67</v>
      </c>
      <c r="H69">
        <f t="shared" ca="1" si="8"/>
        <v>3400.8314879757359</v>
      </c>
      <c r="I69">
        <f t="shared" ca="1" si="9"/>
        <v>83670.621304932341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59297</v>
      </c>
      <c r="B72" s="66">
        <v>59297</v>
      </c>
      <c r="D72">
        <f t="shared" si="5"/>
        <v>51.092997406446834</v>
      </c>
      <c r="E72">
        <f t="shared" si="6"/>
        <v>51.092997406446834</v>
      </c>
      <c r="G72">
        <f t="shared" ca="1" si="7"/>
        <v>70</v>
      </c>
      <c r="H72">
        <f t="shared" ca="1" si="8"/>
        <v>3576.5098184512785</v>
      </c>
      <c r="I72">
        <f t="shared" ca="1" si="9"/>
        <v>72235.14267082134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54408</v>
      </c>
      <c r="B75" s="66">
        <v>54408</v>
      </c>
      <c r="D75">
        <f t="shared" si="5"/>
        <v>46.88041221124103</v>
      </c>
      <c r="E75">
        <f t="shared" si="6"/>
        <v>46.88041221124103</v>
      </c>
      <c r="G75">
        <f t="shared" ca="1" si="7"/>
        <v>73</v>
      </c>
      <c r="H75">
        <f t="shared" ca="1" si="8"/>
        <v>3422.2700914205952</v>
      </c>
      <c r="I75">
        <f t="shared" ca="1" si="9"/>
        <v>56124.964154356305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56965</v>
      </c>
      <c r="B77" s="66">
        <v>56965</v>
      </c>
      <c r="D77">
        <f t="shared" si="5"/>
        <v>49.083639935548909</v>
      </c>
      <c r="E77">
        <f t="shared" si="6"/>
        <v>49.083639935548909</v>
      </c>
      <c r="G77">
        <f t="shared" ca="1" si="7"/>
        <v>75</v>
      </c>
      <c r="H77">
        <f t="shared" ca="1" si="8"/>
        <v>3681.2729951661681</v>
      </c>
      <c r="I77">
        <f t="shared" ca="1" si="9"/>
        <v>52165.717279407458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61163</v>
      </c>
      <c r="B80" s="66">
        <v>61163</v>
      </c>
      <c r="D80">
        <f t="shared" si="5"/>
        <v>52.70082804139345</v>
      </c>
      <c r="E80">
        <f t="shared" si="6"/>
        <v>52.70082804139345</v>
      </c>
      <c r="G80">
        <f t="shared" ca="1" si="7"/>
        <v>78</v>
      </c>
      <c r="H80">
        <f t="shared" ca="1" si="8"/>
        <v>4110.664587228689</v>
      </c>
      <c r="I80">
        <f t="shared" ca="1" si="9"/>
        <v>46175.905719267241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69699</v>
      </c>
      <c r="B82" s="66">
        <v>69699</v>
      </c>
      <c r="D82">
        <f t="shared" si="5"/>
        <v>60.055834632982069</v>
      </c>
      <c r="E82">
        <f t="shared" si="6"/>
        <v>60.055834632982069</v>
      </c>
      <c r="G82">
        <f t="shared" ca="1" si="7"/>
        <v>80</v>
      </c>
      <c r="H82">
        <f t="shared" ca="1" si="8"/>
        <v>4804.4667706385653</v>
      </c>
      <c r="I82">
        <f t="shared" ca="1" si="9"/>
        <v>45749.777676689693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76969</v>
      </c>
      <c r="B85" s="66">
        <v>76969</v>
      </c>
      <c r="D85">
        <f t="shared" si="5"/>
        <v>66.319997932050626</v>
      </c>
      <c r="E85">
        <f t="shared" si="6"/>
        <v>66.319997932050626</v>
      </c>
      <c r="G85">
        <f t="shared" ca="1" si="7"/>
        <v>83</v>
      </c>
      <c r="H85">
        <f t="shared" ca="1" si="8"/>
        <v>5504.5598283602021</v>
      </c>
      <c r="I85">
        <f t="shared" ca="1" si="9"/>
        <v>40135.829163794333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83870</v>
      </c>
      <c r="B88" s="66">
        <v>83870</v>
      </c>
      <c r="D88">
        <f t="shared" si="5"/>
        <v>72.266214015526856</v>
      </c>
      <c r="E88">
        <f t="shared" si="6"/>
        <v>72.266214015526856</v>
      </c>
      <c r="G88">
        <f t="shared" ca="1" si="7"/>
        <v>86</v>
      </c>
      <c r="H88">
        <f t="shared" ca="1" si="8"/>
        <v>6214.8944053353098</v>
      </c>
      <c r="I88">
        <f t="shared" ca="1" si="9"/>
        <v>33718.07403656924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80702</v>
      </c>
      <c r="B90" s="66">
        <v>80702</v>
      </c>
      <c r="D90">
        <f t="shared" si="5"/>
        <v>69.536520847514581</v>
      </c>
      <c r="E90">
        <f t="shared" si="6"/>
        <v>69.536520847514581</v>
      </c>
      <c r="G90">
        <f t="shared" ca="1" si="7"/>
        <v>88</v>
      </c>
      <c r="H90">
        <f t="shared" ca="1" si="8"/>
        <v>6119.2138345812828</v>
      </c>
      <c r="I90">
        <f t="shared" ca="1" si="9"/>
        <v>26714.502528930007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82018</v>
      </c>
      <c r="B93" s="66">
        <v>82018</v>
      </c>
      <c r="D93">
        <f t="shared" si="5"/>
        <v>70.67044641857018</v>
      </c>
      <c r="E93">
        <f t="shared" si="6"/>
        <v>70.67044641857018</v>
      </c>
      <c r="G93">
        <f t="shared" ca="1" si="7"/>
        <v>91</v>
      </c>
      <c r="H93">
        <f t="shared" ca="1" si="8"/>
        <v>6431.0106240898867</v>
      </c>
      <c r="I93">
        <f t="shared" ca="1" si="9"/>
        <v>19475.112536834054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88942</v>
      </c>
      <c r="B95" s="66">
        <v>88942</v>
      </c>
      <c r="D95">
        <f t="shared" si="5"/>
        <v>76.636480350172761</v>
      </c>
      <c r="E95">
        <f t="shared" si="6"/>
        <v>76.636480350172761</v>
      </c>
      <c r="G95">
        <f t="shared" ca="1" si="7"/>
        <v>93</v>
      </c>
      <c r="H95">
        <f t="shared" ca="1" si="8"/>
        <v>7127.1926725660669</v>
      </c>
      <c r="I95">
        <f t="shared" ca="1" si="9"/>
        <v>16336.942645853624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100315</v>
      </c>
      <c r="B98" s="66">
        <v>100315</v>
      </c>
      <c r="D98">
        <f t="shared" si="5"/>
        <v>86.435975425868321</v>
      </c>
      <c r="E98">
        <f t="shared" si="6"/>
        <v>86.435975425868321</v>
      </c>
      <c r="G98">
        <f t="shared" ca="1" si="7"/>
        <v>96</v>
      </c>
      <c r="H98">
        <f t="shared" ca="1" si="8"/>
        <v>8297.8536408833588</v>
      </c>
      <c r="I98">
        <f t="shared" ca="1" si="9"/>
        <v>11631.819989231903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106413</v>
      </c>
      <c r="B100" s="66">
        <v>106413</v>
      </c>
      <c r="D100">
        <f t="shared" si="5"/>
        <v>91.690290116063665</v>
      </c>
      <c r="E100">
        <f t="shared" si="6"/>
        <v>91.690290116063665</v>
      </c>
      <c r="G100">
        <f t="shared" ca="1" si="7"/>
        <v>98</v>
      </c>
      <c r="H100">
        <f t="shared" ca="1" si="8"/>
        <v>8985.6484313742385</v>
      </c>
      <c r="I100">
        <f t="shared" ca="1" si="9"/>
        <v>8451.0507647935992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115163</v>
      </c>
      <c r="B103" s="66">
        <v>115163</v>
      </c>
      <c r="D103">
        <f t="shared" si="5"/>
        <v>99.229688859784417</v>
      </c>
      <c r="E103">
        <f t="shared" si="6"/>
        <v>99.229688859784417</v>
      </c>
      <c r="G103">
        <f t="shared" ca="1" si="7"/>
        <v>101</v>
      </c>
      <c r="H103">
        <f t="shared" ca="1" si="8"/>
        <v>10022.198574838227</v>
      </c>
      <c r="I103">
        <f t="shared" ca="1" si="9"/>
        <v>4323.0952603893193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113905</v>
      </c>
      <c r="B106" s="66">
        <v>113905</v>
      </c>
      <c r="D106">
        <f t="shared" si="5"/>
        <v>98.14573873183005</v>
      </c>
      <c r="E106">
        <f t="shared" si="6"/>
        <v>98.14573873183005</v>
      </c>
      <c r="G106">
        <f t="shared" ca="1" si="7"/>
        <v>104</v>
      </c>
      <c r="H106">
        <f t="shared" ca="1" si="8"/>
        <v>10207.156828110325</v>
      </c>
      <c r="I106">
        <f t="shared" ca="1" si="9"/>
        <v>1272.3194648432623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116057</v>
      </c>
      <c r="B108" s="66">
        <v>116057</v>
      </c>
      <c r="D108">
        <f t="shared" si="5"/>
        <v>100</v>
      </c>
      <c r="E108">
        <f t="shared" si="6"/>
        <v>100</v>
      </c>
      <c r="G108">
        <f t="shared" ca="1" si="7"/>
        <v>106</v>
      </c>
      <c r="H108">
        <f t="shared" ca="1" si="8"/>
        <v>10600</v>
      </c>
      <c r="I108">
        <f t="shared" ca="1" si="9"/>
        <v>256.15882099602584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110886</v>
      </c>
      <c r="B111" s="66">
        <v>110886</v>
      </c>
      <c r="D111">
        <f t="shared" si="5"/>
        <v>95.544430753853703</v>
      </c>
      <c r="E111">
        <f t="shared" si="6"/>
        <v>95.544430753853703</v>
      </c>
      <c r="G111">
        <f t="shared" ca="1" si="7"/>
        <v>109</v>
      </c>
      <c r="H111">
        <f t="shared" ca="1" si="8"/>
        <v>10414.342952170053</v>
      </c>
      <c r="I111">
        <f t="shared" ca="1" si="9"/>
        <v>187.13435185321194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100130</v>
      </c>
      <c r="B113" s="66">
        <v>100130</v>
      </c>
      <c r="D113">
        <f t="shared" si="5"/>
        <v>86.276570995286804</v>
      </c>
      <c r="E113">
        <f t="shared" si="6"/>
        <v>86.276570995286804</v>
      </c>
      <c r="G113">
        <f t="shared" ca="1" si="7"/>
        <v>111</v>
      </c>
      <c r="H113">
        <f t="shared" ca="1" si="8"/>
        <v>9576.6993804768354</v>
      </c>
      <c r="I113">
        <f t="shared" ca="1" si="9"/>
        <v>997.06604831633217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94775</v>
      </c>
      <c r="B116" s="66">
        <v>94775</v>
      </c>
      <c r="D116">
        <f t="shared" si="5"/>
        <v>81.662458964129698</v>
      </c>
      <c r="E116">
        <f t="shared" si="6"/>
        <v>81.662458964129698</v>
      </c>
      <c r="G116">
        <f t="shared" ca="1" si="7"/>
        <v>114</v>
      </c>
      <c r="H116">
        <f t="shared" ca="1" si="8"/>
        <v>9309.5203219107862</v>
      </c>
      <c r="I116">
        <f t="shared" ca="1" si="9"/>
        <v>3344.3756311959764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86625</v>
      </c>
      <c r="B118" s="66">
        <v>86625</v>
      </c>
      <c r="D118">
        <f t="shared" si="5"/>
        <v>74.640047562835505</v>
      </c>
      <c r="E118">
        <f t="shared" si="6"/>
        <v>74.640047562835505</v>
      </c>
      <c r="G118">
        <f t="shared" ca="1" si="7"/>
        <v>116</v>
      </c>
      <c r="H118">
        <f t="shared" ca="1" si="8"/>
        <v>8658.2455172889186</v>
      </c>
      <c r="I118">
        <f t="shared" ca="1" si="9"/>
        <v>5265.9795145590706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88601</v>
      </c>
      <c r="B121" s="66">
        <v>88601</v>
      </c>
      <c r="D121">
        <f t="shared" si="5"/>
        <v>76.342659210560328</v>
      </c>
      <c r="E121">
        <f t="shared" si="6"/>
        <v>76.342659210560328</v>
      </c>
      <c r="G121">
        <f t="shared" ca="1" si="7"/>
        <v>119</v>
      </c>
      <c r="H121">
        <f t="shared" ca="1" si="8"/>
        <v>9084.7764460566796</v>
      </c>
      <c r="I121">
        <f t="shared" ca="1" si="9"/>
        <v>9920.6282505273975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83183</v>
      </c>
      <c r="B124" s="66">
        <v>83183</v>
      </c>
      <c r="D124">
        <f t="shared" si="5"/>
        <v>71.674263508448433</v>
      </c>
      <c r="E124">
        <f t="shared" si="6"/>
        <v>71.674263508448433</v>
      </c>
      <c r="G124">
        <f t="shared" ca="1" si="7"/>
        <v>122</v>
      </c>
      <c r="H124">
        <f t="shared" ca="1" si="8"/>
        <v>8744.2601480307094</v>
      </c>
      <c r="I124">
        <f t="shared" ca="1" si="9"/>
        <v>14861.350953598969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85756</v>
      </c>
      <c r="B126" s="66">
        <v>85756</v>
      </c>
      <c r="D126">
        <f t="shared" si="5"/>
        <v>73.891277561887691</v>
      </c>
      <c r="E126">
        <f t="shared" si="6"/>
        <v>73.891277561887691</v>
      </c>
      <c r="G126">
        <f t="shared" ca="1" si="7"/>
        <v>124</v>
      </c>
      <c r="H126">
        <f t="shared" ca="1" si="8"/>
        <v>9162.5184176740731</v>
      </c>
      <c r="I126">
        <f t="shared" ca="1" si="9"/>
        <v>19872.595330403823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81954</v>
      </c>
      <c r="B129" s="66">
        <v>81954</v>
      </c>
      <c r="D129">
        <f t="shared" si="5"/>
        <v>70.615301102044683</v>
      </c>
      <c r="E129">
        <f t="shared" si="6"/>
        <v>70.615301102044683</v>
      </c>
      <c r="G129">
        <f t="shared" ca="1" si="7"/>
        <v>127</v>
      </c>
      <c r="H129">
        <f t="shared" ca="1" si="8"/>
        <v>8968.1432399596742</v>
      </c>
      <c r="I129">
        <f t="shared" ca="1" si="9"/>
        <v>26575.415108913745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79580</v>
      </c>
      <c r="B131" s="66">
        <v>79580</v>
      </c>
      <c r="D131">
        <f t="shared" ref="D131:D194" si="10">IFERROR( 100*A131/MAX(A$2:A$257), 0 )</f>
        <v>68.569754517176904</v>
      </c>
      <c r="E131">
        <f t="shared" ref="E131:E194" si="11">IFERROR( 100*B131/MAX(B$2:B$257), 0 )</f>
        <v>68.569754517176904</v>
      </c>
      <c r="G131">
        <f t="shared" ref="G131:G194" ca="1" si="12">CELL("row",D131)-2</f>
        <v>129</v>
      </c>
      <c r="H131">
        <f t="shared" ref="H131:H194" ca="1" si="13">D131*G131</f>
        <v>8845.4983327158207</v>
      </c>
      <c r="I131">
        <f t="shared" ref="I131:I194" ca="1" si="14">D131*((G131-$L$1)^2)</f>
        <v>31400.748441555399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78091</v>
      </c>
      <c r="B134" s="66">
        <v>78091</v>
      </c>
      <c r="D134">
        <f t="shared" si="10"/>
        <v>67.286764262388303</v>
      </c>
      <c r="E134">
        <f t="shared" si="11"/>
        <v>67.286764262388303</v>
      </c>
      <c r="G134">
        <f t="shared" ca="1" si="12"/>
        <v>132</v>
      </c>
      <c r="H134">
        <f t="shared" ca="1" si="13"/>
        <v>8881.8528826352558</v>
      </c>
      <c r="I134">
        <f t="shared" ca="1" si="14"/>
        <v>40058.218541495531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78645</v>
      </c>
      <c r="B136" s="66">
        <v>78645</v>
      </c>
      <c r="D136">
        <f t="shared" si="10"/>
        <v>67.764115908562175</v>
      </c>
      <c r="E136">
        <f t="shared" si="11"/>
        <v>67.764115908562175</v>
      </c>
      <c r="G136">
        <f t="shared" ca="1" si="12"/>
        <v>134</v>
      </c>
      <c r="H136">
        <f t="shared" ca="1" si="13"/>
        <v>9080.3915317473311</v>
      </c>
      <c r="I136">
        <f t="shared" ca="1" si="14"/>
        <v>47227.102725532546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66462</v>
      </c>
      <c r="B139" s="66">
        <v>66462</v>
      </c>
      <c r="D139">
        <f t="shared" si="10"/>
        <v>57.266687920590748</v>
      </c>
      <c r="E139">
        <f t="shared" si="11"/>
        <v>57.266687920590748</v>
      </c>
      <c r="G139">
        <f t="shared" ca="1" si="12"/>
        <v>137</v>
      </c>
      <c r="H139">
        <f t="shared" ca="1" si="13"/>
        <v>7845.5362451209321</v>
      </c>
      <c r="I139">
        <f t="shared" ca="1" si="14"/>
        <v>49497.363410013473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49661</v>
      </c>
      <c r="B142" s="66">
        <v>49661</v>
      </c>
      <c r="D142">
        <f t="shared" si="10"/>
        <v>42.79018068707618</v>
      </c>
      <c r="E142">
        <f t="shared" si="11"/>
        <v>42.79018068707618</v>
      </c>
      <c r="G142">
        <f t="shared" ca="1" si="12"/>
        <v>140</v>
      </c>
      <c r="H142">
        <f t="shared" ca="1" si="13"/>
        <v>5990.6252961906648</v>
      </c>
      <c r="I142">
        <f t="shared" ca="1" si="14"/>
        <v>44918.044116209472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41732</v>
      </c>
      <c r="B144" s="66">
        <v>41732</v>
      </c>
      <c r="D144">
        <f t="shared" si="10"/>
        <v>35.958192956909102</v>
      </c>
      <c r="E144">
        <f t="shared" si="11"/>
        <v>35.958192956909102</v>
      </c>
      <c r="G144">
        <f t="shared" ca="1" si="12"/>
        <v>142</v>
      </c>
      <c r="H144">
        <f t="shared" ca="1" si="13"/>
        <v>5106.0633998810927</v>
      </c>
      <c r="I144">
        <f t="shared" ca="1" si="14"/>
        <v>42550.25956977663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36626</v>
      </c>
      <c r="B147" s="66">
        <v>36626</v>
      </c>
      <c r="D147">
        <f t="shared" si="10"/>
        <v>31.558630672859024</v>
      </c>
      <c r="E147">
        <f t="shared" si="11"/>
        <v>31.558630672859024</v>
      </c>
      <c r="G147">
        <f t="shared" ca="1" si="12"/>
        <v>145</v>
      </c>
      <c r="H147">
        <f t="shared" ca="1" si="13"/>
        <v>4576.0014475645585</v>
      </c>
      <c r="I147">
        <f t="shared" ca="1" si="14"/>
        <v>44141.778833920827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34092</v>
      </c>
      <c r="B149" s="66">
        <v>34092</v>
      </c>
      <c r="D149">
        <f t="shared" si="10"/>
        <v>29.375220796677496</v>
      </c>
      <c r="E149">
        <f t="shared" si="11"/>
        <v>29.375220796677496</v>
      </c>
      <c r="G149">
        <f t="shared" ca="1" si="12"/>
        <v>147</v>
      </c>
      <c r="H149">
        <f t="shared" ca="1" si="13"/>
        <v>4318.1574571115916</v>
      </c>
      <c r="I149">
        <f t="shared" ca="1" si="14"/>
        <v>45599.769086095119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31444</v>
      </c>
      <c r="B152" s="66">
        <v>31444</v>
      </c>
      <c r="D152">
        <f t="shared" si="10"/>
        <v>27.093583325434917</v>
      </c>
      <c r="E152">
        <f t="shared" si="11"/>
        <v>27.093583325434917</v>
      </c>
      <c r="G152">
        <f t="shared" ca="1" si="12"/>
        <v>150</v>
      </c>
      <c r="H152">
        <f t="shared" ca="1" si="13"/>
        <v>4064.0374988152375</v>
      </c>
      <c r="I152">
        <f t="shared" ca="1" si="14"/>
        <v>48706.620239689568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24907</v>
      </c>
      <c r="B154" s="66">
        <v>24907</v>
      </c>
      <c r="D154">
        <f t="shared" si="10"/>
        <v>21.461006229697475</v>
      </c>
      <c r="E154">
        <f t="shared" si="11"/>
        <v>21.461006229697475</v>
      </c>
      <c r="G154">
        <f t="shared" ca="1" si="12"/>
        <v>152</v>
      </c>
      <c r="H154">
        <f t="shared" ca="1" si="13"/>
        <v>3262.072946914016</v>
      </c>
      <c r="I154">
        <f t="shared" ca="1" si="14"/>
        <v>42306.423545713493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22377</v>
      </c>
      <c r="B157" s="66">
        <v>22377</v>
      </c>
      <c r="D157">
        <f t="shared" si="10"/>
        <v>19.281042935798787</v>
      </c>
      <c r="E157">
        <f t="shared" si="11"/>
        <v>19.281042935798787</v>
      </c>
      <c r="G157">
        <f t="shared" ca="1" si="12"/>
        <v>155</v>
      </c>
      <c r="H157">
        <f t="shared" ca="1" si="13"/>
        <v>2988.5616550488121</v>
      </c>
      <c r="I157">
        <f t="shared" ca="1" si="14"/>
        <v>43318.968984889238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18766</v>
      </c>
      <c r="B160" s="66">
        <v>18766</v>
      </c>
      <c r="D160">
        <f t="shared" si="10"/>
        <v>16.169640779961572</v>
      </c>
      <c r="E160">
        <f t="shared" si="11"/>
        <v>16.169640779961572</v>
      </c>
      <c r="G160">
        <f t="shared" ca="1" si="12"/>
        <v>158</v>
      </c>
      <c r="H160">
        <f t="shared" ca="1" si="13"/>
        <v>2554.8032432339282</v>
      </c>
      <c r="I160">
        <f t="shared" ca="1" si="14"/>
        <v>41072.665908323295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15290</v>
      </c>
      <c r="B162" s="66">
        <v>15290</v>
      </c>
      <c r="D162">
        <f t="shared" si="10"/>
        <v>13.174560776170329</v>
      </c>
      <c r="E162">
        <f t="shared" si="11"/>
        <v>13.174560776170329</v>
      </c>
      <c r="G162">
        <f t="shared" ca="1" si="12"/>
        <v>160</v>
      </c>
      <c r="H162">
        <f t="shared" ca="1" si="13"/>
        <v>2107.9297241872528</v>
      </c>
      <c r="I162">
        <f t="shared" ca="1" si="14"/>
        <v>36173.496846298462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14576</v>
      </c>
      <c r="B165" s="66">
        <v>14576</v>
      </c>
      <c r="D165">
        <f t="shared" si="10"/>
        <v>12.559345838682717</v>
      </c>
      <c r="E165">
        <f t="shared" si="11"/>
        <v>12.559345838682717</v>
      </c>
      <c r="G165">
        <f t="shared" ca="1" si="12"/>
        <v>163</v>
      </c>
      <c r="H165">
        <f t="shared" ca="1" si="13"/>
        <v>2047.1733717052828</v>
      </c>
      <c r="I165">
        <f t="shared" ca="1" si="14"/>
        <v>38545.951323775393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14793</v>
      </c>
      <c r="B167" s="66">
        <v>14793</v>
      </c>
      <c r="D167">
        <f t="shared" si="10"/>
        <v>12.746322927526991</v>
      </c>
      <c r="E167">
        <f t="shared" si="11"/>
        <v>12.746322927526991</v>
      </c>
      <c r="G167">
        <f t="shared" ca="1" si="12"/>
        <v>165</v>
      </c>
      <c r="H167">
        <f t="shared" ca="1" si="13"/>
        <v>2103.1432830419535</v>
      </c>
      <c r="I167">
        <f t="shared" ca="1" si="14"/>
        <v>41995.34879678928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15319</v>
      </c>
      <c r="B170" s="66">
        <v>15319</v>
      </c>
      <c r="D170">
        <f t="shared" si="10"/>
        <v>13.199548497720947</v>
      </c>
      <c r="E170">
        <f t="shared" si="11"/>
        <v>13.199548497720947</v>
      </c>
      <c r="G170">
        <f t="shared" ca="1" si="12"/>
        <v>168</v>
      </c>
      <c r="H170">
        <f t="shared" ca="1" si="13"/>
        <v>2217.5241476171191</v>
      </c>
      <c r="I170">
        <f t="shared" ca="1" si="14"/>
        <v>48153.273595446241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15316</v>
      </c>
      <c r="B173" s="66">
        <v>15316</v>
      </c>
      <c r="D173">
        <f t="shared" si="10"/>
        <v>13.196963561008815</v>
      </c>
      <c r="E173">
        <f t="shared" si="11"/>
        <v>13.196963561008815</v>
      </c>
      <c r="G173">
        <f t="shared" ca="1" si="12"/>
        <v>171</v>
      </c>
      <c r="H173">
        <f t="shared" ca="1" si="13"/>
        <v>2256.6807689325074</v>
      </c>
      <c r="I173">
        <f t="shared" ca="1" si="14"/>
        <v>53045.156461183236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18214</v>
      </c>
      <c r="B175" s="66">
        <v>18214</v>
      </c>
      <c r="D175">
        <f t="shared" si="10"/>
        <v>15.694012424929129</v>
      </c>
      <c r="E175">
        <f t="shared" si="11"/>
        <v>15.694012424929129</v>
      </c>
      <c r="G175">
        <f t="shared" ca="1" si="12"/>
        <v>173</v>
      </c>
      <c r="H175">
        <f t="shared" ca="1" si="13"/>
        <v>2715.0641495127393</v>
      </c>
      <c r="I175">
        <f t="shared" ca="1" si="14"/>
        <v>67124.783520056473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22964</v>
      </c>
      <c r="B178" s="66">
        <v>22964</v>
      </c>
      <c r="D178">
        <f t="shared" si="10"/>
        <v>19.786828885806113</v>
      </c>
      <c r="E178">
        <f t="shared" si="11"/>
        <v>19.786828885806113</v>
      </c>
      <c r="G178">
        <f t="shared" ca="1" si="12"/>
        <v>176</v>
      </c>
      <c r="H178">
        <f t="shared" ca="1" si="13"/>
        <v>3482.4818839018758</v>
      </c>
      <c r="I178">
        <f t="shared" ca="1" si="14"/>
        <v>92572.522919096431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25177</v>
      </c>
      <c r="B180" s="66">
        <v>25177</v>
      </c>
      <c r="D180">
        <f t="shared" si="10"/>
        <v>21.69365053378943</v>
      </c>
      <c r="E180">
        <f t="shared" si="11"/>
        <v>21.69365053378943</v>
      </c>
      <c r="G180">
        <f t="shared" ca="1" si="12"/>
        <v>178</v>
      </c>
      <c r="H180">
        <f t="shared" ca="1" si="13"/>
        <v>3861.4697950145187</v>
      </c>
      <c r="I180">
        <f t="shared" ca="1" si="14"/>
        <v>107515.68729077982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29142</v>
      </c>
      <c r="B183" s="66">
        <v>29142</v>
      </c>
      <c r="D183">
        <f t="shared" si="10"/>
        <v>25.110075221658324</v>
      </c>
      <c r="E183">
        <f t="shared" si="11"/>
        <v>25.110075221658324</v>
      </c>
      <c r="G183">
        <f t="shared" ca="1" si="12"/>
        <v>181</v>
      </c>
      <c r="H183">
        <f t="shared" ca="1" si="13"/>
        <v>4544.9236151201567</v>
      </c>
      <c r="I183">
        <f t="shared" ca="1" si="14"/>
        <v>135280.20765276236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30507</v>
      </c>
      <c r="B185" s="66">
        <v>30507</v>
      </c>
      <c r="D185">
        <f t="shared" si="10"/>
        <v>26.286221425678761</v>
      </c>
      <c r="E185">
        <f t="shared" si="11"/>
        <v>26.286221425678761</v>
      </c>
      <c r="G185">
        <f t="shared" ca="1" si="12"/>
        <v>183</v>
      </c>
      <c r="H185">
        <f t="shared" ca="1" si="13"/>
        <v>4810.3785208992131</v>
      </c>
      <c r="I185">
        <f t="shared" ca="1" si="14"/>
        <v>149439.40753560461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30885</v>
      </c>
      <c r="B188" s="66">
        <v>30885</v>
      </c>
      <c r="D188">
        <f t="shared" si="10"/>
        <v>26.611923451407499</v>
      </c>
      <c r="E188">
        <f t="shared" si="11"/>
        <v>26.611923451407499</v>
      </c>
      <c r="G188">
        <f t="shared" ca="1" si="12"/>
        <v>186</v>
      </c>
      <c r="H188">
        <f t="shared" ca="1" si="13"/>
        <v>4949.8177619617945</v>
      </c>
      <c r="I188">
        <f t="shared" ca="1" si="14"/>
        <v>163569.71353637386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38561</v>
      </c>
      <c r="B191" s="66">
        <v>38561</v>
      </c>
      <c r="D191">
        <f t="shared" si="10"/>
        <v>33.225914852184701</v>
      </c>
      <c r="E191">
        <f t="shared" si="11"/>
        <v>33.225914852184701</v>
      </c>
      <c r="G191">
        <f t="shared" ca="1" si="12"/>
        <v>189</v>
      </c>
      <c r="H191">
        <f t="shared" ca="1" si="13"/>
        <v>6279.6979070629086</v>
      </c>
      <c r="I191">
        <f t="shared" ca="1" si="14"/>
        <v>220150.89853846355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27707</v>
      </c>
      <c r="B193" s="66">
        <v>27707</v>
      </c>
      <c r="D193">
        <f t="shared" si="10"/>
        <v>23.873613827688118</v>
      </c>
      <c r="E193">
        <f t="shared" si="11"/>
        <v>23.873613827688118</v>
      </c>
      <c r="G193">
        <f t="shared" ca="1" si="12"/>
        <v>191</v>
      </c>
      <c r="H193">
        <f t="shared" ca="1" si="13"/>
        <v>4559.8602410884305</v>
      </c>
      <c r="I193">
        <f t="shared" ca="1" si="14"/>
        <v>166052.37731990841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16836</v>
      </c>
      <c r="B196" s="66">
        <v>16836</v>
      </c>
      <c r="D196">
        <f t="shared" si="15"/>
        <v>14.506664828489448</v>
      </c>
      <c r="E196">
        <f t="shared" si="16"/>
        <v>14.506664828489448</v>
      </c>
      <c r="G196">
        <f t="shared" ca="1" si="17"/>
        <v>194</v>
      </c>
      <c r="H196">
        <f t="shared" ca="1" si="18"/>
        <v>2814.2929767269529</v>
      </c>
      <c r="I196">
        <f t="shared" ca="1" si="19"/>
        <v>108290.42873456066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14726</v>
      </c>
      <c r="B198" s="66">
        <v>14726</v>
      </c>
      <c r="D198">
        <f t="shared" si="15"/>
        <v>12.688592674289358</v>
      </c>
      <c r="E198">
        <f t="shared" si="16"/>
        <v>12.688592674289358</v>
      </c>
      <c r="G198">
        <f t="shared" ca="1" si="17"/>
        <v>196</v>
      </c>
      <c r="H198">
        <f t="shared" ca="1" si="18"/>
        <v>2486.9641641607141</v>
      </c>
      <c r="I198">
        <f t="shared" ca="1" si="19"/>
        <v>99154.655538306499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8076</v>
      </c>
      <c r="B201" s="66">
        <v>8076</v>
      </c>
      <c r="D201">
        <f t="shared" si="15"/>
        <v>6.9586496290615818</v>
      </c>
      <c r="E201">
        <f t="shared" si="16"/>
        <v>6.9586496290615818</v>
      </c>
      <c r="G201">
        <f t="shared" ca="1" si="17"/>
        <v>199</v>
      </c>
      <c r="H201">
        <f t="shared" ca="1" si="18"/>
        <v>1384.7712761832547</v>
      </c>
      <c r="I201">
        <f t="shared" ca="1" si="19"/>
        <v>58131.649420913862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2637</v>
      </c>
      <c r="B203" s="66">
        <v>2637</v>
      </c>
      <c r="D203">
        <f t="shared" si="15"/>
        <v>2.2721593699647586</v>
      </c>
      <c r="E203">
        <f t="shared" si="16"/>
        <v>2.2721593699647586</v>
      </c>
      <c r="G203">
        <f t="shared" ca="1" si="17"/>
        <v>201</v>
      </c>
      <c r="H203">
        <f t="shared" ca="1" si="18"/>
        <v>456.7040333629165</v>
      </c>
      <c r="I203">
        <f t="shared" ca="1" si="19"/>
        <v>19821.107970785524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1345</v>
      </c>
      <c r="B206" s="66">
        <v>1345</v>
      </c>
      <c r="D206">
        <f t="shared" si="15"/>
        <v>1.1589132926062193</v>
      </c>
      <c r="E206">
        <f t="shared" si="16"/>
        <v>1.1589132926062193</v>
      </c>
      <c r="G206">
        <f t="shared" ca="1" si="17"/>
        <v>204</v>
      </c>
      <c r="H206">
        <f t="shared" ca="1" si="18"/>
        <v>236.41831169166875</v>
      </c>
      <c r="I206">
        <f t="shared" ca="1" si="19"/>
        <v>10769.62399313029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471</v>
      </c>
      <c r="B209" s="66">
        <v>471</v>
      </c>
      <c r="D209">
        <f t="shared" si="15"/>
        <v>0.40583506380485451</v>
      </c>
      <c r="E209">
        <f t="shared" si="16"/>
        <v>0.40583506380485451</v>
      </c>
      <c r="G209">
        <f t="shared" ca="1" si="17"/>
        <v>207</v>
      </c>
      <c r="H209">
        <f t="shared" ca="1" si="18"/>
        <v>84.007858207604883</v>
      </c>
      <c r="I209">
        <f t="shared" ca="1" si="19"/>
        <v>4009.7564945745944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61</v>
      </c>
      <c r="B211" s="66">
        <v>61</v>
      </c>
      <c r="D211">
        <f t="shared" si="15"/>
        <v>5.2560379813367572E-2</v>
      </c>
      <c r="E211">
        <f t="shared" si="16"/>
        <v>5.2560379813367572E-2</v>
      </c>
      <c r="G211">
        <f t="shared" ca="1" si="17"/>
        <v>209</v>
      </c>
      <c r="H211">
        <f t="shared" ca="1" si="18"/>
        <v>10.985119380993822</v>
      </c>
      <c r="I211">
        <f t="shared" ca="1" si="19"/>
        <v>540.41843330934273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351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121.3007506546205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2.3420130540410393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0.78381963129072796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6626</v>
      </c>
      <c r="B8" s="66">
        <v>6626</v>
      </c>
      <c r="D8">
        <f t="shared" si="0"/>
        <v>6.4798153653575339</v>
      </c>
      <c r="E8">
        <f t="shared" si="1"/>
        <v>6.4798153653575339</v>
      </c>
      <c r="G8">
        <f t="shared" ca="1" si="2"/>
        <v>6</v>
      </c>
      <c r="H8">
        <f t="shared" ca="1" si="3"/>
        <v>38.878892192145202</v>
      </c>
      <c r="I8">
        <f t="shared" ca="1" si="4"/>
        <v>86144.370316328321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8435</v>
      </c>
      <c r="B10" s="66">
        <v>8435</v>
      </c>
      <c r="D10">
        <f t="shared" si="0"/>
        <v>8.2489047097480839</v>
      </c>
      <c r="E10">
        <f t="shared" si="1"/>
        <v>8.2489047097480839</v>
      </c>
      <c r="G10">
        <f t="shared" ca="1" si="2"/>
        <v>8</v>
      </c>
      <c r="H10">
        <f t="shared" ca="1" si="3"/>
        <v>65.991237677984671</v>
      </c>
      <c r="I10">
        <f t="shared" ca="1" si="4"/>
        <v>105891.68550913942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5726</v>
      </c>
      <c r="B13" s="66">
        <v>5726</v>
      </c>
      <c r="D13">
        <f t="shared" si="0"/>
        <v>5.5996714129244252</v>
      </c>
      <c r="E13">
        <f t="shared" si="1"/>
        <v>5.5996714129244252</v>
      </c>
      <c r="G13">
        <f t="shared" ca="1" si="2"/>
        <v>11</v>
      </c>
      <c r="H13">
        <f t="shared" ca="1" si="3"/>
        <v>61.596385542168676</v>
      </c>
      <c r="I13">
        <f t="shared" ca="1" si="4"/>
        <v>68127.03365750084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5463</v>
      </c>
      <c r="B15" s="66">
        <v>5463</v>
      </c>
      <c r="D15">
        <f t="shared" si="0"/>
        <v>5.3424737912689721</v>
      </c>
      <c r="E15">
        <f t="shared" si="1"/>
        <v>5.3424737912689721</v>
      </c>
      <c r="G15">
        <f t="shared" ca="1" si="2"/>
        <v>13</v>
      </c>
      <c r="H15">
        <f t="shared" ca="1" si="3"/>
        <v>69.452159286496638</v>
      </c>
      <c r="I15">
        <f t="shared" ca="1" si="4"/>
        <v>62662.156071068152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5868</v>
      </c>
      <c r="B18" s="66">
        <v>5868</v>
      </c>
      <c r="D18">
        <f t="shared" si="0"/>
        <v>5.7385385698638709</v>
      </c>
      <c r="E18">
        <f t="shared" si="1"/>
        <v>5.7385385698638709</v>
      </c>
      <c r="G18">
        <f t="shared" ca="1" si="2"/>
        <v>16</v>
      </c>
      <c r="H18">
        <f t="shared" ca="1" si="3"/>
        <v>91.816617117821934</v>
      </c>
      <c r="I18">
        <f t="shared" ca="1" si="4"/>
        <v>63630.339327655158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7708</v>
      </c>
      <c r="B21" s="66">
        <v>7708</v>
      </c>
      <c r="D21">
        <f t="shared" si="0"/>
        <v>7.537943983727116</v>
      </c>
      <c r="E21">
        <f t="shared" si="1"/>
        <v>7.537943983727116</v>
      </c>
      <c r="G21">
        <f t="shared" ca="1" si="2"/>
        <v>19</v>
      </c>
      <c r="H21">
        <f t="shared" ca="1" si="3"/>
        <v>143.2209356908152</v>
      </c>
      <c r="I21">
        <f t="shared" ca="1" si="4"/>
        <v>78887.927504808555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6662</v>
      </c>
      <c r="B23" s="66">
        <v>6662</v>
      </c>
      <c r="D23">
        <f t="shared" si="0"/>
        <v>6.5150211234548587</v>
      </c>
      <c r="E23">
        <f t="shared" si="1"/>
        <v>6.5150211234548587</v>
      </c>
      <c r="G23">
        <f t="shared" ca="1" si="2"/>
        <v>21</v>
      </c>
      <c r="H23">
        <f t="shared" ca="1" si="3"/>
        <v>136.81544359255204</v>
      </c>
      <c r="I23">
        <f t="shared" ca="1" si="4"/>
        <v>65542.679897988302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6646</v>
      </c>
      <c r="B26" s="66">
        <v>6646</v>
      </c>
      <c r="D26">
        <f t="shared" si="0"/>
        <v>6.4993741198560473</v>
      </c>
      <c r="E26">
        <f t="shared" si="1"/>
        <v>6.4993741198560473</v>
      </c>
      <c r="G26">
        <f t="shared" ca="1" si="2"/>
        <v>24</v>
      </c>
      <c r="H26">
        <f t="shared" ca="1" si="3"/>
        <v>155.98497887654514</v>
      </c>
      <c r="I26">
        <f t="shared" ca="1" si="4"/>
        <v>61532.409026436777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7009</v>
      </c>
      <c r="B28" s="66">
        <v>7009</v>
      </c>
      <c r="D28">
        <f t="shared" si="0"/>
        <v>6.8543655140040682</v>
      </c>
      <c r="E28">
        <f t="shared" si="1"/>
        <v>6.8543655140040682</v>
      </c>
      <c r="G28">
        <f t="shared" ca="1" si="2"/>
        <v>26</v>
      </c>
      <c r="H28">
        <f t="shared" ca="1" si="3"/>
        <v>178.21350336410578</v>
      </c>
      <c r="I28">
        <f t="shared" ca="1" si="4"/>
        <v>62252.945181717514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4692</v>
      </c>
      <c r="B31" s="66">
        <v>4692</v>
      </c>
      <c r="D31">
        <f t="shared" si="0"/>
        <v>4.5884838053512755</v>
      </c>
      <c r="E31">
        <f t="shared" si="1"/>
        <v>4.5884838053512755</v>
      </c>
      <c r="G31">
        <f t="shared" ca="1" si="2"/>
        <v>29</v>
      </c>
      <c r="H31">
        <f t="shared" ca="1" si="3"/>
        <v>133.066030355187</v>
      </c>
      <c r="I31">
        <f t="shared" ca="1" si="4"/>
        <v>39091.260030745339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6308</v>
      </c>
      <c r="B33" s="66">
        <v>6308</v>
      </c>
      <c r="D33">
        <f t="shared" si="0"/>
        <v>6.1688311688311686</v>
      </c>
      <c r="E33">
        <f t="shared" si="1"/>
        <v>6.1688311688311686</v>
      </c>
      <c r="G33">
        <f t="shared" ca="1" si="2"/>
        <v>31</v>
      </c>
      <c r="H33">
        <f t="shared" ca="1" si="3"/>
        <v>191.23376623376623</v>
      </c>
      <c r="I33">
        <f t="shared" ca="1" si="4"/>
        <v>50302.040846419142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5904</v>
      </c>
      <c r="B36" s="66">
        <v>5904</v>
      </c>
      <c r="D36">
        <f t="shared" si="0"/>
        <v>5.7737443279611957</v>
      </c>
      <c r="E36">
        <f t="shared" si="1"/>
        <v>5.7737443279611957</v>
      </c>
      <c r="G36">
        <f t="shared" ca="1" si="2"/>
        <v>34</v>
      </c>
      <c r="H36">
        <f t="shared" ca="1" si="3"/>
        <v>196.30730715068066</v>
      </c>
      <c r="I36">
        <f t="shared" ca="1" si="4"/>
        <v>44004.136644240687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5750</v>
      </c>
      <c r="B39" s="66">
        <v>5750</v>
      </c>
      <c r="D39">
        <f t="shared" si="0"/>
        <v>5.6231419183226414</v>
      </c>
      <c r="E39">
        <f t="shared" si="1"/>
        <v>5.6231419183226414</v>
      </c>
      <c r="G39">
        <f t="shared" ca="1" si="2"/>
        <v>37</v>
      </c>
      <c r="H39">
        <f t="shared" ca="1" si="3"/>
        <v>208.05625097793774</v>
      </c>
      <c r="I39">
        <f t="shared" ca="1" si="4"/>
        <v>39961.513481225425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6703</v>
      </c>
      <c r="B41" s="66">
        <v>6703</v>
      </c>
      <c r="D41">
        <f t="shared" si="0"/>
        <v>6.5551165701768115</v>
      </c>
      <c r="E41">
        <f t="shared" si="1"/>
        <v>6.5551165701768115</v>
      </c>
      <c r="G41">
        <f t="shared" ca="1" si="2"/>
        <v>39</v>
      </c>
      <c r="H41">
        <f t="shared" ca="1" si="3"/>
        <v>255.64954623689565</v>
      </c>
      <c r="I41">
        <f t="shared" ca="1" si="4"/>
        <v>44400.515452764492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6789</v>
      </c>
      <c r="B44" s="66">
        <v>6789</v>
      </c>
      <c r="D44">
        <f t="shared" si="0"/>
        <v>6.639219214520419</v>
      </c>
      <c r="E44">
        <f t="shared" si="1"/>
        <v>6.639219214520419</v>
      </c>
      <c r="G44">
        <f t="shared" ca="1" si="2"/>
        <v>42</v>
      </c>
      <c r="H44">
        <f t="shared" ca="1" si="3"/>
        <v>278.84720700985758</v>
      </c>
      <c r="I44">
        <f t="shared" ca="1" si="4"/>
        <v>41751.454066488564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7367</v>
      </c>
      <c r="B46" s="66">
        <v>7367</v>
      </c>
      <c r="D46">
        <f t="shared" si="0"/>
        <v>7.2044672195274604</v>
      </c>
      <c r="E46">
        <f t="shared" si="1"/>
        <v>7.2044672195274604</v>
      </c>
      <c r="G46">
        <f t="shared" ca="1" si="2"/>
        <v>44</v>
      </c>
      <c r="H46">
        <f t="shared" ca="1" si="3"/>
        <v>316.99655765920824</v>
      </c>
      <c r="I46">
        <f t="shared" ca="1" si="4"/>
        <v>43049.617023327206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7028</v>
      </c>
      <c r="B49" s="66">
        <v>7028</v>
      </c>
      <c r="D49">
        <f t="shared" si="0"/>
        <v>6.8729463307776557</v>
      </c>
      <c r="E49">
        <f t="shared" si="1"/>
        <v>6.8729463307776557</v>
      </c>
      <c r="G49">
        <f t="shared" ca="1" si="2"/>
        <v>47</v>
      </c>
      <c r="H49">
        <f t="shared" ca="1" si="3"/>
        <v>323.02847754654982</v>
      </c>
      <c r="I49">
        <f t="shared" ca="1" si="4"/>
        <v>37942.798151912983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10873</v>
      </c>
      <c r="B51" s="66">
        <v>10873</v>
      </c>
      <c r="D51">
        <f t="shared" si="0"/>
        <v>10.633116883116884</v>
      </c>
      <c r="E51">
        <f t="shared" si="1"/>
        <v>10.633116883116884</v>
      </c>
      <c r="G51">
        <f t="shared" ca="1" si="2"/>
        <v>49</v>
      </c>
      <c r="H51">
        <f t="shared" ca="1" si="3"/>
        <v>521.02272727272725</v>
      </c>
      <c r="I51">
        <f t="shared" ca="1" si="4"/>
        <v>55583.539725976501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13114</v>
      </c>
      <c r="B54" s="66">
        <v>13114</v>
      </c>
      <c r="D54">
        <f t="shared" si="0"/>
        <v>12.824675324675324</v>
      </c>
      <c r="E54">
        <f t="shared" si="1"/>
        <v>12.824675324675324</v>
      </c>
      <c r="G54">
        <f t="shared" ca="1" si="2"/>
        <v>52</v>
      </c>
      <c r="H54">
        <f t="shared" ca="1" si="3"/>
        <v>666.88311688311683</v>
      </c>
      <c r="I54">
        <f t="shared" ca="1" si="4"/>
        <v>61591.709295814413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18249</v>
      </c>
      <c r="B57" s="66">
        <v>18249</v>
      </c>
      <c r="D57">
        <f t="shared" si="0"/>
        <v>17.846385542168676</v>
      </c>
      <c r="E57">
        <f t="shared" si="1"/>
        <v>17.846385542168676</v>
      </c>
      <c r="G57">
        <f t="shared" ca="1" si="2"/>
        <v>55</v>
      </c>
      <c r="H57">
        <f t="shared" ca="1" si="3"/>
        <v>981.55120481927713</v>
      </c>
      <c r="I57">
        <f t="shared" ca="1" si="4"/>
        <v>78448.954846067776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23457</v>
      </c>
      <c r="B59" s="66">
        <v>23457</v>
      </c>
      <c r="D59">
        <f t="shared" si="0"/>
        <v>22.939485213581598</v>
      </c>
      <c r="E59">
        <f t="shared" si="1"/>
        <v>22.939485213581598</v>
      </c>
      <c r="G59">
        <f t="shared" ca="1" si="2"/>
        <v>57</v>
      </c>
      <c r="H59">
        <f t="shared" ca="1" si="3"/>
        <v>1307.5506571741512</v>
      </c>
      <c r="I59">
        <f t="shared" ca="1" si="4"/>
        <v>94845.286678117947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29785</v>
      </c>
      <c r="B62" s="66">
        <v>29785</v>
      </c>
      <c r="D62">
        <f t="shared" si="0"/>
        <v>29.127875136911282</v>
      </c>
      <c r="E62">
        <f t="shared" si="1"/>
        <v>29.127875136911282</v>
      </c>
      <c r="G62">
        <f t="shared" ca="1" si="2"/>
        <v>60</v>
      </c>
      <c r="H62">
        <f t="shared" ca="1" si="3"/>
        <v>1747.672508214677</v>
      </c>
      <c r="I62">
        <f t="shared" ca="1" si="4"/>
        <v>109456.20578545258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29679</v>
      </c>
      <c r="B64" s="66">
        <v>29679</v>
      </c>
      <c r="D64">
        <f t="shared" si="0"/>
        <v>29.024213738069161</v>
      </c>
      <c r="E64">
        <f t="shared" si="1"/>
        <v>29.024213738069161</v>
      </c>
      <c r="G64">
        <f t="shared" ca="1" si="2"/>
        <v>62</v>
      </c>
      <c r="H64">
        <f t="shared" ca="1" si="3"/>
        <v>1799.5012517602879</v>
      </c>
      <c r="I64">
        <f t="shared" ca="1" si="4"/>
        <v>102065.94134133111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34010</v>
      </c>
      <c r="B67" s="66">
        <v>34010</v>
      </c>
      <c r="D67">
        <f t="shared" ref="D67:D130" si="5">IFERROR(100*A67/MAX(A$2:A$257), 0 )</f>
        <v>33.259662024722267</v>
      </c>
      <c r="E67">
        <f t="shared" ref="E67:E130" si="6">IFERROR(100*B67/MAX(B$2:B$257), 0 )</f>
        <v>33.259662024722267</v>
      </c>
      <c r="G67">
        <f t="shared" ref="G67:G130" ca="1" si="7">CELL("row",D67)-2</f>
        <v>65</v>
      </c>
      <c r="H67">
        <f t="shared" ref="H67:H130" ca="1" si="8">D67*G67</f>
        <v>2161.8780316069474</v>
      </c>
      <c r="I67">
        <f t="shared" ref="I67:I130" ca="1" si="9">D67*((G67-$L$1)^2)</f>
        <v>105425.62937191976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38551</v>
      </c>
      <c r="B69" s="66">
        <v>38551</v>
      </c>
      <c r="D69">
        <f t="shared" si="5"/>
        <v>37.70047723360976</v>
      </c>
      <c r="E69">
        <f t="shared" si="6"/>
        <v>37.70047723360976</v>
      </c>
      <c r="G69">
        <f t="shared" ca="1" si="7"/>
        <v>67</v>
      </c>
      <c r="H69">
        <f t="shared" ca="1" si="8"/>
        <v>2525.931974651854</v>
      </c>
      <c r="I69">
        <f t="shared" ca="1" si="9"/>
        <v>111162.55352383456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43065</v>
      </c>
      <c r="B72" s="66">
        <v>43065</v>
      </c>
      <c r="D72">
        <f t="shared" si="5"/>
        <v>42.114888123924267</v>
      </c>
      <c r="E72">
        <f t="shared" si="6"/>
        <v>42.114888123924267</v>
      </c>
      <c r="G72">
        <f t="shared" ca="1" si="7"/>
        <v>70</v>
      </c>
      <c r="H72">
        <f t="shared" ca="1" si="8"/>
        <v>2948.0421686746986</v>
      </c>
      <c r="I72">
        <f t="shared" ca="1" si="9"/>
        <v>110836.57351982941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45160</v>
      </c>
      <c r="B75" s="66">
        <v>45160</v>
      </c>
      <c r="D75">
        <f t="shared" si="5"/>
        <v>44.163667657643565</v>
      </c>
      <c r="E75">
        <f t="shared" si="6"/>
        <v>44.163667657643565</v>
      </c>
      <c r="G75">
        <f t="shared" ca="1" si="7"/>
        <v>73</v>
      </c>
      <c r="H75">
        <f t="shared" ca="1" si="8"/>
        <v>3223.9477390079801</v>
      </c>
      <c r="I75">
        <f t="shared" ca="1" si="9"/>
        <v>103032.18111719606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47497</v>
      </c>
      <c r="B77" s="66">
        <v>47497</v>
      </c>
      <c r="D77">
        <f t="shared" si="5"/>
        <v>46.449108120794868</v>
      </c>
      <c r="E77">
        <f t="shared" si="6"/>
        <v>46.449108120794868</v>
      </c>
      <c r="G77">
        <f t="shared" ca="1" si="7"/>
        <v>75</v>
      </c>
      <c r="H77">
        <f t="shared" ca="1" si="8"/>
        <v>3483.6831090596152</v>
      </c>
      <c r="I77">
        <f t="shared" ca="1" si="9"/>
        <v>99575.717319844451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53320</v>
      </c>
      <c r="B80" s="66">
        <v>53320</v>
      </c>
      <c r="D80">
        <f t="shared" si="5"/>
        <v>52.143639493037085</v>
      </c>
      <c r="E80">
        <f t="shared" si="6"/>
        <v>52.143639493037085</v>
      </c>
      <c r="G80">
        <f t="shared" ca="1" si="7"/>
        <v>78</v>
      </c>
      <c r="H80">
        <f t="shared" ca="1" si="8"/>
        <v>4067.2038804568929</v>
      </c>
      <c r="I80">
        <f t="shared" ca="1" si="9"/>
        <v>97766.977963897371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55693</v>
      </c>
      <c r="B82" s="66">
        <v>55693</v>
      </c>
      <c r="D82">
        <f t="shared" si="5"/>
        <v>54.464285714285715</v>
      </c>
      <c r="E82">
        <f t="shared" si="6"/>
        <v>54.464285714285715</v>
      </c>
      <c r="G82">
        <f t="shared" ca="1" si="7"/>
        <v>80</v>
      </c>
      <c r="H82">
        <f t="shared" ca="1" si="8"/>
        <v>4357.1428571428569</v>
      </c>
      <c r="I82">
        <f t="shared" ca="1" si="9"/>
        <v>92902.564538163642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56910</v>
      </c>
      <c r="B85" s="66">
        <v>56910</v>
      </c>
      <c r="D85">
        <f t="shared" si="5"/>
        <v>55.654435925520261</v>
      </c>
      <c r="E85">
        <f t="shared" si="6"/>
        <v>55.654435925520261</v>
      </c>
      <c r="G85">
        <f t="shared" ca="1" si="7"/>
        <v>83</v>
      </c>
      <c r="H85">
        <f t="shared" ca="1" si="8"/>
        <v>4619.318181818182</v>
      </c>
      <c r="I85">
        <f t="shared" ca="1" si="9"/>
        <v>81642.135684222783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57101</v>
      </c>
      <c r="B88" s="66">
        <v>57101</v>
      </c>
      <c r="D88">
        <f t="shared" si="5"/>
        <v>55.841222030981065</v>
      </c>
      <c r="E88">
        <f t="shared" si="6"/>
        <v>55.841222030981065</v>
      </c>
      <c r="G88">
        <f t="shared" ca="1" si="7"/>
        <v>86</v>
      </c>
      <c r="H88">
        <f t="shared" ca="1" si="8"/>
        <v>4802.3450946643716</v>
      </c>
      <c r="I88">
        <f t="shared" ca="1" si="9"/>
        <v>69586.147765526766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60009</v>
      </c>
      <c r="B90" s="66">
        <v>60009</v>
      </c>
      <c r="D90">
        <f t="shared" si="5"/>
        <v>58.685064935064936</v>
      </c>
      <c r="E90">
        <f t="shared" si="6"/>
        <v>58.685064935064936</v>
      </c>
      <c r="G90">
        <f t="shared" ca="1" si="7"/>
        <v>88</v>
      </c>
      <c r="H90">
        <f t="shared" ca="1" si="8"/>
        <v>5164.2857142857147</v>
      </c>
      <c r="I90">
        <f t="shared" ca="1" si="9"/>
        <v>65078.215566441009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61885</v>
      </c>
      <c r="B93" s="66">
        <v>61885</v>
      </c>
      <c r="D93">
        <f t="shared" si="5"/>
        <v>60.519676107025504</v>
      </c>
      <c r="E93">
        <f t="shared" si="6"/>
        <v>60.519676107025504</v>
      </c>
      <c r="G93">
        <f t="shared" ca="1" si="7"/>
        <v>91</v>
      </c>
      <c r="H93">
        <f t="shared" ca="1" si="8"/>
        <v>5507.2905257393204</v>
      </c>
      <c r="I93">
        <f t="shared" ca="1" si="9"/>
        <v>55565.262491295573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64713</v>
      </c>
      <c r="B95" s="66">
        <v>64713</v>
      </c>
      <c r="D95">
        <f t="shared" si="5"/>
        <v>63.285283993115321</v>
      </c>
      <c r="E95">
        <f t="shared" si="6"/>
        <v>63.285283993115321</v>
      </c>
      <c r="G95">
        <f t="shared" ca="1" si="7"/>
        <v>93</v>
      </c>
      <c r="H95">
        <f t="shared" ca="1" si="8"/>
        <v>5885.5314113597251</v>
      </c>
      <c r="I95">
        <f t="shared" ca="1" si="9"/>
        <v>50687.239938027771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67578</v>
      </c>
      <c r="B98" s="66">
        <v>67578</v>
      </c>
      <c r="D98">
        <f t="shared" si="5"/>
        <v>66.087075575027384</v>
      </c>
      <c r="E98">
        <f t="shared" si="6"/>
        <v>66.087075575027384</v>
      </c>
      <c r="G98">
        <f t="shared" ca="1" si="7"/>
        <v>96</v>
      </c>
      <c r="H98">
        <f t="shared" ca="1" si="8"/>
        <v>6344.3592552026294</v>
      </c>
      <c r="I98">
        <f t="shared" ca="1" si="9"/>
        <v>42304.186435631149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72434</v>
      </c>
      <c r="B100" s="66">
        <v>72434</v>
      </c>
      <c r="D100">
        <f t="shared" si="5"/>
        <v>70.835941167266469</v>
      </c>
      <c r="E100">
        <f t="shared" si="6"/>
        <v>70.835941167266469</v>
      </c>
      <c r="G100">
        <f t="shared" ca="1" si="7"/>
        <v>98</v>
      </c>
      <c r="H100">
        <f t="shared" ca="1" si="8"/>
        <v>6941.9222343921138</v>
      </c>
      <c r="I100">
        <f t="shared" ca="1" si="9"/>
        <v>38458.602017228615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79770</v>
      </c>
      <c r="B103" s="66">
        <v>79770</v>
      </c>
      <c r="D103">
        <f t="shared" si="5"/>
        <v>78.010092317321238</v>
      </c>
      <c r="E103">
        <f t="shared" si="6"/>
        <v>78.010092317321238</v>
      </c>
      <c r="G103">
        <f t="shared" ca="1" si="7"/>
        <v>101</v>
      </c>
      <c r="H103">
        <f t="shared" ca="1" si="8"/>
        <v>7879.0193240494455</v>
      </c>
      <c r="I103">
        <f t="shared" ca="1" si="9"/>
        <v>32149.556467633713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92521</v>
      </c>
      <c r="B106" s="66">
        <v>92521</v>
      </c>
      <c r="D106">
        <f t="shared" si="5"/>
        <v>90.479776247848534</v>
      </c>
      <c r="E106">
        <f t="shared" si="6"/>
        <v>90.479776247848534</v>
      </c>
      <c r="G106">
        <f t="shared" ca="1" si="7"/>
        <v>104</v>
      </c>
      <c r="H106">
        <f t="shared" ca="1" si="8"/>
        <v>9409.8967297762483</v>
      </c>
      <c r="I106">
        <f t="shared" ca="1" si="9"/>
        <v>27082.042283751085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100484</v>
      </c>
      <c r="B108" s="66">
        <v>100484</v>
      </c>
      <c r="D108">
        <f t="shared" si="5"/>
        <v>98.267094351431695</v>
      </c>
      <c r="E108">
        <f t="shared" si="6"/>
        <v>98.267094351431695</v>
      </c>
      <c r="G108">
        <f t="shared" ca="1" si="7"/>
        <v>106</v>
      </c>
      <c r="H108">
        <f t="shared" ca="1" si="8"/>
        <v>10416.312001251759</v>
      </c>
      <c r="I108">
        <f t="shared" ca="1" si="9"/>
        <v>23005.601370340013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97444</v>
      </c>
      <c r="B111" s="66">
        <v>97444</v>
      </c>
      <c r="D111">
        <f t="shared" si="5"/>
        <v>95.294163667657642</v>
      </c>
      <c r="E111">
        <f t="shared" si="6"/>
        <v>95.294163667657642</v>
      </c>
      <c r="G111">
        <f t="shared" ca="1" si="7"/>
        <v>109</v>
      </c>
      <c r="H111">
        <f t="shared" ca="1" si="8"/>
        <v>10387.063839774682</v>
      </c>
      <c r="I111">
        <f t="shared" ca="1" si="9"/>
        <v>14418.813786881397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101420</v>
      </c>
      <c r="B113" s="66">
        <v>101420</v>
      </c>
      <c r="D113">
        <f t="shared" si="5"/>
        <v>99.18244406196213</v>
      </c>
      <c r="E113">
        <f t="shared" si="6"/>
        <v>99.18244406196213</v>
      </c>
      <c r="G113">
        <f t="shared" ca="1" si="7"/>
        <v>111</v>
      </c>
      <c r="H113">
        <f t="shared" ca="1" si="8"/>
        <v>11009.251290877797</v>
      </c>
      <c r="I113">
        <f t="shared" ca="1" si="9"/>
        <v>10523.799252675217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102256</v>
      </c>
      <c r="B116" s="66">
        <v>102256</v>
      </c>
      <c r="D116">
        <f t="shared" si="5"/>
        <v>100</v>
      </c>
      <c r="E116">
        <f t="shared" si="6"/>
        <v>100</v>
      </c>
      <c r="G116">
        <f t="shared" ca="1" si="7"/>
        <v>114</v>
      </c>
      <c r="H116">
        <f t="shared" ca="1" si="8"/>
        <v>11400</v>
      </c>
      <c r="I116">
        <f t="shared" ca="1" si="9"/>
        <v>5330.0960120941663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96574</v>
      </c>
      <c r="B118" s="66">
        <v>96574</v>
      </c>
      <c r="D118">
        <f t="shared" si="5"/>
        <v>94.443357846972305</v>
      </c>
      <c r="E118">
        <f t="shared" si="6"/>
        <v>94.443357846972305</v>
      </c>
      <c r="G118">
        <f t="shared" ca="1" si="7"/>
        <v>116</v>
      </c>
      <c r="H118">
        <f t="shared" ca="1" si="8"/>
        <v>10955.429510248787</v>
      </c>
      <c r="I118">
        <f t="shared" ca="1" si="9"/>
        <v>2653.6654551738184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99496</v>
      </c>
      <c r="B121" s="66">
        <v>99496</v>
      </c>
      <c r="D121">
        <f t="shared" si="5"/>
        <v>97.300891879205139</v>
      </c>
      <c r="E121">
        <f t="shared" si="6"/>
        <v>97.300891879205139</v>
      </c>
      <c r="G121">
        <f t="shared" ca="1" si="7"/>
        <v>119</v>
      </c>
      <c r="H121">
        <f t="shared" ca="1" si="8"/>
        <v>11578.806133625412</v>
      </c>
      <c r="I121">
        <f t="shared" ca="1" si="9"/>
        <v>515.05775394304396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98591</v>
      </c>
      <c r="B124" s="66">
        <v>98591</v>
      </c>
      <c r="D124">
        <f t="shared" si="5"/>
        <v>96.415858238147393</v>
      </c>
      <c r="E124">
        <f t="shared" si="6"/>
        <v>96.415858238147393</v>
      </c>
      <c r="G124">
        <f t="shared" ca="1" si="7"/>
        <v>122</v>
      </c>
      <c r="H124">
        <f t="shared" ca="1" si="8"/>
        <v>11762.734705053983</v>
      </c>
      <c r="I124">
        <f t="shared" ca="1" si="9"/>
        <v>47.142499852061079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93009</v>
      </c>
      <c r="B126" s="66">
        <v>93009</v>
      </c>
      <c r="D126">
        <f t="shared" si="5"/>
        <v>90.957009857612263</v>
      </c>
      <c r="E126">
        <f t="shared" si="6"/>
        <v>90.957009857612263</v>
      </c>
      <c r="G126">
        <f t="shared" ca="1" si="7"/>
        <v>124</v>
      </c>
      <c r="H126">
        <f t="shared" ca="1" si="8"/>
        <v>11278.66922234392</v>
      </c>
      <c r="I126">
        <f t="shared" ca="1" si="9"/>
        <v>662.70795569619452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82699</v>
      </c>
      <c r="B129" s="66">
        <v>82699</v>
      </c>
      <c r="D129">
        <f t="shared" si="5"/>
        <v>80.87447191362854</v>
      </c>
      <c r="E129">
        <f t="shared" si="6"/>
        <v>80.87447191362854</v>
      </c>
      <c r="G129">
        <f t="shared" ca="1" si="7"/>
        <v>127</v>
      </c>
      <c r="H129">
        <f t="shared" ca="1" si="8"/>
        <v>10271.057933030825</v>
      </c>
      <c r="I129">
        <f t="shared" ca="1" si="9"/>
        <v>2626.9195577704722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82563</v>
      </c>
      <c r="B131" s="66">
        <v>82563</v>
      </c>
      <c r="D131">
        <f t="shared" ref="D131:D194" si="10">IFERROR(100*A131/MAX(A$2:A$257), 0 )</f>
        <v>80.741472383038655</v>
      </c>
      <c r="E131">
        <f t="shared" ref="E131:E194" si="11">IFERROR(100*B131/MAX(B$2:B$257), 0 )</f>
        <v>80.741472383038655</v>
      </c>
      <c r="G131">
        <f t="shared" ref="G131:G194" ca="1" si="12">CELL("row",D131)-2</f>
        <v>129</v>
      </c>
      <c r="H131">
        <f t="shared" ref="H131:H194" ca="1" si="13">D131*G131</f>
        <v>10415.649937411987</v>
      </c>
      <c r="I131">
        <f t="shared" ref="I131:I194" ca="1" si="14">D131*((G131-$L$1)^2)</f>
        <v>4786.228565113377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79164</v>
      </c>
      <c r="B134" s="66">
        <v>79164</v>
      </c>
      <c r="D134">
        <f t="shared" si="10"/>
        <v>77.417462056016277</v>
      </c>
      <c r="E134">
        <f t="shared" si="11"/>
        <v>77.417462056016277</v>
      </c>
      <c r="G134">
        <f t="shared" ca="1" si="12"/>
        <v>132</v>
      </c>
      <c r="H134">
        <f t="shared" ca="1" si="13"/>
        <v>10219.104991394148</v>
      </c>
      <c r="I134">
        <f t="shared" ca="1" si="14"/>
        <v>8862.2816396188427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80706</v>
      </c>
      <c r="B136" s="66">
        <v>80706</v>
      </c>
      <c r="D136">
        <f t="shared" si="10"/>
        <v>78.925442027851673</v>
      </c>
      <c r="E136">
        <f t="shared" si="11"/>
        <v>78.925442027851673</v>
      </c>
      <c r="G136">
        <f t="shared" ca="1" si="12"/>
        <v>134</v>
      </c>
      <c r="H136">
        <f t="shared" ca="1" si="13"/>
        <v>10576.009231732125</v>
      </c>
      <c r="I136">
        <f t="shared" ca="1" si="14"/>
        <v>12728.379747152867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88325</v>
      </c>
      <c r="B139" s="66">
        <v>88325</v>
      </c>
      <c r="D139">
        <f t="shared" si="10"/>
        <v>86.376349554060397</v>
      </c>
      <c r="E139">
        <f t="shared" si="11"/>
        <v>86.376349554060397</v>
      </c>
      <c r="G139">
        <f t="shared" ca="1" si="12"/>
        <v>137</v>
      </c>
      <c r="H139">
        <f t="shared" ca="1" si="13"/>
        <v>11833.559888906275</v>
      </c>
      <c r="I139">
        <f t="shared" ca="1" si="14"/>
        <v>21288.870511746802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95344</v>
      </c>
      <c r="B142" s="66">
        <v>95344</v>
      </c>
      <c r="D142">
        <f t="shared" si="10"/>
        <v>93.240494445313729</v>
      </c>
      <c r="E142">
        <f t="shared" si="11"/>
        <v>93.240494445313729</v>
      </c>
      <c r="G142">
        <f t="shared" ca="1" si="12"/>
        <v>140</v>
      </c>
      <c r="H142">
        <f t="shared" ca="1" si="13"/>
        <v>13053.669222343922</v>
      </c>
      <c r="I142">
        <f t="shared" ca="1" si="14"/>
        <v>32602.650876462936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90215</v>
      </c>
      <c r="B144" s="66">
        <v>90215</v>
      </c>
      <c r="D144">
        <f t="shared" si="10"/>
        <v>88.22465185416992</v>
      </c>
      <c r="E144">
        <f t="shared" si="11"/>
        <v>88.22465185416992</v>
      </c>
      <c r="G144">
        <f t="shared" ca="1" si="12"/>
        <v>142</v>
      </c>
      <c r="H144">
        <f t="shared" ca="1" si="13"/>
        <v>12527.900563292129</v>
      </c>
      <c r="I144">
        <f t="shared" ca="1" si="14"/>
        <v>37800.639356264473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79893</v>
      </c>
      <c r="B147" s="66">
        <v>79893</v>
      </c>
      <c r="D147">
        <f t="shared" si="10"/>
        <v>78.130378657487086</v>
      </c>
      <c r="E147">
        <f t="shared" si="11"/>
        <v>78.130378657487086</v>
      </c>
      <c r="G147">
        <f t="shared" ca="1" si="12"/>
        <v>145</v>
      </c>
      <c r="H147">
        <f t="shared" ca="1" si="13"/>
        <v>11328.904905335627</v>
      </c>
      <c r="I147">
        <f t="shared" ca="1" si="14"/>
        <v>43882.272472879304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64629</v>
      </c>
      <c r="B149" s="66">
        <v>64629</v>
      </c>
      <c r="D149">
        <f t="shared" si="10"/>
        <v>63.203137224221564</v>
      </c>
      <c r="E149">
        <f t="shared" si="11"/>
        <v>63.203137224221564</v>
      </c>
      <c r="G149">
        <f t="shared" ca="1" si="12"/>
        <v>147</v>
      </c>
      <c r="H149">
        <f t="shared" ca="1" si="13"/>
        <v>9290.8611719605706</v>
      </c>
      <c r="I149">
        <f t="shared" ca="1" si="14"/>
        <v>41742.601533272791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56791</v>
      </c>
      <c r="B152" s="66">
        <v>56791</v>
      </c>
      <c r="D152">
        <f t="shared" si="10"/>
        <v>55.53806133625411</v>
      </c>
      <c r="E152">
        <f t="shared" si="11"/>
        <v>55.53806133625411</v>
      </c>
      <c r="G152">
        <f t="shared" ca="1" si="12"/>
        <v>150</v>
      </c>
      <c r="H152">
        <f t="shared" ca="1" si="13"/>
        <v>8330.7092004381157</v>
      </c>
      <c r="I152">
        <f t="shared" ca="1" si="14"/>
        <v>45743.752772958651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52487</v>
      </c>
      <c r="B154" s="66">
        <v>52487</v>
      </c>
      <c r="D154">
        <f t="shared" si="10"/>
        <v>51.329017368173993</v>
      </c>
      <c r="E154">
        <f t="shared" si="11"/>
        <v>51.329017368173993</v>
      </c>
      <c r="G154">
        <f t="shared" ca="1" si="12"/>
        <v>152</v>
      </c>
      <c r="H154">
        <f t="shared" ca="1" si="13"/>
        <v>7802.0106399624474</v>
      </c>
      <c r="I154">
        <f t="shared" ca="1" si="14"/>
        <v>48374.719843900435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51664</v>
      </c>
      <c r="B157" s="66">
        <v>51664</v>
      </c>
      <c r="D157">
        <f t="shared" si="10"/>
        <v>50.52417462056016</v>
      </c>
      <c r="E157">
        <f t="shared" si="11"/>
        <v>50.52417462056016</v>
      </c>
      <c r="G157">
        <f t="shared" ca="1" si="12"/>
        <v>155</v>
      </c>
      <c r="H157">
        <f t="shared" ca="1" si="13"/>
        <v>7831.2470661868247</v>
      </c>
      <c r="I157">
        <f t="shared" ca="1" si="14"/>
        <v>57377.243677067963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40303</v>
      </c>
      <c r="B160" s="66">
        <v>40303</v>
      </c>
      <c r="D160">
        <f t="shared" si="10"/>
        <v>39.413824127679547</v>
      </c>
      <c r="E160">
        <f t="shared" si="11"/>
        <v>39.413824127679547</v>
      </c>
      <c r="G160">
        <f t="shared" ca="1" si="12"/>
        <v>158</v>
      </c>
      <c r="H160">
        <f t="shared" ca="1" si="13"/>
        <v>6227.3842121733687</v>
      </c>
      <c r="I160">
        <f t="shared" ca="1" si="14"/>
        <v>53083.913976720527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33067</v>
      </c>
      <c r="B162" s="66">
        <v>33067</v>
      </c>
      <c r="D162">
        <f t="shared" si="10"/>
        <v>32.337466750117351</v>
      </c>
      <c r="E162">
        <f t="shared" si="11"/>
        <v>32.337466750117351</v>
      </c>
      <c r="G162">
        <f t="shared" ca="1" si="12"/>
        <v>160</v>
      </c>
      <c r="H162">
        <f t="shared" ca="1" si="13"/>
        <v>5173.9946800187763</v>
      </c>
      <c r="I162">
        <f t="shared" ca="1" si="14"/>
        <v>48429.621766797311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24786</v>
      </c>
      <c r="B165" s="66">
        <v>24786</v>
      </c>
      <c r="D165">
        <f t="shared" si="10"/>
        <v>24.239164450007824</v>
      </c>
      <c r="E165">
        <f t="shared" si="11"/>
        <v>24.239164450007824</v>
      </c>
      <c r="G165">
        <f t="shared" ca="1" si="12"/>
        <v>163</v>
      </c>
      <c r="H165">
        <f t="shared" ca="1" si="13"/>
        <v>3950.9838053512754</v>
      </c>
      <c r="I165">
        <f t="shared" ca="1" si="14"/>
        <v>42147.723201050438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20163</v>
      </c>
      <c r="B167" s="66">
        <v>20163</v>
      </c>
      <c r="D167">
        <f t="shared" si="10"/>
        <v>19.718158347676422</v>
      </c>
      <c r="E167">
        <f t="shared" si="11"/>
        <v>19.718158347676422</v>
      </c>
      <c r="G167">
        <f t="shared" ca="1" si="12"/>
        <v>165</v>
      </c>
      <c r="H167">
        <f t="shared" ca="1" si="13"/>
        <v>3253.4961273666095</v>
      </c>
      <c r="I167">
        <f t="shared" ca="1" si="14"/>
        <v>37654.276172653932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17107</v>
      </c>
      <c r="B170" s="66">
        <v>17107</v>
      </c>
      <c r="D170">
        <f t="shared" si="10"/>
        <v>16.729580660303551</v>
      </c>
      <c r="E170">
        <f t="shared" si="11"/>
        <v>16.729580660303551</v>
      </c>
      <c r="G170">
        <f t="shared" ca="1" si="12"/>
        <v>168</v>
      </c>
      <c r="H170">
        <f t="shared" ca="1" si="13"/>
        <v>2810.5695509309967</v>
      </c>
      <c r="I170">
        <f t="shared" ca="1" si="14"/>
        <v>36484.202245678411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13589</v>
      </c>
      <c r="B173" s="66">
        <v>13589</v>
      </c>
      <c r="D173">
        <f t="shared" si="10"/>
        <v>13.289195744015021</v>
      </c>
      <c r="E173">
        <f t="shared" si="11"/>
        <v>13.289195744015021</v>
      </c>
      <c r="G173">
        <f t="shared" ca="1" si="12"/>
        <v>171</v>
      </c>
      <c r="H173">
        <f t="shared" ca="1" si="13"/>
        <v>2272.4524722265687</v>
      </c>
      <c r="I173">
        <f t="shared" ca="1" si="14"/>
        <v>32824.517948561203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13781</v>
      </c>
      <c r="B175" s="66">
        <v>13781</v>
      </c>
      <c r="D175">
        <f t="shared" si="10"/>
        <v>13.476959787200752</v>
      </c>
      <c r="E175">
        <f t="shared" si="11"/>
        <v>13.476959787200752</v>
      </c>
      <c r="G175">
        <f t="shared" ca="1" si="12"/>
        <v>173</v>
      </c>
      <c r="H175">
        <f t="shared" ca="1" si="13"/>
        <v>2331.5140431857299</v>
      </c>
      <c r="I175">
        <f t="shared" ca="1" si="14"/>
        <v>36021.385002748328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14896</v>
      </c>
      <c r="B178" s="66">
        <v>14896</v>
      </c>
      <c r="D178">
        <f t="shared" si="10"/>
        <v>14.56736035049288</v>
      </c>
      <c r="E178">
        <f t="shared" si="11"/>
        <v>14.56736035049288</v>
      </c>
      <c r="G178">
        <f t="shared" ca="1" si="12"/>
        <v>176</v>
      </c>
      <c r="H178">
        <f t="shared" ca="1" si="13"/>
        <v>2563.8554216867469</v>
      </c>
      <c r="I178">
        <f t="shared" ca="1" si="14"/>
        <v>43585.656944149385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16980</v>
      </c>
      <c r="B180" s="66">
        <v>16980</v>
      </c>
      <c r="D180">
        <f t="shared" si="10"/>
        <v>16.605382569237992</v>
      </c>
      <c r="E180">
        <f t="shared" si="11"/>
        <v>16.605382569237992</v>
      </c>
      <c r="G180">
        <f t="shared" ca="1" si="12"/>
        <v>178</v>
      </c>
      <c r="H180">
        <f t="shared" ca="1" si="13"/>
        <v>2955.7580973243626</v>
      </c>
      <c r="I180">
        <f t="shared" ca="1" si="14"/>
        <v>53383.064856903467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27919</v>
      </c>
      <c r="B183" s="66">
        <v>27919</v>
      </c>
      <c r="D183">
        <f t="shared" si="10"/>
        <v>27.30304334219997</v>
      </c>
      <c r="E183">
        <f t="shared" si="11"/>
        <v>27.30304334219997</v>
      </c>
      <c r="G183">
        <f t="shared" ca="1" si="12"/>
        <v>181</v>
      </c>
      <c r="H183">
        <f t="shared" ca="1" si="13"/>
        <v>4941.8508449381943</v>
      </c>
      <c r="I183">
        <f t="shared" ca="1" si="14"/>
        <v>97308.056639303031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31303</v>
      </c>
      <c r="B185" s="66">
        <v>31303</v>
      </c>
      <c r="D185">
        <f t="shared" si="10"/>
        <v>30.61238460334846</v>
      </c>
      <c r="E185">
        <f t="shared" si="11"/>
        <v>30.61238460334846</v>
      </c>
      <c r="G185">
        <f t="shared" ca="1" si="12"/>
        <v>183</v>
      </c>
      <c r="H185">
        <f t="shared" ca="1" si="13"/>
        <v>5602.0663824127678</v>
      </c>
      <c r="I185">
        <f t="shared" ca="1" si="14"/>
        <v>116535.14519082209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45218</v>
      </c>
      <c r="B188" s="66">
        <v>45218</v>
      </c>
      <c r="D188">
        <f t="shared" si="10"/>
        <v>44.220388045689248</v>
      </c>
      <c r="E188">
        <f t="shared" si="11"/>
        <v>44.220388045689248</v>
      </c>
      <c r="G188">
        <f t="shared" ca="1" si="12"/>
        <v>186</v>
      </c>
      <c r="H188">
        <f t="shared" ca="1" si="13"/>
        <v>8224.9921764982009</v>
      </c>
      <c r="I188">
        <f t="shared" ca="1" si="14"/>
        <v>185106.22888462097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45147</v>
      </c>
      <c r="B191" s="66">
        <v>45147</v>
      </c>
      <c r="D191">
        <f t="shared" si="10"/>
        <v>44.150954467219528</v>
      </c>
      <c r="E191">
        <f t="shared" si="11"/>
        <v>44.150954467219528</v>
      </c>
      <c r="G191">
        <f t="shared" ca="1" si="12"/>
        <v>189</v>
      </c>
      <c r="H191">
        <f t="shared" ca="1" si="13"/>
        <v>8344.530394304491</v>
      </c>
      <c r="I191">
        <f t="shared" ca="1" si="14"/>
        <v>202352.14068216769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54181</v>
      </c>
      <c r="B193" s="66">
        <v>54181</v>
      </c>
      <c r="D193">
        <f t="shared" si="10"/>
        <v>52.98564387419809</v>
      </c>
      <c r="E193">
        <f t="shared" si="11"/>
        <v>52.98564387419809</v>
      </c>
      <c r="G193">
        <f t="shared" ca="1" si="12"/>
        <v>191</v>
      </c>
      <c r="H193">
        <f t="shared" ca="1" si="13"/>
        <v>10120.257979971835</v>
      </c>
      <c r="I193">
        <f t="shared" ca="1" si="14"/>
        <v>257403.48219443532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57690</v>
      </c>
      <c r="B196" s="66">
        <v>57690</v>
      </c>
      <c r="D196">
        <f t="shared" si="15"/>
        <v>56.417227350962293</v>
      </c>
      <c r="E196">
        <f t="shared" si="16"/>
        <v>56.417227350962293</v>
      </c>
      <c r="G196">
        <f t="shared" ca="1" si="17"/>
        <v>194</v>
      </c>
      <c r="H196">
        <f t="shared" ca="1" si="18"/>
        <v>10944.942106086684</v>
      </c>
      <c r="I196">
        <f t="shared" ca="1" si="19"/>
        <v>298175.24990902055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49683</v>
      </c>
      <c r="B198" s="66">
        <v>49683</v>
      </c>
      <c r="D198">
        <f t="shared" si="15"/>
        <v>48.586879987482398</v>
      </c>
      <c r="E198">
        <f t="shared" si="16"/>
        <v>48.586879987482398</v>
      </c>
      <c r="G198">
        <f t="shared" ca="1" si="17"/>
        <v>196</v>
      </c>
      <c r="H198">
        <f t="shared" ca="1" si="18"/>
        <v>9523.0284775465498</v>
      </c>
      <c r="I198">
        <f t="shared" ca="1" si="19"/>
        <v>271113.71426501434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45655</v>
      </c>
      <c r="B201" s="66">
        <v>45655</v>
      </c>
      <c r="D201">
        <f t="shared" si="15"/>
        <v>44.647746831481768</v>
      </c>
      <c r="E201">
        <f t="shared" si="16"/>
        <v>44.647746831481768</v>
      </c>
      <c r="G201">
        <f t="shared" ca="1" si="17"/>
        <v>199</v>
      </c>
      <c r="H201">
        <f t="shared" ca="1" si="18"/>
        <v>8884.9016194648721</v>
      </c>
      <c r="I201">
        <f t="shared" ca="1" si="19"/>
        <v>269546.18725657446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24479</v>
      </c>
      <c r="B203" s="66">
        <v>24479</v>
      </c>
      <c r="D203">
        <f t="shared" si="15"/>
        <v>23.938937568455639</v>
      </c>
      <c r="E203">
        <f t="shared" si="16"/>
        <v>23.938937568455639</v>
      </c>
      <c r="G203">
        <f t="shared" ca="1" si="17"/>
        <v>201</v>
      </c>
      <c r="H203">
        <f t="shared" ca="1" si="18"/>
        <v>4811.7264512595839</v>
      </c>
      <c r="I203">
        <f t="shared" ca="1" si="19"/>
        <v>152059.42155476971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16698</v>
      </c>
      <c r="B206" s="66">
        <v>16698</v>
      </c>
      <c r="D206">
        <f t="shared" si="15"/>
        <v>16.329604130808949</v>
      </c>
      <c r="E206">
        <f t="shared" si="16"/>
        <v>16.329604130808949</v>
      </c>
      <c r="G206">
        <f t="shared" ca="1" si="17"/>
        <v>204</v>
      </c>
      <c r="H206">
        <f t="shared" ca="1" si="18"/>
        <v>3331.2392426850256</v>
      </c>
      <c r="I206">
        <f t="shared" ca="1" si="19"/>
        <v>111680.87078953403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13351</v>
      </c>
      <c r="B209" s="66">
        <v>13351</v>
      </c>
      <c r="D209">
        <f t="shared" si="15"/>
        <v>13.056446565482711</v>
      </c>
      <c r="E209">
        <f t="shared" si="16"/>
        <v>13.056446565482711</v>
      </c>
      <c r="G209">
        <f t="shared" ca="1" si="17"/>
        <v>207</v>
      </c>
      <c r="H209">
        <f t="shared" ca="1" si="18"/>
        <v>2702.6844390549213</v>
      </c>
      <c r="I209">
        <f t="shared" ca="1" si="19"/>
        <v>95891.261371914385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4708</v>
      </c>
      <c r="B211" s="66">
        <v>4708</v>
      </c>
      <c r="D211">
        <f t="shared" si="15"/>
        <v>4.6041308089500861</v>
      </c>
      <c r="E211">
        <f t="shared" si="16"/>
        <v>4.6041308089500861</v>
      </c>
      <c r="G211">
        <f t="shared" ca="1" si="17"/>
        <v>209</v>
      </c>
      <c r="H211">
        <f t="shared" ca="1" si="18"/>
        <v>962.26333907056801</v>
      </c>
      <c r="I211">
        <f t="shared" ca="1" si="19"/>
        <v>35411.099050107827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1549</v>
      </c>
      <c r="B214" s="66">
        <v>1549</v>
      </c>
      <c r="D214">
        <f t="shared" si="15"/>
        <v>1.5148255359098732</v>
      </c>
      <c r="E214">
        <f t="shared" si="16"/>
        <v>1.5148255359098732</v>
      </c>
      <c r="G214">
        <f t="shared" ca="1" si="17"/>
        <v>212</v>
      </c>
      <c r="H214">
        <f t="shared" ca="1" si="18"/>
        <v>321.14301361289313</v>
      </c>
      <c r="I214">
        <f t="shared" ca="1" si="19"/>
        <v>12461.490851863888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971</v>
      </c>
      <c r="B216" s="66">
        <v>971</v>
      </c>
      <c r="D216">
        <f t="shared" si="15"/>
        <v>0.94957753090283215</v>
      </c>
      <c r="E216">
        <f t="shared" si="16"/>
        <v>0.94957753090283215</v>
      </c>
      <c r="G216">
        <f t="shared" ca="1" si="17"/>
        <v>214</v>
      </c>
      <c r="H216">
        <f t="shared" ca="1" si="18"/>
        <v>203.20959161320607</v>
      </c>
      <c r="I216">
        <f t="shared" ca="1" si="19"/>
        <v>8159.8629470643618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732</v>
      </c>
      <c r="B219" s="66">
        <v>732</v>
      </c>
      <c r="D219">
        <f t="shared" si="15"/>
        <v>0.7158504146455954</v>
      </c>
      <c r="E219">
        <f t="shared" si="16"/>
        <v>0.7158504146455954</v>
      </c>
      <c r="G219">
        <f t="shared" ca="1" si="17"/>
        <v>217</v>
      </c>
      <c r="H219">
        <f t="shared" ca="1" si="18"/>
        <v>155.33953997809419</v>
      </c>
      <c r="I219">
        <f t="shared" ca="1" si="19"/>
        <v>6556.0060144118634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352</v>
      </c>
      <c r="B1" s="68" t="s">
        <v>353</v>
      </c>
      <c r="C1" s="32" t="s">
        <v>354</v>
      </c>
      <c r="D1" s="32" t="s">
        <v>355</v>
      </c>
      <c r="E1" s="32" t="s">
        <v>356</v>
      </c>
    </row>
    <row r="2" spans="1:5">
      <c r="A2" s="68">
        <v>0.33955200000000002</v>
      </c>
      <c r="B2" s="68">
        <v>0.39007799999999998</v>
      </c>
      <c r="C2" s="68">
        <v>0</v>
      </c>
      <c r="D2" s="68">
        <v>1</v>
      </c>
      <c r="E2" s="68" t="s">
        <v>357</v>
      </c>
    </row>
    <row r="3" spans="1:5">
      <c r="A3" s="68">
        <v>0.34975499999999998</v>
      </c>
      <c r="B3" s="68">
        <v>0.37915599999999999</v>
      </c>
      <c r="C3" s="68">
        <v>0.40441199999999999</v>
      </c>
      <c r="D3" s="89">
        <v>1</v>
      </c>
      <c r="E3" s="68" t="s">
        <v>358</v>
      </c>
    </row>
    <row r="4" spans="1:5">
      <c r="A4" s="68">
        <v>0.359545</v>
      </c>
      <c r="B4" s="68">
        <v>0.37035600000000002</v>
      </c>
      <c r="C4" s="68">
        <v>0.8095</v>
      </c>
      <c r="D4" s="89">
        <v>1</v>
      </c>
      <c r="E4" s="68" t="s">
        <v>359</v>
      </c>
    </row>
    <row r="5" spans="1:5">
      <c r="A5" s="89">
        <v>0.369531</v>
      </c>
      <c r="B5" s="89">
        <v>0.36142099999999999</v>
      </c>
      <c r="C5" s="89">
        <v>1.21783</v>
      </c>
      <c r="D5" s="89">
        <v>1</v>
      </c>
      <c r="E5" s="68" t="s">
        <v>360</v>
      </c>
    </row>
    <row r="6" spans="1:5">
      <c r="A6" s="68">
        <v>0.37958900000000001</v>
      </c>
      <c r="B6" s="68">
        <v>0.353076</v>
      </c>
      <c r="C6" s="68">
        <v>1.62273</v>
      </c>
      <c r="D6" s="68">
        <v>1</v>
      </c>
      <c r="E6" s="68" t="s">
        <v>361</v>
      </c>
    </row>
    <row r="7" spans="1:5">
      <c r="A7" s="68">
        <v>0.38859300000000002</v>
      </c>
      <c r="B7" s="68">
        <v>0.34413100000000002</v>
      </c>
      <c r="C7" s="68">
        <v>2.0298799999999999</v>
      </c>
      <c r="D7" s="68">
        <v>1</v>
      </c>
      <c r="E7" s="68" t="s">
        <v>362</v>
      </c>
    </row>
    <row r="8" spans="1:5">
      <c r="A8" s="68">
        <v>0.39737699999999998</v>
      </c>
      <c r="B8" s="68">
        <v>0.334198</v>
      </c>
      <c r="C8" s="68">
        <v>2.4361000000000002</v>
      </c>
      <c r="D8" s="68">
        <v>1</v>
      </c>
      <c r="E8" s="68" t="s">
        <v>363</v>
      </c>
    </row>
    <row r="9" spans="1:5">
      <c r="A9" s="68">
        <v>0.40586299999999997</v>
      </c>
      <c r="B9" s="68">
        <v>0.32450299999999999</v>
      </c>
      <c r="C9" s="68">
        <v>2.8405499999999999</v>
      </c>
      <c r="D9" s="68">
        <v>1</v>
      </c>
      <c r="E9" s="68" t="s">
        <v>364</v>
      </c>
    </row>
    <row r="10" spans="1:5">
      <c r="A10" s="68">
        <v>0.41357899999999997</v>
      </c>
      <c r="B10" s="68">
        <v>0.31833600000000001</v>
      </c>
      <c r="C10" s="68">
        <v>3.24769</v>
      </c>
      <c r="D10" s="68">
        <v>1</v>
      </c>
      <c r="E10" s="68" t="s">
        <v>365</v>
      </c>
    </row>
    <row r="11" spans="1:5">
      <c r="A11" s="68">
        <v>0.420686</v>
      </c>
      <c r="B11" s="68">
        <v>0.314023</v>
      </c>
      <c r="C11" s="68">
        <v>3.6527799999999999</v>
      </c>
      <c r="D11" s="68">
        <v>1</v>
      </c>
      <c r="E11" s="68" t="s">
        <v>366</v>
      </c>
    </row>
    <row r="12" spans="1:5">
      <c r="A12" s="68">
        <v>0.42729499999999998</v>
      </c>
      <c r="B12" s="68">
        <v>0.31072300000000003</v>
      </c>
      <c r="C12" s="68">
        <v>4.0640000000000001</v>
      </c>
      <c r="D12" s="68">
        <v>1</v>
      </c>
      <c r="E12" s="68" t="s">
        <v>367</v>
      </c>
    </row>
    <row r="13" spans="1:5">
      <c r="A13" s="68">
        <v>0.433589</v>
      </c>
      <c r="B13" s="68">
        <v>0.30869000000000002</v>
      </c>
      <c r="C13" s="68">
        <v>4.4677600000000002</v>
      </c>
      <c r="D13" s="68">
        <v>1</v>
      </c>
      <c r="E13" s="68" t="s">
        <v>368</v>
      </c>
    </row>
    <row r="14" spans="1:5">
      <c r="A14" s="68">
        <v>0.439529</v>
      </c>
      <c r="B14" s="68">
        <v>0.30704500000000001</v>
      </c>
      <c r="C14" s="68">
        <v>4.8733300000000002</v>
      </c>
      <c r="D14" s="68">
        <v>1</v>
      </c>
      <c r="E14" s="68" t="s">
        <v>369</v>
      </c>
    </row>
    <row r="15" spans="1:5">
      <c r="A15" s="68">
        <v>0.44475799999999999</v>
      </c>
      <c r="B15" s="68">
        <v>0.30599900000000002</v>
      </c>
      <c r="C15" s="68">
        <v>5.2780199999999997</v>
      </c>
      <c r="D15" s="68">
        <v>1</v>
      </c>
      <c r="E15" s="68" t="s">
        <v>370</v>
      </c>
    </row>
    <row r="16" spans="1:5">
      <c r="A16" s="68">
        <v>0.44915300000000002</v>
      </c>
      <c r="B16" s="68">
        <v>0.30470199999999997</v>
      </c>
      <c r="C16" s="68">
        <v>5.6905400000000004</v>
      </c>
      <c r="D16" s="68">
        <v>1</v>
      </c>
      <c r="E16" s="68" t="s">
        <v>371</v>
      </c>
    </row>
    <row r="17" spans="1:5">
      <c r="A17" s="68">
        <v>0.45289699999999999</v>
      </c>
      <c r="B17" s="68">
        <v>0.30405399999999999</v>
      </c>
      <c r="C17" s="68">
        <v>6.0942299999999996</v>
      </c>
      <c r="D17" s="68">
        <v>1</v>
      </c>
      <c r="E17" s="68" t="s">
        <v>372</v>
      </c>
    </row>
    <row r="18" spans="1:5">
      <c r="A18" s="68">
        <v>0.45636599999999999</v>
      </c>
      <c r="B18" s="68">
        <v>0.30299300000000001</v>
      </c>
      <c r="C18" s="68">
        <v>6.5004099999999996</v>
      </c>
      <c r="D18" s="68">
        <v>1</v>
      </c>
      <c r="E18" s="68" t="s">
        <v>373</v>
      </c>
    </row>
    <row r="19" spans="1:5">
      <c r="A19" s="68">
        <v>0.45923399999999998</v>
      </c>
      <c r="B19" s="68">
        <v>0.30083300000000002</v>
      </c>
      <c r="C19" s="68">
        <v>6.9036900000000001</v>
      </c>
      <c r="D19" s="68">
        <v>1</v>
      </c>
      <c r="E19" s="68" t="s">
        <v>374</v>
      </c>
    </row>
    <row r="20" spans="1:5">
      <c r="A20" s="68">
        <v>0.46175699999999997</v>
      </c>
      <c r="B20" s="68">
        <v>0.29854599999999998</v>
      </c>
      <c r="C20" s="68">
        <v>7.3098299999999998</v>
      </c>
      <c r="D20" s="68">
        <v>1</v>
      </c>
      <c r="E20" s="68" t="s">
        <v>375</v>
      </c>
    </row>
    <row r="21" spans="1:5">
      <c r="A21" s="68">
        <v>0.46381</v>
      </c>
      <c r="B21" s="68">
        <v>0.29575099999999999</v>
      </c>
      <c r="C21" s="68">
        <v>7.7161200000000001</v>
      </c>
      <c r="D21" s="68">
        <v>1</v>
      </c>
      <c r="E21" s="68" t="s">
        <v>376</v>
      </c>
    </row>
    <row r="22" spans="1:5">
      <c r="A22" s="68">
        <v>0.46510800000000002</v>
      </c>
      <c r="B22" s="68">
        <v>0.29326600000000003</v>
      </c>
      <c r="C22" s="68">
        <v>8.1246700000000001</v>
      </c>
      <c r="D22" s="68">
        <v>1</v>
      </c>
      <c r="E22" s="68" t="s">
        <v>377</v>
      </c>
    </row>
    <row r="23" spans="1:5">
      <c r="A23" s="68">
        <v>0.46584799999999998</v>
      </c>
      <c r="B23" s="68">
        <v>0.29092499999999999</v>
      </c>
      <c r="C23" s="68">
        <v>8.52881</v>
      </c>
      <c r="D23" s="68">
        <v>1</v>
      </c>
      <c r="E23" s="68" t="s">
        <v>378</v>
      </c>
    </row>
    <row r="24" spans="1:5">
      <c r="A24" s="68">
        <v>0.46610099999999999</v>
      </c>
      <c r="B24" s="68">
        <v>0.28697899999999998</v>
      </c>
      <c r="C24" s="68">
        <v>8.9374300000000009</v>
      </c>
      <c r="D24" s="68">
        <v>1</v>
      </c>
      <c r="E24" s="68" t="s">
        <v>379</v>
      </c>
    </row>
    <row r="25" spans="1:5">
      <c r="A25" s="68">
        <v>0.46596199999999999</v>
      </c>
      <c r="B25" s="68">
        <v>0.283134</v>
      </c>
      <c r="C25" s="68">
        <v>9.3417999999999992</v>
      </c>
      <c r="D25" s="68">
        <v>1</v>
      </c>
      <c r="E25" s="68" t="s">
        <v>380</v>
      </c>
    </row>
    <row r="26" spans="1:5">
      <c r="A26" s="68">
        <v>0.46573199999999998</v>
      </c>
      <c r="B26" s="68">
        <v>0.27992600000000001</v>
      </c>
      <c r="C26" s="68">
        <v>9.7470199999999991</v>
      </c>
      <c r="D26" s="68">
        <v>1</v>
      </c>
      <c r="E26" s="68" t="s">
        <v>381</v>
      </c>
    </row>
    <row r="27" spans="1:5">
      <c r="A27" s="68">
        <v>0.46519199999999999</v>
      </c>
      <c r="B27" s="68">
        <v>0.27687299999999998</v>
      </c>
      <c r="C27" s="68">
        <v>10.153600000000001</v>
      </c>
      <c r="D27" s="68">
        <v>1</v>
      </c>
      <c r="E27" s="68" t="s">
        <v>382</v>
      </c>
    </row>
    <row r="28" spans="1:5">
      <c r="A28" s="68">
        <v>0.46441500000000002</v>
      </c>
      <c r="B28" s="68">
        <v>0.27478900000000001</v>
      </c>
      <c r="C28" s="68">
        <v>10.5625</v>
      </c>
      <c r="D28" s="68">
        <v>1</v>
      </c>
      <c r="E28" s="68" t="s">
        <v>383</v>
      </c>
    </row>
    <row r="29" spans="1:5">
      <c r="A29" s="68">
        <v>0.46357799999999999</v>
      </c>
      <c r="B29" s="68">
        <v>0.27281300000000003</v>
      </c>
      <c r="C29" s="68">
        <v>10.970599999999999</v>
      </c>
      <c r="D29" s="68">
        <v>1</v>
      </c>
      <c r="E29" s="68" t="s">
        <v>384</v>
      </c>
    </row>
    <row r="30" spans="1:5">
      <c r="A30" s="68">
        <v>0.46265499999999998</v>
      </c>
      <c r="B30" s="68">
        <v>0.27059899999999998</v>
      </c>
      <c r="C30" s="68">
        <v>11.3728</v>
      </c>
      <c r="D30" s="68">
        <v>1</v>
      </c>
      <c r="E30" s="68" t="s">
        <v>385</v>
      </c>
    </row>
    <row r="31" spans="1:5">
      <c r="A31" s="68">
        <v>0.46143400000000001</v>
      </c>
      <c r="B31" s="68">
        <v>0.269042</v>
      </c>
      <c r="C31" s="68">
        <v>11.78</v>
      </c>
      <c r="D31" s="68">
        <v>1</v>
      </c>
      <c r="E31" s="68" t="s">
        <v>386</v>
      </c>
    </row>
    <row r="32" spans="1:5">
      <c r="A32" s="68">
        <v>0.45988600000000002</v>
      </c>
      <c r="B32" s="68">
        <v>0.26872600000000002</v>
      </c>
      <c r="C32" s="68">
        <v>12.187099999999999</v>
      </c>
      <c r="D32" s="68">
        <v>1</v>
      </c>
      <c r="E32" s="68" t="s">
        <v>387</v>
      </c>
    </row>
    <row r="33" spans="1:5">
      <c r="A33" s="68">
        <v>0.45775900000000003</v>
      </c>
      <c r="B33" s="68">
        <v>0.27036900000000003</v>
      </c>
      <c r="C33" s="68">
        <v>12.5939</v>
      </c>
      <c r="D33" s="68">
        <v>1</v>
      </c>
      <c r="E33" s="68" t="s">
        <v>388</v>
      </c>
    </row>
    <row r="34" spans="1:5">
      <c r="A34" s="68">
        <v>0.45520500000000003</v>
      </c>
      <c r="B34" s="68">
        <v>0.27230700000000002</v>
      </c>
      <c r="C34" s="68">
        <v>12.9983</v>
      </c>
      <c r="D34" s="68">
        <v>1</v>
      </c>
      <c r="E34" s="68" t="s">
        <v>389</v>
      </c>
    </row>
    <row r="35" spans="1:5">
      <c r="A35" s="68">
        <v>0.45272699999999999</v>
      </c>
      <c r="B35" s="68">
        <v>0.273067</v>
      </c>
      <c r="C35" s="68">
        <v>13.4062</v>
      </c>
      <c r="D35" s="68">
        <v>1</v>
      </c>
      <c r="E35" s="68" t="s">
        <v>390</v>
      </c>
    </row>
    <row r="36" spans="1:5">
      <c r="A36" s="68">
        <v>0.45045800000000003</v>
      </c>
      <c r="B36" s="68">
        <v>0.27359800000000001</v>
      </c>
      <c r="C36" s="68">
        <v>13.810700000000001</v>
      </c>
      <c r="D36" s="68">
        <v>1</v>
      </c>
      <c r="E36" s="68" t="s">
        <v>391</v>
      </c>
    </row>
    <row r="37" spans="1:5">
      <c r="A37" s="68">
        <v>0.44805200000000001</v>
      </c>
      <c r="B37" s="68">
        <v>0.27474100000000001</v>
      </c>
      <c r="C37" s="68">
        <v>14.2158</v>
      </c>
      <c r="D37" s="68">
        <v>1</v>
      </c>
      <c r="E37" s="68" t="s">
        <v>392</v>
      </c>
    </row>
    <row r="38" spans="1:5">
      <c r="A38" s="68">
        <v>0.44578400000000001</v>
      </c>
      <c r="B38" s="68">
        <v>0.27577400000000002</v>
      </c>
      <c r="C38" s="68">
        <v>14.623100000000001</v>
      </c>
      <c r="D38" s="68">
        <v>1</v>
      </c>
      <c r="E38" s="68" t="s">
        <v>393</v>
      </c>
    </row>
    <row r="39" spans="1:5">
      <c r="A39" s="68">
        <v>0.44358599999999998</v>
      </c>
      <c r="B39" s="68">
        <v>0.276646</v>
      </c>
      <c r="C39" s="68">
        <v>15.028499999999999</v>
      </c>
      <c r="D39" s="68">
        <v>1</v>
      </c>
      <c r="E39" s="68" t="s">
        <v>394</v>
      </c>
    </row>
    <row r="40" spans="1:5">
      <c r="A40" s="68">
        <v>0.44173299999999999</v>
      </c>
      <c r="B40" s="68">
        <v>0.27801599999999999</v>
      </c>
      <c r="C40" s="68">
        <v>15.438700000000001</v>
      </c>
      <c r="D40" s="68">
        <v>1</v>
      </c>
      <c r="E40" s="68" t="s">
        <v>395</v>
      </c>
    </row>
    <row r="41" spans="1:5">
      <c r="A41" s="68">
        <v>0.44028299999999998</v>
      </c>
      <c r="B41" s="68">
        <v>0.27923900000000001</v>
      </c>
      <c r="C41" s="68">
        <v>15.8415</v>
      </c>
      <c r="D41" s="68">
        <v>1</v>
      </c>
      <c r="E41" s="68" t="s">
        <v>396</v>
      </c>
    </row>
    <row r="42" spans="1:5">
      <c r="A42" s="68">
        <v>0.43960100000000002</v>
      </c>
      <c r="B42" s="68">
        <v>0.27975100000000003</v>
      </c>
      <c r="C42" s="68">
        <v>16.246600000000001</v>
      </c>
      <c r="D42" s="68">
        <v>1</v>
      </c>
      <c r="E42" s="68" t="s">
        <v>397</v>
      </c>
    </row>
    <row r="43" spans="1:5">
      <c r="A43" s="68">
        <v>0.43929600000000002</v>
      </c>
      <c r="B43" s="68">
        <v>0.28059400000000001</v>
      </c>
      <c r="C43" s="68">
        <v>16.653500000000001</v>
      </c>
      <c r="D43" s="68">
        <v>1</v>
      </c>
      <c r="E43" s="68" t="s">
        <v>398</v>
      </c>
    </row>
    <row r="44" spans="1:5">
      <c r="A44" s="68">
        <v>0.438913</v>
      </c>
      <c r="B44" s="68">
        <v>0.28151599999999999</v>
      </c>
      <c r="C44" s="68">
        <v>17.061499999999999</v>
      </c>
      <c r="D44" s="68">
        <v>1</v>
      </c>
      <c r="E44" s="68" t="s">
        <v>399</v>
      </c>
    </row>
    <row r="45" spans="1:5">
      <c r="A45" s="68">
        <v>0.43848799999999999</v>
      </c>
      <c r="B45" s="68">
        <v>0.28244999999999998</v>
      </c>
      <c r="C45" s="68">
        <v>17.470300000000002</v>
      </c>
      <c r="D45" s="68">
        <v>1</v>
      </c>
      <c r="E45" s="68" t="s">
        <v>400</v>
      </c>
    </row>
    <row r="46" spans="1:5">
      <c r="A46" s="68">
        <v>0.43837100000000001</v>
      </c>
      <c r="B46" s="68">
        <v>0.28363899999999997</v>
      </c>
      <c r="C46" s="68">
        <v>17.874500000000001</v>
      </c>
      <c r="D46" s="68">
        <v>1</v>
      </c>
      <c r="E46" s="68" t="s">
        <v>401</v>
      </c>
    </row>
    <row r="47" spans="1:5">
      <c r="A47" s="68">
        <v>0.43891000000000002</v>
      </c>
      <c r="B47" s="68">
        <v>0.28384700000000002</v>
      </c>
      <c r="C47" s="68">
        <v>18.278700000000001</v>
      </c>
      <c r="D47" s="68">
        <v>1</v>
      </c>
      <c r="E47" s="68" t="s">
        <v>402</v>
      </c>
    </row>
    <row r="48" spans="1:5">
      <c r="A48" s="68">
        <v>0.44001800000000002</v>
      </c>
      <c r="B48" s="68">
        <v>0.28264699999999998</v>
      </c>
      <c r="C48" s="68">
        <v>18.6858</v>
      </c>
      <c r="D48" s="68">
        <v>1</v>
      </c>
      <c r="E48" s="68" t="s">
        <v>403</v>
      </c>
    </row>
    <row r="49" spans="1:5">
      <c r="A49" s="68">
        <v>0.44077</v>
      </c>
      <c r="B49" s="68">
        <v>0.28217900000000001</v>
      </c>
      <c r="C49" s="68">
        <v>19.094200000000001</v>
      </c>
      <c r="D49" s="68">
        <v>1</v>
      </c>
      <c r="E49" s="68" t="s">
        <v>404</v>
      </c>
    </row>
    <row r="50" spans="1:5">
      <c r="A50" s="68">
        <v>0.44131599999999999</v>
      </c>
      <c r="B50" s="68">
        <v>0.28215800000000002</v>
      </c>
      <c r="C50" s="68">
        <v>19.500399999999999</v>
      </c>
      <c r="D50" s="68">
        <v>1</v>
      </c>
      <c r="E50" s="68" t="s">
        <v>405</v>
      </c>
    </row>
    <row r="51" spans="1:5">
      <c r="A51" s="68">
        <v>0.44167000000000001</v>
      </c>
      <c r="B51" s="68">
        <v>0.28246399999999999</v>
      </c>
      <c r="C51" s="68">
        <v>19.9069</v>
      </c>
      <c r="D51" s="68">
        <v>1</v>
      </c>
      <c r="E51" s="68" t="s">
        <v>406</v>
      </c>
    </row>
    <row r="52" spans="1:5">
      <c r="A52" s="68">
        <v>0.44222499999999998</v>
      </c>
      <c r="B52" s="68">
        <v>0.28301799999999999</v>
      </c>
      <c r="C52" s="68">
        <v>20.3108</v>
      </c>
      <c r="D52" s="68">
        <v>1</v>
      </c>
      <c r="E52" s="68" t="s">
        <v>407</v>
      </c>
    </row>
    <row r="53" spans="1:5">
      <c r="A53" s="68">
        <v>0.44319700000000001</v>
      </c>
      <c r="B53" s="68">
        <v>0.28243099999999999</v>
      </c>
      <c r="C53" s="68">
        <v>20.716000000000001</v>
      </c>
      <c r="D53" s="68">
        <v>1</v>
      </c>
      <c r="E53" s="68" t="s">
        <v>408</v>
      </c>
    </row>
    <row r="54" spans="1:5">
      <c r="A54" s="68">
        <v>0.444442</v>
      </c>
      <c r="B54" s="68">
        <v>0.28048899999999999</v>
      </c>
      <c r="C54" s="68">
        <v>21.126300000000001</v>
      </c>
      <c r="D54" s="68">
        <v>1</v>
      </c>
      <c r="E54" s="68" t="s">
        <v>409</v>
      </c>
    </row>
    <row r="55" spans="1:5">
      <c r="A55" s="68">
        <v>0.4451</v>
      </c>
      <c r="B55" s="68">
        <v>0.28021800000000002</v>
      </c>
      <c r="C55" s="68">
        <v>21.5319</v>
      </c>
      <c r="D55" s="68">
        <v>1</v>
      </c>
      <c r="E55" s="68" t="s">
        <v>410</v>
      </c>
    </row>
    <row r="56" spans="1:5">
      <c r="A56" s="68">
        <v>0.44570300000000002</v>
      </c>
      <c r="B56" s="68">
        <v>0.28007500000000002</v>
      </c>
      <c r="C56" s="68">
        <v>21.938500000000001</v>
      </c>
      <c r="D56" s="68">
        <v>1</v>
      </c>
      <c r="E56" s="68" t="s">
        <v>411</v>
      </c>
    </row>
    <row r="57" spans="1:5">
      <c r="A57" s="68">
        <v>0.44639800000000002</v>
      </c>
      <c r="B57" s="68">
        <v>0.279665</v>
      </c>
      <c r="C57" s="68">
        <v>22.3414</v>
      </c>
      <c r="D57" s="68">
        <v>1</v>
      </c>
      <c r="E57" s="68" t="s">
        <v>412</v>
      </c>
    </row>
    <row r="58" spans="1:5">
      <c r="A58" s="68">
        <v>0.44705899999999998</v>
      </c>
      <c r="B58" s="68">
        <v>0.27943899999999999</v>
      </c>
      <c r="C58" s="68">
        <v>22.748100000000001</v>
      </c>
      <c r="D58" s="68">
        <v>1</v>
      </c>
      <c r="E58" s="68" t="s">
        <v>413</v>
      </c>
    </row>
    <row r="59" spans="1:5">
      <c r="A59" s="68">
        <v>0.44808399999999998</v>
      </c>
      <c r="B59" s="68">
        <v>0.27837499999999998</v>
      </c>
      <c r="C59" s="68">
        <v>23.154900000000001</v>
      </c>
      <c r="D59" s="68">
        <v>1</v>
      </c>
      <c r="E59" s="68" t="s">
        <v>414</v>
      </c>
    </row>
    <row r="60" spans="1:5">
      <c r="A60" s="68">
        <v>0.44958700000000001</v>
      </c>
      <c r="B60" s="68">
        <v>0.27674900000000002</v>
      </c>
      <c r="C60" s="68">
        <v>23.560600000000001</v>
      </c>
      <c r="D60" s="68">
        <v>1</v>
      </c>
      <c r="E60" s="68" t="s">
        <v>415</v>
      </c>
    </row>
    <row r="61" spans="1:5">
      <c r="A61" s="68">
        <v>0.45078000000000001</v>
      </c>
      <c r="B61" s="68">
        <v>0.27607300000000001</v>
      </c>
      <c r="C61" s="68">
        <v>23.9693</v>
      </c>
      <c r="D61" s="68">
        <v>1</v>
      </c>
      <c r="E61" s="68" t="s">
        <v>416</v>
      </c>
    </row>
    <row r="62" spans="1:5">
      <c r="A62" s="68">
        <v>0.452455</v>
      </c>
      <c r="B62" s="68">
        <v>0.27500599999999997</v>
      </c>
      <c r="C62" s="68">
        <v>24.372199999999999</v>
      </c>
      <c r="D62" s="68">
        <v>1</v>
      </c>
      <c r="E62" s="68" t="s">
        <v>417</v>
      </c>
    </row>
    <row r="63" spans="1:5">
      <c r="A63" s="68">
        <v>0.45424999999999999</v>
      </c>
      <c r="B63" s="68">
        <v>0.27423500000000001</v>
      </c>
      <c r="C63" s="68">
        <v>24.7821</v>
      </c>
      <c r="D63" s="68">
        <v>1</v>
      </c>
      <c r="E63" s="68" t="s">
        <v>418</v>
      </c>
    </row>
    <row r="64" spans="1:5">
      <c r="A64" s="68">
        <v>0.45613700000000001</v>
      </c>
      <c r="B64" s="68">
        <v>0.27430700000000002</v>
      </c>
      <c r="C64" s="68">
        <v>25.186800000000002</v>
      </c>
      <c r="D64" s="68">
        <v>1</v>
      </c>
      <c r="E64" s="68" t="s">
        <v>419</v>
      </c>
    </row>
    <row r="65" spans="1:5">
      <c r="A65" s="68">
        <v>0.45837899999999998</v>
      </c>
      <c r="B65" s="68">
        <v>0.27360099999999998</v>
      </c>
      <c r="C65" s="68">
        <v>25.592400000000001</v>
      </c>
      <c r="D65" s="68">
        <v>1</v>
      </c>
      <c r="E65" s="68" t="s">
        <v>420</v>
      </c>
    </row>
    <row r="66" spans="1:5">
      <c r="A66" s="68">
        <v>0.46070100000000003</v>
      </c>
      <c r="B66" s="68">
        <v>0.27279599999999998</v>
      </c>
      <c r="C66" s="68">
        <v>25.9968</v>
      </c>
      <c r="D66" s="68">
        <v>1</v>
      </c>
      <c r="E66" s="68" t="s">
        <v>421</v>
      </c>
    </row>
    <row r="67" spans="1:5">
      <c r="A67" s="68">
        <v>0.46254800000000001</v>
      </c>
      <c r="B67" s="68">
        <v>0.27173399999999998</v>
      </c>
      <c r="C67" s="68">
        <v>26.41</v>
      </c>
      <c r="D67" s="68">
        <v>1</v>
      </c>
      <c r="E67" s="68" t="s">
        <v>422</v>
      </c>
    </row>
    <row r="68" spans="1:5">
      <c r="A68" s="68">
        <v>0.46421600000000002</v>
      </c>
      <c r="B68" s="68">
        <v>0.270231</v>
      </c>
      <c r="C68" s="68">
        <v>26.811199999999999</v>
      </c>
      <c r="D68" s="68">
        <v>1</v>
      </c>
      <c r="E68" s="68" t="s">
        <v>423</v>
      </c>
    </row>
    <row r="69" spans="1:5">
      <c r="A69" s="68">
        <v>0.46611799999999998</v>
      </c>
      <c r="B69" s="68">
        <v>0.26870100000000002</v>
      </c>
      <c r="C69" s="68">
        <v>27.221699999999998</v>
      </c>
      <c r="D69" s="68">
        <v>1</v>
      </c>
      <c r="E69" s="68" t="s">
        <v>424</v>
      </c>
    </row>
    <row r="70" spans="1:5">
      <c r="A70" s="68">
        <v>0.468107</v>
      </c>
      <c r="B70" s="68">
        <v>0.26741700000000002</v>
      </c>
      <c r="C70" s="68">
        <v>27.627400000000002</v>
      </c>
      <c r="D70" s="68">
        <v>1</v>
      </c>
      <c r="E70" s="68" t="s">
        <v>425</v>
      </c>
    </row>
    <row r="71" spans="1:5">
      <c r="A71" s="68">
        <v>0.469997</v>
      </c>
      <c r="B71" s="68">
        <v>0.26555299999999998</v>
      </c>
      <c r="C71" s="68">
        <v>28.029399999999999</v>
      </c>
      <c r="D71" s="68">
        <v>1</v>
      </c>
      <c r="E71" s="68" t="s">
        <v>426</v>
      </c>
    </row>
    <row r="72" spans="1:5">
      <c r="A72" s="68">
        <v>0.47170699999999999</v>
      </c>
      <c r="B72" s="68">
        <v>0.263623</v>
      </c>
      <c r="C72" s="68">
        <v>28.4405</v>
      </c>
      <c r="D72" s="68">
        <v>1</v>
      </c>
      <c r="E72" s="68" t="s">
        <v>427</v>
      </c>
    </row>
    <row r="73" spans="1:5">
      <c r="A73" s="68">
        <v>0.47304800000000002</v>
      </c>
      <c r="B73" s="68">
        <v>0.26190600000000003</v>
      </c>
      <c r="C73" s="68">
        <v>28.8431</v>
      </c>
      <c r="D73" s="68">
        <v>1</v>
      </c>
      <c r="E73" s="68" t="s">
        <v>428</v>
      </c>
    </row>
    <row r="74" spans="1:5">
      <c r="A74" s="68">
        <v>0.47444900000000001</v>
      </c>
      <c r="B74" s="68">
        <v>0.26069799999999999</v>
      </c>
      <c r="C74" s="68">
        <v>29.2545</v>
      </c>
      <c r="D74" s="68">
        <v>1</v>
      </c>
      <c r="E74" s="68" t="s">
        <v>429</v>
      </c>
    </row>
    <row r="75" spans="1:5">
      <c r="A75" s="68">
        <v>0.47591600000000001</v>
      </c>
      <c r="B75" s="68">
        <v>0.25845200000000002</v>
      </c>
      <c r="C75" s="68">
        <v>29.6572</v>
      </c>
      <c r="D75" s="68">
        <v>1</v>
      </c>
      <c r="E75" s="68" t="s">
        <v>430</v>
      </c>
    </row>
    <row r="76" spans="1:5">
      <c r="A76" s="68">
        <v>0.47728799999999999</v>
      </c>
      <c r="B76" s="68">
        <v>0.255938</v>
      </c>
      <c r="C76" s="68">
        <v>30.062899999999999</v>
      </c>
      <c r="D76" s="68">
        <v>2</v>
      </c>
      <c r="E76" s="68" t="s">
        <v>431</v>
      </c>
    </row>
    <row r="77" spans="1:5">
      <c r="A77" s="68">
        <v>0.47817599999999999</v>
      </c>
      <c r="B77" s="68">
        <v>0.25373800000000002</v>
      </c>
      <c r="C77" s="68">
        <v>30.484300000000001</v>
      </c>
      <c r="D77" s="68">
        <v>2</v>
      </c>
      <c r="E77" s="68" t="s">
        <v>432</v>
      </c>
    </row>
    <row r="78" spans="1:5">
      <c r="A78" s="68">
        <v>0.47869600000000001</v>
      </c>
      <c r="B78" s="68">
        <v>0.25086999999999998</v>
      </c>
      <c r="C78" s="68">
        <v>30.888400000000001</v>
      </c>
      <c r="D78" s="68">
        <v>2</v>
      </c>
      <c r="E78" s="68" t="s">
        <v>433</v>
      </c>
    </row>
    <row r="79" spans="1:5">
      <c r="A79" s="68">
        <v>0.47906100000000001</v>
      </c>
      <c r="B79" s="68">
        <v>0.248306</v>
      </c>
      <c r="C79" s="68">
        <v>31.294899999999998</v>
      </c>
      <c r="D79" s="68">
        <v>2</v>
      </c>
      <c r="E79" s="68" t="s">
        <v>434</v>
      </c>
    </row>
    <row r="80" spans="1:5">
      <c r="A80" s="68">
        <v>0.47952499999999998</v>
      </c>
      <c r="B80" s="68">
        <v>0.24617900000000001</v>
      </c>
      <c r="C80" s="68">
        <v>31.705500000000001</v>
      </c>
      <c r="D80" s="68">
        <v>2</v>
      </c>
      <c r="E80" s="68" t="s">
        <v>435</v>
      </c>
    </row>
    <row r="81" spans="1:5">
      <c r="A81" s="68">
        <v>0.47996800000000001</v>
      </c>
      <c r="B81" s="68">
        <v>0.24338099999999999</v>
      </c>
      <c r="C81" s="68">
        <v>32.109900000000003</v>
      </c>
      <c r="D81" s="68">
        <v>2</v>
      </c>
      <c r="E81" s="68" t="s">
        <v>436</v>
      </c>
    </row>
    <row r="82" spans="1:5">
      <c r="A82" s="68">
        <v>0.48044199999999998</v>
      </c>
      <c r="B82" s="68">
        <v>0.24043800000000001</v>
      </c>
      <c r="C82" s="68">
        <v>32.515300000000003</v>
      </c>
      <c r="D82" s="68">
        <v>2</v>
      </c>
      <c r="E82" s="68" t="s">
        <v>437</v>
      </c>
    </row>
    <row r="83" spans="1:5">
      <c r="A83" s="68">
        <v>0.480875</v>
      </c>
      <c r="B83" s="68">
        <v>0.23744100000000001</v>
      </c>
      <c r="C83" s="68">
        <v>32.923099999999998</v>
      </c>
      <c r="D83" s="68">
        <v>2</v>
      </c>
      <c r="E83" s="68" t="s">
        <v>438</v>
      </c>
    </row>
    <row r="84" spans="1:5">
      <c r="A84" s="68">
        <v>0.48113800000000001</v>
      </c>
      <c r="B84" s="68">
        <v>0.23611499999999999</v>
      </c>
      <c r="C84" s="68">
        <v>33.326300000000003</v>
      </c>
      <c r="D84" s="68">
        <v>2</v>
      </c>
      <c r="E84" s="68" t="s">
        <v>439</v>
      </c>
    </row>
    <row r="85" spans="1:5">
      <c r="A85" s="68">
        <v>0.48084900000000003</v>
      </c>
      <c r="B85" s="68">
        <v>0.23569000000000001</v>
      </c>
      <c r="C85" s="68">
        <v>33.734499999999997</v>
      </c>
      <c r="D85" s="68">
        <v>2</v>
      </c>
      <c r="E85" s="68" t="s">
        <v>440</v>
      </c>
    </row>
    <row r="86" spans="1:5">
      <c r="A86" s="68">
        <v>0.48084500000000002</v>
      </c>
      <c r="B86" s="68">
        <v>0.23439699999999999</v>
      </c>
      <c r="C86" s="68">
        <v>34.143599999999999</v>
      </c>
      <c r="D86" s="68">
        <v>2</v>
      </c>
      <c r="E86" s="68" t="s">
        <v>441</v>
      </c>
    </row>
    <row r="87" spans="1:5">
      <c r="A87" s="68">
        <v>0.48049399999999998</v>
      </c>
      <c r="B87" s="68">
        <v>0.23245199999999999</v>
      </c>
      <c r="C87" s="68">
        <v>34.546199999999999</v>
      </c>
      <c r="D87" s="68">
        <v>2</v>
      </c>
      <c r="E87" s="68" t="s">
        <v>442</v>
      </c>
    </row>
    <row r="88" spans="1:5">
      <c r="A88" s="68">
        <v>0.479881</v>
      </c>
      <c r="B88" s="68">
        <v>0.23018</v>
      </c>
      <c r="C88" s="68">
        <v>34.951300000000003</v>
      </c>
      <c r="D88" s="68">
        <v>2</v>
      </c>
      <c r="E88" s="68" t="s">
        <v>443</v>
      </c>
    </row>
    <row r="89" spans="1:5">
      <c r="A89" s="68">
        <v>0.47943000000000002</v>
      </c>
      <c r="B89" s="68">
        <v>0.22684099999999999</v>
      </c>
      <c r="C89" s="68">
        <v>35.356900000000003</v>
      </c>
      <c r="D89" s="68">
        <v>2</v>
      </c>
      <c r="E89" s="68" t="s">
        <v>444</v>
      </c>
    </row>
    <row r="90" spans="1:5">
      <c r="A90" s="68">
        <v>0.478607</v>
      </c>
      <c r="B90" s="68">
        <v>0.223355</v>
      </c>
      <c r="C90" s="68">
        <v>35.766300000000001</v>
      </c>
      <c r="D90" s="68">
        <v>2</v>
      </c>
      <c r="E90" s="68" t="s">
        <v>445</v>
      </c>
    </row>
    <row r="91" spans="1:5">
      <c r="A91" s="68">
        <v>0.47762500000000002</v>
      </c>
      <c r="B91" s="68">
        <v>0.21990799999999999</v>
      </c>
      <c r="C91" s="68">
        <v>36.171900000000001</v>
      </c>
      <c r="D91" s="68">
        <v>2</v>
      </c>
      <c r="E91" s="68" t="s">
        <v>446</v>
      </c>
    </row>
    <row r="92" spans="1:5">
      <c r="A92" s="68">
        <v>0.47654600000000003</v>
      </c>
      <c r="B92" s="68">
        <v>0.21659500000000001</v>
      </c>
      <c r="C92" s="68">
        <v>36.580199999999998</v>
      </c>
      <c r="D92" s="68">
        <v>2</v>
      </c>
      <c r="E92" s="68" t="s">
        <v>447</v>
      </c>
    </row>
    <row r="93" spans="1:5">
      <c r="A93" s="68">
        <v>0.47514200000000001</v>
      </c>
      <c r="B93" s="68">
        <v>0.21370600000000001</v>
      </c>
      <c r="C93" s="68">
        <v>36.985500000000002</v>
      </c>
      <c r="D93" s="68">
        <v>2</v>
      </c>
      <c r="E93" s="68" t="s">
        <v>448</v>
      </c>
    </row>
    <row r="94" spans="1:5">
      <c r="A94" s="68">
        <v>0.47385500000000003</v>
      </c>
      <c r="B94" s="68">
        <v>0.21074899999999999</v>
      </c>
      <c r="C94" s="68">
        <v>37.387700000000002</v>
      </c>
      <c r="D94" s="68">
        <v>2</v>
      </c>
      <c r="E94" s="68" t="s">
        <v>449</v>
      </c>
    </row>
    <row r="95" spans="1:5">
      <c r="A95" s="68">
        <v>0.472777</v>
      </c>
      <c r="B95" s="68">
        <v>0.207487</v>
      </c>
      <c r="C95" s="68">
        <v>37.796399999999998</v>
      </c>
      <c r="D95" s="68">
        <v>2</v>
      </c>
      <c r="E95" s="68" t="s">
        <v>450</v>
      </c>
    </row>
    <row r="96" spans="1:5">
      <c r="A96" s="68">
        <v>0.47132200000000002</v>
      </c>
      <c r="B96" s="68">
        <v>0.20540700000000001</v>
      </c>
      <c r="C96" s="68">
        <v>38.202599999999997</v>
      </c>
      <c r="D96" s="68">
        <v>2</v>
      </c>
      <c r="E96" s="68" t="s">
        <v>451</v>
      </c>
    </row>
    <row r="97" spans="1:5">
      <c r="A97" s="68">
        <v>0.469837</v>
      </c>
      <c r="B97" s="68">
        <v>0.202962</v>
      </c>
      <c r="C97" s="68">
        <v>38.611800000000002</v>
      </c>
      <c r="D97" s="68">
        <v>2</v>
      </c>
      <c r="E97" s="68" t="s">
        <v>452</v>
      </c>
    </row>
    <row r="98" spans="1:5">
      <c r="A98" s="68">
        <v>0.46829199999999999</v>
      </c>
      <c r="B98" s="68">
        <v>0.201955</v>
      </c>
      <c r="C98" s="68">
        <v>39.017600000000002</v>
      </c>
      <c r="D98" s="68">
        <v>2</v>
      </c>
      <c r="E98" s="68" t="s">
        <v>453</v>
      </c>
    </row>
    <row r="99" spans="1:5">
      <c r="A99" s="68">
        <v>0.46734700000000001</v>
      </c>
      <c r="B99" s="68">
        <v>0.20121800000000001</v>
      </c>
      <c r="C99" s="68">
        <v>39.4268</v>
      </c>
      <c r="D99" s="68">
        <v>2</v>
      </c>
      <c r="E99" s="68" t="s">
        <v>454</v>
      </c>
    </row>
    <row r="100" spans="1:5">
      <c r="A100" s="68">
        <v>0.46728399999999998</v>
      </c>
      <c r="B100" s="68">
        <v>0.19888600000000001</v>
      </c>
      <c r="C100" s="68">
        <v>39.827399999999997</v>
      </c>
      <c r="D100" s="68">
        <v>2</v>
      </c>
      <c r="E100" s="68" t="s">
        <v>455</v>
      </c>
    </row>
    <row r="101" spans="1:5">
      <c r="A101" s="68">
        <v>0.46693099999999998</v>
      </c>
      <c r="B101" s="68">
        <v>0.19492999999999999</v>
      </c>
      <c r="C101" s="68">
        <v>40.233400000000003</v>
      </c>
      <c r="D101" s="68">
        <v>2</v>
      </c>
      <c r="E101" s="68" t="s">
        <v>456</v>
      </c>
    </row>
    <row r="102" spans="1:5">
      <c r="A102" s="68">
        <v>0.46672799999999998</v>
      </c>
      <c r="B102" s="68">
        <v>0.190613</v>
      </c>
      <c r="C102" s="68">
        <v>40.6434</v>
      </c>
      <c r="D102" s="68">
        <v>2</v>
      </c>
      <c r="E102" s="68" t="s">
        <v>457</v>
      </c>
    </row>
    <row r="103" spans="1:5">
      <c r="A103" s="68">
        <v>0.46651999999999999</v>
      </c>
      <c r="B103" s="68">
        <v>0.18698000000000001</v>
      </c>
      <c r="C103" s="68">
        <v>41.046700000000001</v>
      </c>
      <c r="D103" s="68">
        <v>2</v>
      </c>
      <c r="E103" s="68" t="s">
        <v>458</v>
      </c>
    </row>
    <row r="104" spans="1:5">
      <c r="A104" s="68">
        <v>0.46617399999999998</v>
      </c>
      <c r="B104" s="68">
        <v>0.184055</v>
      </c>
      <c r="C104" s="68">
        <v>41.4514</v>
      </c>
      <c r="D104" s="68">
        <v>2</v>
      </c>
      <c r="E104" s="68" t="s">
        <v>459</v>
      </c>
    </row>
    <row r="105" spans="1:5">
      <c r="A105" s="68">
        <v>0.46615600000000001</v>
      </c>
      <c r="B105" s="68">
        <v>0.17939099999999999</v>
      </c>
      <c r="C105" s="68">
        <v>41.8643</v>
      </c>
      <c r="D105" s="68">
        <v>2</v>
      </c>
      <c r="E105" s="68" t="s">
        <v>460</v>
      </c>
    </row>
    <row r="106" spans="1:5">
      <c r="A106" s="68">
        <v>0.46618999999999999</v>
      </c>
      <c r="B106" s="68">
        <v>0.175733</v>
      </c>
      <c r="C106" s="68">
        <v>42.263199999999998</v>
      </c>
      <c r="D106" s="68">
        <v>2</v>
      </c>
      <c r="E106" s="68" t="s">
        <v>461</v>
      </c>
    </row>
    <row r="107" spans="1:5">
      <c r="A107" s="68">
        <v>0.46606199999999998</v>
      </c>
      <c r="B107" s="68">
        <v>0.172762</v>
      </c>
      <c r="C107" s="68">
        <v>42.671100000000003</v>
      </c>
      <c r="D107" s="68">
        <v>2</v>
      </c>
      <c r="E107" s="68" t="s">
        <v>462</v>
      </c>
    </row>
    <row r="108" spans="1:5">
      <c r="A108" s="68">
        <v>0.46625</v>
      </c>
      <c r="B108" s="68">
        <v>0.16941999999999999</v>
      </c>
      <c r="C108" s="68">
        <v>43.078400000000002</v>
      </c>
      <c r="D108" s="68">
        <v>2</v>
      </c>
      <c r="E108" s="68" t="s">
        <v>463</v>
      </c>
    </row>
    <row r="109" spans="1:5">
      <c r="A109" s="68">
        <v>0.46635799999999999</v>
      </c>
      <c r="B109" s="68">
        <v>0.16497200000000001</v>
      </c>
      <c r="C109" s="68">
        <v>43.484299999999998</v>
      </c>
      <c r="D109" s="68">
        <v>2</v>
      </c>
      <c r="E109" s="68" t="s">
        <v>464</v>
      </c>
    </row>
    <row r="110" spans="1:5">
      <c r="A110" s="68">
        <v>0.46707300000000002</v>
      </c>
      <c r="B110" s="68">
        <v>0.15947600000000001</v>
      </c>
      <c r="C110" s="68">
        <v>43.891100000000002</v>
      </c>
      <c r="D110" s="68">
        <v>2</v>
      </c>
      <c r="E110" s="68" t="s">
        <v>465</v>
      </c>
    </row>
    <row r="111" spans="1:5">
      <c r="A111" s="68">
        <v>0.46785599999999999</v>
      </c>
      <c r="B111" s="68">
        <v>0.154032</v>
      </c>
      <c r="C111" s="68">
        <v>44.297699999999999</v>
      </c>
      <c r="D111" s="68">
        <v>2</v>
      </c>
      <c r="E111" s="68" t="s">
        <v>466</v>
      </c>
    </row>
    <row r="112" spans="1:5">
      <c r="A112" s="68">
        <v>0.46876499999999999</v>
      </c>
      <c r="B112" s="68">
        <v>0.14991099999999999</v>
      </c>
      <c r="C112" s="68">
        <v>44.702599999999997</v>
      </c>
      <c r="D112" s="68">
        <v>2</v>
      </c>
      <c r="E112" s="68" t="s">
        <v>467</v>
      </c>
    </row>
    <row r="113" spans="1:5">
      <c r="A113" s="68">
        <v>0.46971499999999999</v>
      </c>
      <c r="B113" s="68">
        <v>0.145063</v>
      </c>
      <c r="C113" s="68">
        <v>45.108499999999999</v>
      </c>
      <c r="D113" s="68">
        <v>2</v>
      </c>
      <c r="E113" s="68" t="s">
        <v>468</v>
      </c>
    </row>
    <row r="114" spans="1:5">
      <c r="A114" s="68">
        <v>0.470273</v>
      </c>
      <c r="B114" s="68">
        <v>0.14130000000000001</v>
      </c>
      <c r="C114" s="68">
        <v>45.517200000000003</v>
      </c>
      <c r="D114" s="68">
        <v>2</v>
      </c>
      <c r="E114" s="68" t="s">
        <v>469</v>
      </c>
    </row>
    <row r="115" spans="1:5">
      <c r="A115" s="68">
        <v>0.47103499999999998</v>
      </c>
      <c r="B115" s="68">
        <v>0.13772200000000001</v>
      </c>
      <c r="C115" s="68">
        <v>45.921300000000002</v>
      </c>
      <c r="D115" s="68">
        <v>2</v>
      </c>
      <c r="E115" s="68" t="s">
        <v>470</v>
      </c>
    </row>
    <row r="116" spans="1:5">
      <c r="A116" s="68">
        <v>0.472217</v>
      </c>
      <c r="B116" s="68">
        <v>0.133295</v>
      </c>
      <c r="C116" s="68">
        <v>46.325299999999999</v>
      </c>
      <c r="D116" s="68">
        <v>2</v>
      </c>
      <c r="E116" s="68" t="s">
        <v>471</v>
      </c>
    </row>
    <row r="117" spans="1:5">
      <c r="A117" s="68">
        <v>0.47372300000000001</v>
      </c>
      <c r="B117" s="68">
        <v>0.129581</v>
      </c>
      <c r="C117" s="68">
        <v>46.730899999999998</v>
      </c>
      <c r="D117" s="68">
        <v>2</v>
      </c>
      <c r="E117" s="68" t="s">
        <v>472</v>
      </c>
    </row>
    <row r="118" spans="1:5">
      <c r="A118" s="68">
        <v>0.47554200000000002</v>
      </c>
      <c r="B118" s="68">
        <v>0.12571099999999999</v>
      </c>
      <c r="C118" s="68">
        <v>47.139600000000002</v>
      </c>
      <c r="D118" s="68">
        <v>2</v>
      </c>
      <c r="E118" s="68" t="s">
        <v>473</v>
      </c>
    </row>
    <row r="119" spans="1:5">
      <c r="A119" s="68">
        <v>0.47711500000000001</v>
      </c>
      <c r="B119" s="68">
        <v>0.121961</v>
      </c>
      <c r="C119" s="68">
        <v>47.542700000000004</v>
      </c>
      <c r="D119" s="68">
        <v>2</v>
      </c>
      <c r="E119" s="68" t="s">
        <v>474</v>
      </c>
    </row>
    <row r="120" spans="1:5">
      <c r="A120" s="68">
        <v>0.478377</v>
      </c>
      <c r="B120" s="68">
        <v>0.118726</v>
      </c>
      <c r="C120" s="68">
        <v>47.950600000000001</v>
      </c>
      <c r="D120" s="68">
        <v>2</v>
      </c>
      <c r="E120" s="68" t="s">
        <v>475</v>
      </c>
    </row>
    <row r="121" spans="1:5">
      <c r="A121" s="68">
        <v>0.48039900000000002</v>
      </c>
      <c r="B121" s="68">
        <v>0.11434900000000001</v>
      </c>
      <c r="C121" s="68">
        <v>48.358499999999999</v>
      </c>
      <c r="D121" s="68">
        <v>2</v>
      </c>
      <c r="E121" s="68" t="s">
        <v>476</v>
      </c>
    </row>
    <row r="122" spans="1:5">
      <c r="A122" s="68">
        <v>0.482761</v>
      </c>
      <c r="B122" s="68">
        <v>0.111293</v>
      </c>
      <c r="C122" s="68">
        <v>48.764299999999999</v>
      </c>
      <c r="D122" s="68">
        <v>2</v>
      </c>
      <c r="E122" s="68" t="s">
        <v>477</v>
      </c>
    </row>
    <row r="123" spans="1:5">
      <c r="A123" s="68">
        <v>0.48530600000000002</v>
      </c>
      <c r="B123" s="68">
        <v>0.107838</v>
      </c>
      <c r="C123" s="68">
        <v>49.170099999999998</v>
      </c>
      <c r="D123" s="68">
        <v>2</v>
      </c>
      <c r="E123" s="68" t="s">
        <v>478</v>
      </c>
    </row>
    <row r="124" spans="1:5">
      <c r="A124" s="68">
        <v>0.48725000000000002</v>
      </c>
      <c r="B124" s="68">
        <v>0.10361099999999999</v>
      </c>
      <c r="C124" s="68">
        <v>49.579700000000003</v>
      </c>
      <c r="D124" s="68">
        <v>2</v>
      </c>
      <c r="E124" s="68" t="s">
        <v>479</v>
      </c>
    </row>
    <row r="125" spans="1:5">
      <c r="A125" s="68">
        <v>0.48750599999999999</v>
      </c>
      <c r="B125" s="68">
        <v>0.102871</v>
      </c>
      <c r="C125" s="68">
        <v>49.985500000000002</v>
      </c>
      <c r="D125" s="68">
        <v>2</v>
      </c>
      <c r="E125" s="68" t="s">
        <v>480</v>
      </c>
    </row>
    <row r="126" spans="1:5">
      <c r="A126" s="68">
        <v>0.48760799999999999</v>
      </c>
      <c r="B126" s="68">
        <v>0.10431699999999999</v>
      </c>
      <c r="C126" s="68">
        <v>50.388599999999997</v>
      </c>
      <c r="D126" s="68">
        <v>2</v>
      </c>
      <c r="E126" s="68" t="s">
        <v>481</v>
      </c>
    </row>
    <row r="127" spans="1:5">
      <c r="A127" s="68">
        <v>0.48809999999999998</v>
      </c>
      <c r="B127" s="68">
        <v>0.105202</v>
      </c>
      <c r="C127" s="68">
        <v>50.7941</v>
      </c>
      <c r="D127" s="68">
        <v>2</v>
      </c>
      <c r="E127" s="68" t="s">
        <v>482</v>
      </c>
    </row>
    <row r="128" spans="1:5">
      <c r="A128" s="68">
        <v>0.488589</v>
      </c>
      <c r="B128" s="68">
        <v>0.106392</v>
      </c>
      <c r="C128" s="68">
        <v>51.2014</v>
      </c>
      <c r="D128" s="68">
        <v>2</v>
      </c>
      <c r="E128" s="68" t="s">
        <v>483</v>
      </c>
    </row>
    <row r="129" spans="1:5">
      <c r="A129" s="68">
        <v>0.48907600000000001</v>
      </c>
      <c r="B129" s="68">
        <v>0.10739</v>
      </c>
      <c r="C129" s="68">
        <v>51.610199999999999</v>
      </c>
      <c r="D129" s="68">
        <v>2</v>
      </c>
      <c r="E129" s="68" t="s">
        <v>484</v>
      </c>
    </row>
    <row r="130" spans="1:5">
      <c r="A130" s="68">
        <v>0.48935099999999998</v>
      </c>
      <c r="B130" s="68">
        <v>0.109241</v>
      </c>
      <c r="C130" s="68">
        <v>52.014899999999997</v>
      </c>
      <c r="D130" s="68">
        <v>2</v>
      </c>
      <c r="E130" s="68" t="s">
        <v>485</v>
      </c>
    </row>
    <row r="131" spans="1:5">
      <c r="A131" s="68">
        <v>0.48960199999999998</v>
      </c>
      <c r="B131" s="68">
        <v>0.11083899999999999</v>
      </c>
      <c r="C131" s="68">
        <v>52.423000000000002</v>
      </c>
      <c r="D131" s="68">
        <v>2</v>
      </c>
      <c r="E131" s="68" t="s">
        <v>486</v>
      </c>
    </row>
    <row r="132" spans="1:5">
      <c r="A132" s="68">
        <v>0.49007099999999998</v>
      </c>
      <c r="B132" s="68">
        <v>0.111709</v>
      </c>
      <c r="C132" s="68">
        <v>52.825499999999998</v>
      </c>
      <c r="D132" s="68">
        <v>2</v>
      </c>
      <c r="E132" s="68" t="s">
        <v>487</v>
      </c>
    </row>
    <row r="133" spans="1:5">
      <c r="A133" s="68">
        <v>0.490371</v>
      </c>
      <c r="B133" s="68">
        <v>0.11246</v>
      </c>
      <c r="C133" s="68">
        <v>53.2346</v>
      </c>
      <c r="D133" s="68">
        <v>2</v>
      </c>
      <c r="E133" s="68" t="s">
        <v>488</v>
      </c>
    </row>
    <row r="134" spans="1:5">
      <c r="A134" s="68">
        <v>0.49113200000000001</v>
      </c>
      <c r="B134" s="68">
        <v>0.113666</v>
      </c>
      <c r="C134" s="68">
        <v>53.638399999999997</v>
      </c>
      <c r="D134" s="68">
        <v>2</v>
      </c>
      <c r="E134" s="68" t="s">
        <v>489</v>
      </c>
    </row>
    <row r="135" spans="1:5">
      <c r="A135" s="68">
        <v>0.49166500000000002</v>
      </c>
      <c r="B135" s="68">
        <v>0.114816</v>
      </c>
      <c r="C135" s="68">
        <v>54.043999999999997</v>
      </c>
      <c r="D135" s="68">
        <v>2</v>
      </c>
      <c r="E135" s="68" t="s">
        <v>490</v>
      </c>
    </row>
    <row r="136" spans="1:5">
      <c r="A136" s="68">
        <v>0.49215999999999999</v>
      </c>
      <c r="B136" s="68">
        <v>0.11687500000000001</v>
      </c>
      <c r="C136" s="68">
        <v>54.450800000000001</v>
      </c>
      <c r="D136" s="68">
        <v>2</v>
      </c>
      <c r="E136" s="68" t="s">
        <v>491</v>
      </c>
    </row>
    <row r="137" spans="1:5">
      <c r="A137" s="68">
        <v>0.49279200000000001</v>
      </c>
      <c r="B137" s="68">
        <v>0.117022</v>
      </c>
      <c r="C137" s="68">
        <v>54.86</v>
      </c>
      <c r="D137" s="68">
        <v>2</v>
      </c>
      <c r="E137" s="68" t="s">
        <v>492</v>
      </c>
    </row>
    <row r="138" spans="1:5">
      <c r="A138" s="68">
        <v>0.49378100000000003</v>
      </c>
      <c r="B138" s="68">
        <v>0.11844499999999999</v>
      </c>
      <c r="C138" s="68">
        <v>55.261699999999998</v>
      </c>
      <c r="D138" s="68">
        <v>2</v>
      </c>
      <c r="E138" s="68" t="s">
        <v>493</v>
      </c>
    </row>
    <row r="139" spans="1:5">
      <c r="A139" s="68">
        <v>0.49508200000000002</v>
      </c>
      <c r="B139" s="68">
        <v>0.120439</v>
      </c>
      <c r="C139" s="68">
        <v>55.670400000000001</v>
      </c>
      <c r="D139" s="68">
        <v>2</v>
      </c>
      <c r="E139" s="68" t="s">
        <v>494</v>
      </c>
    </row>
    <row r="140" spans="1:5">
      <c r="A140" s="68">
        <v>0.496365</v>
      </c>
      <c r="B140" s="68">
        <v>0.12264700000000001</v>
      </c>
      <c r="C140" s="68">
        <v>56.0762</v>
      </c>
      <c r="D140" s="68">
        <v>2</v>
      </c>
      <c r="E140" s="68" t="s">
        <v>495</v>
      </c>
    </row>
    <row r="141" spans="1:5">
      <c r="A141" s="68">
        <v>0.496896</v>
      </c>
      <c r="B141" s="68">
        <v>0.12687799999999999</v>
      </c>
      <c r="C141" s="68">
        <v>56.4846</v>
      </c>
      <c r="D141" s="68">
        <v>2</v>
      </c>
      <c r="E141" s="68" t="s">
        <v>496</v>
      </c>
    </row>
    <row r="142" spans="1:5">
      <c r="A142" s="68">
        <v>0.497637</v>
      </c>
      <c r="B142" s="68">
        <v>0.129186</v>
      </c>
      <c r="C142" s="68">
        <v>56.890599999999999</v>
      </c>
      <c r="D142" s="68">
        <v>2</v>
      </c>
      <c r="E142" s="68" t="s">
        <v>497</v>
      </c>
    </row>
    <row r="143" spans="1:5">
      <c r="A143" s="68">
        <v>0.49891000000000002</v>
      </c>
      <c r="B143" s="68">
        <v>0.131434</v>
      </c>
      <c r="C143" s="68">
        <v>57.296599999999998</v>
      </c>
      <c r="D143" s="68">
        <v>2</v>
      </c>
      <c r="E143" s="68" t="s">
        <v>498</v>
      </c>
    </row>
    <row r="144" spans="1:5">
      <c r="A144" s="68">
        <v>0.49998999999999999</v>
      </c>
      <c r="B144" s="68">
        <v>0.134904</v>
      </c>
      <c r="C144" s="68">
        <v>57.702800000000003</v>
      </c>
      <c r="D144" s="68">
        <v>2</v>
      </c>
      <c r="E144" s="68" t="s">
        <v>499</v>
      </c>
    </row>
    <row r="145" spans="1:5">
      <c r="A145" s="68">
        <v>0.50151500000000004</v>
      </c>
      <c r="B145" s="68">
        <v>0.13725399999999999</v>
      </c>
      <c r="C145" s="68">
        <v>58.108199999999997</v>
      </c>
      <c r="D145" s="68">
        <v>2</v>
      </c>
      <c r="E145" s="68" t="s">
        <v>500</v>
      </c>
    </row>
    <row r="146" spans="1:5">
      <c r="A146" s="68">
        <v>0.502722</v>
      </c>
      <c r="B146" s="68">
        <v>0.13927</v>
      </c>
      <c r="C146" s="68">
        <v>58.513100000000001</v>
      </c>
      <c r="D146" s="68">
        <v>2</v>
      </c>
      <c r="E146" s="68" t="s">
        <v>501</v>
      </c>
    </row>
    <row r="147" spans="1:5">
      <c r="A147" s="68">
        <v>0.50240099999999999</v>
      </c>
      <c r="B147" s="68">
        <v>0.14252200000000001</v>
      </c>
      <c r="C147" s="68">
        <v>58.918999999999997</v>
      </c>
      <c r="D147" s="68">
        <v>2</v>
      </c>
      <c r="E147" s="68" t="s">
        <v>502</v>
      </c>
    </row>
    <row r="148" spans="1:5">
      <c r="A148" s="68">
        <v>0.50376100000000001</v>
      </c>
      <c r="B148" s="68">
        <v>0.137486</v>
      </c>
      <c r="C148" s="68">
        <v>59.3279</v>
      </c>
      <c r="D148" s="68">
        <v>2</v>
      </c>
      <c r="E148" s="68" t="s">
        <v>503</v>
      </c>
    </row>
    <row r="149" spans="1:5">
      <c r="A149" s="68">
        <v>0.50297400000000003</v>
      </c>
      <c r="B149" s="68">
        <v>0.13827600000000001</v>
      </c>
      <c r="C149" s="68">
        <v>59.731999999999999</v>
      </c>
      <c r="D149" s="68">
        <v>2</v>
      </c>
      <c r="E149" s="68" t="s">
        <v>504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354</v>
      </c>
      <c r="B1" s="66" t="s">
        <v>505</v>
      </c>
      <c r="C1" s="66" t="s">
        <v>507</v>
      </c>
      <c r="D1" s="66" t="s">
        <v>508</v>
      </c>
      <c r="E1" s="66" t="s">
        <v>509</v>
      </c>
      <c r="F1" s="66" t="s">
        <v>293</v>
      </c>
      <c r="G1" s="66" t="s">
        <v>346</v>
      </c>
      <c r="H1" s="66" t="s">
        <v>510</v>
      </c>
      <c r="I1" s="66" t="s">
        <v>511</v>
      </c>
      <c r="J1" s="66" t="s">
        <v>512</v>
      </c>
      <c r="K1" s="66" t="s">
        <v>513</v>
      </c>
      <c r="L1" s="66" t="s">
        <v>514</v>
      </c>
      <c r="M1" s="66" t="s">
        <v>515</v>
      </c>
      <c r="N1" s="66"/>
    </row>
    <row r="2" spans="1:14">
      <c r="A2" s="75">
        <v>43615.641388888886</v>
      </c>
      <c r="B2" s="66" t="s">
        <v>506</v>
      </c>
      <c r="C2" s="66"/>
      <c r="D2" s="66"/>
      <c r="E2" s="66">
        <v>4.9234099999999996</v>
      </c>
      <c r="F2" s="66">
        <v>2.3405900000000002</v>
      </c>
      <c r="G2" s="66">
        <v>0.78564400000000001</v>
      </c>
      <c r="H2" s="66">
        <v>0</v>
      </c>
      <c r="I2" s="66">
        <v>102256</v>
      </c>
      <c r="J2" s="66">
        <v>114</v>
      </c>
      <c r="K2" s="66">
        <v>114</v>
      </c>
      <c r="L2" s="66">
        <v>16.566299999999998</v>
      </c>
      <c r="M2" s="66" t="s">
        <v>516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2019-05-30T07:24:43Z</cp:lastPrinted>
  <dcterms:created xsi:type="dcterms:W3CDTF">2010-10-29T12:53:05Z</dcterms:created>
  <dcterms:modified xsi:type="dcterms:W3CDTF">2019-05-30T07:25:09Z</dcterms:modified>
</cp:coreProperties>
</file>