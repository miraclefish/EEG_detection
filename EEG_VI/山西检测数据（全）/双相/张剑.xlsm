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Z17" i="23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<sst xmlns="http://schemas.openxmlformats.org/spreadsheetml/2006/main" count="627" uniqueCount="498">
  <si>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</si>
  <si>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</si>
  <si>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</si>
  <si>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</si>
  <si>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</si>
  <si>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</si>
  <si>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</si>
  <si>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</si>
  <si>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</si>
  <si>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</si>
  <si>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</si>
  <si>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</si>
  <si>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</si>
  <si>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</si>
  <si>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</si>
  <si>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</si>
  <si>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</si>
  <si>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</si>
  <si>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</si>
  <si>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</si>
  <si>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</si>
  <si>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</si>
  <si>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</si>
  <si>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</si>
  <si>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</si>
  <si>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</si>
  <si>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</si>
  <si>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</si>
  <si>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</si>
  <si>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</si>
  <si>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</si>
  <si>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</si>
  <si>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</si>
  <si>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</si>
  <si>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</si>
  <si>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</si>
  <si>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</si>
  <si>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</si>
  <si>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</si>
  <si>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</si>
  <si>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</si>
  <si>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</si>
  <si>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</si>
  <si>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</si>
  <si>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</si>
  <si>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</si>
  <si>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</si>
  <si>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</si>
  <si>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</si>
  <si>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</si>
  <si>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</si>
  <si>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</si>
  <si>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</si>
  <si>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</si>
  <si>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</si>
  <si>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</si>
  <si>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</si>
  <si>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</si>
  <si>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</si>
  <si>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</si>
  <si>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</si>
  <si>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</si>
  <si>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</si>
  <si>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</si>
  <si>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</si>
  <si>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</si>
  <si>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</si>
  <si>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</si>
  <si>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</si>
  <si>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</si>
  <si>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</si>
  <si>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</si>
  <si>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</si>
  <si>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</si>
  <si>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</si>
  <si>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</si>
  <si>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</si>
  <si>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</si>
  <si>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</si>
  <si>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</si>
  <si>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</si>
  <si>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</si>
  <si>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</si>
  <si>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</si>
  <si>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</si>
  <si>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</si>
  <si>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</si>
  <si>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</si>
  <si>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</si>
  <si>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</si>
  <si>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</si>
  <si>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</si>
  <si>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</si>
  <si>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</si>
  <si>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</si>
  <si>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</si>
  <si>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</si>
  <si>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</si>
  <si>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</si>
  <si>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</si>
  <si>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</si>
  <si>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</si>
  <si>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</si>
  <si>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</si>
  <si>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</si>
  <si>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</si>
  <si>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</si>
  <si>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</si>
  <si>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</si>
  <si>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</si>
  <si>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</si>
  <si>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</si>
  <si>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</si>
  <si>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</si>
  <si>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</si>
  <si>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</si>
  <si>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</si>
  <si>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</si>
  <si>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</si>
  <si>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</si>
  <si>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</si>
  <si>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</si>
  <si>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</si>
  <si>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</si>
  <si>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</si>
  <si>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</si>
  <si>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</si>
  <si>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</si>
  <si>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</si>
  <si>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</si>
  <si>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</si>
  <si>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</si>
  <si>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</si>
  <si>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</si>
  <si>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</si>
  <si>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</si>
  <si>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</si>
  <si>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</si>
  <si>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</si>
  <si>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</si>
  <si>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</si>
  <si>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</si>
  <si>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</si>
  <si>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</si>
  <si>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</si>
  <si>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</si>
  <si>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</si>
  <si>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</si>
  <si>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</si>
  <si>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</si>
  <si>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</si>
  <si>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</si>
  <si>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</si>
  <si>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</si>
  <si>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</si>
  <si>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</si>
  <si>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</si>
  <si>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</si>
  <si>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</si>
  <si>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</si>
  <si>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</si>
  <si>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</si>
  <si>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</si>
  <si>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</si>
  <si>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</si>
  <si>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</si>
  <si>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</si>
  <si>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</si>
  <si>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</si>
  <si>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</si>
  <si>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</si>
  <si>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</si>
  <si>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</si>
  <si>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</si>
  <si>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</si>
  <si>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</si>
  <si>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</si>
  <si>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</si>
  <si>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</si>
  <si>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</si>
  <si>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</si>
  <si>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</si>
  <si>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</si>
  <si>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</si>
  <si>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</si>
  <si>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</si>
  <si>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</si>
  <si>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</si>
  <si>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</si>
  <si>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</si>
  <si>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</si>
  <si>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</si>
  <si>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</si>
  <si>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</si>
  <si>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</si>
  <si>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</si>
  <si>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</si>
  <si>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</si>
  <si>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</si>
  <si>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</si>
  <si>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</si>
  <si>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</si>
  <si>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</si>
  <si>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</si>
  <si>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</si>
  <si>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</si>
  <si>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</si>
  <si>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</si>
  <si>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</si>
  <si>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</si>
  <si>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</si>
  <si>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</si>
  <si>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</si>
  <si>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</si>
  <si>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</si>
  <si>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</si>
  <si>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</si>
  <si>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</si>
  <si>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</si>
  <si>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</si>
  <si>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</si>
  <si>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</si>
  <si>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</si>
  <si>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</si>
  <si>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</si>
  <si>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</si>
  <si>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</si>
  <si>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</si>
  <si>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</si>
  <si>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</si>
  <si>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</si>
  <si>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</si>
  <si>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</si>
  <si>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</si>
  <si>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</si>
  <si>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</si>
  <si>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</si>
  <si>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</si>
  <si>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</si>
  <si>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</si>
  <si>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</si>
  <si>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</si>
  <si>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</si>
  <si>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</si>
  <si>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</si>
  <si>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</si>
  <si>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</si>
  <si>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</si>
  <si>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</si>
  <si>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</si>
  <si>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</si>
  <si>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</si>
  <si>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</si>
  <si>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</si>
  <si>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</si>
  <si>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</si>
  <si>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</si>
  <si>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</si>
  <si>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</si>
  <si>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</si>
  <si>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</si>
  <si>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</si>
  <si>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</si>
  <si>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</si>
  <si>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</si>
  <si>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</si>
  <si>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</si>
  <si>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</si>
  <si>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</si>
  <si>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</si>
  <si>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</si>
  <si>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</si>
  <si>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</si>
  <si>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</si>
  <si>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</si>
  <si>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</si>
  <si>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</si>
  <si>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</si>
  <si>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</si>
  <si>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</si>
  <si>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</si>
  <si>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</si>
  <si>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</si>
  <si>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</si>
  <si>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</si>
  <si>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</si>
  <si>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</si>
  <si>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</si>
  <si>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</si>
  <si>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</si>
  <si>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</si>
  <si>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</si>
  <si>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</si>
  <si>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</si>
  <si>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</si>
  <si>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</si>
  <si>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</si>
  <si>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</si>
  <si>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</si>
  <si>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</si>
  <si>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</si>
  <si>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</si>
  <si>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</si>
  <si>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</si>
  <si>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</si>
  <si>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</si>
  <si>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</si>
  <si>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</si>
  <si>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</si>
  <si>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</si>
  <si>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</si>
  <si>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</si>
  <si>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</si>
  <si>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</si>
  <si>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</si>
  <si>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</si>
  <si>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</si>
  <si>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</si>
  <si>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</si>
  <si>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</si>
  <si>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</si>
  <si>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</si>
  <si>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</si>
  <si>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</si>
  <si>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</si>
  <si>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</si>
  <si>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</si>
  <si>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</si>
  <si>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</si>
  <si>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</si>
  <si>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</si>
  <si>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</si>
  <si>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</si>
  <si>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</si>
  <si>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</si>
  <si>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</si>
  <si>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</si>
  <si>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</si>
  <si>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</si>
  <si>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</si>
  <si>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</si>
  <si>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</si>
  <si>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</si>
  <si>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</si>
  <si>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</si>
  <si>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</si>
  <si>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</si>
  <si>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</si>
  <si>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</si>
  <si>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</si>
  <si>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</si>
  <si>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</si>
  <si>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</si>
  <si>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</si>
  <si>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</si>
  <si>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</si>
  <si>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</si>
  <si>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</si>
  <si>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</si>
  <si>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</si>
  <si>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</si>
  <si>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</si>
  <si>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</si>
  <si>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</si>
  <si>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</si>
  <si>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</si>
  <si>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</si>
  <si>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</si>
  <si>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</si>
  <si>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</si>
  <si>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</si>
  <si>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</si>
  <si>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</si>
  <si>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</si>
  <si>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</si>
  <si>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</si>
  <si>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</si>
  <si>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</si>
  <si>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</si>
  <si>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</si>
  <si>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</si>
  <si>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</si>
  <si>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</si>
  <si>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</si>
  <si>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</si>
  <si>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</si>
  <si>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</si>
  <si>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</si>
  <si>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</si>
  <si>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</si>
  <si>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</si>
  <si>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</si>
  <si>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</si>
  <si>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</si>
  <si>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</si>
  <si>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</si>
  <si>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</si>
  <si>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</si>
  <si>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</si>
  <si>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</si>
  <si>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</si>
  <si>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A1 (fast)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</si>
  <si>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</si>
  <si>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</si>
  <si>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</si>
  <si>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</si>
  <si>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</si>
  <si>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</si>
  <si>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</si>
  <si>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</si>
  <si>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</si>
  <si>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[0.411342]</t>
  </si>
  <si>
    <t>1 [0.814565]</t>
  </si>
  <si>
    <t>1 [1.220431]</t>
  </si>
  <si>
    <t>1 [1.628996]</t>
  </si>
  <si>
    <t>1 [2.036410]</t>
  </si>
  <si>
    <t>1 [2.442269]</t>
  </si>
  <si>
    <t>1 [2.846903]</t>
  </si>
  <si>
    <t>1 [3.252208]</t>
  </si>
  <si>
    <t>1 [3.659553]</t>
  </si>
  <si>
    <t>1 [4.065491]</t>
  </si>
  <si>
    <t>1 [4.473819]</t>
  </si>
  <si>
    <t>1 [4.883971]</t>
  </si>
  <si>
    <t>1 [5.285103]</t>
  </si>
  <si>
    <t>1 [5.688145]</t>
  </si>
  <si>
    <t>1 [6.098256]</t>
  </si>
  <si>
    <t>1 [6.501788]</t>
  </si>
  <si>
    <t>1 [6.909374]</t>
  </si>
  <si>
    <t>1 [7.314542]</t>
  </si>
  <si>
    <t>1 [7.719933]</t>
  </si>
  <si>
    <t>1 [8.130033]</t>
  </si>
  <si>
    <t>1 [8.532605]</t>
  </si>
  <si>
    <t>1 [8.942672]</t>
  </si>
  <si>
    <t>1 [9.345634]</t>
  </si>
  <si>
    <t>1 [9.752097]</t>
  </si>
  <si>
    <t>1 [10.157745]</t>
  </si>
  <si>
    <t>1 [10.566868]</t>
  </si>
  <si>
    <t>1 [10.975585]</t>
  </si>
  <si>
    <t>1 [11.378735]</t>
  </si>
  <si>
    <t>1 [11.782489]</t>
  </si>
  <si>
    <t>1 [12.188963]</t>
  </si>
  <si>
    <t>1 [12.597570]</t>
  </si>
  <si>
    <t>1 [13.005481]</t>
  </si>
  <si>
    <t>1 [13.408002]</t>
  </si>
  <si>
    <t>1 [13.813782]</t>
  </si>
  <si>
    <t>1 [14.221398]</t>
  </si>
  <si>
    <t>1 [14.629277]</t>
  </si>
  <si>
    <t>2 [15.033006]</t>
  </si>
  <si>
    <t>2 [15.437847]</t>
  </si>
  <si>
    <t>2 [15.846683]</t>
  </si>
  <si>
    <t>2 [16.252789]</t>
  </si>
  <si>
    <t>2 [16.657229]</t>
  </si>
  <si>
    <t>2 [17.065921]</t>
  </si>
  <si>
    <t>2 [17.469305]</t>
  </si>
  <si>
    <t>2 [17.879612]</t>
  </si>
  <si>
    <t>2 [18.288090]</t>
  </si>
  <si>
    <t>2 [18.689084]</t>
  </si>
  <si>
    <t>2 [19.094643]</t>
  </si>
  <si>
    <t>2 [19.501788]</t>
  </si>
  <si>
    <t>2 [19.907194]</t>
  </si>
  <si>
    <t>2 [20.318773]</t>
  </si>
  <si>
    <t>2 [20.720277]</t>
  </si>
  <si>
    <t>2 [21.127744]</t>
  </si>
  <si>
    <t>2 [21.536016]</t>
  </si>
  <si>
    <t>2 [21.942823]</t>
  </si>
  <si>
    <t>2 [22.348748]</t>
  </si>
  <si>
    <t>2 [22.753101]</t>
  </si>
  <si>
    <t>2 [23.158557]</t>
  </si>
  <si>
    <t>2 [23.563289]</t>
  </si>
  <si>
    <t>2 [23.971969]</t>
  </si>
  <si>
    <t>2 [24.379743]</t>
  </si>
  <si>
    <t>2 [24.786413]</t>
  </si>
  <si>
    <t>2 [25.190571]</t>
  </si>
  <si>
    <t>2 [25.596317]</t>
  </si>
  <si>
    <t>2 [26.003855]</t>
  </si>
  <si>
    <t>2 [26.412029]</t>
  </si>
  <si>
    <t>2 [26.817654]</t>
  </si>
  <si>
    <t>2 [27.221662]</t>
  </si>
  <si>
    <t>2 [27.627954]</t>
  </si>
  <si>
    <t>2 [28.035559]</t>
  </si>
  <si>
    <t>2 [28.443001]</t>
  </si>
  <si>
    <t>2 [28.848051]</t>
  </si>
  <si>
    <t>2 [29.253381]</t>
  </si>
  <si>
    <t>2 [29.658097]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</si>
  <si>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</si>
  <si>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</si>
  <si>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</si>
  <si>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</si>
  <si>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</si>
  <si>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</si>
  <si>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</si>
  <si>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</si>
  <si>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</si>
  <si>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</si>
  <si>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</si>
  <si>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</si>
  <si>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</si>
  <si>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张剑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</si>
</sst>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33.856900000000003</c:v>
                </c:pt>
                <c:pt idx="1">
                  <c:v>37.189900000000002</c:v>
                </c:pt>
                <c:pt idx="2">
                  <c:v>35.0077</c:v>
                </c:pt>
                <c:pt idx="3">
                  <c:v>33.118400000000001</c:v>
                </c:pt>
                <c:pt idx="4">
                  <c:v>70.972200000000001</c:v>
                </c:pt>
                <c:pt idx="5">
                  <c:v>68.327699999999993</c:v>
                </c:pt>
                <c:pt idx="6">
                  <c:v>14.716200000000001</c:v>
                </c:pt>
                <c:pt idx="7">
                  <c:v>68.056399999999996</c:v>
                </c:pt>
                <c:pt idx="8">
                  <c:v>13.24</c:v>
                </c:pt>
                <c:pt idx="9">
                  <c:v>10.5695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0.5431446220311672</c:v>
                </c:pt>
                <c:pt idx="1">
                  <c:v>0.34038889176949616</c:v>
                </c:pt>
                <c:pt idx="2">
                  <c:v>0.11646648619933649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9905</c:v>
                </c:pt>
                <c:pt idx="7">
                  <c:v>0</c:v>
                </c:pt>
                <c:pt idx="8">
                  <c:v>15439</c:v>
                </c:pt>
                <c:pt idx="9">
                  <c:v>0</c:v>
                </c:pt>
                <c:pt idx="10">
                  <c:v>0</c:v>
                </c:pt>
                <c:pt idx="11">
                  <c:v>21250</c:v>
                </c:pt>
                <c:pt idx="12">
                  <c:v>0</c:v>
                </c:pt>
                <c:pt idx="13">
                  <c:v>22232</c:v>
                </c:pt>
                <c:pt idx="14">
                  <c:v>0</c:v>
                </c:pt>
                <c:pt idx="15">
                  <c:v>0</c:v>
                </c:pt>
                <c:pt idx="16">
                  <c:v>23376</c:v>
                </c:pt>
                <c:pt idx="17">
                  <c:v>0</c:v>
                </c:pt>
                <c:pt idx="18">
                  <c:v>0</c:v>
                </c:pt>
                <c:pt idx="19">
                  <c:v>27644</c:v>
                </c:pt>
                <c:pt idx="20">
                  <c:v>0</c:v>
                </c:pt>
                <c:pt idx="21">
                  <c:v>39043</c:v>
                </c:pt>
                <c:pt idx="22">
                  <c:v>0</c:v>
                </c:pt>
                <c:pt idx="23">
                  <c:v>0</c:v>
                </c:pt>
                <c:pt idx="24">
                  <c:v>42834</c:v>
                </c:pt>
                <c:pt idx="25">
                  <c:v>0</c:v>
                </c:pt>
                <c:pt idx="26">
                  <c:v>42126</c:v>
                </c:pt>
                <c:pt idx="27">
                  <c:v>0</c:v>
                </c:pt>
                <c:pt idx="28">
                  <c:v>0</c:v>
                </c:pt>
                <c:pt idx="29">
                  <c:v>44215</c:v>
                </c:pt>
                <c:pt idx="30">
                  <c:v>0</c:v>
                </c:pt>
                <c:pt idx="31">
                  <c:v>46056</c:v>
                </c:pt>
                <c:pt idx="32">
                  <c:v>0</c:v>
                </c:pt>
                <c:pt idx="33">
                  <c:v>0</c:v>
                </c:pt>
                <c:pt idx="34">
                  <c:v>50187</c:v>
                </c:pt>
                <c:pt idx="35">
                  <c:v>0</c:v>
                </c:pt>
                <c:pt idx="36">
                  <c:v>0</c:v>
                </c:pt>
                <c:pt idx="37">
                  <c:v>50085</c:v>
                </c:pt>
                <c:pt idx="38">
                  <c:v>0</c:v>
                </c:pt>
                <c:pt idx="39">
                  <c:v>56354</c:v>
                </c:pt>
                <c:pt idx="40">
                  <c:v>0</c:v>
                </c:pt>
                <c:pt idx="41">
                  <c:v>0</c:v>
                </c:pt>
                <c:pt idx="42">
                  <c:v>52027</c:v>
                </c:pt>
                <c:pt idx="43">
                  <c:v>0</c:v>
                </c:pt>
                <c:pt idx="44">
                  <c:v>54338</c:v>
                </c:pt>
                <c:pt idx="45">
                  <c:v>0</c:v>
                </c:pt>
                <c:pt idx="46">
                  <c:v>0</c:v>
                </c:pt>
                <c:pt idx="47">
                  <c:v>56202</c:v>
                </c:pt>
                <c:pt idx="48">
                  <c:v>0</c:v>
                </c:pt>
                <c:pt idx="49">
                  <c:v>50112</c:v>
                </c:pt>
                <c:pt idx="50">
                  <c:v>0</c:v>
                </c:pt>
                <c:pt idx="51">
                  <c:v>0</c:v>
                </c:pt>
                <c:pt idx="52">
                  <c:v>53249</c:v>
                </c:pt>
                <c:pt idx="53">
                  <c:v>0</c:v>
                </c:pt>
                <c:pt idx="54">
                  <c:v>0</c:v>
                </c:pt>
                <c:pt idx="55">
                  <c:v>52081</c:v>
                </c:pt>
                <c:pt idx="56">
                  <c:v>0</c:v>
                </c:pt>
                <c:pt idx="57">
                  <c:v>55441</c:v>
                </c:pt>
                <c:pt idx="58">
                  <c:v>0</c:v>
                </c:pt>
                <c:pt idx="59">
                  <c:v>0</c:v>
                </c:pt>
                <c:pt idx="60">
                  <c:v>53961</c:v>
                </c:pt>
                <c:pt idx="61">
                  <c:v>0</c:v>
                </c:pt>
                <c:pt idx="62">
                  <c:v>50660</c:v>
                </c:pt>
                <c:pt idx="63">
                  <c:v>0</c:v>
                </c:pt>
                <c:pt idx="64">
                  <c:v>0</c:v>
                </c:pt>
                <c:pt idx="65">
                  <c:v>51104</c:v>
                </c:pt>
                <c:pt idx="66">
                  <c:v>0</c:v>
                </c:pt>
                <c:pt idx="67">
                  <c:v>49763</c:v>
                </c:pt>
                <c:pt idx="68">
                  <c:v>0</c:v>
                </c:pt>
                <c:pt idx="69">
                  <c:v>0</c:v>
                </c:pt>
                <c:pt idx="70">
                  <c:v>46175</c:v>
                </c:pt>
                <c:pt idx="71">
                  <c:v>0</c:v>
                </c:pt>
                <c:pt idx="72">
                  <c:v>0</c:v>
                </c:pt>
                <c:pt idx="73">
                  <c:v>41208</c:v>
                </c:pt>
                <c:pt idx="74">
                  <c:v>0</c:v>
                </c:pt>
                <c:pt idx="75">
                  <c:v>38452</c:v>
                </c:pt>
                <c:pt idx="76">
                  <c:v>0</c:v>
                </c:pt>
                <c:pt idx="77">
                  <c:v>0</c:v>
                </c:pt>
                <c:pt idx="78">
                  <c:v>42078</c:v>
                </c:pt>
                <c:pt idx="79">
                  <c:v>0</c:v>
                </c:pt>
                <c:pt idx="80">
                  <c:v>38729</c:v>
                </c:pt>
                <c:pt idx="81">
                  <c:v>0</c:v>
                </c:pt>
                <c:pt idx="82">
                  <c:v>0</c:v>
                </c:pt>
                <c:pt idx="83">
                  <c:v>35614</c:v>
                </c:pt>
                <c:pt idx="84">
                  <c:v>0</c:v>
                </c:pt>
                <c:pt idx="85">
                  <c:v>0</c:v>
                </c:pt>
                <c:pt idx="86">
                  <c:v>33777</c:v>
                </c:pt>
                <c:pt idx="87">
                  <c:v>0</c:v>
                </c:pt>
                <c:pt idx="88">
                  <c:v>31206</c:v>
                </c:pt>
                <c:pt idx="89">
                  <c:v>0</c:v>
                </c:pt>
                <c:pt idx="90">
                  <c:v>0</c:v>
                </c:pt>
                <c:pt idx="91">
                  <c:v>28817</c:v>
                </c:pt>
                <c:pt idx="92">
                  <c:v>0</c:v>
                </c:pt>
                <c:pt idx="93">
                  <c:v>28388</c:v>
                </c:pt>
                <c:pt idx="94">
                  <c:v>0</c:v>
                </c:pt>
                <c:pt idx="95">
                  <c:v>0</c:v>
                </c:pt>
                <c:pt idx="96">
                  <c:v>24434</c:v>
                </c:pt>
                <c:pt idx="97">
                  <c:v>0</c:v>
                </c:pt>
                <c:pt idx="98">
                  <c:v>23654</c:v>
                </c:pt>
                <c:pt idx="99">
                  <c:v>0</c:v>
                </c:pt>
                <c:pt idx="100">
                  <c:v>0</c:v>
                </c:pt>
                <c:pt idx="101">
                  <c:v>22918</c:v>
                </c:pt>
                <c:pt idx="102">
                  <c:v>0</c:v>
                </c:pt>
                <c:pt idx="103">
                  <c:v>0</c:v>
                </c:pt>
                <c:pt idx="104">
                  <c:v>20939</c:v>
                </c:pt>
                <c:pt idx="105">
                  <c:v>0</c:v>
                </c:pt>
                <c:pt idx="106">
                  <c:v>21607</c:v>
                </c:pt>
                <c:pt idx="107">
                  <c:v>0</c:v>
                </c:pt>
                <c:pt idx="108">
                  <c:v>0</c:v>
                </c:pt>
                <c:pt idx="109">
                  <c:v>22133</c:v>
                </c:pt>
                <c:pt idx="110">
                  <c:v>0</c:v>
                </c:pt>
                <c:pt idx="111">
                  <c:v>19748</c:v>
                </c:pt>
                <c:pt idx="112">
                  <c:v>0</c:v>
                </c:pt>
                <c:pt idx="113">
                  <c:v>0</c:v>
                </c:pt>
                <c:pt idx="114">
                  <c:v>18124</c:v>
                </c:pt>
                <c:pt idx="115">
                  <c:v>0</c:v>
                </c:pt>
                <c:pt idx="116">
                  <c:v>14588</c:v>
                </c:pt>
                <c:pt idx="117">
                  <c:v>0</c:v>
                </c:pt>
                <c:pt idx="118">
                  <c:v>0</c:v>
                </c:pt>
                <c:pt idx="119">
                  <c:v>17086</c:v>
                </c:pt>
                <c:pt idx="120">
                  <c:v>0</c:v>
                </c:pt>
                <c:pt idx="121">
                  <c:v>0</c:v>
                </c:pt>
                <c:pt idx="122">
                  <c:v>13929</c:v>
                </c:pt>
                <c:pt idx="123">
                  <c:v>0</c:v>
                </c:pt>
                <c:pt idx="124">
                  <c:v>12641</c:v>
                </c:pt>
                <c:pt idx="125">
                  <c:v>0</c:v>
                </c:pt>
                <c:pt idx="126">
                  <c:v>0</c:v>
                </c:pt>
                <c:pt idx="127">
                  <c:v>11366</c:v>
                </c:pt>
                <c:pt idx="128">
                  <c:v>0</c:v>
                </c:pt>
                <c:pt idx="129">
                  <c:v>9490</c:v>
                </c:pt>
                <c:pt idx="130">
                  <c:v>0</c:v>
                </c:pt>
                <c:pt idx="131">
                  <c:v>0</c:v>
                </c:pt>
                <c:pt idx="132">
                  <c:v>6279</c:v>
                </c:pt>
                <c:pt idx="133">
                  <c:v>0</c:v>
                </c:pt>
                <c:pt idx="134">
                  <c:v>4599</c:v>
                </c:pt>
                <c:pt idx="135">
                  <c:v>0</c:v>
                </c:pt>
                <c:pt idx="136">
                  <c:v>0</c:v>
                </c:pt>
                <c:pt idx="137">
                  <c:v>4024</c:v>
                </c:pt>
                <c:pt idx="138">
                  <c:v>0</c:v>
                </c:pt>
                <c:pt idx="139">
                  <c:v>0</c:v>
                </c:pt>
                <c:pt idx="140">
                  <c:v>2972</c:v>
                </c:pt>
                <c:pt idx="141">
                  <c:v>0</c:v>
                </c:pt>
                <c:pt idx="142">
                  <c:v>1921</c:v>
                </c:pt>
                <c:pt idx="143">
                  <c:v>0</c:v>
                </c:pt>
                <c:pt idx="144">
                  <c:v>0</c:v>
                </c:pt>
                <c:pt idx="145">
                  <c:v>1833</c:v>
                </c:pt>
                <c:pt idx="146">
                  <c:v>0</c:v>
                </c:pt>
                <c:pt idx="147">
                  <c:v>751</c:v>
                </c:pt>
                <c:pt idx="148">
                  <c:v>0</c:v>
                </c:pt>
                <c:pt idx="149">
                  <c:v>0</c:v>
                </c:pt>
                <c:pt idx="150">
                  <c:v>1143</c:v>
                </c:pt>
                <c:pt idx="151">
                  <c:v>0</c:v>
                </c:pt>
                <c:pt idx="152">
                  <c:v>633</c:v>
                </c:pt>
                <c:pt idx="153">
                  <c:v>0</c:v>
                </c:pt>
                <c:pt idx="154">
                  <c:v>0</c:v>
                </c:pt>
                <c:pt idx="155">
                  <c:v>103</c:v>
                </c:pt>
                <c:pt idx="156">
                  <c:v>0</c:v>
                </c:pt>
                <c:pt idx="157">
                  <c:v>0</c:v>
                </c:pt>
                <c:pt idx="158">
                  <c:v>61</c:v>
                </c:pt>
                <c:pt idx="159">
                  <c:v>0</c:v>
                </c:pt>
                <c:pt idx="160">
                  <c:v>106</c:v>
                </c:pt>
                <c:pt idx="161">
                  <c:v>0</c:v>
                </c:pt>
                <c:pt idx="162">
                  <c:v>0</c:v>
                </c:pt>
                <c:pt idx="163">
                  <c:v>63</c:v>
                </c:pt>
                <c:pt idx="164">
                  <c:v>0</c:v>
                </c:pt>
                <c:pt idx="165">
                  <c:v>188</c:v>
                </c:pt>
                <c:pt idx="166">
                  <c:v>0</c:v>
                </c:pt>
                <c:pt idx="167">
                  <c:v>0</c:v>
                </c:pt>
                <c:pt idx="168">
                  <c:v>381</c:v>
                </c:pt>
                <c:pt idx="169">
                  <c:v>0</c:v>
                </c:pt>
                <c:pt idx="170">
                  <c:v>0</c:v>
                </c:pt>
                <c:pt idx="171">
                  <c:v>254</c:v>
                </c:pt>
                <c:pt idx="172">
                  <c:v>0</c:v>
                </c:pt>
                <c:pt idx="173">
                  <c:v>46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4"/>
                <c:pt idx="0">
                  <c:v>1.4541599999999999</c:v>
                </c:pt>
                <c:pt idx="1">
                  <c:v>1.49939</c:v>
                </c:pt>
                <c:pt idx="2">
                  <c:v>1.5453000000000001</c:v>
                </c:pt>
                <c:pt idx="3">
                  <c:v>1.5886900000000002</c:v>
                </c:pt>
                <c:pt idx="4">
                  <c:v>1.6301699999999999</c:v>
                </c:pt>
                <c:pt idx="5">
                  <c:v>1.6731499999999999</c:v>
                </c:pt>
                <c:pt idx="6">
                  <c:v>1.72075</c:v>
                </c:pt>
                <c:pt idx="7">
                  <c:v>1.7708699999999999</c:v>
                </c:pt>
                <c:pt idx="8">
                  <c:v>1.8229200000000001</c:v>
                </c:pt>
                <c:pt idx="9">
                  <c:v>1.87748</c:v>
                </c:pt>
                <c:pt idx="10">
                  <c:v>1.93337</c:v>
                </c:pt>
                <c:pt idx="11">
                  <c:v>1.9906599999999999</c:v>
                </c:pt>
                <c:pt idx="12">
                  <c:v>2.0451100000000002</c:v>
                </c:pt>
                <c:pt idx="13">
                  <c:v>2.0982099999999999</c:v>
                </c:pt>
                <c:pt idx="14">
                  <c:v>2.1522100000000002</c:v>
                </c:pt>
                <c:pt idx="15">
                  <c:v>2.2035399999999998</c:v>
                </c:pt>
                <c:pt idx="16">
                  <c:v>2.2507099999999998</c:v>
                </c:pt>
                <c:pt idx="17">
                  <c:v>2.2957299999999998</c:v>
                </c:pt>
                <c:pt idx="18">
                  <c:v>2.3393700000000002</c:v>
                </c:pt>
                <c:pt idx="19">
                  <c:v>2.37798</c:v>
                </c:pt>
                <c:pt idx="20">
                  <c:v>2.4097</c:v>
                </c:pt>
                <c:pt idx="21">
                  <c:v>2.4372600000000002</c:v>
                </c:pt>
                <c:pt idx="22">
                  <c:v>2.4628700000000001</c:v>
                </c:pt>
                <c:pt idx="23">
                  <c:v>2.48821</c:v>
                </c:pt>
                <c:pt idx="24">
                  <c:v>2.5150499999999996</c:v>
                </c:pt>
                <c:pt idx="25">
                  <c:v>2.5425800000000001</c:v>
                </c:pt>
                <c:pt idx="26">
                  <c:v>2.57036</c:v>
                </c:pt>
                <c:pt idx="27">
                  <c:v>2.5980300000000001</c:v>
                </c:pt>
                <c:pt idx="28">
                  <c:v>2.6224999999999996</c:v>
                </c:pt>
                <c:pt idx="29">
                  <c:v>2.6461600000000001</c:v>
                </c:pt>
                <c:pt idx="30">
                  <c:v>2.6637399999999998</c:v>
                </c:pt>
                <c:pt idx="31">
                  <c:v>2.6764900000000003</c:v>
                </c:pt>
                <c:pt idx="32">
                  <c:v>2.6843299999999997</c:v>
                </c:pt>
                <c:pt idx="33">
                  <c:v>2.6902900000000001</c:v>
                </c:pt>
                <c:pt idx="34">
                  <c:v>2.6972</c:v>
                </c:pt>
                <c:pt idx="35">
                  <c:v>2.7045500000000002</c:v>
                </c:pt>
                <c:pt idx="36">
                  <c:v>2.7109399999999999</c:v>
                </c:pt>
                <c:pt idx="37">
                  <c:v>2.7164899999999998</c:v>
                </c:pt>
                <c:pt idx="38">
                  <c:v>2.7240199999999999</c:v>
                </c:pt>
                <c:pt idx="39">
                  <c:v>2.7313100000000001</c:v>
                </c:pt>
                <c:pt idx="40">
                  <c:v>2.7347799999999998</c:v>
                </c:pt>
                <c:pt idx="41">
                  <c:v>2.7406799999999998</c:v>
                </c:pt>
                <c:pt idx="42">
                  <c:v>2.7503600000000001</c:v>
                </c:pt>
                <c:pt idx="43">
                  <c:v>2.7654899999999998</c:v>
                </c:pt>
                <c:pt idx="44">
                  <c:v>2.7841900000000002</c:v>
                </c:pt>
                <c:pt idx="45">
                  <c:v>2.8055099999999999</c:v>
                </c:pt>
                <c:pt idx="46">
                  <c:v>2.8231800000000002</c:v>
                </c:pt>
                <c:pt idx="47">
                  <c:v>2.8347099999999998</c:v>
                </c:pt>
                <c:pt idx="48">
                  <c:v>2.8451500000000003</c:v>
                </c:pt>
                <c:pt idx="49">
                  <c:v>2.8562099999999999</c:v>
                </c:pt>
                <c:pt idx="50">
                  <c:v>2.8659400000000002</c:v>
                </c:pt>
                <c:pt idx="51">
                  <c:v>2.8728799999999999</c:v>
                </c:pt>
                <c:pt idx="52">
                  <c:v>2.87887</c:v>
                </c:pt>
                <c:pt idx="53">
                  <c:v>2.8857300000000001</c:v>
                </c:pt>
                <c:pt idx="54">
                  <c:v>2.8947099999999999</c:v>
                </c:pt>
                <c:pt idx="55">
                  <c:v>2.9030200000000002</c:v>
                </c:pt>
                <c:pt idx="56">
                  <c:v>2.9105699999999999</c:v>
                </c:pt>
                <c:pt idx="57">
                  <c:v>2.9164600000000003</c:v>
                </c:pt>
                <c:pt idx="58">
                  <c:v>2.9208800000000004</c:v>
                </c:pt>
                <c:pt idx="59">
                  <c:v>2.9248600000000002</c:v>
                </c:pt>
                <c:pt idx="60">
                  <c:v>2.9272300000000002</c:v>
                </c:pt>
                <c:pt idx="61">
                  <c:v>2.9323100000000002</c:v>
                </c:pt>
                <c:pt idx="62">
                  <c:v>2.9430399999999999</c:v>
                </c:pt>
                <c:pt idx="63">
                  <c:v>2.9566300000000001</c:v>
                </c:pt>
                <c:pt idx="64">
                  <c:v>2.9695</c:v>
                </c:pt>
                <c:pt idx="65">
                  <c:v>2.9819299999999997</c:v>
                </c:pt>
                <c:pt idx="66">
                  <c:v>2.9868499999999996</c:v>
                </c:pt>
                <c:pt idx="67">
                  <c:v>2.9858800000000003</c:v>
                </c:pt>
                <c:pt idx="68">
                  <c:v>2.9783300000000001</c:v>
                </c:pt>
                <c:pt idx="69">
                  <c:v>2.9764900000000001</c:v>
                </c:pt>
                <c:pt idx="70">
                  <c:v>2.9821399999999998</c:v>
                </c:pt>
                <c:pt idx="71">
                  <c:v>2.9820899999999999</c:v>
                </c:pt>
                <c:pt idx="72">
                  <c:v>2.9807600000000001</c:v>
                </c:pt>
                <c:pt idx="73">
                  <c:v>2.98529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63.572700000000005</c:v>
                </c:pt>
                <c:pt idx="1">
                  <c:v>62.356500000000004</c:v>
                </c:pt>
                <c:pt idx="2">
                  <c:v>61.190199999999997</c:v>
                </c:pt>
                <c:pt idx="3">
                  <c:v>60.070399999999999</c:v>
                </c:pt>
                <c:pt idx="4">
                  <c:v>59.0627</c:v>
                </c:pt>
                <c:pt idx="5">
                  <c:v>58.038999999999994</c:v>
                </c:pt>
                <c:pt idx="6">
                  <c:v>56.824200000000005</c:v>
                </c:pt>
                <c:pt idx="7">
                  <c:v>55.597300000000004</c:v>
                </c:pt>
                <c:pt idx="8">
                  <c:v>54.442700000000002</c:v>
                </c:pt>
                <c:pt idx="9">
                  <c:v>53.073</c:v>
                </c:pt>
                <c:pt idx="10">
                  <c:v>51.649900000000002</c:v>
                </c:pt>
                <c:pt idx="11">
                  <c:v>50.262300000000003</c:v>
                </c:pt>
                <c:pt idx="12">
                  <c:v>49.036499999999997</c:v>
                </c:pt>
                <c:pt idx="13">
                  <c:v>47.945799999999998</c:v>
                </c:pt>
                <c:pt idx="14">
                  <c:v>46.892899999999997</c:v>
                </c:pt>
                <c:pt idx="15">
                  <c:v>45.957500000000003</c:v>
                </c:pt>
                <c:pt idx="16">
                  <c:v>45.314300000000003</c:v>
                </c:pt>
                <c:pt idx="17">
                  <c:v>44.7395</c:v>
                </c:pt>
                <c:pt idx="18">
                  <c:v>44.172600000000003</c:v>
                </c:pt>
                <c:pt idx="19">
                  <c:v>43.782700000000006</c:v>
                </c:pt>
                <c:pt idx="20">
                  <c:v>43.564399999999999</c:v>
                </c:pt>
                <c:pt idx="21">
                  <c:v>43.396099999999997</c:v>
                </c:pt>
                <c:pt idx="22">
                  <c:v>43.262799999999999</c:v>
                </c:pt>
                <c:pt idx="23">
                  <c:v>43.154399999999995</c:v>
                </c:pt>
                <c:pt idx="24">
                  <c:v>42.945599999999999</c:v>
                </c:pt>
                <c:pt idx="25">
                  <c:v>42.598300000000002</c:v>
                </c:pt>
                <c:pt idx="26">
                  <c:v>42.263199999999998</c:v>
                </c:pt>
                <c:pt idx="27">
                  <c:v>41.928800000000003</c:v>
                </c:pt>
                <c:pt idx="28">
                  <c:v>41.666599999999995</c:v>
                </c:pt>
                <c:pt idx="29">
                  <c:v>41.489599999999996</c:v>
                </c:pt>
                <c:pt idx="30">
                  <c:v>41.380400000000002</c:v>
                </c:pt>
                <c:pt idx="31">
                  <c:v>41.347699999999996</c:v>
                </c:pt>
                <c:pt idx="32">
                  <c:v>41.379199999999997</c:v>
                </c:pt>
                <c:pt idx="33">
                  <c:v>41.315300000000001</c:v>
                </c:pt>
                <c:pt idx="34">
                  <c:v>41.141800000000003</c:v>
                </c:pt>
                <c:pt idx="35">
                  <c:v>40.922399999999996</c:v>
                </c:pt>
                <c:pt idx="36">
                  <c:v>40.700499999999998</c:v>
                </c:pt>
                <c:pt idx="37">
                  <c:v>40.564299999999996</c:v>
                </c:pt>
                <c:pt idx="38">
                  <c:v>40.431200000000004</c:v>
                </c:pt>
                <c:pt idx="39">
                  <c:v>40.317700000000002</c:v>
                </c:pt>
                <c:pt idx="40">
                  <c:v>40.383299999999998</c:v>
                </c:pt>
                <c:pt idx="41">
                  <c:v>40.432400000000001</c:v>
                </c:pt>
                <c:pt idx="42">
                  <c:v>40.375100000000003</c:v>
                </c:pt>
                <c:pt idx="43">
                  <c:v>40.242400000000004</c:v>
                </c:pt>
                <c:pt idx="44">
                  <c:v>40.0364</c:v>
                </c:pt>
                <c:pt idx="45">
                  <c:v>39.8431</c:v>
                </c:pt>
                <c:pt idx="46">
                  <c:v>39.758500000000005</c:v>
                </c:pt>
                <c:pt idx="47">
                  <c:v>39.891599999999997</c:v>
                </c:pt>
                <c:pt idx="48">
                  <c:v>40.084199999999996</c:v>
                </c:pt>
                <c:pt idx="49">
                  <c:v>40.221400000000003</c:v>
                </c:pt>
                <c:pt idx="50">
                  <c:v>40.385300000000001</c:v>
                </c:pt>
                <c:pt idx="51">
                  <c:v>40.509299999999996</c:v>
                </c:pt>
                <c:pt idx="52">
                  <c:v>40.512799999999999</c:v>
                </c:pt>
                <c:pt idx="53">
                  <c:v>40.472200000000001</c:v>
                </c:pt>
                <c:pt idx="54">
                  <c:v>40.410600000000002</c:v>
                </c:pt>
                <c:pt idx="55">
                  <c:v>40.3825</c:v>
                </c:pt>
                <c:pt idx="56">
                  <c:v>40.448599999999999</c:v>
                </c:pt>
                <c:pt idx="57">
                  <c:v>40.597000000000001</c:v>
                </c:pt>
                <c:pt idx="58">
                  <c:v>40.781600000000005</c:v>
                </c:pt>
                <c:pt idx="59">
                  <c:v>40.959600000000002</c:v>
                </c:pt>
                <c:pt idx="60">
                  <c:v>41.041699999999999</c:v>
                </c:pt>
                <c:pt idx="61">
                  <c:v>41.140900000000002</c:v>
                </c:pt>
                <c:pt idx="62">
                  <c:v>41.115000000000002</c:v>
                </c:pt>
                <c:pt idx="63">
                  <c:v>41.030100000000004</c:v>
                </c:pt>
                <c:pt idx="64">
                  <c:v>41.038200000000003</c:v>
                </c:pt>
                <c:pt idx="65">
                  <c:v>41.072199999999995</c:v>
                </c:pt>
                <c:pt idx="66">
                  <c:v>41.303100000000001</c:v>
                </c:pt>
                <c:pt idx="67">
                  <c:v>41.6815</c:v>
                </c:pt>
                <c:pt idx="68">
                  <c:v>42.0122</c:v>
                </c:pt>
                <c:pt idx="69">
                  <c:v>42.0289</c:v>
                </c:pt>
                <c:pt idx="70">
                  <c:v>41.7425</c:v>
                </c:pt>
                <c:pt idx="71">
                  <c:v>41.708300000000001</c:v>
                </c:pt>
                <c:pt idx="72">
                  <c:v>41.931200000000004</c:v>
                </c:pt>
                <c:pt idx="73">
                  <c:v>41.9084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7"/>
                <c:pt idx="0">
                  <c:v>1.4541599999999999</c:v>
                </c:pt>
                <c:pt idx="1">
                  <c:v>1.49939</c:v>
                </c:pt>
                <c:pt idx="2">
                  <c:v>1.5453000000000001</c:v>
                </c:pt>
                <c:pt idx="3">
                  <c:v>1.5886900000000002</c:v>
                </c:pt>
                <c:pt idx="4">
                  <c:v>1.6301699999999999</c:v>
                </c:pt>
                <c:pt idx="5">
                  <c:v>1.6731499999999999</c:v>
                </c:pt>
                <c:pt idx="6">
                  <c:v>1.72075</c:v>
                </c:pt>
                <c:pt idx="7">
                  <c:v>1.7708699999999999</c:v>
                </c:pt>
                <c:pt idx="8">
                  <c:v>1.8229200000000001</c:v>
                </c:pt>
                <c:pt idx="9">
                  <c:v>1.87748</c:v>
                </c:pt>
                <c:pt idx="10">
                  <c:v>1.93337</c:v>
                </c:pt>
                <c:pt idx="11">
                  <c:v>1.9906599999999999</c:v>
                </c:pt>
                <c:pt idx="12">
                  <c:v>2.0451100000000002</c:v>
                </c:pt>
                <c:pt idx="13">
                  <c:v>2.0982099999999999</c:v>
                </c:pt>
                <c:pt idx="14">
                  <c:v>2.1522100000000002</c:v>
                </c:pt>
                <c:pt idx="15">
                  <c:v>2.2035399999999998</c:v>
                </c:pt>
                <c:pt idx="16">
                  <c:v>2.2507099999999998</c:v>
                </c:pt>
                <c:pt idx="17">
                  <c:v>2.2957299999999998</c:v>
                </c:pt>
                <c:pt idx="18">
                  <c:v>2.3393700000000002</c:v>
                </c:pt>
                <c:pt idx="19">
                  <c:v>2.37798</c:v>
                </c:pt>
                <c:pt idx="20">
                  <c:v>2.4097</c:v>
                </c:pt>
                <c:pt idx="21">
                  <c:v>2.4372600000000002</c:v>
                </c:pt>
                <c:pt idx="22">
                  <c:v>2.4628700000000001</c:v>
                </c:pt>
                <c:pt idx="23">
                  <c:v>2.48821</c:v>
                </c:pt>
                <c:pt idx="24">
                  <c:v>2.5150499999999996</c:v>
                </c:pt>
                <c:pt idx="25">
                  <c:v>2.5425800000000001</c:v>
                </c:pt>
                <c:pt idx="26">
                  <c:v>2.57036</c:v>
                </c:pt>
                <c:pt idx="27">
                  <c:v>2.5980300000000001</c:v>
                </c:pt>
                <c:pt idx="28">
                  <c:v>2.6224999999999996</c:v>
                </c:pt>
                <c:pt idx="29">
                  <c:v>2.6461600000000001</c:v>
                </c:pt>
                <c:pt idx="30">
                  <c:v>2.6637399999999998</c:v>
                </c:pt>
                <c:pt idx="31">
                  <c:v>2.6764900000000003</c:v>
                </c:pt>
                <c:pt idx="32">
                  <c:v>2.6843299999999997</c:v>
                </c:pt>
                <c:pt idx="33">
                  <c:v>2.6902900000000001</c:v>
                </c:pt>
                <c:pt idx="34">
                  <c:v>2.6972</c:v>
                </c:pt>
                <c:pt idx="35">
                  <c:v>2.7045500000000002</c:v>
                </c:pt>
                <c:pt idx="36">
                  <c:v>2.7109399999999999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63.572700000000005</c:v>
                </c:pt>
                <c:pt idx="1">
                  <c:v>62.356500000000004</c:v>
                </c:pt>
                <c:pt idx="2">
                  <c:v>61.190199999999997</c:v>
                </c:pt>
                <c:pt idx="3">
                  <c:v>60.070399999999999</c:v>
                </c:pt>
                <c:pt idx="4">
                  <c:v>59.0627</c:v>
                </c:pt>
                <c:pt idx="5">
                  <c:v>58.038999999999994</c:v>
                </c:pt>
                <c:pt idx="6">
                  <c:v>56.824200000000005</c:v>
                </c:pt>
                <c:pt idx="7">
                  <c:v>55.597300000000004</c:v>
                </c:pt>
                <c:pt idx="8">
                  <c:v>54.442700000000002</c:v>
                </c:pt>
                <c:pt idx="9">
                  <c:v>53.073</c:v>
                </c:pt>
                <c:pt idx="10">
                  <c:v>51.649900000000002</c:v>
                </c:pt>
                <c:pt idx="11">
                  <c:v>50.262300000000003</c:v>
                </c:pt>
                <c:pt idx="12">
                  <c:v>49.036499999999997</c:v>
                </c:pt>
                <c:pt idx="13">
                  <c:v>47.945799999999998</c:v>
                </c:pt>
                <c:pt idx="14">
                  <c:v>46.892899999999997</c:v>
                </c:pt>
                <c:pt idx="15">
                  <c:v>45.957500000000003</c:v>
                </c:pt>
                <c:pt idx="16">
                  <c:v>45.314300000000003</c:v>
                </c:pt>
                <c:pt idx="17">
                  <c:v>44.7395</c:v>
                </c:pt>
                <c:pt idx="18">
                  <c:v>44.172600000000003</c:v>
                </c:pt>
                <c:pt idx="19">
                  <c:v>43.782700000000006</c:v>
                </c:pt>
                <c:pt idx="20">
                  <c:v>43.564399999999999</c:v>
                </c:pt>
                <c:pt idx="21">
                  <c:v>43.396099999999997</c:v>
                </c:pt>
                <c:pt idx="22">
                  <c:v>43.262799999999999</c:v>
                </c:pt>
                <c:pt idx="23">
                  <c:v>43.154399999999995</c:v>
                </c:pt>
                <c:pt idx="24">
                  <c:v>42.945599999999999</c:v>
                </c:pt>
                <c:pt idx="25">
                  <c:v>42.598300000000002</c:v>
                </c:pt>
                <c:pt idx="26">
                  <c:v>42.263199999999998</c:v>
                </c:pt>
                <c:pt idx="27">
                  <c:v>41.928800000000003</c:v>
                </c:pt>
                <c:pt idx="28">
                  <c:v>41.666599999999995</c:v>
                </c:pt>
                <c:pt idx="29">
                  <c:v>41.489599999999996</c:v>
                </c:pt>
                <c:pt idx="30">
                  <c:v>41.380400000000002</c:v>
                </c:pt>
                <c:pt idx="31">
                  <c:v>41.347699999999996</c:v>
                </c:pt>
                <c:pt idx="32">
                  <c:v>41.379199999999997</c:v>
                </c:pt>
                <c:pt idx="33">
                  <c:v>41.315300000000001</c:v>
                </c:pt>
                <c:pt idx="34">
                  <c:v>41.141800000000003</c:v>
                </c:pt>
                <c:pt idx="35">
                  <c:v>40.922399999999996</c:v>
                </c:pt>
                <c:pt idx="36">
                  <c:v>40.700499999999998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2.7109399999999999</c:v>
                </c:pt>
                <c:pt idx="1">
                  <c:v>2.7164899999999998</c:v>
                </c:pt>
                <c:pt idx="2">
                  <c:v>2.7240199999999999</c:v>
                </c:pt>
                <c:pt idx="3">
                  <c:v>2.7313100000000001</c:v>
                </c:pt>
                <c:pt idx="4">
                  <c:v>2.7347799999999998</c:v>
                </c:pt>
                <c:pt idx="5">
                  <c:v>2.7406799999999998</c:v>
                </c:pt>
                <c:pt idx="6">
                  <c:v>2.7503600000000001</c:v>
                </c:pt>
                <c:pt idx="7">
                  <c:v>2.7654899999999998</c:v>
                </c:pt>
                <c:pt idx="8">
                  <c:v>2.7841900000000002</c:v>
                </c:pt>
                <c:pt idx="9">
                  <c:v>2.8055099999999999</c:v>
                </c:pt>
                <c:pt idx="10">
                  <c:v>2.8231800000000002</c:v>
                </c:pt>
                <c:pt idx="11">
                  <c:v>2.8347099999999998</c:v>
                </c:pt>
                <c:pt idx="12">
                  <c:v>2.8451500000000003</c:v>
                </c:pt>
                <c:pt idx="13">
                  <c:v>2.8562099999999999</c:v>
                </c:pt>
                <c:pt idx="14">
                  <c:v>2.8659400000000002</c:v>
                </c:pt>
                <c:pt idx="15">
                  <c:v>2.8728799999999999</c:v>
                </c:pt>
                <c:pt idx="16">
                  <c:v>2.87887</c:v>
                </c:pt>
                <c:pt idx="17">
                  <c:v>2.8857300000000001</c:v>
                </c:pt>
                <c:pt idx="18">
                  <c:v>2.8947099999999999</c:v>
                </c:pt>
                <c:pt idx="19">
                  <c:v>2.9030200000000002</c:v>
                </c:pt>
                <c:pt idx="20">
                  <c:v>2.9105699999999999</c:v>
                </c:pt>
                <c:pt idx="21">
                  <c:v>2.9164600000000003</c:v>
                </c:pt>
                <c:pt idx="22">
                  <c:v>2.9208800000000004</c:v>
                </c:pt>
                <c:pt idx="23">
                  <c:v>2.9248600000000002</c:v>
                </c:pt>
                <c:pt idx="24">
                  <c:v>2.9272300000000002</c:v>
                </c:pt>
                <c:pt idx="25">
                  <c:v>2.9323100000000002</c:v>
                </c:pt>
                <c:pt idx="26">
                  <c:v>2.9430399999999999</c:v>
                </c:pt>
                <c:pt idx="27">
                  <c:v>2.9566300000000001</c:v>
                </c:pt>
                <c:pt idx="28">
                  <c:v>2.9695</c:v>
                </c:pt>
                <c:pt idx="29">
                  <c:v>2.9819299999999997</c:v>
                </c:pt>
                <c:pt idx="30">
                  <c:v>2.9868499999999996</c:v>
                </c:pt>
                <c:pt idx="31">
                  <c:v>2.9858800000000003</c:v>
                </c:pt>
                <c:pt idx="32">
                  <c:v>2.9783300000000001</c:v>
                </c:pt>
                <c:pt idx="33">
                  <c:v>2.9764900000000001</c:v>
                </c:pt>
                <c:pt idx="34">
                  <c:v>2.9821399999999998</c:v>
                </c:pt>
                <c:pt idx="35">
                  <c:v>2.9820899999999999</c:v>
                </c:pt>
                <c:pt idx="36">
                  <c:v>2.9807600000000001</c:v>
                </c:pt>
                <c:pt idx="37">
                  <c:v>2.98529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40.700499999999998</c:v>
                </c:pt>
                <c:pt idx="1">
                  <c:v>40.564299999999996</c:v>
                </c:pt>
                <c:pt idx="2">
                  <c:v>40.431200000000004</c:v>
                </c:pt>
                <c:pt idx="3">
                  <c:v>40.317700000000002</c:v>
                </c:pt>
                <c:pt idx="4">
                  <c:v>40.383299999999998</c:v>
                </c:pt>
                <c:pt idx="5">
                  <c:v>40.432400000000001</c:v>
                </c:pt>
                <c:pt idx="6">
                  <c:v>40.375100000000003</c:v>
                </c:pt>
                <c:pt idx="7">
                  <c:v>40.242400000000004</c:v>
                </c:pt>
                <c:pt idx="8">
                  <c:v>40.0364</c:v>
                </c:pt>
                <c:pt idx="9">
                  <c:v>39.8431</c:v>
                </c:pt>
                <c:pt idx="10">
                  <c:v>39.758500000000005</c:v>
                </c:pt>
                <c:pt idx="11">
                  <c:v>39.891599999999997</c:v>
                </c:pt>
                <c:pt idx="12">
                  <c:v>40.084199999999996</c:v>
                </c:pt>
                <c:pt idx="13">
                  <c:v>40.221400000000003</c:v>
                </c:pt>
                <c:pt idx="14">
                  <c:v>40.385300000000001</c:v>
                </c:pt>
                <c:pt idx="15">
                  <c:v>40.509299999999996</c:v>
                </c:pt>
                <c:pt idx="16">
                  <c:v>40.512799999999999</c:v>
                </c:pt>
                <c:pt idx="17">
                  <c:v>40.472200000000001</c:v>
                </c:pt>
                <c:pt idx="18">
                  <c:v>40.410600000000002</c:v>
                </c:pt>
                <c:pt idx="19">
                  <c:v>40.3825</c:v>
                </c:pt>
                <c:pt idx="20">
                  <c:v>40.448599999999999</c:v>
                </c:pt>
                <c:pt idx="21">
                  <c:v>40.597000000000001</c:v>
                </c:pt>
                <c:pt idx="22">
                  <c:v>40.781600000000005</c:v>
                </c:pt>
                <c:pt idx="23">
                  <c:v>40.959600000000002</c:v>
                </c:pt>
                <c:pt idx="24">
                  <c:v>41.041699999999999</c:v>
                </c:pt>
                <c:pt idx="25">
                  <c:v>41.140900000000002</c:v>
                </c:pt>
                <c:pt idx="26">
                  <c:v>41.115000000000002</c:v>
                </c:pt>
                <c:pt idx="27">
                  <c:v>41.030100000000004</c:v>
                </c:pt>
                <c:pt idx="28">
                  <c:v>41.038200000000003</c:v>
                </c:pt>
                <c:pt idx="29">
                  <c:v>41.072199999999995</c:v>
                </c:pt>
                <c:pt idx="30">
                  <c:v>41.303100000000001</c:v>
                </c:pt>
                <c:pt idx="31">
                  <c:v>41.6815</c:v>
                </c:pt>
                <c:pt idx="32">
                  <c:v>42.0122</c:v>
                </c:pt>
                <c:pt idx="33">
                  <c:v>42.0289</c:v>
                </c:pt>
                <c:pt idx="34">
                  <c:v>41.7425</c:v>
                </c:pt>
                <c:pt idx="35">
                  <c:v>41.708300000000001</c:v>
                </c:pt>
                <c:pt idx="36">
                  <c:v>41.931200000000004</c:v>
                </c:pt>
                <c:pt idx="37">
                  <c:v>41.9084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2.2267575675675677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47.795670270270271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2.8825532432432439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40.778251351351351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2.8825532432432439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40.778251351351351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0.28585711819670895</c:v>
                </c:pt>
                <c:pt idx="1">
                  <c:v>0.28185643439676256</c:v>
                </c:pt>
                <c:pt idx="2">
                  <c:v>0.43228644740652855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0.41134199999999999</c:v>
                </c:pt>
                <c:pt idx="2">
                  <c:v>0.81456499999999998</c:v>
                </c:pt>
                <c:pt idx="3">
                  <c:v>1.2204299999999999</c:v>
                </c:pt>
                <c:pt idx="4">
                  <c:v>1.629</c:v>
                </c:pt>
                <c:pt idx="5">
                  <c:v>2.0364100000000001</c:v>
                </c:pt>
                <c:pt idx="6">
                  <c:v>2.4422700000000002</c:v>
                </c:pt>
                <c:pt idx="7">
                  <c:v>2.8469000000000002</c:v>
                </c:pt>
                <c:pt idx="8">
                  <c:v>3.2522099999999998</c:v>
                </c:pt>
                <c:pt idx="9">
                  <c:v>3.6595499999999999</c:v>
                </c:pt>
                <c:pt idx="10">
                  <c:v>4.0654899999999996</c:v>
                </c:pt>
                <c:pt idx="11">
                  <c:v>4.4738199999999999</c:v>
                </c:pt>
                <c:pt idx="12">
                  <c:v>4.8839699999999997</c:v>
                </c:pt>
                <c:pt idx="13">
                  <c:v>5.2850999999999999</c:v>
                </c:pt>
                <c:pt idx="14">
                  <c:v>5.6881399999999998</c:v>
                </c:pt>
                <c:pt idx="15">
                  <c:v>6.0982599999999998</c:v>
                </c:pt>
                <c:pt idx="16">
                  <c:v>6.5017899999999997</c:v>
                </c:pt>
                <c:pt idx="17">
                  <c:v>6.90937</c:v>
                </c:pt>
                <c:pt idx="18">
                  <c:v>7.31454</c:v>
                </c:pt>
                <c:pt idx="19">
                  <c:v>7.7199299999999997</c:v>
                </c:pt>
                <c:pt idx="20">
                  <c:v>8.1300299999999996</c:v>
                </c:pt>
                <c:pt idx="21">
                  <c:v>8.5326000000000004</c:v>
                </c:pt>
                <c:pt idx="22">
                  <c:v>8.9426699999999997</c:v>
                </c:pt>
                <c:pt idx="23">
                  <c:v>9.3456299999999999</c:v>
                </c:pt>
                <c:pt idx="24">
                  <c:v>9.7521000000000004</c:v>
                </c:pt>
                <c:pt idx="25">
                  <c:v>10.1577</c:v>
                </c:pt>
                <c:pt idx="26">
                  <c:v>10.5669</c:v>
                </c:pt>
                <c:pt idx="27">
                  <c:v>10.9756</c:v>
                </c:pt>
                <c:pt idx="28">
                  <c:v>11.3787</c:v>
                </c:pt>
                <c:pt idx="29">
                  <c:v>11.782500000000001</c:v>
                </c:pt>
                <c:pt idx="30">
                  <c:v>12.189</c:v>
                </c:pt>
                <c:pt idx="31">
                  <c:v>12.5976</c:v>
                </c:pt>
                <c:pt idx="32">
                  <c:v>13.0055</c:v>
                </c:pt>
                <c:pt idx="33">
                  <c:v>13.407999999999999</c:v>
                </c:pt>
                <c:pt idx="34">
                  <c:v>13.813800000000001</c:v>
                </c:pt>
                <c:pt idx="35">
                  <c:v>14.221399999999999</c:v>
                </c:pt>
                <c:pt idx="36">
                  <c:v>14.629300000000001</c:v>
                </c:pt>
                <c:pt idx="37">
                  <c:v>15.032999999999999</c:v>
                </c:pt>
                <c:pt idx="38">
                  <c:v>15.437799999999999</c:v>
                </c:pt>
                <c:pt idx="39">
                  <c:v>15.8467</c:v>
                </c:pt>
                <c:pt idx="40">
                  <c:v>16.252800000000001</c:v>
                </c:pt>
                <c:pt idx="41">
                  <c:v>16.6572</c:v>
                </c:pt>
                <c:pt idx="42">
                  <c:v>17.065899999999999</c:v>
                </c:pt>
                <c:pt idx="43">
                  <c:v>17.4693</c:v>
                </c:pt>
                <c:pt idx="44">
                  <c:v>17.8796</c:v>
                </c:pt>
                <c:pt idx="45">
                  <c:v>18.2881</c:v>
                </c:pt>
                <c:pt idx="46">
                  <c:v>18.6891</c:v>
                </c:pt>
                <c:pt idx="47">
                  <c:v>19.0946</c:v>
                </c:pt>
                <c:pt idx="48">
                  <c:v>19.501799999999999</c:v>
                </c:pt>
                <c:pt idx="49">
                  <c:v>19.9072</c:v>
                </c:pt>
                <c:pt idx="50">
                  <c:v>20.3188</c:v>
                </c:pt>
                <c:pt idx="51">
                  <c:v>20.720300000000002</c:v>
                </c:pt>
                <c:pt idx="52">
                  <c:v>21.127700000000001</c:v>
                </c:pt>
                <c:pt idx="53">
                  <c:v>21.536000000000001</c:v>
                </c:pt>
                <c:pt idx="54">
                  <c:v>21.942799999999998</c:v>
                </c:pt>
                <c:pt idx="55">
                  <c:v>22.348700000000001</c:v>
                </c:pt>
                <c:pt idx="56">
                  <c:v>22.7531</c:v>
                </c:pt>
                <c:pt idx="57">
                  <c:v>23.1586</c:v>
                </c:pt>
                <c:pt idx="58">
                  <c:v>23.563300000000002</c:v>
                </c:pt>
                <c:pt idx="59">
                  <c:v>23.972000000000001</c:v>
                </c:pt>
                <c:pt idx="60">
                  <c:v>24.3797</c:v>
                </c:pt>
                <c:pt idx="61">
                  <c:v>24.7864</c:v>
                </c:pt>
                <c:pt idx="62">
                  <c:v>25.1906</c:v>
                </c:pt>
                <c:pt idx="63">
                  <c:v>25.596299999999999</c:v>
                </c:pt>
                <c:pt idx="64">
                  <c:v>26.003900000000002</c:v>
                </c:pt>
                <c:pt idx="65">
                  <c:v>26.411999999999999</c:v>
                </c:pt>
                <c:pt idx="66">
                  <c:v>26.817699999999999</c:v>
                </c:pt>
                <c:pt idx="67">
                  <c:v>27.221699999999998</c:v>
                </c:pt>
                <c:pt idx="68">
                  <c:v>27.628</c:v>
                </c:pt>
                <c:pt idx="69">
                  <c:v>28.035599999999999</c:v>
                </c:pt>
                <c:pt idx="70">
                  <c:v>28.443000000000001</c:v>
                </c:pt>
                <c:pt idx="71">
                  <c:v>28.848099999999999</c:v>
                </c:pt>
                <c:pt idx="72">
                  <c:v>29.253399999999999</c:v>
                </c:pt>
                <c:pt idx="73">
                  <c:v>29.658100000000001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4"/>
                <c:pt idx="0">
                  <c:v>1.4541599999999999</c:v>
                </c:pt>
                <c:pt idx="1">
                  <c:v>1.49939</c:v>
                </c:pt>
                <c:pt idx="2">
                  <c:v>1.5453000000000001</c:v>
                </c:pt>
                <c:pt idx="3">
                  <c:v>1.5886900000000002</c:v>
                </c:pt>
                <c:pt idx="4">
                  <c:v>1.6301699999999999</c:v>
                </c:pt>
                <c:pt idx="5">
                  <c:v>1.6731499999999999</c:v>
                </c:pt>
                <c:pt idx="6">
                  <c:v>1.72075</c:v>
                </c:pt>
                <c:pt idx="7">
                  <c:v>1.7708699999999999</c:v>
                </c:pt>
                <c:pt idx="8">
                  <c:v>1.8229200000000001</c:v>
                </c:pt>
                <c:pt idx="9">
                  <c:v>1.87748</c:v>
                </c:pt>
                <c:pt idx="10">
                  <c:v>1.93337</c:v>
                </c:pt>
                <c:pt idx="11">
                  <c:v>1.9906599999999999</c:v>
                </c:pt>
                <c:pt idx="12">
                  <c:v>2.0451100000000002</c:v>
                </c:pt>
                <c:pt idx="13">
                  <c:v>2.0982099999999999</c:v>
                </c:pt>
                <c:pt idx="14">
                  <c:v>2.1522100000000002</c:v>
                </c:pt>
                <c:pt idx="15">
                  <c:v>2.2035399999999998</c:v>
                </c:pt>
                <c:pt idx="16">
                  <c:v>2.2507099999999998</c:v>
                </c:pt>
                <c:pt idx="17">
                  <c:v>2.2957299999999998</c:v>
                </c:pt>
                <c:pt idx="18">
                  <c:v>2.3393700000000002</c:v>
                </c:pt>
                <c:pt idx="19">
                  <c:v>2.37798</c:v>
                </c:pt>
                <c:pt idx="20">
                  <c:v>2.4097</c:v>
                </c:pt>
                <c:pt idx="21">
                  <c:v>2.4372600000000002</c:v>
                </c:pt>
                <c:pt idx="22">
                  <c:v>2.4628700000000001</c:v>
                </c:pt>
                <c:pt idx="23">
                  <c:v>2.48821</c:v>
                </c:pt>
                <c:pt idx="24">
                  <c:v>2.5150499999999996</c:v>
                </c:pt>
                <c:pt idx="25">
                  <c:v>2.5425800000000001</c:v>
                </c:pt>
                <c:pt idx="26">
                  <c:v>2.57036</c:v>
                </c:pt>
                <c:pt idx="27">
                  <c:v>2.5980300000000001</c:v>
                </c:pt>
                <c:pt idx="28">
                  <c:v>2.6224999999999996</c:v>
                </c:pt>
                <c:pt idx="29">
                  <c:v>2.6461600000000001</c:v>
                </c:pt>
                <c:pt idx="30">
                  <c:v>2.6637399999999998</c:v>
                </c:pt>
                <c:pt idx="31">
                  <c:v>2.6764900000000003</c:v>
                </c:pt>
                <c:pt idx="32">
                  <c:v>2.6843299999999997</c:v>
                </c:pt>
                <c:pt idx="33">
                  <c:v>2.6902900000000001</c:v>
                </c:pt>
                <c:pt idx="34">
                  <c:v>2.6972</c:v>
                </c:pt>
                <c:pt idx="35">
                  <c:v>2.7045500000000002</c:v>
                </c:pt>
                <c:pt idx="36">
                  <c:v>2.7109399999999999</c:v>
                </c:pt>
                <c:pt idx="37">
                  <c:v>2.7164899999999998</c:v>
                </c:pt>
                <c:pt idx="38">
                  <c:v>2.7240199999999999</c:v>
                </c:pt>
                <c:pt idx="39">
                  <c:v>2.7313100000000001</c:v>
                </c:pt>
                <c:pt idx="40">
                  <c:v>2.7347799999999998</c:v>
                </c:pt>
                <c:pt idx="41">
                  <c:v>2.7406799999999998</c:v>
                </c:pt>
                <c:pt idx="42">
                  <c:v>2.7503600000000001</c:v>
                </c:pt>
                <c:pt idx="43">
                  <c:v>2.7654899999999998</c:v>
                </c:pt>
                <c:pt idx="44">
                  <c:v>2.7841900000000002</c:v>
                </c:pt>
                <c:pt idx="45">
                  <c:v>2.8055099999999999</c:v>
                </c:pt>
                <c:pt idx="46">
                  <c:v>2.8231800000000002</c:v>
                </c:pt>
                <c:pt idx="47">
                  <c:v>2.8347099999999998</c:v>
                </c:pt>
                <c:pt idx="48">
                  <c:v>2.8451500000000003</c:v>
                </c:pt>
                <c:pt idx="49">
                  <c:v>2.8562099999999999</c:v>
                </c:pt>
                <c:pt idx="50">
                  <c:v>2.8659400000000002</c:v>
                </c:pt>
                <c:pt idx="51">
                  <c:v>2.8728799999999999</c:v>
                </c:pt>
                <c:pt idx="52">
                  <c:v>2.87887</c:v>
                </c:pt>
                <c:pt idx="53">
                  <c:v>2.8857300000000001</c:v>
                </c:pt>
                <c:pt idx="54">
                  <c:v>2.8947099999999999</c:v>
                </c:pt>
                <c:pt idx="55">
                  <c:v>2.9030200000000002</c:v>
                </c:pt>
                <c:pt idx="56">
                  <c:v>2.9105699999999999</c:v>
                </c:pt>
                <c:pt idx="57">
                  <c:v>2.9164600000000003</c:v>
                </c:pt>
                <c:pt idx="58">
                  <c:v>2.9208800000000004</c:v>
                </c:pt>
                <c:pt idx="59">
                  <c:v>2.9248600000000002</c:v>
                </c:pt>
                <c:pt idx="60">
                  <c:v>2.9272300000000002</c:v>
                </c:pt>
                <c:pt idx="61">
                  <c:v>2.9323100000000002</c:v>
                </c:pt>
                <c:pt idx="62">
                  <c:v>2.9430399999999999</c:v>
                </c:pt>
                <c:pt idx="63">
                  <c:v>2.9566300000000001</c:v>
                </c:pt>
                <c:pt idx="64">
                  <c:v>2.9695</c:v>
                </c:pt>
                <c:pt idx="65">
                  <c:v>2.9819299999999997</c:v>
                </c:pt>
                <c:pt idx="66">
                  <c:v>2.9868499999999996</c:v>
                </c:pt>
                <c:pt idx="67">
                  <c:v>2.9858800000000003</c:v>
                </c:pt>
                <c:pt idx="68">
                  <c:v>2.9783300000000001</c:v>
                </c:pt>
                <c:pt idx="69">
                  <c:v>2.9764900000000001</c:v>
                </c:pt>
                <c:pt idx="70">
                  <c:v>2.9821399999999998</c:v>
                </c:pt>
                <c:pt idx="71">
                  <c:v>2.9820899999999999</c:v>
                </c:pt>
                <c:pt idx="72">
                  <c:v>2.9807600000000001</c:v>
                </c:pt>
                <c:pt idx="73">
                  <c:v>2.98529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0.41134199999999999</c:v>
                </c:pt>
                <c:pt idx="2">
                  <c:v>0.81456499999999998</c:v>
                </c:pt>
                <c:pt idx="3">
                  <c:v>1.2204299999999999</c:v>
                </c:pt>
                <c:pt idx="4">
                  <c:v>1.629</c:v>
                </c:pt>
                <c:pt idx="5">
                  <c:v>2.0364100000000001</c:v>
                </c:pt>
                <c:pt idx="6">
                  <c:v>2.4422700000000002</c:v>
                </c:pt>
                <c:pt idx="7">
                  <c:v>2.8469000000000002</c:v>
                </c:pt>
                <c:pt idx="8">
                  <c:v>3.2522099999999998</c:v>
                </c:pt>
                <c:pt idx="9">
                  <c:v>3.6595499999999999</c:v>
                </c:pt>
                <c:pt idx="10">
                  <c:v>4.0654899999999996</c:v>
                </c:pt>
                <c:pt idx="11">
                  <c:v>4.4738199999999999</c:v>
                </c:pt>
                <c:pt idx="12">
                  <c:v>4.8839699999999997</c:v>
                </c:pt>
                <c:pt idx="13">
                  <c:v>5.2850999999999999</c:v>
                </c:pt>
                <c:pt idx="14">
                  <c:v>5.6881399999999998</c:v>
                </c:pt>
                <c:pt idx="15">
                  <c:v>6.0982599999999998</c:v>
                </c:pt>
                <c:pt idx="16">
                  <c:v>6.5017899999999997</c:v>
                </c:pt>
                <c:pt idx="17">
                  <c:v>6.90937</c:v>
                </c:pt>
                <c:pt idx="18">
                  <c:v>7.31454</c:v>
                </c:pt>
                <c:pt idx="19">
                  <c:v>7.7199299999999997</c:v>
                </c:pt>
                <c:pt idx="20">
                  <c:v>8.1300299999999996</c:v>
                </c:pt>
                <c:pt idx="21">
                  <c:v>8.5326000000000004</c:v>
                </c:pt>
                <c:pt idx="22">
                  <c:v>8.9426699999999997</c:v>
                </c:pt>
                <c:pt idx="23">
                  <c:v>9.3456299999999999</c:v>
                </c:pt>
                <c:pt idx="24">
                  <c:v>9.7521000000000004</c:v>
                </c:pt>
                <c:pt idx="25">
                  <c:v>10.1577</c:v>
                </c:pt>
                <c:pt idx="26">
                  <c:v>10.5669</c:v>
                </c:pt>
                <c:pt idx="27">
                  <c:v>10.9756</c:v>
                </c:pt>
                <c:pt idx="28">
                  <c:v>11.3787</c:v>
                </c:pt>
                <c:pt idx="29">
                  <c:v>11.782500000000001</c:v>
                </c:pt>
                <c:pt idx="30">
                  <c:v>12.189</c:v>
                </c:pt>
                <c:pt idx="31">
                  <c:v>12.5976</c:v>
                </c:pt>
                <c:pt idx="32">
                  <c:v>13.0055</c:v>
                </c:pt>
                <c:pt idx="33">
                  <c:v>13.407999999999999</c:v>
                </c:pt>
                <c:pt idx="34">
                  <c:v>13.813800000000001</c:v>
                </c:pt>
                <c:pt idx="35">
                  <c:v>14.221399999999999</c:v>
                </c:pt>
                <c:pt idx="36">
                  <c:v>14.629300000000001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7"/>
                <c:pt idx="0">
                  <c:v>1.4541599999999999</c:v>
                </c:pt>
                <c:pt idx="1">
                  <c:v>1.49939</c:v>
                </c:pt>
                <c:pt idx="2">
                  <c:v>1.5453000000000001</c:v>
                </c:pt>
                <c:pt idx="3">
                  <c:v>1.5886900000000002</c:v>
                </c:pt>
                <c:pt idx="4">
                  <c:v>1.6301699999999999</c:v>
                </c:pt>
                <c:pt idx="5">
                  <c:v>1.6731499999999999</c:v>
                </c:pt>
                <c:pt idx="6">
                  <c:v>1.72075</c:v>
                </c:pt>
                <c:pt idx="7">
                  <c:v>1.7708699999999999</c:v>
                </c:pt>
                <c:pt idx="8">
                  <c:v>1.8229200000000001</c:v>
                </c:pt>
                <c:pt idx="9">
                  <c:v>1.87748</c:v>
                </c:pt>
                <c:pt idx="10">
                  <c:v>1.93337</c:v>
                </c:pt>
                <c:pt idx="11">
                  <c:v>1.9906599999999999</c:v>
                </c:pt>
                <c:pt idx="12">
                  <c:v>2.0451100000000002</c:v>
                </c:pt>
                <c:pt idx="13">
                  <c:v>2.0982099999999999</c:v>
                </c:pt>
                <c:pt idx="14">
                  <c:v>2.1522100000000002</c:v>
                </c:pt>
                <c:pt idx="15">
                  <c:v>2.2035399999999998</c:v>
                </c:pt>
                <c:pt idx="16">
                  <c:v>2.2507099999999998</c:v>
                </c:pt>
                <c:pt idx="17">
                  <c:v>2.2957299999999998</c:v>
                </c:pt>
                <c:pt idx="18">
                  <c:v>2.3393700000000002</c:v>
                </c:pt>
                <c:pt idx="19">
                  <c:v>2.37798</c:v>
                </c:pt>
                <c:pt idx="20">
                  <c:v>2.4097</c:v>
                </c:pt>
                <c:pt idx="21">
                  <c:v>2.4372600000000002</c:v>
                </c:pt>
                <c:pt idx="22">
                  <c:v>2.4628700000000001</c:v>
                </c:pt>
                <c:pt idx="23">
                  <c:v>2.48821</c:v>
                </c:pt>
                <c:pt idx="24">
                  <c:v>2.5150499999999996</c:v>
                </c:pt>
                <c:pt idx="25">
                  <c:v>2.5425800000000001</c:v>
                </c:pt>
                <c:pt idx="26">
                  <c:v>2.57036</c:v>
                </c:pt>
                <c:pt idx="27">
                  <c:v>2.5980300000000001</c:v>
                </c:pt>
                <c:pt idx="28">
                  <c:v>2.6224999999999996</c:v>
                </c:pt>
                <c:pt idx="29">
                  <c:v>2.6461600000000001</c:v>
                </c:pt>
                <c:pt idx="30">
                  <c:v>2.6637399999999998</c:v>
                </c:pt>
                <c:pt idx="31">
                  <c:v>2.6764900000000003</c:v>
                </c:pt>
                <c:pt idx="32">
                  <c:v>2.6843299999999997</c:v>
                </c:pt>
                <c:pt idx="33">
                  <c:v>2.6902900000000001</c:v>
                </c:pt>
                <c:pt idx="34">
                  <c:v>2.6972</c:v>
                </c:pt>
                <c:pt idx="35">
                  <c:v>2.7045500000000002</c:v>
                </c:pt>
                <c:pt idx="36">
                  <c:v>2.7109399999999999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14.629300000000001</c:v>
                </c:pt>
                <c:pt idx="1">
                  <c:v>15.032999999999999</c:v>
                </c:pt>
                <c:pt idx="2">
                  <c:v>15.437799999999999</c:v>
                </c:pt>
                <c:pt idx="3">
                  <c:v>15.8467</c:v>
                </c:pt>
                <c:pt idx="4">
                  <c:v>16.252800000000001</c:v>
                </c:pt>
                <c:pt idx="5">
                  <c:v>16.6572</c:v>
                </c:pt>
                <c:pt idx="6">
                  <c:v>17.065899999999999</c:v>
                </c:pt>
                <c:pt idx="7">
                  <c:v>17.4693</c:v>
                </c:pt>
                <c:pt idx="8">
                  <c:v>17.8796</c:v>
                </c:pt>
                <c:pt idx="9">
                  <c:v>18.2881</c:v>
                </c:pt>
                <c:pt idx="10">
                  <c:v>18.6891</c:v>
                </c:pt>
                <c:pt idx="11">
                  <c:v>19.0946</c:v>
                </c:pt>
                <c:pt idx="12">
                  <c:v>19.501799999999999</c:v>
                </c:pt>
                <c:pt idx="13">
                  <c:v>19.9072</c:v>
                </c:pt>
                <c:pt idx="14">
                  <c:v>20.3188</c:v>
                </c:pt>
                <c:pt idx="15">
                  <c:v>20.720300000000002</c:v>
                </c:pt>
                <c:pt idx="16">
                  <c:v>21.127700000000001</c:v>
                </c:pt>
                <c:pt idx="17">
                  <c:v>21.536000000000001</c:v>
                </c:pt>
                <c:pt idx="18">
                  <c:v>21.942799999999998</c:v>
                </c:pt>
                <c:pt idx="19">
                  <c:v>22.348700000000001</c:v>
                </c:pt>
                <c:pt idx="20">
                  <c:v>22.7531</c:v>
                </c:pt>
                <c:pt idx="21">
                  <c:v>23.1586</c:v>
                </c:pt>
                <c:pt idx="22">
                  <c:v>23.563300000000002</c:v>
                </c:pt>
                <c:pt idx="23">
                  <c:v>23.972000000000001</c:v>
                </c:pt>
                <c:pt idx="24">
                  <c:v>24.3797</c:v>
                </c:pt>
                <c:pt idx="25">
                  <c:v>24.7864</c:v>
                </c:pt>
                <c:pt idx="26">
                  <c:v>25.1906</c:v>
                </c:pt>
                <c:pt idx="27">
                  <c:v>25.596299999999999</c:v>
                </c:pt>
                <c:pt idx="28">
                  <c:v>26.003900000000002</c:v>
                </c:pt>
                <c:pt idx="29">
                  <c:v>26.411999999999999</c:v>
                </c:pt>
                <c:pt idx="30">
                  <c:v>26.817699999999999</c:v>
                </c:pt>
                <c:pt idx="31">
                  <c:v>27.221699999999998</c:v>
                </c:pt>
                <c:pt idx="32">
                  <c:v>27.628</c:v>
                </c:pt>
                <c:pt idx="33">
                  <c:v>28.035599999999999</c:v>
                </c:pt>
                <c:pt idx="34">
                  <c:v>28.443000000000001</c:v>
                </c:pt>
                <c:pt idx="35">
                  <c:v>28.848099999999999</c:v>
                </c:pt>
                <c:pt idx="36">
                  <c:v>29.253399999999999</c:v>
                </c:pt>
                <c:pt idx="37">
                  <c:v>29.658100000000001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2.7109399999999999</c:v>
                </c:pt>
                <c:pt idx="1">
                  <c:v>2.7164899999999998</c:v>
                </c:pt>
                <c:pt idx="2">
                  <c:v>2.7240199999999999</c:v>
                </c:pt>
                <c:pt idx="3">
                  <c:v>2.7313100000000001</c:v>
                </c:pt>
                <c:pt idx="4">
                  <c:v>2.7347799999999998</c:v>
                </c:pt>
                <c:pt idx="5">
                  <c:v>2.7406799999999998</c:v>
                </c:pt>
                <c:pt idx="6">
                  <c:v>2.7503600000000001</c:v>
                </c:pt>
                <c:pt idx="7">
                  <c:v>2.7654899999999998</c:v>
                </c:pt>
                <c:pt idx="8">
                  <c:v>2.7841900000000002</c:v>
                </c:pt>
                <c:pt idx="9">
                  <c:v>2.8055099999999999</c:v>
                </c:pt>
                <c:pt idx="10">
                  <c:v>2.8231800000000002</c:v>
                </c:pt>
                <c:pt idx="11">
                  <c:v>2.8347099999999998</c:v>
                </c:pt>
                <c:pt idx="12">
                  <c:v>2.8451500000000003</c:v>
                </c:pt>
                <c:pt idx="13">
                  <c:v>2.8562099999999999</c:v>
                </c:pt>
                <c:pt idx="14">
                  <c:v>2.8659400000000002</c:v>
                </c:pt>
                <c:pt idx="15">
                  <c:v>2.8728799999999999</c:v>
                </c:pt>
                <c:pt idx="16">
                  <c:v>2.87887</c:v>
                </c:pt>
                <c:pt idx="17">
                  <c:v>2.8857300000000001</c:v>
                </c:pt>
                <c:pt idx="18">
                  <c:v>2.8947099999999999</c:v>
                </c:pt>
                <c:pt idx="19">
                  <c:v>2.9030200000000002</c:v>
                </c:pt>
                <c:pt idx="20">
                  <c:v>2.9105699999999999</c:v>
                </c:pt>
                <c:pt idx="21">
                  <c:v>2.9164600000000003</c:v>
                </c:pt>
                <c:pt idx="22">
                  <c:v>2.9208800000000004</c:v>
                </c:pt>
                <c:pt idx="23">
                  <c:v>2.9248600000000002</c:v>
                </c:pt>
                <c:pt idx="24">
                  <c:v>2.9272300000000002</c:v>
                </c:pt>
                <c:pt idx="25">
                  <c:v>2.9323100000000002</c:v>
                </c:pt>
                <c:pt idx="26">
                  <c:v>2.9430399999999999</c:v>
                </c:pt>
                <c:pt idx="27">
                  <c:v>2.9566300000000001</c:v>
                </c:pt>
                <c:pt idx="28">
                  <c:v>2.9695</c:v>
                </c:pt>
                <c:pt idx="29">
                  <c:v>2.9819299999999997</c:v>
                </c:pt>
                <c:pt idx="30">
                  <c:v>2.9868499999999996</c:v>
                </c:pt>
                <c:pt idx="31">
                  <c:v>2.9858800000000003</c:v>
                </c:pt>
                <c:pt idx="32">
                  <c:v>2.9783300000000001</c:v>
                </c:pt>
                <c:pt idx="33">
                  <c:v>2.9764900000000001</c:v>
                </c:pt>
                <c:pt idx="34">
                  <c:v>2.9821399999999998</c:v>
                </c:pt>
                <c:pt idx="35">
                  <c:v>2.9820899999999999</c:v>
                </c:pt>
                <c:pt idx="36">
                  <c:v>2.9807600000000001</c:v>
                </c:pt>
                <c:pt idx="37">
                  <c:v>2.98529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7.4145250000000003</c:v>
                </c:pt>
                <c:pt idx="1">
                  <c:v>22.243575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2.2267575675675677</c:v>
                </c:pt>
                <c:pt idx="1">
                  <c:v>2.8825532432432439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0.41134199999999999</c:v>
                </c:pt>
                <c:pt idx="2">
                  <c:v>0.81456499999999998</c:v>
                </c:pt>
                <c:pt idx="3">
                  <c:v>1.2204299999999999</c:v>
                </c:pt>
                <c:pt idx="4">
                  <c:v>1.629</c:v>
                </c:pt>
                <c:pt idx="5">
                  <c:v>2.0364100000000001</c:v>
                </c:pt>
                <c:pt idx="6">
                  <c:v>2.4422700000000002</c:v>
                </c:pt>
                <c:pt idx="7">
                  <c:v>2.8469000000000002</c:v>
                </c:pt>
                <c:pt idx="8">
                  <c:v>3.2522099999999998</c:v>
                </c:pt>
                <c:pt idx="9">
                  <c:v>3.6595499999999999</c:v>
                </c:pt>
                <c:pt idx="10">
                  <c:v>4.0654899999999996</c:v>
                </c:pt>
                <c:pt idx="11">
                  <c:v>4.4738199999999999</c:v>
                </c:pt>
                <c:pt idx="12">
                  <c:v>4.8839699999999997</c:v>
                </c:pt>
                <c:pt idx="13">
                  <c:v>5.2850999999999999</c:v>
                </c:pt>
                <c:pt idx="14">
                  <c:v>5.6881399999999998</c:v>
                </c:pt>
                <c:pt idx="15">
                  <c:v>6.0982599999999998</c:v>
                </c:pt>
                <c:pt idx="16">
                  <c:v>6.5017899999999997</c:v>
                </c:pt>
                <c:pt idx="17">
                  <c:v>6.90937</c:v>
                </c:pt>
                <c:pt idx="18">
                  <c:v>7.31454</c:v>
                </c:pt>
                <c:pt idx="19">
                  <c:v>7.7199299999999997</c:v>
                </c:pt>
                <c:pt idx="20">
                  <c:v>8.1300299999999996</c:v>
                </c:pt>
                <c:pt idx="21">
                  <c:v>8.5326000000000004</c:v>
                </c:pt>
                <c:pt idx="22">
                  <c:v>8.9426699999999997</c:v>
                </c:pt>
                <c:pt idx="23">
                  <c:v>9.3456299999999999</c:v>
                </c:pt>
                <c:pt idx="24">
                  <c:v>9.7521000000000004</c:v>
                </c:pt>
                <c:pt idx="25">
                  <c:v>10.1577</c:v>
                </c:pt>
                <c:pt idx="26">
                  <c:v>10.5669</c:v>
                </c:pt>
                <c:pt idx="27">
                  <c:v>10.9756</c:v>
                </c:pt>
                <c:pt idx="28">
                  <c:v>11.3787</c:v>
                </c:pt>
                <c:pt idx="29">
                  <c:v>11.782500000000001</c:v>
                </c:pt>
                <c:pt idx="30">
                  <c:v>12.189</c:v>
                </c:pt>
                <c:pt idx="31">
                  <c:v>12.5976</c:v>
                </c:pt>
                <c:pt idx="32">
                  <c:v>13.0055</c:v>
                </c:pt>
                <c:pt idx="33">
                  <c:v>13.407999999999999</c:v>
                </c:pt>
                <c:pt idx="34">
                  <c:v>13.813800000000001</c:v>
                </c:pt>
                <c:pt idx="35">
                  <c:v>14.221399999999999</c:v>
                </c:pt>
                <c:pt idx="36">
                  <c:v>14.629300000000001</c:v>
                </c:pt>
                <c:pt idx="37">
                  <c:v>15.032999999999999</c:v>
                </c:pt>
                <c:pt idx="38">
                  <c:v>15.437799999999999</c:v>
                </c:pt>
                <c:pt idx="39">
                  <c:v>15.8467</c:v>
                </c:pt>
                <c:pt idx="40">
                  <c:v>16.252800000000001</c:v>
                </c:pt>
                <c:pt idx="41">
                  <c:v>16.6572</c:v>
                </c:pt>
                <c:pt idx="42">
                  <c:v>17.065899999999999</c:v>
                </c:pt>
                <c:pt idx="43">
                  <c:v>17.4693</c:v>
                </c:pt>
                <c:pt idx="44">
                  <c:v>17.8796</c:v>
                </c:pt>
                <c:pt idx="45">
                  <c:v>18.2881</c:v>
                </c:pt>
                <c:pt idx="46">
                  <c:v>18.6891</c:v>
                </c:pt>
                <c:pt idx="47">
                  <c:v>19.0946</c:v>
                </c:pt>
                <c:pt idx="48">
                  <c:v>19.501799999999999</c:v>
                </c:pt>
                <c:pt idx="49">
                  <c:v>19.9072</c:v>
                </c:pt>
                <c:pt idx="50">
                  <c:v>20.3188</c:v>
                </c:pt>
                <c:pt idx="51">
                  <c:v>20.720300000000002</c:v>
                </c:pt>
                <c:pt idx="52">
                  <c:v>21.127700000000001</c:v>
                </c:pt>
                <c:pt idx="53">
                  <c:v>21.536000000000001</c:v>
                </c:pt>
                <c:pt idx="54">
                  <c:v>21.942799999999998</c:v>
                </c:pt>
                <c:pt idx="55">
                  <c:v>22.348700000000001</c:v>
                </c:pt>
                <c:pt idx="56">
                  <c:v>22.7531</c:v>
                </c:pt>
                <c:pt idx="57">
                  <c:v>23.1586</c:v>
                </c:pt>
                <c:pt idx="58">
                  <c:v>23.563300000000002</c:v>
                </c:pt>
                <c:pt idx="59">
                  <c:v>23.972000000000001</c:v>
                </c:pt>
                <c:pt idx="60">
                  <c:v>24.3797</c:v>
                </c:pt>
                <c:pt idx="61">
                  <c:v>24.7864</c:v>
                </c:pt>
                <c:pt idx="62">
                  <c:v>25.1906</c:v>
                </c:pt>
                <c:pt idx="63">
                  <c:v>25.596299999999999</c:v>
                </c:pt>
                <c:pt idx="64">
                  <c:v>26.003900000000002</c:v>
                </c:pt>
                <c:pt idx="65">
                  <c:v>26.411999999999999</c:v>
                </c:pt>
                <c:pt idx="66">
                  <c:v>26.817699999999999</c:v>
                </c:pt>
                <c:pt idx="67">
                  <c:v>27.221699999999998</c:v>
                </c:pt>
                <c:pt idx="68">
                  <c:v>27.628</c:v>
                </c:pt>
                <c:pt idx="69">
                  <c:v>28.035599999999999</c:v>
                </c:pt>
                <c:pt idx="70">
                  <c:v>28.443000000000001</c:v>
                </c:pt>
                <c:pt idx="71">
                  <c:v>28.848099999999999</c:v>
                </c:pt>
                <c:pt idx="72">
                  <c:v>29.253399999999999</c:v>
                </c:pt>
                <c:pt idx="73">
                  <c:v>29.658100000000001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63.572700000000005</c:v>
                </c:pt>
                <c:pt idx="1">
                  <c:v>62.356500000000004</c:v>
                </c:pt>
                <c:pt idx="2">
                  <c:v>61.190199999999997</c:v>
                </c:pt>
                <c:pt idx="3">
                  <c:v>60.070399999999999</c:v>
                </c:pt>
                <c:pt idx="4">
                  <c:v>59.0627</c:v>
                </c:pt>
                <c:pt idx="5">
                  <c:v>58.038999999999994</c:v>
                </c:pt>
                <c:pt idx="6">
                  <c:v>56.824200000000005</c:v>
                </c:pt>
                <c:pt idx="7">
                  <c:v>55.597300000000004</c:v>
                </c:pt>
                <c:pt idx="8">
                  <c:v>54.442700000000002</c:v>
                </c:pt>
                <c:pt idx="9">
                  <c:v>53.073</c:v>
                </c:pt>
                <c:pt idx="10">
                  <c:v>51.649900000000002</c:v>
                </c:pt>
                <c:pt idx="11">
                  <c:v>50.262300000000003</c:v>
                </c:pt>
                <c:pt idx="12">
                  <c:v>49.036499999999997</c:v>
                </c:pt>
                <c:pt idx="13">
                  <c:v>47.945799999999998</c:v>
                </c:pt>
                <c:pt idx="14">
                  <c:v>46.892899999999997</c:v>
                </c:pt>
                <c:pt idx="15">
                  <c:v>45.957500000000003</c:v>
                </c:pt>
                <c:pt idx="16">
                  <c:v>45.314300000000003</c:v>
                </c:pt>
                <c:pt idx="17">
                  <c:v>44.7395</c:v>
                </c:pt>
                <c:pt idx="18">
                  <c:v>44.172600000000003</c:v>
                </c:pt>
                <c:pt idx="19">
                  <c:v>43.782700000000006</c:v>
                </c:pt>
                <c:pt idx="20">
                  <c:v>43.564399999999999</c:v>
                </c:pt>
                <c:pt idx="21">
                  <c:v>43.396099999999997</c:v>
                </c:pt>
                <c:pt idx="22">
                  <c:v>43.262799999999999</c:v>
                </c:pt>
                <c:pt idx="23">
                  <c:v>43.154399999999995</c:v>
                </c:pt>
                <c:pt idx="24">
                  <c:v>42.945599999999999</c:v>
                </c:pt>
                <c:pt idx="25">
                  <c:v>42.598300000000002</c:v>
                </c:pt>
                <c:pt idx="26">
                  <c:v>42.263199999999998</c:v>
                </c:pt>
                <c:pt idx="27">
                  <c:v>41.928800000000003</c:v>
                </c:pt>
                <c:pt idx="28">
                  <c:v>41.666599999999995</c:v>
                </c:pt>
                <c:pt idx="29">
                  <c:v>41.489599999999996</c:v>
                </c:pt>
                <c:pt idx="30">
                  <c:v>41.380400000000002</c:v>
                </c:pt>
                <c:pt idx="31">
                  <c:v>41.347699999999996</c:v>
                </c:pt>
                <c:pt idx="32">
                  <c:v>41.379199999999997</c:v>
                </c:pt>
                <c:pt idx="33">
                  <c:v>41.315300000000001</c:v>
                </c:pt>
                <c:pt idx="34">
                  <c:v>41.141800000000003</c:v>
                </c:pt>
                <c:pt idx="35">
                  <c:v>40.922399999999996</c:v>
                </c:pt>
                <c:pt idx="36">
                  <c:v>40.700499999999998</c:v>
                </c:pt>
                <c:pt idx="37">
                  <c:v>40.564299999999996</c:v>
                </c:pt>
                <c:pt idx="38">
                  <c:v>40.431200000000004</c:v>
                </c:pt>
                <c:pt idx="39">
                  <c:v>40.317700000000002</c:v>
                </c:pt>
                <c:pt idx="40">
                  <c:v>40.383299999999998</c:v>
                </c:pt>
                <c:pt idx="41">
                  <c:v>40.432400000000001</c:v>
                </c:pt>
                <c:pt idx="42">
                  <c:v>40.375100000000003</c:v>
                </c:pt>
                <c:pt idx="43">
                  <c:v>40.242400000000004</c:v>
                </c:pt>
                <c:pt idx="44">
                  <c:v>40.0364</c:v>
                </c:pt>
                <c:pt idx="45">
                  <c:v>39.8431</c:v>
                </c:pt>
                <c:pt idx="46">
                  <c:v>39.758500000000005</c:v>
                </c:pt>
                <c:pt idx="47">
                  <c:v>39.891599999999997</c:v>
                </c:pt>
                <c:pt idx="48">
                  <c:v>40.084199999999996</c:v>
                </c:pt>
                <c:pt idx="49">
                  <c:v>40.221400000000003</c:v>
                </c:pt>
                <c:pt idx="50">
                  <c:v>40.385300000000001</c:v>
                </c:pt>
                <c:pt idx="51">
                  <c:v>40.509299999999996</c:v>
                </c:pt>
                <c:pt idx="52">
                  <c:v>40.512799999999999</c:v>
                </c:pt>
                <c:pt idx="53">
                  <c:v>40.472200000000001</c:v>
                </c:pt>
                <c:pt idx="54">
                  <c:v>40.410600000000002</c:v>
                </c:pt>
                <c:pt idx="55">
                  <c:v>40.3825</c:v>
                </c:pt>
                <c:pt idx="56">
                  <c:v>40.448599999999999</c:v>
                </c:pt>
                <c:pt idx="57">
                  <c:v>40.597000000000001</c:v>
                </c:pt>
                <c:pt idx="58">
                  <c:v>40.781600000000005</c:v>
                </c:pt>
                <c:pt idx="59">
                  <c:v>40.959600000000002</c:v>
                </c:pt>
                <c:pt idx="60">
                  <c:v>41.041699999999999</c:v>
                </c:pt>
                <c:pt idx="61">
                  <c:v>41.140900000000002</c:v>
                </c:pt>
                <c:pt idx="62">
                  <c:v>41.115000000000002</c:v>
                </c:pt>
                <c:pt idx="63">
                  <c:v>41.030100000000004</c:v>
                </c:pt>
                <c:pt idx="64">
                  <c:v>41.038200000000003</c:v>
                </c:pt>
                <c:pt idx="65">
                  <c:v>41.072199999999995</c:v>
                </c:pt>
                <c:pt idx="66">
                  <c:v>41.303100000000001</c:v>
                </c:pt>
                <c:pt idx="67">
                  <c:v>41.6815</c:v>
                </c:pt>
                <c:pt idx="68">
                  <c:v>42.0122</c:v>
                </c:pt>
                <c:pt idx="69">
                  <c:v>42.0289</c:v>
                </c:pt>
                <c:pt idx="70">
                  <c:v>41.7425</c:v>
                </c:pt>
                <c:pt idx="71">
                  <c:v>41.708300000000001</c:v>
                </c:pt>
                <c:pt idx="72">
                  <c:v>41.931200000000004</c:v>
                </c:pt>
                <c:pt idx="73">
                  <c:v>41.9084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0.41134199999999999</c:v>
                </c:pt>
                <c:pt idx="2">
                  <c:v>0.81456499999999998</c:v>
                </c:pt>
                <c:pt idx="3">
                  <c:v>1.2204299999999999</c:v>
                </c:pt>
                <c:pt idx="4">
                  <c:v>1.629</c:v>
                </c:pt>
                <c:pt idx="5">
                  <c:v>2.0364100000000001</c:v>
                </c:pt>
                <c:pt idx="6">
                  <c:v>2.4422700000000002</c:v>
                </c:pt>
                <c:pt idx="7">
                  <c:v>2.8469000000000002</c:v>
                </c:pt>
                <c:pt idx="8">
                  <c:v>3.2522099999999998</c:v>
                </c:pt>
                <c:pt idx="9">
                  <c:v>3.6595499999999999</c:v>
                </c:pt>
                <c:pt idx="10">
                  <c:v>4.0654899999999996</c:v>
                </c:pt>
                <c:pt idx="11">
                  <c:v>4.4738199999999999</c:v>
                </c:pt>
                <c:pt idx="12">
                  <c:v>4.8839699999999997</c:v>
                </c:pt>
                <c:pt idx="13">
                  <c:v>5.2850999999999999</c:v>
                </c:pt>
                <c:pt idx="14">
                  <c:v>5.6881399999999998</c:v>
                </c:pt>
                <c:pt idx="15">
                  <c:v>6.0982599999999998</c:v>
                </c:pt>
                <c:pt idx="16">
                  <c:v>6.5017899999999997</c:v>
                </c:pt>
                <c:pt idx="17">
                  <c:v>6.90937</c:v>
                </c:pt>
                <c:pt idx="18">
                  <c:v>7.31454</c:v>
                </c:pt>
                <c:pt idx="19">
                  <c:v>7.7199299999999997</c:v>
                </c:pt>
                <c:pt idx="20">
                  <c:v>8.1300299999999996</c:v>
                </c:pt>
                <c:pt idx="21">
                  <c:v>8.5326000000000004</c:v>
                </c:pt>
                <c:pt idx="22">
                  <c:v>8.9426699999999997</c:v>
                </c:pt>
                <c:pt idx="23">
                  <c:v>9.3456299999999999</c:v>
                </c:pt>
                <c:pt idx="24">
                  <c:v>9.7521000000000004</c:v>
                </c:pt>
                <c:pt idx="25">
                  <c:v>10.1577</c:v>
                </c:pt>
                <c:pt idx="26">
                  <c:v>10.5669</c:v>
                </c:pt>
                <c:pt idx="27">
                  <c:v>10.9756</c:v>
                </c:pt>
                <c:pt idx="28">
                  <c:v>11.3787</c:v>
                </c:pt>
                <c:pt idx="29">
                  <c:v>11.782500000000001</c:v>
                </c:pt>
                <c:pt idx="30">
                  <c:v>12.189</c:v>
                </c:pt>
                <c:pt idx="31">
                  <c:v>12.5976</c:v>
                </c:pt>
                <c:pt idx="32">
                  <c:v>13.0055</c:v>
                </c:pt>
                <c:pt idx="33">
                  <c:v>13.407999999999999</c:v>
                </c:pt>
                <c:pt idx="34">
                  <c:v>13.813800000000001</c:v>
                </c:pt>
                <c:pt idx="35">
                  <c:v>14.221399999999999</c:v>
                </c:pt>
                <c:pt idx="36">
                  <c:v>14.629300000000001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63.572700000000005</c:v>
                </c:pt>
                <c:pt idx="1">
                  <c:v>62.356500000000004</c:v>
                </c:pt>
                <c:pt idx="2">
                  <c:v>61.190199999999997</c:v>
                </c:pt>
                <c:pt idx="3">
                  <c:v>60.070399999999999</c:v>
                </c:pt>
                <c:pt idx="4">
                  <c:v>59.0627</c:v>
                </c:pt>
                <c:pt idx="5">
                  <c:v>58.038999999999994</c:v>
                </c:pt>
                <c:pt idx="6">
                  <c:v>56.824200000000005</c:v>
                </c:pt>
                <c:pt idx="7">
                  <c:v>55.597300000000004</c:v>
                </c:pt>
                <c:pt idx="8">
                  <c:v>54.442700000000002</c:v>
                </c:pt>
                <c:pt idx="9">
                  <c:v>53.073</c:v>
                </c:pt>
                <c:pt idx="10">
                  <c:v>51.649900000000002</c:v>
                </c:pt>
                <c:pt idx="11">
                  <c:v>50.262300000000003</c:v>
                </c:pt>
                <c:pt idx="12">
                  <c:v>49.036499999999997</c:v>
                </c:pt>
                <c:pt idx="13">
                  <c:v>47.945799999999998</c:v>
                </c:pt>
                <c:pt idx="14">
                  <c:v>46.892899999999997</c:v>
                </c:pt>
                <c:pt idx="15">
                  <c:v>45.957500000000003</c:v>
                </c:pt>
                <c:pt idx="16">
                  <c:v>45.314300000000003</c:v>
                </c:pt>
                <c:pt idx="17">
                  <c:v>44.7395</c:v>
                </c:pt>
                <c:pt idx="18">
                  <c:v>44.172600000000003</c:v>
                </c:pt>
                <c:pt idx="19">
                  <c:v>43.782700000000006</c:v>
                </c:pt>
                <c:pt idx="20">
                  <c:v>43.564399999999999</c:v>
                </c:pt>
                <c:pt idx="21">
                  <c:v>43.396099999999997</c:v>
                </c:pt>
                <c:pt idx="22">
                  <c:v>43.262799999999999</c:v>
                </c:pt>
                <c:pt idx="23">
                  <c:v>43.154399999999995</c:v>
                </c:pt>
                <c:pt idx="24">
                  <c:v>42.945599999999999</c:v>
                </c:pt>
                <c:pt idx="25">
                  <c:v>42.598300000000002</c:v>
                </c:pt>
                <c:pt idx="26">
                  <c:v>42.263199999999998</c:v>
                </c:pt>
                <c:pt idx="27">
                  <c:v>41.928800000000003</c:v>
                </c:pt>
                <c:pt idx="28">
                  <c:v>41.666599999999995</c:v>
                </c:pt>
                <c:pt idx="29">
                  <c:v>41.489599999999996</c:v>
                </c:pt>
                <c:pt idx="30">
                  <c:v>41.380400000000002</c:v>
                </c:pt>
                <c:pt idx="31">
                  <c:v>41.347699999999996</c:v>
                </c:pt>
                <c:pt idx="32">
                  <c:v>41.379199999999997</c:v>
                </c:pt>
                <c:pt idx="33">
                  <c:v>41.315300000000001</c:v>
                </c:pt>
                <c:pt idx="34">
                  <c:v>41.141800000000003</c:v>
                </c:pt>
                <c:pt idx="35">
                  <c:v>40.922399999999996</c:v>
                </c:pt>
                <c:pt idx="36">
                  <c:v>40.700499999999998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14.629300000000001</c:v>
                </c:pt>
                <c:pt idx="1">
                  <c:v>15.032999999999999</c:v>
                </c:pt>
                <c:pt idx="2">
                  <c:v>15.437799999999999</c:v>
                </c:pt>
                <c:pt idx="3">
                  <c:v>15.8467</c:v>
                </c:pt>
                <c:pt idx="4">
                  <c:v>16.252800000000001</c:v>
                </c:pt>
                <c:pt idx="5">
                  <c:v>16.6572</c:v>
                </c:pt>
                <c:pt idx="6">
                  <c:v>17.065899999999999</c:v>
                </c:pt>
                <c:pt idx="7">
                  <c:v>17.4693</c:v>
                </c:pt>
                <c:pt idx="8">
                  <c:v>17.8796</c:v>
                </c:pt>
                <c:pt idx="9">
                  <c:v>18.2881</c:v>
                </c:pt>
                <c:pt idx="10">
                  <c:v>18.6891</c:v>
                </c:pt>
                <c:pt idx="11">
                  <c:v>19.0946</c:v>
                </c:pt>
                <c:pt idx="12">
                  <c:v>19.501799999999999</c:v>
                </c:pt>
                <c:pt idx="13">
                  <c:v>19.9072</c:v>
                </c:pt>
                <c:pt idx="14">
                  <c:v>20.3188</c:v>
                </c:pt>
                <c:pt idx="15">
                  <c:v>20.720300000000002</c:v>
                </c:pt>
                <c:pt idx="16">
                  <c:v>21.127700000000001</c:v>
                </c:pt>
                <c:pt idx="17">
                  <c:v>21.536000000000001</c:v>
                </c:pt>
                <c:pt idx="18">
                  <c:v>21.942799999999998</c:v>
                </c:pt>
                <c:pt idx="19">
                  <c:v>22.348700000000001</c:v>
                </c:pt>
                <c:pt idx="20">
                  <c:v>22.7531</c:v>
                </c:pt>
                <c:pt idx="21">
                  <c:v>23.1586</c:v>
                </c:pt>
                <c:pt idx="22">
                  <c:v>23.563300000000002</c:v>
                </c:pt>
                <c:pt idx="23">
                  <c:v>23.972000000000001</c:v>
                </c:pt>
                <c:pt idx="24">
                  <c:v>24.3797</c:v>
                </c:pt>
                <c:pt idx="25">
                  <c:v>24.7864</c:v>
                </c:pt>
                <c:pt idx="26">
                  <c:v>25.1906</c:v>
                </c:pt>
                <c:pt idx="27">
                  <c:v>25.596299999999999</c:v>
                </c:pt>
                <c:pt idx="28">
                  <c:v>26.003900000000002</c:v>
                </c:pt>
                <c:pt idx="29">
                  <c:v>26.411999999999999</c:v>
                </c:pt>
                <c:pt idx="30">
                  <c:v>26.817699999999999</c:v>
                </c:pt>
                <c:pt idx="31">
                  <c:v>27.221699999999998</c:v>
                </c:pt>
                <c:pt idx="32">
                  <c:v>27.628</c:v>
                </c:pt>
                <c:pt idx="33">
                  <c:v>28.035599999999999</c:v>
                </c:pt>
                <c:pt idx="34">
                  <c:v>28.443000000000001</c:v>
                </c:pt>
                <c:pt idx="35">
                  <c:v>28.848099999999999</c:v>
                </c:pt>
                <c:pt idx="36">
                  <c:v>29.253399999999999</c:v>
                </c:pt>
                <c:pt idx="37">
                  <c:v>29.658100000000001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40.700499999999998</c:v>
                </c:pt>
                <c:pt idx="1">
                  <c:v>40.564299999999996</c:v>
                </c:pt>
                <c:pt idx="2">
                  <c:v>40.431200000000004</c:v>
                </c:pt>
                <c:pt idx="3">
                  <c:v>40.317700000000002</c:v>
                </c:pt>
                <c:pt idx="4">
                  <c:v>40.383299999999998</c:v>
                </c:pt>
                <c:pt idx="5">
                  <c:v>40.432400000000001</c:v>
                </c:pt>
                <c:pt idx="6">
                  <c:v>40.375100000000003</c:v>
                </c:pt>
                <c:pt idx="7">
                  <c:v>40.242400000000004</c:v>
                </c:pt>
                <c:pt idx="8">
                  <c:v>40.0364</c:v>
                </c:pt>
                <c:pt idx="9">
                  <c:v>39.8431</c:v>
                </c:pt>
                <c:pt idx="10">
                  <c:v>39.758500000000005</c:v>
                </c:pt>
                <c:pt idx="11">
                  <c:v>39.891599999999997</c:v>
                </c:pt>
                <c:pt idx="12">
                  <c:v>40.084199999999996</c:v>
                </c:pt>
                <c:pt idx="13">
                  <c:v>40.221400000000003</c:v>
                </c:pt>
                <c:pt idx="14">
                  <c:v>40.385300000000001</c:v>
                </c:pt>
                <c:pt idx="15">
                  <c:v>40.509299999999996</c:v>
                </c:pt>
                <c:pt idx="16">
                  <c:v>40.512799999999999</c:v>
                </c:pt>
                <c:pt idx="17">
                  <c:v>40.472200000000001</c:v>
                </c:pt>
                <c:pt idx="18">
                  <c:v>40.410600000000002</c:v>
                </c:pt>
                <c:pt idx="19">
                  <c:v>40.3825</c:v>
                </c:pt>
                <c:pt idx="20">
                  <c:v>40.448599999999999</c:v>
                </c:pt>
                <c:pt idx="21">
                  <c:v>40.597000000000001</c:v>
                </c:pt>
                <c:pt idx="22">
                  <c:v>40.781600000000005</c:v>
                </c:pt>
                <c:pt idx="23">
                  <c:v>40.959600000000002</c:v>
                </c:pt>
                <c:pt idx="24">
                  <c:v>41.041699999999999</c:v>
                </c:pt>
                <c:pt idx="25">
                  <c:v>41.140900000000002</c:v>
                </c:pt>
                <c:pt idx="26">
                  <c:v>41.115000000000002</c:v>
                </c:pt>
                <c:pt idx="27">
                  <c:v>41.030100000000004</c:v>
                </c:pt>
                <c:pt idx="28">
                  <c:v>41.038200000000003</c:v>
                </c:pt>
                <c:pt idx="29">
                  <c:v>41.072199999999995</c:v>
                </c:pt>
                <c:pt idx="30">
                  <c:v>41.303100000000001</c:v>
                </c:pt>
                <c:pt idx="31">
                  <c:v>41.6815</c:v>
                </c:pt>
                <c:pt idx="32">
                  <c:v>42.0122</c:v>
                </c:pt>
                <c:pt idx="33">
                  <c:v>42.0289</c:v>
                </c:pt>
                <c:pt idx="34">
                  <c:v>41.7425</c:v>
                </c:pt>
                <c:pt idx="35">
                  <c:v>41.708300000000001</c:v>
                </c:pt>
                <c:pt idx="36">
                  <c:v>41.931200000000004</c:v>
                </c:pt>
                <c:pt idx="37">
                  <c:v>41.9084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7.4145250000000003</c:v>
                </c:pt>
                <c:pt idx="1">
                  <c:v>22.243575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47.795670270270271</c:v>
                </c:pt>
                <c:pt idx="1">
                  <c:v>40.778251351351351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23.7776</c:v>
                </c:pt>
                <c:pt idx="1">
                  <c:v>37.252400000000002</c:v>
                </c:pt>
                <c:pt idx="2">
                  <c:v>35.495600000000003</c:v>
                </c:pt>
                <c:pt idx="3">
                  <c:v>31.403300000000002</c:v>
                </c:pt>
                <c:pt idx="4">
                  <c:v>70.710599999999999</c:v>
                </c:pt>
                <c:pt idx="5">
                  <c:v>60.901499999999999</c:v>
                </c:pt>
                <c:pt idx="6">
                  <c:v>9.2267100000000006</c:v>
                </c:pt>
                <c:pt idx="7">
                  <c:v>65.418400000000005</c:v>
                </c:pt>
                <c:pt idx="8">
                  <c:v>13.1281</c:v>
                </c:pt>
                <c:pt idx="9">
                  <c:v>9.9646699999999999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35.586799999999997</c:v>
                </c:pt>
                <c:pt idx="1">
                  <c:v>36.734499999999997</c:v>
                </c:pt>
                <c:pt idx="2">
                  <c:v>34.187399999999997</c:v>
                </c:pt>
                <c:pt idx="3">
                  <c:v>35.784799999999997</c:v>
                </c:pt>
                <c:pt idx="4">
                  <c:v>71.420400000000001</c:v>
                </c:pt>
                <c:pt idx="5">
                  <c:v>72.021299999999997</c:v>
                </c:pt>
                <c:pt idx="6">
                  <c:v>15.7723</c:v>
                </c:pt>
                <c:pt idx="7">
                  <c:v>71.575400000000002</c:v>
                </c:pt>
                <c:pt idx="8">
                  <c:v>13.3515</c:v>
                </c:pt>
                <c:pt idx="9">
                  <c:v>11.0792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0.54225179505360088</c:v>
                </c:pt>
                <c:pt idx="1">
                  <c:v>0.33632606425846934</c:v>
                </c:pt>
                <c:pt idx="2">
                  <c:v>0.12142214068792984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6622</c:v>
                </c:pt>
                <c:pt idx="7">
                  <c:v>0</c:v>
                </c:pt>
                <c:pt idx="8">
                  <c:v>9412</c:v>
                </c:pt>
                <c:pt idx="9">
                  <c:v>0</c:v>
                </c:pt>
                <c:pt idx="10">
                  <c:v>0</c:v>
                </c:pt>
                <c:pt idx="11">
                  <c:v>14528</c:v>
                </c:pt>
                <c:pt idx="12">
                  <c:v>0</c:v>
                </c:pt>
                <c:pt idx="13">
                  <c:v>16900</c:v>
                </c:pt>
                <c:pt idx="14">
                  <c:v>0</c:v>
                </c:pt>
                <c:pt idx="15">
                  <c:v>0</c:v>
                </c:pt>
                <c:pt idx="16">
                  <c:v>18243</c:v>
                </c:pt>
                <c:pt idx="17">
                  <c:v>0</c:v>
                </c:pt>
                <c:pt idx="18">
                  <c:v>0</c:v>
                </c:pt>
                <c:pt idx="19">
                  <c:v>20185</c:v>
                </c:pt>
                <c:pt idx="20">
                  <c:v>0</c:v>
                </c:pt>
                <c:pt idx="21">
                  <c:v>29779</c:v>
                </c:pt>
                <c:pt idx="22">
                  <c:v>0</c:v>
                </c:pt>
                <c:pt idx="23">
                  <c:v>0</c:v>
                </c:pt>
                <c:pt idx="24">
                  <c:v>31446</c:v>
                </c:pt>
                <c:pt idx="25">
                  <c:v>0</c:v>
                </c:pt>
                <c:pt idx="26">
                  <c:v>29691</c:v>
                </c:pt>
                <c:pt idx="27">
                  <c:v>0</c:v>
                </c:pt>
                <c:pt idx="28">
                  <c:v>0</c:v>
                </c:pt>
                <c:pt idx="29">
                  <c:v>32235</c:v>
                </c:pt>
                <c:pt idx="30">
                  <c:v>0</c:v>
                </c:pt>
                <c:pt idx="31">
                  <c:v>31628</c:v>
                </c:pt>
                <c:pt idx="32">
                  <c:v>0</c:v>
                </c:pt>
                <c:pt idx="33">
                  <c:v>0</c:v>
                </c:pt>
                <c:pt idx="34">
                  <c:v>32809</c:v>
                </c:pt>
                <c:pt idx="35">
                  <c:v>0</c:v>
                </c:pt>
                <c:pt idx="36">
                  <c:v>0</c:v>
                </c:pt>
                <c:pt idx="37">
                  <c:v>31913</c:v>
                </c:pt>
                <c:pt idx="38">
                  <c:v>0</c:v>
                </c:pt>
                <c:pt idx="39">
                  <c:v>35798</c:v>
                </c:pt>
                <c:pt idx="40">
                  <c:v>0</c:v>
                </c:pt>
                <c:pt idx="41">
                  <c:v>0</c:v>
                </c:pt>
                <c:pt idx="42">
                  <c:v>30799</c:v>
                </c:pt>
                <c:pt idx="43">
                  <c:v>0</c:v>
                </c:pt>
                <c:pt idx="44">
                  <c:v>28700</c:v>
                </c:pt>
                <c:pt idx="45">
                  <c:v>0</c:v>
                </c:pt>
                <c:pt idx="46">
                  <c:v>0</c:v>
                </c:pt>
                <c:pt idx="47">
                  <c:v>27857</c:v>
                </c:pt>
                <c:pt idx="48">
                  <c:v>0</c:v>
                </c:pt>
                <c:pt idx="49">
                  <c:v>22992</c:v>
                </c:pt>
                <c:pt idx="50">
                  <c:v>0</c:v>
                </c:pt>
                <c:pt idx="51">
                  <c:v>0</c:v>
                </c:pt>
                <c:pt idx="52">
                  <c:v>25295</c:v>
                </c:pt>
                <c:pt idx="53">
                  <c:v>0</c:v>
                </c:pt>
                <c:pt idx="54">
                  <c:v>0</c:v>
                </c:pt>
                <c:pt idx="55">
                  <c:v>22420</c:v>
                </c:pt>
                <c:pt idx="56">
                  <c:v>0</c:v>
                </c:pt>
                <c:pt idx="57">
                  <c:v>23630</c:v>
                </c:pt>
                <c:pt idx="58">
                  <c:v>0</c:v>
                </c:pt>
                <c:pt idx="59">
                  <c:v>0</c:v>
                </c:pt>
                <c:pt idx="60">
                  <c:v>20463</c:v>
                </c:pt>
                <c:pt idx="61">
                  <c:v>0</c:v>
                </c:pt>
                <c:pt idx="62">
                  <c:v>19695</c:v>
                </c:pt>
                <c:pt idx="63">
                  <c:v>0</c:v>
                </c:pt>
                <c:pt idx="64">
                  <c:v>0</c:v>
                </c:pt>
                <c:pt idx="65">
                  <c:v>17695</c:v>
                </c:pt>
                <c:pt idx="66">
                  <c:v>0</c:v>
                </c:pt>
                <c:pt idx="67">
                  <c:v>15211</c:v>
                </c:pt>
                <c:pt idx="68">
                  <c:v>0</c:v>
                </c:pt>
                <c:pt idx="69">
                  <c:v>0</c:v>
                </c:pt>
                <c:pt idx="70">
                  <c:v>13481</c:v>
                </c:pt>
                <c:pt idx="71">
                  <c:v>0</c:v>
                </c:pt>
                <c:pt idx="72">
                  <c:v>0</c:v>
                </c:pt>
                <c:pt idx="73">
                  <c:v>13742</c:v>
                </c:pt>
                <c:pt idx="74">
                  <c:v>0</c:v>
                </c:pt>
                <c:pt idx="75">
                  <c:v>11389</c:v>
                </c:pt>
                <c:pt idx="76">
                  <c:v>0</c:v>
                </c:pt>
                <c:pt idx="77">
                  <c:v>0</c:v>
                </c:pt>
                <c:pt idx="78">
                  <c:v>10580</c:v>
                </c:pt>
                <c:pt idx="79">
                  <c:v>0</c:v>
                </c:pt>
                <c:pt idx="80">
                  <c:v>9848</c:v>
                </c:pt>
                <c:pt idx="81">
                  <c:v>0</c:v>
                </c:pt>
                <c:pt idx="82">
                  <c:v>0</c:v>
                </c:pt>
                <c:pt idx="83">
                  <c:v>9916</c:v>
                </c:pt>
                <c:pt idx="84">
                  <c:v>0</c:v>
                </c:pt>
                <c:pt idx="85">
                  <c:v>0</c:v>
                </c:pt>
                <c:pt idx="86">
                  <c:v>9172</c:v>
                </c:pt>
                <c:pt idx="87">
                  <c:v>0</c:v>
                </c:pt>
                <c:pt idx="88">
                  <c:v>9660</c:v>
                </c:pt>
                <c:pt idx="89">
                  <c:v>0</c:v>
                </c:pt>
                <c:pt idx="90">
                  <c:v>0</c:v>
                </c:pt>
                <c:pt idx="91">
                  <c:v>7188</c:v>
                </c:pt>
                <c:pt idx="92">
                  <c:v>0</c:v>
                </c:pt>
                <c:pt idx="93">
                  <c:v>7451</c:v>
                </c:pt>
                <c:pt idx="94">
                  <c:v>0</c:v>
                </c:pt>
                <c:pt idx="95">
                  <c:v>0</c:v>
                </c:pt>
                <c:pt idx="96">
                  <c:v>6104</c:v>
                </c:pt>
                <c:pt idx="97">
                  <c:v>0</c:v>
                </c:pt>
                <c:pt idx="98">
                  <c:v>5463</c:v>
                </c:pt>
                <c:pt idx="99">
                  <c:v>0</c:v>
                </c:pt>
                <c:pt idx="100">
                  <c:v>0</c:v>
                </c:pt>
                <c:pt idx="101">
                  <c:v>6214</c:v>
                </c:pt>
                <c:pt idx="102">
                  <c:v>0</c:v>
                </c:pt>
                <c:pt idx="103">
                  <c:v>0</c:v>
                </c:pt>
                <c:pt idx="104">
                  <c:v>5264</c:v>
                </c:pt>
                <c:pt idx="105">
                  <c:v>0</c:v>
                </c:pt>
                <c:pt idx="106">
                  <c:v>5195</c:v>
                </c:pt>
                <c:pt idx="107">
                  <c:v>0</c:v>
                </c:pt>
                <c:pt idx="108">
                  <c:v>0</c:v>
                </c:pt>
                <c:pt idx="109">
                  <c:v>6247</c:v>
                </c:pt>
                <c:pt idx="110">
                  <c:v>0</c:v>
                </c:pt>
                <c:pt idx="111">
                  <c:v>4296</c:v>
                </c:pt>
                <c:pt idx="112">
                  <c:v>0</c:v>
                </c:pt>
                <c:pt idx="113">
                  <c:v>0</c:v>
                </c:pt>
                <c:pt idx="114">
                  <c:v>4123</c:v>
                </c:pt>
                <c:pt idx="115">
                  <c:v>0</c:v>
                </c:pt>
                <c:pt idx="116">
                  <c:v>1872</c:v>
                </c:pt>
                <c:pt idx="117">
                  <c:v>0</c:v>
                </c:pt>
                <c:pt idx="118">
                  <c:v>0</c:v>
                </c:pt>
                <c:pt idx="119">
                  <c:v>2411</c:v>
                </c:pt>
                <c:pt idx="120">
                  <c:v>0</c:v>
                </c:pt>
                <c:pt idx="121">
                  <c:v>0</c:v>
                </c:pt>
                <c:pt idx="122">
                  <c:v>2248</c:v>
                </c:pt>
                <c:pt idx="123">
                  <c:v>0</c:v>
                </c:pt>
                <c:pt idx="124">
                  <c:v>2037</c:v>
                </c:pt>
                <c:pt idx="125">
                  <c:v>0</c:v>
                </c:pt>
                <c:pt idx="126">
                  <c:v>0</c:v>
                </c:pt>
                <c:pt idx="127">
                  <c:v>809</c:v>
                </c:pt>
                <c:pt idx="128">
                  <c:v>0</c:v>
                </c:pt>
                <c:pt idx="129">
                  <c:v>812</c:v>
                </c:pt>
                <c:pt idx="130">
                  <c:v>0</c:v>
                </c:pt>
                <c:pt idx="131">
                  <c:v>0</c:v>
                </c:pt>
                <c:pt idx="132">
                  <c:v>577</c:v>
                </c:pt>
                <c:pt idx="133">
                  <c:v>0</c:v>
                </c:pt>
                <c:pt idx="134">
                  <c:v>475</c:v>
                </c:pt>
                <c:pt idx="135">
                  <c:v>0</c:v>
                </c:pt>
                <c:pt idx="136">
                  <c:v>0</c:v>
                </c:pt>
                <c:pt idx="137">
                  <c:v>183</c:v>
                </c:pt>
                <c:pt idx="138">
                  <c:v>0</c:v>
                </c:pt>
                <c:pt idx="139">
                  <c:v>0</c:v>
                </c:pt>
                <c:pt idx="140">
                  <c:v>155</c:v>
                </c:pt>
                <c:pt idx="141">
                  <c:v>0</c:v>
                </c:pt>
                <c:pt idx="142">
                  <c:v>61</c:v>
                </c:pt>
                <c:pt idx="143">
                  <c:v>0</c:v>
                </c:pt>
                <c:pt idx="144">
                  <c:v>0</c:v>
                </c:pt>
                <c:pt idx="145">
                  <c:v>41</c:v>
                </c:pt>
                <c:pt idx="146">
                  <c:v>0</c:v>
                </c:pt>
                <c:pt idx="147">
                  <c:v>21</c:v>
                </c:pt>
                <c:pt idx="148">
                  <c:v>0</c:v>
                </c:pt>
                <c:pt idx="149">
                  <c:v>0</c:v>
                </c:pt>
                <c:pt idx="150">
                  <c:v>20</c:v>
                </c:pt>
                <c:pt idx="151">
                  <c:v>0</c:v>
                </c:pt>
                <c:pt idx="152">
                  <c:v>21</c:v>
                </c:pt>
                <c:pt idx="153">
                  <c:v>0</c:v>
                </c:pt>
                <c:pt idx="154">
                  <c:v>0</c:v>
                </c:pt>
                <c:pt idx="155">
                  <c:v>21</c:v>
                </c:pt>
                <c:pt idx="156">
                  <c:v>0</c:v>
                </c:pt>
                <c:pt idx="157">
                  <c:v>0</c:v>
                </c:pt>
                <c:pt idx="158">
                  <c:v>21</c:v>
                </c:pt>
                <c:pt idx="159">
                  <c:v>0</c:v>
                </c:pt>
                <c:pt idx="160">
                  <c:v>44</c:v>
                </c:pt>
                <c:pt idx="161">
                  <c:v>0</c:v>
                </c:pt>
                <c:pt idx="162">
                  <c:v>0</c:v>
                </c:pt>
                <c:pt idx="163">
                  <c:v>22</c:v>
                </c:pt>
                <c:pt idx="164">
                  <c:v>0</c:v>
                </c:pt>
                <c:pt idx="165">
                  <c:v>67</c:v>
                </c:pt>
                <c:pt idx="166">
                  <c:v>0</c:v>
                </c:pt>
                <c:pt idx="167">
                  <c:v>0</c:v>
                </c:pt>
                <c:pt idx="168">
                  <c:v>69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3369</c:v>
                </c:pt>
                <c:pt idx="7">
                  <c:v>0</c:v>
                </c:pt>
                <c:pt idx="8">
                  <c:v>6328</c:v>
                </c:pt>
                <c:pt idx="9">
                  <c:v>0</c:v>
                </c:pt>
                <c:pt idx="10">
                  <c:v>0</c:v>
                </c:pt>
                <c:pt idx="11">
                  <c:v>7076</c:v>
                </c:pt>
                <c:pt idx="12">
                  <c:v>0</c:v>
                </c:pt>
                <c:pt idx="13">
                  <c:v>5647</c:v>
                </c:pt>
                <c:pt idx="14">
                  <c:v>0</c:v>
                </c:pt>
                <c:pt idx="15">
                  <c:v>0</c:v>
                </c:pt>
                <c:pt idx="16">
                  <c:v>5368</c:v>
                </c:pt>
                <c:pt idx="17">
                  <c:v>0</c:v>
                </c:pt>
                <c:pt idx="18">
                  <c:v>0</c:v>
                </c:pt>
                <c:pt idx="19">
                  <c:v>7893</c:v>
                </c:pt>
                <c:pt idx="20">
                  <c:v>0</c:v>
                </c:pt>
                <c:pt idx="21">
                  <c:v>9744</c:v>
                </c:pt>
                <c:pt idx="22">
                  <c:v>0</c:v>
                </c:pt>
                <c:pt idx="23">
                  <c:v>0</c:v>
                </c:pt>
                <c:pt idx="24">
                  <c:v>12094</c:v>
                </c:pt>
                <c:pt idx="25">
                  <c:v>0</c:v>
                </c:pt>
                <c:pt idx="26">
                  <c:v>13019</c:v>
                </c:pt>
                <c:pt idx="27">
                  <c:v>0</c:v>
                </c:pt>
                <c:pt idx="28">
                  <c:v>0</c:v>
                </c:pt>
                <c:pt idx="29">
                  <c:v>12584</c:v>
                </c:pt>
                <c:pt idx="30">
                  <c:v>0</c:v>
                </c:pt>
                <c:pt idx="31">
                  <c:v>15274</c:v>
                </c:pt>
                <c:pt idx="32">
                  <c:v>0</c:v>
                </c:pt>
                <c:pt idx="33">
                  <c:v>0</c:v>
                </c:pt>
                <c:pt idx="34">
                  <c:v>18704</c:v>
                </c:pt>
                <c:pt idx="35">
                  <c:v>0</c:v>
                </c:pt>
                <c:pt idx="36">
                  <c:v>0</c:v>
                </c:pt>
                <c:pt idx="37">
                  <c:v>19189</c:v>
                </c:pt>
                <c:pt idx="38">
                  <c:v>0</c:v>
                </c:pt>
                <c:pt idx="39">
                  <c:v>22532</c:v>
                </c:pt>
                <c:pt idx="40">
                  <c:v>0</c:v>
                </c:pt>
                <c:pt idx="41">
                  <c:v>0</c:v>
                </c:pt>
                <c:pt idx="42">
                  <c:v>22770</c:v>
                </c:pt>
                <c:pt idx="43">
                  <c:v>0</c:v>
                </c:pt>
                <c:pt idx="44">
                  <c:v>26931</c:v>
                </c:pt>
                <c:pt idx="45">
                  <c:v>0</c:v>
                </c:pt>
                <c:pt idx="46">
                  <c:v>0</c:v>
                </c:pt>
                <c:pt idx="47">
                  <c:v>30081</c:v>
                </c:pt>
                <c:pt idx="48">
                  <c:v>0</c:v>
                </c:pt>
                <c:pt idx="49">
                  <c:v>28348</c:v>
                </c:pt>
                <c:pt idx="50">
                  <c:v>0</c:v>
                </c:pt>
                <c:pt idx="51">
                  <c:v>0</c:v>
                </c:pt>
                <c:pt idx="52">
                  <c:v>29208</c:v>
                </c:pt>
                <c:pt idx="53">
                  <c:v>0</c:v>
                </c:pt>
                <c:pt idx="54">
                  <c:v>0</c:v>
                </c:pt>
                <c:pt idx="55">
                  <c:v>31501</c:v>
                </c:pt>
                <c:pt idx="56">
                  <c:v>0</c:v>
                </c:pt>
                <c:pt idx="57">
                  <c:v>33592</c:v>
                </c:pt>
                <c:pt idx="58">
                  <c:v>0</c:v>
                </c:pt>
                <c:pt idx="59">
                  <c:v>0</c:v>
                </c:pt>
                <c:pt idx="60">
                  <c:v>35284</c:v>
                </c:pt>
                <c:pt idx="61">
                  <c:v>0</c:v>
                </c:pt>
                <c:pt idx="62">
                  <c:v>32907</c:v>
                </c:pt>
                <c:pt idx="63">
                  <c:v>0</c:v>
                </c:pt>
                <c:pt idx="64">
                  <c:v>0</c:v>
                </c:pt>
                <c:pt idx="65">
                  <c:v>35822</c:v>
                </c:pt>
                <c:pt idx="66">
                  <c:v>0</c:v>
                </c:pt>
                <c:pt idx="67">
                  <c:v>36434</c:v>
                </c:pt>
                <c:pt idx="68">
                  <c:v>0</c:v>
                </c:pt>
                <c:pt idx="69">
                  <c:v>0</c:v>
                </c:pt>
                <c:pt idx="70">
                  <c:v>34151</c:v>
                </c:pt>
                <c:pt idx="71">
                  <c:v>0</c:v>
                </c:pt>
                <c:pt idx="72">
                  <c:v>0</c:v>
                </c:pt>
                <c:pt idx="73">
                  <c:v>28872</c:v>
                </c:pt>
                <c:pt idx="74">
                  <c:v>0</c:v>
                </c:pt>
                <c:pt idx="75">
                  <c:v>28368</c:v>
                </c:pt>
                <c:pt idx="76">
                  <c:v>0</c:v>
                </c:pt>
                <c:pt idx="77">
                  <c:v>0</c:v>
                </c:pt>
                <c:pt idx="78">
                  <c:v>32951</c:v>
                </c:pt>
                <c:pt idx="79">
                  <c:v>0</c:v>
                </c:pt>
                <c:pt idx="80">
                  <c:v>30559</c:v>
                </c:pt>
                <c:pt idx="81">
                  <c:v>0</c:v>
                </c:pt>
                <c:pt idx="82">
                  <c:v>0</c:v>
                </c:pt>
                <c:pt idx="83">
                  <c:v>27062</c:v>
                </c:pt>
                <c:pt idx="84">
                  <c:v>0</c:v>
                </c:pt>
                <c:pt idx="85">
                  <c:v>0</c:v>
                </c:pt>
                <c:pt idx="86">
                  <c:v>25611</c:v>
                </c:pt>
                <c:pt idx="87">
                  <c:v>0</c:v>
                </c:pt>
                <c:pt idx="88">
                  <c:v>22944</c:v>
                </c:pt>
                <c:pt idx="89">
                  <c:v>0</c:v>
                </c:pt>
                <c:pt idx="90">
                  <c:v>0</c:v>
                </c:pt>
                <c:pt idx="91">
                  <c:v>22466</c:v>
                </c:pt>
                <c:pt idx="92">
                  <c:v>0</c:v>
                </c:pt>
                <c:pt idx="93">
                  <c:v>22169</c:v>
                </c:pt>
                <c:pt idx="94">
                  <c:v>0</c:v>
                </c:pt>
                <c:pt idx="95">
                  <c:v>0</c:v>
                </c:pt>
                <c:pt idx="96">
                  <c:v>19250</c:v>
                </c:pt>
                <c:pt idx="97">
                  <c:v>0</c:v>
                </c:pt>
                <c:pt idx="98">
                  <c:v>18810</c:v>
                </c:pt>
                <c:pt idx="99">
                  <c:v>0</c:v>
                </c:pt>
                <c:pt idx="100">
                  <c:v>0</c:v>
                </c:pt>
                <c:pt idx="101">
                  <c:v>17484</c:v>
                </c:pt>
                <c:pt idx="102">
                  <c:v>0</c:v>
                </c:pt>
                <c:pt idx="103">
                  <c:v>0</c:v>
                </c:pt>
                <c:pt idx="104">
                  <c:v>16636</c:v>
                </c:pt>
                <c:pt idx="105">
                  <c:v>0</c:v>
                </c:pt>
                <c:pt idx="106">
                  <c:v>17717</c:v>
                </c:pt>
                <c:pt idx="107">
                  <c:v>0</c:v>
                </c:pt>
                <c:pt idx="108">
                  <c:v>0</c:v>
                </c:pt>
                <c:pt idx="109">
                  <c:v>16948</c:v>
                </c:pt>
                <c:pt idx="110">
                  <c:v>0</c:v>
                </c:pt>
                <c:pt idx="111">
                  <c:v>16502</c:v>
                </c:pt>
                <c:pt idx="112">
                  <c:v>0</c:v>
                </c:pt>
                <c:pt idx="113">
                  <c:v>0</c:v>
                </c:pt>
                <c:pt idx="114">
                  <c:v>15060</c:v>
                </c:pt>
                <c:pt idx="115">
                  <c:v>0</c:v>
                </c:pt>
                <c:pt idx="116">
                  <c:v>13284</c:v>
                </c:pt>
                <c:pt idx="117">
                  <c:v>0</c:v>
                </c:pt>
                <c:pt idx="118">
                  <c:v>0</c:v>
                </c:pt>
                <c:pt idx="119">
                  <c:v>15387</c:v>
                </c:pt>
                <c:pt idx="120">
                  <c:v>0</c:v>
                </c:pt>
                <c:pt idx="121">
                  <c:v>0</c:v>
                </c:pt>
                <c:pt idx="122">
                  <c:v>12246</c:v>
                </c:pt>
                <c:pt idx="123">
                  <c:v>0</c:v>
                </c:pt>
                <c:pt idx="124">
                  <c:v>11395</c:v>
                </c:pt>
                <c:pt idx="125">
                  <c:v>0</c:v>
                </c:pt>
                <c:pt idx="126">
                  <c:v>0</c:v>
                </c:pt>
                <c:pt idx="127">
                  <c:v>10835</c:v>
                </c:pt>
                <c:pt idx="128">
                  <c:v>0</c:v>
                </c:pt>
                <c:pt idx="129">
                  <c:v>8930</c:v>
                </c:pt>
                <c:pt idx="130">
                  <c:v>0</c:v>
                </c:pt>
                <c:pt idx="131">
                  <c:v>0</c:v>
                </c:pt>
                <c:pt idx="132">
                  <c:v>5841</c:v>
                </c:pt>
                <c:pt idx="133">
                  <c:v>0</c:v>
                </c:pt>
                <c:pt idx="134">
                  <c:v>4478</c:v>
                </c:pt>
                <c:pt idx="135">
                  <c:v>0</c:v>
                </c:pt>
                <c:pt idx="136">
                  <c:v>0</c:v>
                </c:pt>
                <c:pt idx="137">
                  <c:v>3972</c:v>
                </c:pt>
                <c:pt idx="138">
                  <c:v>0</c:v>
                </c:pt>
                <c:pt idx="139">
                  <c:v>0</c:v>
                </c:pt>
                <c:pt idx="140">
                  <c:v>2933</c:v>
                </c:pt>
                <c:pt idx="141">
                  <c:v>0</c:v>
                </c:pt>
                <c:pt idx="142">
                  <c:v>1881</c:v>
                </c:pt>
                <c:pt idx="143">
                  <c:v>0</c:v>
                </c:pt>
                <c:pt idx="144">
                  <c:v>0</c:v>
                </c:pt>
                <c:pt idx="145">
                  <c:v>1813</c:v>
                </c:pt>
                <c:pt idx="146">
                  <c:v>0</c:v>
                </c:pt>
                <c:pt idx="147">
                  <c:v>730</c:v>
                </c:pt>
                <c:pt idx="148">
                  <c:v>0</c:v>
                </c:pt>
                <c:pt idx="149">
                  <c:v>0</c:v>
                </c:pt>
                <c:pt idx="150">
                  <c:v>1123</c:v>
                </c:pt>
                <c:pt idx="151">
                  <c:v>0</c:v>
                </c:pt>
                <c:pt idx="152">
                  <c:v>612</c:v>
                </c:pt>
                <c:pt idx="153">
                  <c:v>0</c:v>
                </c:pt>
                <c:pt idx="154">
                  <c:v>0</c:v>
                </c:pt>
                <c:pt idx="155">
                  <c:v>82</c:v>
                </c:pt>
                <c:pt idx="156">
                  <c:v>0</c:v>
                </c:pt>
                <c:pt idx="157">
                  <c:v>0</c:v>
                </c:pt>
                <c:pt idx="158">
                  <c:v>40</c:v>
                </c:pt>
                <c:pt idx="159">
                  <c:v>0</c:v>
                </c:pt>
                <c:pt idx="160">
                  <c:v>62</c:v>
                </c:pt>
                <c:pt idx="161">
                  <c:v>0</c:v>
                </c:pt>
                <c:pt idx="162">
                  <c:v>0</c:v>
                </c:pt>
                <c:pt idx="163">
                  <c:v>41</c:v>
                </c:pt>
                <c:pt idx="164">
                  <c:v>0</c:v>
                </c:pt>
                <c:pt idx="165">
                  <c:v>166</c:v>
                </c:pt>
                <c:pt idx="166">
                  <c:v>0</c:v>
                </c:pt>
                <c:pt idx="167">
                  <c:v>0</c:v>
                </c:pt>
                <c:pt idx="168">
                  <c:v>358</c:v>
                </c:pt>
                <c:pt idx="169">
                  <c:v>0</c:v>
                </c:pt>
                <c:pt idx="170">
                  <c:v>0</c:v>
                </c:pt>
                <c:pt idx="171">
                  <c:v>254</c:v>
                </c:pt>
                <c:pt idx="172">
                  <c:v>0</c:v>
                </c:pt>
                <c:pt idx="173">
                  <c:v>46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0.30539683224019121</c:v>
                </c:pt>
                <c:pt idx="1">
                  <c:v>0.29305339633107774</c:v>
                </c:pt>
                <c:pt idx="2">
                  <c:v>0.40154977142873111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0.54696650719064099</c:v>
                </c:pt>
                <c:pt idx="1">
                  <c:v>0.33723290017189472</c:v>
                </c:pt>
                <c:pt idx="2">
                  <c:v>0.11580059263746424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5.1542525000000001</c:v>
                </c:pt>
                <c:pt idx="1">
                  <c:v>6.4380574999999993</c:v>
                </c:pt>
                <c:pt idx="2">
                  <c:v>16.727425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0.41134199999999999</c:v>
                </c:pt>
                <c:pt idx="2">
                  <c:v>0.81456499999999998</c:v>
                </c:pt>
                <c:pt idx="3">
                  <c:v>1.2204299999999999</c:v>
                </c:pt>
                <c:pt idx="4">
                  <c:v>1.629</c:v>
                </c:pt>
                <c:pt idx="5">
                  <c:v>2.0364100000000001</c:v>
                </c:pt>
                <c:pt idx="6">
                  <c:v>2.4422700000000002</c:v>
                </c:pt>
                <c:pt idx="7">
                  <c:v>2.8469000000000002</c:v>
                </c:pt>
                <c:pt idx="8">
                  <c:v>3.2522099999999998</c:v>
                </c:pt>
                <c:pt idx="9">
                  <c:v>3.6595499999999999</c:v>
                </c:pt>
                <c:pt idx="10">
                  <c:v>4.0654899999999996</c:v>
                </c:pt>
                <c:pt idx="11">
                  <c:v>4.4738199999999999</c:v>
                </c:pt>
                <c:pt idx="12">
                  <c:v>4.8839699999999997</c:v>
                </c:pt>
                <c:pt idx="13">
                  <c:v>5.2850999999999999</c:v>
                </c:pt>
                <c:pt idx="14">
                  <c:v>5.6881399999999998</c:v>
                </c:pt>
                <c:pt idx="15">
                  <c:v>6.0982599999999998</c:v>
                </c:pt>
                <c:pt idx="16">
                  <c:v>6.5017899999999997</c:v>
                </c:pt>
                <c:pt idx="17">
                  <c:v>6.90937</c:v>
                </c:pt>
                <c:pt idx="18">
                  <c:v>7.31454</c:v>
                </c:pt>
                <c:pt idx="19">
                  <c:v>7.7199299999999997</c:v>
                </c:pt>
                <c:pt idx="20">
                  <c:v>8.1300299999999996</c:v>
                </c:pt>
                <c:pt idx="21">
                  <c:v>8.5326000000000004</c:v>
                </c:pt>
                <c:pt idx="22">
                  <c:v>8.9426699999999997</c:v>
                </c:pt>
                <c:pt idx="23">
                  <c:v>9.3456299999999999</c:v>
                </c:pt>
                <c:pt idx="24">
                  <c:v>9.7521000000000004</c:v>
                </c:pt>
                <c:pt idx="25">
                  <c:v>10.1577</c:v>
                </c:pt>
                <c:pt idx="26">
                  <c:v>10.5669</c:v>
                </c:pt>
                <c:pt idx="27">
                  <c:v>10.9756</c:v>
                </c:pt>
                <c:pt idx="28">
                  <c:v>11.3787</c:v>
                </c:pt>
                <c:pt idx="29">
                  <c:v>11.782500000000001</c:v>
                </c:pt>
                <c:pt idx="30">
                  <c:v>12.189</c:v>
                </c:pt>
                <c:pt idx="31">
                  <c:v>12.5976</c:v>
                </c:pt>
                <c:pt idx="32">
                  <c:v>13.0055</c:v>
                </c:pt>
                <c:pt idx="33">
                  <c:v>13.407999999999999</c:v>
                </c:pt>
                <c:pt idx="34">
                  <c:v>13.813800000000001</c:v>
                </c:pt>
                <c:pt idx="35">
                  <c:v>14.221399999999999</c:v>
                </c:pt>
                <c:pt idx="36">
                  <c:v>14.629300000000001</c:v>
                </c:pt>
                <c:pt idx="37">
                  <c:v>15.032999999999999</c:v>
                </c:pt>
                <c:pt idx="38">
                  <c:v>15.437799999999999</c:v>
                </c:pt>
                <c:pt idx="39">
                  <c:v>15.8467</c:v>
                </c:pt>
                <c:pt idx="40">
                  <c:v>16.252800000000001</c:v>
                </c:pt>
                <c:pt idx="41">
                  <c:v>16.6572</c:v>
                </c:pt>
                <c:pt idx="42">
                  <c:v>17.065899999999999</c:v>
                </c:pt>
                <c:pt idx="43">
                  <c:v>17.4693</c:v>
                </c:pt>
                <c:pt idx="44">
                  <c:v>17.8796</c:v>
                </c:pt>
                <c:pt idx="45">
                  <c:v>18.2881</c:v>
                </c:pt>
                <c:pt idx="46">
                  <c:v>18.6891</c:v>
                </c:pt>
                <c:pt idx="47">
                  <c:v>19.0946</c:v>
                </c:pt>
                <c:pt idx="48">
                  <c:v>19.501799999999999</c:v>
                </c:pt>
                <c:pt idx="49">
                  <c:v>19.9072</c:v>
                </c:pt>
                <c:pt idx="50">
                  <c:v>20.3188</c:v>
                </c:pt>
                <c:pt idx="51">
                  <c:v>20.720300000000002</c:v>
                </c:pt>
                <c:pt idx="52">
                  <c:v>21.127700000000001</c:v>
                </c:pt>
                <c:pt idx="53">
                  <c:v>21.536000000000001</c:v>
                </c:pt>
                <c:pt idx="54">
                  <c:v>21.942799999999998</c:v>
                </c:pt>
                <c:pt idx="55">
                  <c:v>22.348700000000001</c:v>
                </c:pt>
                <c:pt idx="56">
                  <c:v>22.7531</c:v>
                </c:pt>
                <c:pt idx="57">
                  <c:v>23.1586</c:v>
                </c:pt>
                <c:pt idx="58">
                  <c:v>23.563300000000002</c:v>
                </c:pt>
                <c:pt idx="59">
                  <c:v>23.972000000000001</c:v>
                </c:pt>
                <c:pt idx="60">
                  <c:v>24.3797</c:v>
                </c:pt>
                <c:pt idx="61">
                  <c:v>24.7864</c:v>
                </c:pt>
                <c:pt idx="62">
                  <c:v>25.1906</c:v>
                </c:pt>
                <c:pt idx="63">
                  <c:v>25.596299999999999</c:v>
                </c:pt>
                <c:pt idx="64">
                  <c:v>26.003900000000002</c:v>
                </c:pt>
                <c:pt idx="65">
                  <c:v>26.411999999999999</c:v>
                </c:pt>
                <c:pt idx="66">
                  <c:v>26.817699999999999</c:v>
                </c:pt>
                <c:pt idx="67">
                  <c:v>27.221699999999998</c:v>
                </c:pt>
                <c:pt idx="68">
                  <c:v>27.628</c:v>
                </c:pt>
                <c:pt idx="69">
                  <c:v>28.035599999999999</c:v>
                </c:pt>
                <c:pt idx="70">
                  <c:v>28.443000000000001</c:v>
                </c:pt>
                <c:pt idx="71">
                  <c:v>28.848099999999999</c:v>
                </c:pt>
                <c:pt idx="72">
                  <c:v>29.253399999999999</c:v>
                </c:pt>
                <c:pt idx="73">
                  <c:v>29.658100000000001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4"/>
                <c:pt idx="0">
                  <c:v>1.4541599999999999</c:v>
                </c:pt>
                <c:pt idx="1">
                  <c:v>1.49939</c:v>
                </c:pt>
                <c:pt idx="2">
                  <c:v>1.5453000000000001</c:v>
                </c:pt>
                <c:pt idx="3">
                  <c:v>1.5886900000000002</c:v>
                </c:pt>
                <c:pt idx="4">
                  <c:v>1.6301699999999999</c:v>
                </c:pt>
                <c:pt idx="5">
                  <c:v>1.6731499999999999</c:v>
                </c:pt>
                <c:pt idx="6">
                  <c:v>1.72075</c:v>
                </c:pt>
                <c:pt idx="7">
                  <c:v>1.7708699999999999</c:v>
                </c:pt>
                <c:pt idx="8">
                  <c:v>1.8229200000000001</c:v>
                </c:pt>
                <c:pt idx="9">
                  <c:v>1.87748</c:v>
                </c:pt>
                <c:pt idx="10">
                  <c:v>1.93337</c:v>
                </c:pt>
                <c:pt idx="11">
                  <c:v>1.9906599999999999</c:v>
                </c:pt>
                <c:pt idx="12">
                  <c:v>2.0451100000000002</c:v>
                </c:pt>
                <c:pt idx="13">
                  <c:v>2.0982099999999999</c:v>
                </c:pt>
                <c:pt idx="14">
                  <c:v>2.1522100000000002</c:v>
                </c:pt>
                <c:pt idx="15">
                  <c:v>2.2035399999999998</c:v>
                </c:pt>
                <c:pt idx="16">
                  <c:v>2.2507099999999998</c:v>
                </c:pt>
                <c:pt idx="17">
                  <c:v>2.2957299999999998</c:v>
                </c:pt>
                <c:pt idx="18">
                  <c:v>2.3393700000000002</c:v>
                </c:pt>
                <c:pt idx="19">
                  <c:v>2.37798</c:v>
                </c:pt>
                <c:pt idx="20">
                  <c:v>2.4097</c:v>
                </c:pt>
                <c:pt idx="21">
                  <c:v>2.4372600000000002</c:v>
                </c:pt>
                <c:pt idx="22">
                  <c:v>2.4628700000000001</c:v>
                </c:pt>
                <c:pt idx="23">
                  <c:v>2.48821</c:v>
                </c:pt>
                <c:pt idx="24">
                  <c:v>2.5150499999999996</c:v>
                </c:pt>
                <c:pt idx="25">
                  <c:v>2.5425800000000001</c:v>
                </c:pt>
                <c:pt idx="26">
                  <c:v>2.57036</c:v>
                </c:pt>
                <c:pt idx="27">
                  <c:v>2.5980300000000001</c:v>
                </c:pt>
                <c:pt idx="28">
                  <c:v>2.6224999999999996</c:v>
                </c:pt>
                <c:pt idx="29">
                  <c:v>2.6461600000000001</c:v>
                </c:pt>
                <c:pt idx="30">
                  <c:v>2.6637399999999998</c:v>
                </c:pt>
                <c:pt idx="31">
                  <c:v>2.6764900000000003</c:v>
                </c:pt>
                <c:pt idx="32">
                  <c:v>2.6843299999999997</c:v>
                </c:pt>
                <c:pt idx="33">
                  <c:v>2.6902900000000001</c:v>
                </c:pt>
                <c:pt idx="34">
                  <c:v>2.6972</c:v>
                </c:pt>
                <c:pt idx="35">
                  <c:v>2.7045500000000002</c:v>
                </c:pt>
                <c:pt idx="36">
                  <c:v>2.7109399999999999</c:v>
                </c:pt>
                <c:pt idx="37">
                  <c:v>2.7164899999999998</c:v>
                </c:pt>
                <c:pt idx="38">
                  <c:v>2.7240199999999999</c:v>
                </c:pt>
                <c:pt idx="39">
                  <c:v>2.7313100000000001</c:v>
                </c:pt>
                <c:pt idx="40">
                  <c:v>2.7347799999999998</c:v>
                </c:pt>
                <c:pt idx="41">
                  <c:v>2.7406799999999998</c:v>
                </c:pt>
                <c:pt idx="42">
                  <c:v>2.7503600000000001</c:v>
                </c:pt>
                <c:pt idx="43">
                  <c:v>2.7654899999999998</c:v>
                </c:pt>
                <c:pt idx="44">
                  <c:v>2.7841900000000002</c:v>
                </c:pt>
                <c:pt idx="45">
                  <c:v>2.8055099999999999</c:v>
                </c:pt>
                <c:pt idx="46">
                  <c:v>2.8231800000000002</c:v>
                </c:pt>
                <c:pt idx="47">
                  <c:v>2.8347099999999998</c:v>
                </c:pt>
                <c:pt idx="48">
                  <c:v>2.8451500000000003</c:v>
                </c:pt>
                <c:pt idx="49">
                  <c:v>2.8562099999999999</c:v>
                </c:pt>
                <c:pt idx="50">
                  <c:v>2.8659400000000002</c:v>
                </c:pt>
                <c:pt idx="51">
                  <c:v>2.8728799999999999</c:v>
                </c:pt>
                <c:pt idx="52">
                  <c:v>2.87887</c:v>
                </c:pt>
                <c:pt idx="53">
                  <c:v>2.8857300000000001</c:v>
                </c:pt>
                <c:pt idx="54">
                  <c:v>2.8947099999999999</c:v>
                </c:pt>
                <c:pt idx="55">
                  <c:v>2.9030200000000002</c:v>
                </c:pt>
                <c:pt idx="56">
                  <c:v>2.9105699999999999</c:v>
                </c:pt>
                <c:pt idx="57">
                  <c:v>2.9164600000000003</c:v>
                </c:pt>
                <c:pt idx="58">
                  <c:v>2.9208800000000004</c:v>
                </c:pt>
                <c:pt idx="59">
                  <c:v>2.9248600000000002</c:v>
                </c:pt>
                <c:pt idx="60">
                  <c:v>2.9272300000000002</c:v>
                </c:pt>
                <c:pt idx="61">
                  <c:v>2.9323100000000002</c:v>
                </c:pt>
                <c:pt idx="62">
                  <c:v>2.9430399999999999</c:v>
                </c:pt>
                <c:pt idx="63">
                  <c:v>2.9566300000000001</c:v>
                </c:pt>
                <c:pt idx="64">
                  <c:v>2.9695</c:v>
                </c:pt>
                <c:pt idx="65">
                  <c:v>2.9819299999999997</c:v>
                </c:pt>
                <c:pt idx="66">
                  <c:v>2.9868499999999996</c:v>
                </c:pt>
                <c:pt idx="67">
                  <c:v>2.9858800000000003</c:v>
                </c:pt>
                <c:pt idx="68">
                  <c:v>2.9783300000000001</c:v>
                </c:pt>
                <c:pt idx="69">
                  <c:v>2.9764900000000001</c:v>
                </c:pt>
                <c:pt idx="70">
                  <c:v>2.9821399999999998</c:v>
                </c:pt>
                <c:pt idx="71">
                  <c:v>2.9820899999999999</c:v>
                </c:pt>
                <c:pt idx="72">
                  <c:v>2.9807600000000001</c:v>
                </c:pt>
                <c:pt idx="73">
                  <c:v>2.98529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0.41134199999999999</c:v>
                </c:pt>
                <c:pt idx="2">
                  <c:v>0.81456499999999998</c:v>
                </c:pt>
                <c:pt idx="3">
                  <c:v>1.2204299999999999</c:v>
                </c:pt>
                <c:pt idx="4">
                  <c:v>1.629</c:v>
                </c:pt>
                <c:pt idx="5">
                  <c:v>2.0364100000000001</c:v>
                </c:pt>
                <c:pt idx="6">
                  <c:v>2.4422700000000002</c:v>
                </c:pt>
                <c:pt idx="7">
                  <c:v>2.8469000000000002</c:v>
                </c:pt>
                <c:pt idx="8">
                  <c:v>3.2522099999999998</c:v>
                </c:pt>
                <c:pt idx="9">
                  <c:v>3.6595499999999999</c:v>
                </c:pt>
                <c:pt idx="10">
                  <c:v>4.0654899999999996</c:v>
                </c:pt>
                <c:pt idx="11">
                  <c:v>4.4738199999999999</c:v>
                </c:pt>
                <c:pt idx="12">
                  <c:v>4.8839699999999997</c:v>
                </c:pt>
                <c:pt idx="13">
                  <c:v>5.2850999999999999</c:v>
                </c:pt>
                <c:pt idx="14">
                  <c:v>5.6881399999999998</c:v>
                </c:pt>
                <c:pt idx="15">
                  <c:v>6.0982599999999998</c:v>
                </c:pt>
                <c:pt idx="16">
                  <c:v>6.5017899999999997</c:v>
                </c:pt>
                <c:pt idx="17">
                  <c:v>6.90937</c:v>
                </c:pt>
                <c:pt idx="18">
                  <c:v>7.31454</c:v>
                </c:pt>
                <c:pt idx="19">
                  <c:v>7.7199299999999997</c:v>
                </c:pt>
                <c:pt idx="20">
                  <c:v>8.1300299999999996</c:v>
                </c:pt>
                <c:pt idx="21">
                  <c:v>8.5326000000000004</c:v>
                </c:pt>
                <c:pt idx="22">
                  <c:v>8.9426699999999997</c:v>
                </c:pt>
                <c:pt idx="23">
                  <c:v>9.3456299999999999</c:v>
                </c:pt>
                <c:pt idx="24">
                  <c:v>9.7521000000000004</c:v>
                </c:pt>
                <c:pt idx="25">
                  <c:v>10.1577</c:v>
                </c:pt>
                <c:pt idx="26">
                  <c:v>10.5669</c:v>
                </c:pt>
                <c:pt idx="27">
                  <c:v>10.9756</c:v>
                </c:pt>
                <c:pt idx="28">
                  <c:v>11.3787</c:v>
                </c:pt>
                <c:pt idx="29">
                  <c:v>11.782500000000001</c:v>
                </c:pt>
                <c:pt idx="30">
                  <c:v>12.189</c:v>
                </c:pt>
                <c:pt idx="31">
                  <c:v>12.5976</c:v>
                </c:pt>
                <c:pt idx="32">
                  <c:v>13.0055</c:v>
                </c:pt>
                <c:pt idx="33">
                  <c:v>13.407999999999999</c:v>
                </c:pt>
                <c:pt idx="34">
                  <c:v>13.813800000000001</c:v>
                </c:pt>
                <c:pt idx="35">
                  <c:v>14.221399999999999</c:v>
                </c:pt>
                <c:pt idx="36">
                  <c:v>14.629300000000001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7"/>
                <c:pt idx="0">
                  <c:v>1.4541599999999999</c:v>
                </c:pt>
                <c:pt idx="1">
                  <c:v>1.49939</c:v>
                </c:pt>
                <c:pt idx="2">
                  <c:v>1.5453000000000001</c:v>
                </c:pt>
                <c:pt idx="3">
                  <c:v>1.5886900000000002</c:v>
                </c:pt>
                <c:pt idx="4">
                  <c:v>1.6301699999999999</c:v>
                </c:pt>
                <c:pt idx="5">
                  <c:v>1.6731499999999999</c:v>
                </c:pt>
                <c:pt idx="6">
                  <c:v>1.72075</c:v>
                </c:pt>
                <c:pt idx="7">
                  <c:v>1.7708699999999999</c:v>
                </c:pt>
                <c:pt idx="8">
                  <c:v>1.8229200000000001</c:v>
                </c:pt>
                <c:pt idx="9">
                  <c:v>1.87748</c:v>
                </c:pt>
                <c:pt idx="10">
                  <c:v>1.93337</c:v>
                </c:pt>
                <c:pt idx="11">
                  <c:v>1.9906599999999999</c:v>
                </c:pt>
                <c:pt idx="12">
                  <c:v>2.0451100000000002</c:v>
                </c:pt>
                <c:pt idx="13">
                  <c:v>2.0982099999999999</c:v>
                </c:pt>
                <c:pt idx="14">
                  <c:v>2.1522100000000002</c:v>
                </c:pt>
                <c:pt idx="15">
                  <c:v>2.2035399999999998</c:v>
                </c:pt>
                <c:pt idx="16">
                  <c:v>2.2507099999999998</c:v>
                </c:pt>
                <c:pt idx="17">
                  <c:v>2.2957299999999998</c:v>
                </c:pt>
                <c:pt idx="18">
                  <c:v>2.3393700000000002</c:v>
                </c:pt>
                <c:pt idx="19">
                  <c:v>2.37798</c:v>
                </c:pt>
                <c:pt idx="20">
                  <c:v>2.4097</c:v>
                </c:pt>
                <c:pt idx="21">
                  <c:v>2.4372600000000002</c:v>
                </c:pt>
                <c:pt idx="22">
                  <c:v>2.4628700000000001</c:v>
                </c:pt>
                <c:pt idx="23">
                  <c:v>2.48821</c:v>
                </c:pt>
                <c:pt idx="24">
                  <c:v>2.5150499999999996</c:v>
                </c:pt>
                <c:pt idx="25">
                  <c:v>2.5425800000000001</c:v>
                </c:pt>
                <c:pt idx="26">
                  <c:v>2.57036</c:v>
                </c:pt>
                <c:pt idx="27">
                  <c:v>2.5980300000000001</c:v>
                </c:pt>
                <c:pt idx="28">
                  <c:v>2.6224999999999996</c:v>
                </c:pt>
                <c:pt idx="29">
                  <c:v>2.6461600000000001</c:v>
                </c:pt>
                <c:pt idx="30">
                  <c:v>2.6637399999999998</c:v>
                </c:pt>
                <c:pt idx="31">
                  <c:v>2.6764900000000003</c:v>
                </c:pt>
                <c:pt idx="32">
                  <c:v>2.6843299999999997</c:v>
                </c:pt>
                <c:pt idx="33">
                  <c:v>2.6902900000000001</c:v>
                </c:pt>
                <c:pt idx="34">
                  <c:v>2.6972</c:v>
                </c:pt>
                <c:pt idx="35">
                  <c:v>2.7045500000000002</c:v>
                </c:pt>
                <c:pt idx="36">
                  <c:v>2.7109399999999999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14.629300000000001</c:v>
                </c:pt>
                <c:pt idx="1">
                  <c:v>15.032999999999999</c:v>
                </c:pt>
                <c:pt idx="2">
                  <c:v>15.437799999999999</c:v>
                </c:pt>
                <c:pt idx="3">
                  <c:v>15.8467</c:v>
                </c:pt>
                <c:pt idx="4">
                  <c:v>16.252800000000001</c:v>
                </c:pt>
                <c:pt idx="5">
                  <c:v>16.6572</c:v>
                </c:pt>
                <c:pt idx="6">
                  <c:v>17.065899999999999</c:v>
                </c:pt>
                <c:pt idx="7">
                  <c:v>17.4693</c:v>
                </c:pt>
                <c:pt idx="8">
                  <c:v>17.8796</c:v>
                </c:pt>
                <c:pt idx="9">
                  <c:v>18.2881</c:v>
                </c:pt>
                <c:pt idx="10">
                  <c:v>18.6891</c:v>
                </c:pt>
                <c:pt idx="11">
                  <c:v>19.0946</c:v>
                </c:pt>
                <c:pt idx="12">
                  <c:v>19.501799999999999</c:v>
                </c:pt>
                <c:pt idx="13">
                  <c:v>19.9072</c:v>
                </c:pt>
                <c:pt idx="14">
                  <c:v>20.3188</c:v>
                </c:pt>
                <c:pt idx="15">
                  <c:v>20.720300000000002</c:v>
                </c:pt>
                <c:pt idx="16">
                  <c:v>21.127700000000001</c:v>
                </c:pt>
                <c:pt idx="17">
                  <c:v>21.536000000000001</c:v>
                </c:pt>
                <c:pt idx="18">
                  <c:v>21.942799999999998</c:v>
                </c:pt>
                <c:pt idx="19">
                  <c:v>22.348700000000001</c:v>
                </c:pt>
                <c:pt idx="20">
                  <c:v>22.7531</c:v>
                </c:pt>
                <c:pt idx="21">
                  <c:v>23.1586</c:v>
                </c:pt>
                <c:pt idx="22">
                  <c:v>23.563300000000002</c:v>
                </c:pt>
                <c:pt idx="23">
                  <c:v>23.972000000000001</c:v>
                </c:pt>
                <c:pt idx="24">
                  <c:v>24.3797</c:v>
                </c:pt>
                <c:pt idx="25">
                  <c:v>24.7864</c:v>
                </c:pt>
                <c:pt idx="26">
                  <c:v>25.1906</c:v>
                </c:pt>
                <c:pt idx="27">
                  <c:v>25.596299999999999</c:v>
                </c:pt>
                <c:pt idx="28">
                  <c:v>26.003900000000002</c:v>
                </c:pt>
                <c:pt idx="29">
                  <c:v>26.411999999999999</c:v>
                </c:pt>
                <c:pt idx="30">
                  <c:v>26.817699999999999</c:v>
                </c:pt>
                <c:pt idx="31">
                  <c:v>27.221699999999998</c:v>
                </c:pt>
                <c:pt idx="32">
                  <c:v>27.628</c:v>
                </c:pt>
                <c:pt idx="33">
                  <c:v>28.035599999999999</c:v>
                </c:pt>
                <c:pt idx="34">
                  <c:v>28.443000000000001</c:v>
                </c:pt>
                <c:pt idx="35">
                  <c:v>28.848099999999999</c:v>
                </c:pt>
                <c:pt idx="36">
                  <c:v>29.253399999999999</c:v>
                </c:pt>
                <c:pt idx="37">
                  <c:v>29.658100000000001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2.7109399999999999</c:v>
                </c:pt>
                <c:pt idx="1">
                  <c:v>2.7164899999999998</c:v>
                </c:pt>
                <c:pt idx="2">
                  <c:v>2.7240199999999999</c:v>
                </c:pt>
                <c:pt idx="3">
                  <c:v>2.7313100000000001</c:v>
                </c:pt>
                <c:pt idx="4">
                  <c:v>2.7347799999999998</c:v>
                </c:pt>
                <c:pt idx="5">
                  <c:v>2.7406799999999998</c:v>
                </c:pt>
                <c:pt idx="6">
                  <c:v>2.7503600000000001</c:v>
                </c:pt>
                <c:pt idx="7">
                  <c:v>2.7654899999999998</c:v>
                </c:pt>
                <c:pt idx="8">
                  <c:v>2.7841900000000002</c:v>
                </c:pt>
                <c:pt idx="9">
                  <c:v>2.8055099999999999</c:v>
                </c:pt>
                <c:pt idx="10">
                  <c:v>2.8231800000000002</c:v>
                </c:pt>
                <c:pt idx="11">
                  <c:v>2.8347099999999998</c:v>
                </c:pt>
                <c:pt idx="12">
                  <c:v>2.8451500000000003</c:v>
                </c:pt>
                <c:pt idx="13">
                  <c:v>2.8562099999999999</c:v>
                </c:pt>
                <c:pt idx="14">
                  <c:v>2.8659400000000002</c:v>
                </c:pt>
                <c:pt idx="15">
                  <c:v>2.8728799999999999</c:v>
                </c:pt>
                <c:pt idx="16">
                  <c:v>2.87887</c:v>
                </c:pt>
                <c:pt idx="17">
                  <c:v>2.8857300000000001</c:v>
                </c:pt>
                <c:pt idx="18">
                  <c:v>2.8947099999999999</c:v>
                </c:pt>
                <c:pt idx="19">
                  <c:v>2.9030200000000002</c:v>
                </c:pt>
                <c:pt idx="20">
                  <c:v>2.9105699999999999</c:v>
                </c:pt>
                <c:pt idx="21">
                  <c:v>2.9164600000000003</c:v>
                </c:pt>
                <c:pt idx="22">
                  <c:v>2.9208800000000004</c:v>
                </c:pt>
                <c:pt idx="23">
                  <c:v>2.9248600000000002</c:v>
                </c:pt>
                <c:pt idx="24">
                  <c:v>2.9272300000000002</c:v>
                </c:pt>
                <c:pt idx="25">
                  <c:v>2.9323100000000002</c:v>
                </c:pt>
                <c:pt idx="26">
                  <c:v>2.9430399999999999</c:v>
                </c:pt>
                <c:pt idx="27">
                  <c:v>2.9566300000000001</c:v>
                </c:pt>
                <c:pt idx="28">
                  <c:v>2.9695</c:v>
                </c:pt>
                <c:pt idx="29">
                  <c:v>2.9819299999999997</c:v>
                </c:pt>
                <c:pt idx="30">
                  <c:v>2.9868499999999996</c:v>
                </c:pt>
                <c:pt idx="31">
                  <c:v>2.9858800000000003</c:v>
                </c:pt>
                <c:pt idx="32">
                  <c:v>2.9783300000000001</c:v>
                </c:pt>
                <c:pt idx="33">
                  <c:v>2.9764900000000001</c:v>
                </c:pt>
                <c:pt idx="34">
                  <c:v>2.9821399999999998</c:v>
                </c:pt>
                <c:pt idx="35">
                  <c:v>2.9820899999999999</c:v>
                </c:pt>
                <c:pt idx="36">
                  <c:v>2.9807600000000001</c:v>
                </c:pt>
                <c:pt idx="37">
                  <c:v>2.98529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7.4145250000000003</c:v>
                </c:pt>
                <c:pt idx="1">
                  <c:v>22.243575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2.2267575675675677</c:v>
                </c:pt>
                <c:pt idx="1">
                  <c:v>2.8825532432432439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0.41134199999999999</c:v>
                </c:pt>
                <c:pt idx="2">
                  <c:v>0.81456499999999998</c:v>
                </c:pt>
                <c:pt idx="3">
                  <c:v>1.2204299999999999</c:v>
                </c:pt>
                <c:pt idx="4">
                  <c:v>1.629</c:v>
                </c:pt>
                <c:pt idx="5">
                  <c:v>2.0364100000000001</c:v>
                </c:pt>
                <c:pt idx="6">
                  <c:v>2.4422700000000002</c:v>
                </c:pt>
                <c:pt idx="7">
                  <c:v>2.8469000000000002</c:v>
                </c:pt>
                <c:pt idx="8">
                  <c:v>3.2522099999999998</c:v>
                </c:pt>
                <c:pt idx="9">
                  <c:v>3.6595499999999999</c:v>
                </c:pt>
                <c:pt idx="10">
                  <c:v>4.0654899999999996</c:v>
                </c:pt>
                <c:pt idx="11">
                  <c:v>4.4738199999999999</c:v>
                </c:pt>
                <c:pt idx="12">
                  <c:v>4.8839699999999997</c:v>
                </c:pt>
                <c:pt idx="13">
                  <c:v>5.2850999999999999</c:v>
                </c:pt>
                <c:pt idx="14">
                  <c:v>5.6881399999999998</c:v>
                </c:pt>
                <c:pt idx="15">
                  <c:v>6.0982599999999998</c:v>
                </c:pt>
                <c:pt idx="16">
                  <c:v>6.5017899999999997</c:v>
                </c:pt>
                <c:pt idx="17">
                  <c:v>6.90937</c:v>
                </c:pt>
                <c:pt idx="18">
                  <c:v>7.31454</c:v>
                </c:pt>
                <c:pt idx="19">
                  <c:v>7.7199299999999997</c:v>
                </c:pt>
                <c:pt idx="20">
                  <c:v>8.1300299999999996</c:v>
                </c:pt>
                <c:pt idx="21">
                  <c:v>8.5326000000000004</c:v>
                </c:pt>
                <c:pt idx="22">
                  <c:v>8.9426699999999997</c:v>
                </c:pt>
                <c:pt idx="23">
                  <c:v>9.3456299999999999</c:v>
                </c:pt>
                <c:pt idx="24">
                  <c:v>9.7521000000000004</c:v>
                </c:pt>
                <c:pt idx="25">
                  <c:v>10.1577</c:v>
                </c:pt>
                <c:pt idx="26">
                  <c:v>10.5669</c:v>
                </c:pt>
                <c:pt idx="27">
                  <c:v>10.9756</c:v>
                </c:pt>
                <c:pt idx="28">
                  <c:v>11.3787</c:v>
                </c:pt>
                <c:pt idx="29">
                  <c:v>11.782500000000001</c:v>
                </c:pt>
                <c:pt idx="30">
                  <c:v>12.189</c:v>
                </c:pt>
                <c:pt idx="31">
                  <c:v>12.5976</c:v>
                </c:pt>
                <c:pt idx="32">
                  <c:v>13.0055</c:v>
                </c:pt>
                <c:pt idx="33">
                  <c:v>13.407999999999999</c:v>
                </c:pt>
                <c:pt idx="34">
                  <c:v>13.813800000000001</c:v>
                </c:pt>
                <c:pt idx="35">
                  <c:v>14.221399999999999</c:v>
                </c:pt>
                <c:pt idx="36">
                  <c:v>14.629300000000001</c:v>
                </c:pt>
                <c:pt idx="37">
                  <c:v>15.032999999999999</c:v>
                </c:pt>
                <c:pt idx="38">
                  <c:v>15.437799999999999</c:v>
                </c:pt>
                <c:pt idx="39">
                  <c:v>15.8467</c:v>
                </c:pt>
                <c:pt idx="40">
                  <c:v>16.252800000000001</c:v>
                </c:pt>
                <c:pt idx="41">
                  <c:v>16.6572</c:v>
                </c:pt>
                <c:pt idx="42">
                  <c:v>17.065899999999999</c:v>
                </c:pt>
                <c:pt idx="43">
                  <c:v>17.4693</c:v>
                </c:pt>
                <c:pt idx="44">
                  <c:v>17.8796</c:v>
                </c:pt>
                <c:pt idx="45">
                  <c:v>18.2881</c:v>
                </c:pt>
                <c:pt idx="46">
                  <c:v>18.6891</c:v>
                </c:pt>
                <c:pt idx="47">
                  <c:v>19.0946</c:v>
                </c:pt>
                <c:pt idx="48">
                  <c:v>19.501799999999999</c:v>
                </c:pt>
                <c:pt idx="49">
                  <c:v>19.9072</c:v>
                </c:pt>
                <c:pt idx="50">
                  <c:v>20.3188</c:v>
                </c:pt>
                <c:pt idx="51">
                  <c:v>20.720300000000002</c:v>
                </c:pt>
                <c:pt idx="52">
                  <c:v>21.127700000000001</c:v>
                </c:pt>
                <c:pt idx="53">
                  <c:v>21.536000000000001</c:v>
                </c:pt>
                <c:pt idx="54">
                  <c:v>21.942799999999998</c:v>
                </c:pt>
                <c:pt idx="55">
                  <c:v>22.348700000000001</c:v>
                </c:pt>
                <c:pt idx="56">
                  <c:v>22.7531</c:v>
                </c:pt>
                <c:pt idx="57">
                  <c:v>23.1586</c:v>
                </c:pt>
                <c:pt idx="58">
                  <c:v>23.563300000000002</c:v>
                </c:pt>
                <c:pt idx="59">
                  <c:v>23.972000000000001</c:v>
                </c:pt>
                <c:pt idx="60">
                  <c:v>24.3797</c:v>
                </c:pt>
                <c:pt idx="61">
                  <c:v>24.7864</c:v>
                </c:pt>
                <c:pt idx="62">
                  <c:v>25.1906</c:v>
                </c:pt>
                <c:pt idx="63">
                  <c:v>25.596299999999999</c:v>
                </c:pt>
                <c:pt idx="64">
                  <c:v>26.003900000000002</c:v>
                </c:pt>
                <c:pt idx="65">
                  <c:v>26.411999999999999</c:v>
                </c:pt>
                <c:pt idx="66">
                  <c:v>26.817699999999999</c:v>
                </c:pt>
                <c:pt idx="67">
                  <c:v>27.221699999999998</c:v>
                </c:pt>
                <c:pt idx="68">
                  <c:v>27.628</c:v>
                </c:pt>
                <c:pt idx="69">
                  <c:v>28.035599999999999</c:v>
                </c:pt>
                <c:pt idx="70">
                  <c:v>28.443000000000001</c:v>
                </c:pt>
                <c:pt idx="71">
                  <c:v>28.848099999999999</c:v>
                </c:pt>
                <c:pt idx="72">
                  <c:v>29.253399999999999</c:v>
                </c:pt>
                <c:pt idx="73">
                  <c:v>29.658100000000001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63.572700000000005</c:v>
                </c:pt>
                <c:pt idx="1">
                  <c:v>62.356500000000004</c:v>
                </c:pt>
                <c:pt idx="2">
                  <c:v>61.190199999999997</c:v>
                </c:pt>
                <c:pt idx="3">
                  <c:v>60.070399999999999</c:v>
                </c:pt>
                <c:pt idx="4">
                  <c:v>59.0627</c:v>
                </c:pt>
                <c:pt idx="5">
                  <c:v>58.038999999999994</c:v>
                </c:pt>
                <c:pt idx="6">
                  <c:v>56.824200000000005</c:v>
                </c:pt>
                <c:pt idx="7">
                  <c:v>55.597300000000004</c:v>
                </c:pt>
                <c:pt idx="8">
                  <c:v>54.442700000000002</c:v>
                </c:pt>
                <c:pt idx="9">
                  <c:v>53.073</c:v>
                </c:pt>
                <c:pt idx="10">
                  <c:v>51.649900000000002</c:v>
                </c:pt>
                <c:pt idx="11">
                  <c:v>50.262300000000003</c:v>
                </c:pt>
                <c:pt idx="12">
                  <c:v>49.036499999999997</c:v>
                </c:pt>
                <c:pt idx="13">
                  <c:v>47.945799999999998</c:v>
                </c:pt>
                <c:pt idx="14">
                  <c:v>46.892899999999997</c:v>
                </c:pt>
                <c:pt idx="15">
                  <c:v>45.957500000000003</c:v>
                </c:pt>
                <c:pt idx="16">
                  <c:v>45.314300000000003</c:v>
                </c:pt>
                <c:pt idx="17">
                  <c:v>44.7395</c:v>
                </c:pt>
                <c:pt idx="18">
                  <c:v>44.172600000000003</c:v>
                </c:pt>
                <c:pt idx="19">
                  <c:v>43.782700000000006</c:v>
                </c:pt>
                <c:pt idx="20">
                  <c:v>43.564399999999999</c:v>
                </c:pt>
                <c:pt idx="21">
                  <c:v>43.396099999999997</c:v>
                </c:pt>
                <c:pt idx="22">
                  <c:v>43.262799999999999</c:v>
                </c:pt>
                <c:pt idx="23">
                  <c:v>43.154399999999995</c:v>
                </c:pt>
                <c:pt idx="24">
                  <c:v>42.945599999999999</c:v>
                </c:pt>
                <c:pt idx="25">
                  <c:v>42.598300000000002</c:v>
                </c:pt>
                <c:pt idx="26">
                  <c:v>42.263199999999998</c:v>
                </c:pt>
                <c:pt idx="27">
                  <c:v>41.928800000000003</c:v>
                </c:pt>
                <c:pt idx="28">
                  <c:v>41.666599999999995</c:v>
                </c:pt>
                <c:pt idx="29">
                  <c:v>41.489599999999996</c:v>
                </c:pt>
                <c:pt idx="30">
                  <c:v>41.380400000000002</c:v>
                </c:pt>
                <c:pt idx="31">
                  <c:v>41.347699999999996</c:v>
                </c:pt>
                <c:pt idx="32">
                  <c:v>41.379199999999997</c:v>
                </c:pt>
                <c:pt idx="33">
                  <c:v>41.315300000000001</c:v>
                </c:pt>
                <c:pt idx="34">
                  <c:v>41.141800000000003</c:v>
                </c:pt>
                <c:pt idx="35">
                  <c:v>40.922399999999996</c:v>
                </c:pt>
                <c:pt idx="36">
                  <c:v>40.700499999999998</c:v>
                </c:pt>
                <c:pt idx="37">
                  <c:v>40.564299999999996</c:v>
                </c:pt>
                <c:pt idx="38">
                  <c:v>40.431200000000004</c:v>
                </c:pt>
                <c:pt idx="39">
                  <c:v>40.317700000000002</c:v>
                </c:pt>
                <c:pt idx="40">
                  <c:v>40.383299999999998</c:v>
                </c:pt>
                <c:pt idx="41">
                  <c:v>40.432400000000001</c:v>
                </c:pt>
                <c:pt idx="42">
                  <c:v>40.375100000000003</c:v>
                </c:pt>
                <c:pt idx="43">
                  <c:v>40.242400000000004</c:v>
                </c:pt>
                <c:pt idx="44">
                  <c:v>40.0364</c:v>
                </c:pt>
                <c:pt idx="45">
                  <c:v>39.8431</c:v>
                </c:pt>
                <c:pt idx="46">
                  <c:v>39.758500000000005</c:v>
                </c:pt>
                <c:pt idx="47">
                  <c:v>39.891599999999997</c:v>
                </c:pt>
                <c:pt idx="48">
                  <c:v>40.084199999999996</c:v>
                </c:pt>
                <c:pt idx="49">
                  <c:v>40.221400000000003</c:v>
                </c:pt>
                <c:pt idx="50">
                  <c:v>40.385300000000001</c:v>
                </c:pt>
                <c:pt idx="51">
                  <c:v>40.509299999999996</c:v>
                </c:pt>
                <c:pt idx="52">
                  <c:v>40.512799999999999</c:v>
                </c:pt>
                <c:pt idx="53">
                  <c:v>40.472200000000001</c:v>
                </c:pt>
                <c:pt idx="54">
                  <c:v>40.410600000000002</c:v>
                </c:pt>
                <c:pt idx="55">
                  <c:v>40.3825</c:v>
                </c:pt>
                <c:pt idx="56">
                  <c:v>40.448599999999999</c:v>
                </c:pt>
                <c:pt idx="57">
                  <c:v>40.597000000000001</c:v>
                </c:pt>
                <c:pt idx="58">
                  <c:v>40.781600000000005</c:v>
                </c:pt>
                <c:pt idx="59">
                  <c:v>40.959600000000002</c:v>
                </c:pt>
                <c:pt idx="60">
                  <c:v>41.041699999999999</c:v>
                </c:pt>
                <c:pt idx="61">
                  <c:v>41.140900000000002</c:v>
                </c:pt>
                <c:pt idx="62">
                  <c:v>41.115000000000002</c:v>
                </c:pt>
                <c:pt idx="63">
                  <c:v>41.030100000000004</c:v>
                </c:pt>
                <c:pt idx="64">
                  <c:v>41.038200000000003</c:v>
                </c:pt>
                <c:pt idx="65">
                  <c:v>41.072199999999995</c:v>
                </c:pt>
                <c:pt idx="66">
                  <c:v>41.303100000000001</c:v>
                </c:pt>
                <c:pt idx="67">
                  <c:v>41.6815</c:v>
                </c:pt>
                <c:pt idx="68">
                  <c:v>42.0122</c:v>
                </c:pt>
                <c:pt idx="69">
                  <c:v>42.0289</c:v>
                </c:pt>
                <c:pt idx="70">
                  <c:v>41.7425</c:v>
                </c:pt>
                <c:pt idx="71">
                  <c:v>41.708300000000001</c:v>
                </c:pt>
                <c:pt idx="72">
                  <c:v>41.931200000000004</c:v>
                </c:pt>
                <c:pt idx="73">
                  <c:v>41.9084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0.41134199999999999</c:v>
                </c:pt>
                <c:pt idx="2">
                  <c:v>0.81456499999999998</c:v>
                </c:pt>
                <c:pt idx="3">
                  <c:v>1.2204299999999999</c:v>
                </c:pt>
                <c:pt idx="4">
                  <c:v>1.629</c:v>
                </c:pt>
                <c:pt idx="5">
                  <c:v>2.0364100000000001</c:v>
                </c:pt>
                <c:pt idx="6">
                  <c:v>2.4422700000000002</c:v>
                </c:pt>
                <c:pt idx="7">
                  <c:v>2.8469000000000002</c:v>
                </c:pt>
                <c:pt idx="8">
                  <c:v>3.2522099999999998</c:v>
                </c:pt>
                <c:pt idx="9">
                  <c:v>3.6595499999999999</c:v>
                </c:pt>
                <c:pt idx="10">
                  <c:v>4.0654899999999996</c:v>
                </c:pt>
                <c:pt idx="11">
                  <c:v>4.4738199999999999</c:v>
                </c:pt>
                <c:pt idx="12">
                  <c:v>4.8839699999999997</c:v>
                </c:pt>
                <c:pt idx="13">
                  <c:v>5.2850999999999999</c:v>
                </c:pt>
                <c:pt idx="14">
                  <c:v>5.6881399999999998</c:v>
                </c:pt>
                <c:pt idx="15">
                  <c:v>6.0982599999999998</c:v>
                </c:pt>
                <c:pt idx="16">
                  <c:v>6.5017899999999997</c:v>
                </c:pt>
                <c:pt idx="17">
                  <c:v>6.90937</c:v>
                </c:pt>
                <c:pt idx="18">
                  <c:v>7.31454</c:v>
                </c:pt>
                <c:pt idx="19">
                  <c:v>7.7199299999999997</c:v>
                </c:pt>
                <c:pt idx="20">
                  <c:v>8.1300299999999996</c:v>
                </c:pt>
                <c:pt idx="21">
                  <c:v>8.5326000000000004</c:v>
                </c:pt>
                <c:pt idx="22">
                  <c:v>8.9426699999999997</c:v>
                </c:pt>
                <c:pt idx="23">
                  <c:v>9.3456299999999999</c:v>
                </c:pt>
                <c:pt idx="24">
                  <c:v>9.7521000000000004</c:v>
                </c:pt>
                <c:pt idx="25">
                  <c:v>10.1577</c:v>
                </c:pt>
                <c:pt idx="26">
                  <c:v>10.5669</c:v>
                </c:pt>
                <c:pt idx="27">
                  <c:v>10.9756</c:v>
                </c:pt>
                <c:pt idx="28">
                  <c:v>11.3787</c:v>
                </c:pt>
                <c:pt idx="29">
                  <c:v>11.782500000000001</c:v>
                </c:pt>
                <c:pt idx="30">
                  <c:v>12.189</c:v>
                </c:pt>
                <c:pt idx="31">
                  <c:v>12.5976</c:v>
                </c:pt>
                <c:pt idx="32">
                  <c:v>13.0055</c:v>
                </c:pt>
                <c:pt idx="33">
                  <c:v>13.407999999999999</c:v>
                </c:pt>
                <c:pt idx="34">
                  <c:v>13.813800000000001</c:v>
                </c:pt>
                <c:pt idx="35">
                  <c:v>14.221399999999999</c:v>
                </c:pt>
                <c:pt idx="36">
                  <c:v>14.629300000000001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63.572700000000005</c:v>
                </c:pt>
                <c:pt idx="1">
                  <c:v>62.356500000000004</c:v>
                </c:pt>
                <c:pt idx="2">
                  <c:v>61.190199999999997</c:v>
                </c:pt>
                <c:pt idx="3">
                  <c:v>60.070399999999999</c:v>
                </c:pt>
                <c:pt idx="4">
                  <c:v>59.0627</c:v>
                </c:pt>
                <c:pt idx="5">
                  <c:v>58.038999999999994</c:v>
                </c:pt>
                <c:pt idx="6">
                  <c:v>56.824200000000005</c:v>
                </c:pt>
                <c:pt idx="7">
                  <c:v>55.597300000000004</c:v>
                </c:pt>
                <c:pt idx="8">
                  <c:v>54.442700000000002</c:v>
                </c:pt>
                <c:pt idx="9">
                  <c:v>53.073</c:v>
                </c:pt>
                <c:pt idx="10">
                  <c:v>51.649900000000002</c:v>
                </c:pt>
                <c:pt idx="11">
                  <c:v>50.262300000000003</c:v>
                </c:pt>
                <c:pt idx="12">
                  <c:v>49.036499999999997</c:v>
                </c:pt>
                <c:pt idx="13">
                  <c:v>47.945799999999998</c:v>
                </c:pt>
                <c:pt idx="14">
                  <c:v>46.892899999999997</c:v>
                </c:pt>
                <c:pt idx="15">
                  <c:v>45.957500000000003</c:v>
                </c:pt>
                <c:pt idx="16">
                  <c:v>45.314300000000003</c:v>
                </c:pt>
                <c:pt idx="17">
                  <c:v>44.7395</c:v>
                </c:pt>
                <c:pt idx="18">
                  <c:v>44.172600000000003</c:v>
                </c:pt>
                <c:pt idx="19">
                  <c:v>43.782700000000006</c:v>
                </c:pt>
                <c:pt idx="20">
                  <c:v>43.564399999999999</c:v>
                </c:pt>
                <c:pt idx="21">
                  <c:v>43.396099999999997</c:v>
                </c:pt>
                <c:pt idx="22">
                  <c:v>43.262799999999999</c:v>
                </c:pt>
                <c:pt idx="23">
                  <c:v>43.154399999999995</c:v>
                </c:pt>
                <c:pt idx="24">
                  <c:v>42.945599999999999</c:v>
                </c:pt>
                <c:pt idx="25">
                  <c:v>42.598300000000002</c:v>
                </c:pt>
                <c:pt idx="26">
                  <c:v>42.263199999999998</c:v>
                </c:pt>
                <c:pt idx="27">
                  <c:v>41.928800000000003</c:v>
                </c:pt>
                <c:pt idx="28">
                  <c:v>41.666599999999995</c:v>
                </c:pt>
                <c:pt idx="29">
                  <c:v>41.489599999999996</c:v>
                </c:pt>
                <c:pt idx="30">
                  <c:v>41.380400000000002</c:v>
                </c:pt>
                <c:pt idx="31">
                  <c:v>41.347699999999996</c:v>
                </c:pt>
                <c:pt idx="32">
                  <c:v>41.379199999999997</c:v>
                </c:pt>
                <c:pt idx="33">
                  <c:v>41.315300000000001</c:v>
                </c:pt>
                <c:pt idx="34">
                  <c:v>41.141800000000003</c:v>
                </c:pt>
                <c:pt idx="35">
                  <c:v>40.922399999999996</c:v>
                </c:pt>
                <c:pt idx="36">
                  <c:v>40.700499999999998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14.629300000000001</c:v>
                </c:pt>
                <c:pt idx="1">
                  <c:v>15.032999999999999</c:v>
                </c:pt>
                <c:pt idx="2">
                  <c:v>15.437799999999999</c:v>
                </c:pt>
                <c:pt idx="3">
                  <c:v>15.8467</c:v>
                </c:pt>
                <c:pt idx="4">
                  <c:v>16.252800000000001</c:v>
                </c:pt>
                <c:pt idx="5">
                  <c:v>16.6572</c:v>
                </c:pt>
                <c:pt idx="6">
                  <c:v>17.065899999999999</c:v>
                </c:pt>
                <c:pt idx="7">
                  <c:v>17.4693</c:v>
                </c:pt>
                <c:pt idx="8">
                  <c:v>17.8796</c:v>
                </c:pt>
                <c:pt idx="9">
                  <c:v>18.2881</c:v>
                </c:pt>
                <c:pt idx="10">
                  <c:v>18.6891</c:v>
                </c:pt>
                <c:pt idx="11">
                  <c:v>19.0946</c:v>
                </c:pt>
                <c:pt idx="12">
                  <c:v>19.501799999999999</c:v>
                </c:pt>
                <c:pt idx="13">
                  <c:v>19.9072</c:v>
                </c:pt>
                <c:pt idx="14">
                  <c:v>20.3188</c:v>
                </c:pt>
                <c:pt idx="15">
                  <c:v>20.720300000000002</c:v>
                </c:pt>
                <c:pt idx="16">
                  <c:v>21.127700000000001</c:v>
                </c:pt>
                <c:pt idx="17">
                  <c:v>21.536000000000001</c:v>
                </c:pt>
                <c:pt idx="18">
                  <c:v>21.942799999999998</c:v>
                </c:pt>
                <c:pt idx="19">
                  <c:v>22.348700000000001</c:v>
                </c:pt>
                <c:pt idx="20">
                  <c:v>22.7531</c:v>
                </c:pt>
                <c:pt idx="21">
                  <c:v>23.1586</c:v>
                </c:pt>
                <c:pt idx="22">
                  <c:v>23.563300000000002</c:v>
                </c:pt>
                <c:pt idx="23">
                  <c:v>23.972000000000001</c:v>
                </c:pt>
                <c:pt idx="24">
                  <c:v>24.3797</c:v>
                </c:pt>
                <c:pt idx="25">
                  <c:v>24.7864</c:v>
                </c:pt>
                <c:pt idx="26">
                  <c:v>25.1906</c:v>
                </c:pt>
                <c:pt idx="27">
                  <c:v>25.596299999999999</c:v>
                </c:pt>
                <c:pt idx="28">
                  <c:v>26.003900000000002</c:v>
                </c:pt>
                <c:pt idx="29">
                  <c:v>26.411999999999999</c:v>
                </c:pt>
                <c:pt idx="30">
                  <c:v>26.817699999999999</c:v>
                </c:pt>
                <c:pt idx="31">
                  <c:v>27.221699999999998</c:v>
                </c:pt>
                <c:pt idx="32">
                  <c:v>27.628</c:v>
                </c:pt>
                <c:pt idx="33">
                  <c:v>28.035599999999999</c:v>
                </c:pt>
                <c:pt idx="34">
                  <c:v>28.443000000000001</c:v>
                </c:pt>
                <c:pt idx="35">
                  <c:v>28.848099999999999</c:v>
                </c:pt>
                <c:pt idx="36">
                  <c:v>29.253399999999999</c:v>
                </c:pt>
                <c:pt idx="37">
                  <c:v>29.658100000000001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40.700499999999998</c:v>
                </c:pt>
                <c:pt idx="1">
                  <c:v>40.564299999999996</c:v>
                </c:pt>
                <c:pt idx="2">
                  <c:v>40.431200000000004</c:v>
                </c:pt>
                <c:pt idx="3">
                  <c:v>40.317700000000002</c:v>
                </c:pt>
                <c:pt idx="4">
                  <c:v>40.383299999999998</c:v>
                </c:pt>
                <c:pt idx="5">
                  <c:v>40.432400000000001</c:v>
                </c:pt>
                <c:pt idx="6">
                  <c:v>40.375100000000003</c:v>
                </c:pt>
                <c:pt idx="7">
                  <c:v>40.242400000000004</c:v>
                </c:pt>
                <c:pt idx="8">
                  <c:v>40.0364</c:v>
                </c:pt>
                <c:pt idx="9">
                  <c:v>39.8431</c:v>
                </c:pt>
                <c:pt idx="10">
                  <c:v>39.758500000000005</c:v>
                </c:pt>
                <c:pt idx="11">
                  <c:v>39.891599999999997</c:v>
                </c:pt>
                <c:pt idx="12">
                  <c:v>40.084199999999996</c:v>
                </c:pt>
                <c:pt idx="13">
                  <c:v>40.221400000000003</c:v>
                </c:pt>
                <c:pt idx="14">
                  <c:v>40.385300000000001</c:v>
                </c:pt>
                <c:pt idx="15">
                  <c:v>40.509299999999996</c:v>
                </c:pt>
                <c:pt idx="16">
                  <c:v>40.512799999999999</c:v>
                </c:pt>
                <c:pt idx="17">
                  <c:v>40.472200000000001</c:v>
                </c:pt>
                <c:pt idx="18">
                  <c:v>40.410600000000002</c:v>
                </c:pt>
                <c:pt idx="19">
                  <c:v>40.3825</c:v>
                </c:pt>
                <c:pt idx="20">
                  <c:v>40.448599999999999</c:v>
                </c:pt>
                <c:pt idx="21">
                  <c:v>40.597000000000001</c:v>
                </c:pt>
                <c:pt idx="22">
                  <c:v>40.781600000000005</c:v>
                </c:pt>
                <c:pt idx="23">
                  <c:v>40.959600000000002</c:v>
                </c:pt>
                <c:pt idx="24">
                  <c:v>41.041699999999999</c:v>
                </c:pt>
                <c:pt idx="25">
                  <c:v>41.140900000000002</c:v>
                </c:pt>
                <c:pt idx="26">
                  <c:v>41.115000000000002</c:v>
                </c:pt>
                <c:pt idx="27">
                  <c:v>41.030100000000004</c:v>
                </c:pt>
                <c:pt idx="28">
                  <c:v>41.038200000000003</c:v>
                </c:pt>
                <c:pt idx="29">
                  <c:v>41.072199999999995</c:v>
                </c:pt>
                <c:pt idx="30">
                  <c:v>41.303100000000001</c:v>
                </c:pt>
                <c:pt idx="31">
                  <c:v>41.6815</c:v>
                </c:pt>
                <c:pt idx="32">
                  <c:v>42.0122</c:v>
                </c:pt>
                <c:pt idx="33">
                  <c:v>42.0289</c:v>
                </c:pt>
                <c:pt idx="34">
                  <c:v>41.7425</c:v>
                </c:pt>
                <c:pt idx="35">
                  <c:v>41.708300000000001</c:v>
                </c:pt>
                <c:pt idx="36">
                  <c:v>41.931200000000004</c:v>
                </c:pt>
                <c:pt idx="37">
                  <c:v>41.9084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7.4145250000000003</c:v>
                </c:pt>
                <c:pt idx="1">
                  <c:v>22.243575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47.795670270270271</c:v>
                </c:pt>
                <c:pt idx="1">
                  <c:v>40.778251351351351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4"/>
                <c:pt idx="0">
                  <c:v>1.4541599999999999</c:v>
                </c:pt>
                <c:pt idx="1">
                  <c:v>1.49939</c:v>
                </c:pt>
                <c:pt idx="2">
                  <c:v>1.5453000000000001</c:v>
                </c:pt>
                <c:pt idx="3">
                  <c:v>1.5886900000000002</c:v>
                </c:pt>
                <c:pt idx="4">
                  <c:v>1.6301699999999999</c:v>
                </c:pt>
                <c:pt idx="5">
                  <c:v>1.6731499999999999</c:v>
                </c:pt>
                <c:pt idx="6">
                  <c:v>1.72075</c:v>
                </c:pt>
                <c:pt idx="7">
                  <c:v>1.7708699999999999</c:v>
                </c:pt>
                <c:pt idx="8">
                  <c:v>1.8229200000000001</c:v>
                </c:pt>
                <c:pt idx="9">
                  <c:v>1.87748</c:v>
                </c:pt>
                <c:pt idx="10">
                  <c:v>1.93337</c:v>
                </c:pt>
                <c:pt idx="11">
                  <c:v>1.9906599999999999</c:v>
                </c:pt>
                <c:pt idx="12">
                  <c:v>2.0451100000000002</c:v>
                </c:pt>
                <c:pt idx="13">
                  <c:v>2.0982099999999999</c:v>
                </c:pt>
                <c:pt idx="14">
                  <c:v>2.1522100000000002</c:v>
                </c:pt>
                <c:pt idx="15">
                  <c:v>2.2035399999999998</c:v>
                </c:pt>
                <c:pt idx="16">
                  <c:v>2.2507099999999998</c:v>
                </c:pt>
                <c:pt idx="17">
                  <c:v>2.2957299999999998</c:v>
                </c:pt>
                <c:pt idx="18">
                  <c:v>2.3393700000000002</c:v>
                </c:pt>
                <c:pt idx="19">
                  <c:v>2.37798</c:v>
                </c:pt>
                <c:pt idx="20">
                  <c:v>2.4097</c:v>
                </c:pt>
                <c:pt idx="21">
                  <c:v>2.4372600000000002</c:v>
                </c:pt>
                <c:pt idx="22">
                  <c:v>2.4628700000000001</c:v>
                </c:pt>
                <c:pt idx="23">
                  <c:v>2.48821</c:v>
                </c:pt>
                <c:pt idx="24">
                  <c:v>2.5150499999999996</c:v>
                </c:pt>
                <c:pt idx="25">
                  <c:v>2.5425800000000001</c:v>
                </c:pt>
                <c:pt idx="26">
                  <c:v>2.57036</c:v>
                </c:pt>
                <c:pt idx="27">
                  <c:v>2.5980300000000001</c:v>
                </c:pt>
                <c:pt idx="28">
                  <c:v>2.6224999999999996</c:v>
                </c:pt>
                <c:pt idx="29">
                  <c:v>2.6461600000000001</c:v>
                </c:pt>
                <c:pt idx="30">
                  <c:v>2.6637399999999998</c:v>
                </c:pt>
                <c:pt idx="31">
                  <c:v>2.6764900000000003</c:v>
                </c:pt>
                <c:pt idx="32">
                  <c:v>2.6843299999999997</c:v>
                </c:pt>
                <c:pt idx="33">
                  <c:v>2.6902900000000001</c:v>
                </c:pt>
                <c:pt idx="34">
                  <c:v>2.6972</c:v>
                </c:pt>
                <c:pt idx="35">
                  <c:v>2.7045500000000002</c:v>
                </c:pt>
                <c:pt idx="36">
                  <c:v>2.7109399999999999</c:v>
                </c:pt>
                <c:pt idx="37">
                  <c:v>2.7164899999999998</c:v>
                </c:pt>
                <c:pt idx="38">
                  <c:v>2.7240199999999999</c:v>
                </c:pt>
                <c:pt idx="39">
                  <c:v>2.7313100000000001</c:v>
                </c:pt>
                <c:pt idx="40">
                  <c:v>2.7347799999999998</c:v>
                </c:pt>
                <c:pt idx="41">
                  <c:v>2.7406799999999998</c:v>
                </c:pt>
                <c:pt idx="42">
                  <c:v>2.7503600000000001</c:v>
                </c:pt>
                <c:pt idx="43">
                  <c:v>2.7654899999999998</c:v>
                </c:pt>
                <c:pt idx="44">
                  <c:v>2.7841900000000002</c:v>
                </c:pt>
                <c:pt idx="45">
                  <c:v>2.8055099999999999</c:v>
                </c:pt>
                <c:pt idx="46">
                  <c:v>2.8231800000000002</c:v>
                </c:pt>
                <c:pt idx="47">
                  <c:v>2.8347099999999998</c:v>
                </c:pt>
                <c:pt idx="48">
                  <c:v>2.8451500000000003</c:v>
                </c:pt>
                <c:pt idx="49">
                  <c:v>2.8562099999999999</c:v>
                </c:pt>
                <c:pt idx="50">
                  <c:v>2.8659400000000002</c:v>
                </c:pt>
                <c:pt idx="51">
                  <c:v>2.8728799999999999</c:v>
                </c:pt>
                <c:pt idx="52">
                  <c:v>2.87887</c:v>
                </c:pt>
                <c:pt idx="53">
                  <c:v>2.8857300000000001</c:v>
                </c:pt>
                <c:pt idx="54">
                  <c:v>2.8947099999999999</c:v>
                </c:pt>
                <c:pt idx="55">
                  <c:v>2.9030200000000002</c:v>
                </c:pt>
                <c:pt idx="56">
                  <c:v>2.9105699999999999</c:v>
                </c:pt>
                <c:pt idx="57">
                  <c:v>2.9164600000000003</c:v>
                </c:pt>
                <c:pt idx="58">
                  <c:v>2.9208800000000004</c:v>
                </c:pt>
                <c:pt idx="59">
                  <c:v>2.9248600000000002</c:v>
                </c:pt>
                <c:pt idx="60">
                  <c:v>2.9272300000000002</c:v>
                </c:pt>
                <c:pt idx="61">
                  <c:v>2.9323100000000002</c:v>
                </c:pt>
                <c:pt idx="62">
                  <c:v>2.9430399999999999</c:v>
                </c:pt>
                <c:pt idx="63">
                  <c:v>2.9566300000000001</c:v>
                </c:pt>
                <c:pt idx="64">
                  <c:v>2.9695</c:v>
                </c:pt>
                <c:pt idx="65">
                  <c:v>2.9819299999999997</c:v>
                </c:pt>
                <c:pt idx="66">
                  <c:v>2.9868499999999996</c:v>
                </c:pt>
                <c:pt idx="67">
                  <c:v>2.9858800000000003</c:v>
                </c:pt>
                <c:pt idx="68">
                  <c:v>2.9783300000000001</c:v>
                </c:pt>
                <c:pt idx="69">
                  <c:v>2.9764900000000001</c:v>
                </c:pt>
                <c:pt idx="70">
                  <c:v>2.9821399999999998</c:v>
                </c:pt>
                <c:pt idx="71">
                  <c:v>2.9820899999999999</c:v>
                </c:pt>
                <c:pt idx="72">
                  <c:v>2.9807600000000001</c:v>
                </c:pt>
                <c:pt idx="73">
                  <c:v>2.98529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63.572700000000005</c:v>
                </c:pt>
                <c:pt idx="1">
                  <c:v>62.356500000000004</c:v>
                </c:pt>
                <c:pt idx="2">
                  <c:v>61.190199999999997</c:v>
                </c:pt>
                <c:pt idx="3">
                  <c:v>60.070399999999999</c:v>
                </c:pt>
                <c:pt idx="4">
                  <c:v>59.0627</c:v>
                </c:pt>
                <c:pt idx="5">
                  <c:v>58.038999999999994</c:v>
                </c:pt>
                <c:pt idx="6">
                  <c:v>56.824200000000005</c:v>
                </c:pt>
                <c:pt idx="7">
                  <c:v>55.597300000000004</c:v>
                </c:pt>
                <c:pt idx="8">
                  <c:v>54.442700000000002</c:v>
                </c:pt>
                <c:pt idx="9">
                  <c:v>53.073</c:v>
                </c:pt>
                <c:pt idx="10">
                  <c:v>51.649900000000002</c:v>
                </c:pt>
                <c:pt idx="11">
                  <c:v>50.262300000000003</c:v>
                </c:pt>
                <c:pt idx="12">
                  <c:v>49.036499999999997</c:v>
                </c:pt>
                <c:pt idx="13">
                  <c:v>47.945799999999998</c:v>
                </c:pt>
                <c:pt idx="14">
                  <c:v>46.892899999999997</c:v>
                </c:pt>
                <c:pt idx="15">
                  <c:v>45.957500000000003</c:v>
                </c:pt>
                <c:pt idx="16">
                  <c:v>45.314300000000003</c:v>
                </c:pt>
                <c:pt idx="17">
                  <c:v>44.7395</c:v>
                </c:pt>
                <c:pt idx="18">
                  <c:v>44.172600000000003</c:v>
                </c:pt>
                <c:pt idx="19">
                  <c:v>43.782700000000006</c:v>
                </c:pt>
                <c:pt idx="20">
                  <c:v>43.564399999999999</c:v>
                </c:pt>
                <c:pt idx="21">
                  <c:v>43.396099999999997</c:v>
                </c:pt>
                <c:pt idx="22">
                  <c:v>43.262799999999999</c:v>
                </c:pt>
                <c:pt idx="23">
                  <c:v>43.154399999999995</c:v>
                </c:pt>
                <c:pt idx="24">
                  <c:v>42.945599999999999</c:v>
                </c:pt>
                <c:pt idx="25">
                  <c:v>42.598300000000002</c:v>
                </c:pt>
                <c:pt idx="26">
                  <c:v>42.263199999999998</c:v>
                </c:pt>
                <c:pt idx="27">
                  <c:v>41.928800000000003</c:v>
                </c:pt>
                <c:pt idx="28">
                  <c:v>41.666599999999995</c:v>
                </c:pt>
                <c:pt idx="29">
                  <c:v>41.489599999999996</c:v>
                </c:pt>
                <c:pt idx="30">
                  <c:v>41.380400000000002</c:v>
                </c:pt>
                <c:pt idx="31">
                  <c:v>41.347699999999996</c:v>
                </c:pt>
                <c:pt idx="32">
                  <c:v>41.379199999999997</c:v>
                </c:pt>
                <c:pt idx="33">
                  <c:v>41.315300000000001</c:v>
                </c:pt>
                <c:pt idx="34">
                  <c:v>41.141800000000003</c:v>
                </c:pt>
                <c:pt idx="35">
                  <c:v>40.922399999999996</c:v>
                </c:pt>
                <c:pt idx="36">
                  <c:v>40.700499999999998</c:v>
                </c:pt>
                <c:pt idx="37">
                  <c:v>40.564299999999996</c:v>
                </c:pt>
                <c:pt idx="38">
                  <c:v>40.431200000000004</c:v>
                </c:pt>
                <c:pt idx="39">
                  <c:v>40.317700000000002</c:v>
                </c:pt>
                <c:pt idx="40">
                  <c:v>40.383299999999998</c:v>
                </c:pt>
                <c:pt idx="41">
                  <c:v>40.432400000000001</c:v>
                </c:pt>
                <c:pt idx="42">
                  <c:v>40.375100000000003</c:v>
                </c:pt>
                <c:pt idx="43">
                  <c:v>40.242400000000004</c:v>
                </c:pt>
                <c:pt idx="44">
                  <c:v>40.0364</c:v>
                </c:pt>
                <c:pt idx="45">
                  <c:v>39.8431</c:v>
                </c:pt>
                <c:pt idx="46">
                  <c:v>39.758500000000005</c:v>
                </c:pt>
                <c:pt idx="47">
                  <c:v>39.891599999999997</c:v>
                </c:pt>
                <c:pt idx="48">
                  <c:v>40.084199999999996</c:v>
                </c:pt>
                <c:pt idx="49">
                  <c:v>40.221400000000003</c:v>
                </c:pt>
                <c:pt idx="50">
                  <c:v>40.385300000000001</c:v>
                </c:pt>
                <c:pt idx="51">
                  <c:v>40.509299999999996</c:v>
                </c:pt>
                <c:pt idx="52">
                  <c:v>40.512799999999999</c:v>
                </c:pt>
                <c:pt idx="53">
                  <c:v>40.472200000000001</c:v>
                </c:pt>
                <c:pt idx="54">
                  <c:v>40.410600000000002</c:v>
                </c:pt>
                <c:pt idx="55">
                  <c:v>40.3825</c:v>
                </c:pt>
                <c:pt idx="56">
                  <c:v>40.448599999999999</c:v>
                </c:pt>
                <c:pt idx="57">
                  <c:v>40.597000000000001</c:v>
                </c:pt>
                <c:pt idx="58">
                  <c:v>40.781600000000005</c:v>
                </c:pt>
                <c:pt idx="59">
                  <c:v>40.959600000000002</c:v>
                </c:pt>
                <c:pt idx="60">
                  <c:v>41.041699999999999</c:v>
                </c:pt>
                <c:pt idx="61">
                  <c:v>41.140900000000002</c:v>
                </c:pt>
                <c:pt idx="62">
                  <c:v>41.115000000000002</c:v>
                </c:pt>
                <c:pt idx="63">
                  <c:v>41.030100000000004</c:v>
                </c:pt>
                <c:pt idx="64">
                  <c:v>41.038200000000003</c:v>
                </c:pt>
                <c:pt idx="65">
                  <c:v>41.072199999999995</c:v>
                </c:pt>
                <c:pt idx="66">
                  <c:v>41.303100000000001</c:v>
                </c:pt>
                <c:pt idx="67">
                  <c:v>41.6815</c:v>
                </c:pt>
                <c:pt idx="68">
                  <c:v>42.0122</c:v>
                </c:pt>
                <c:pt idx="69">
                  <c:v>42.0289</c:v>
                </c:pt>
                <c:pt idx="70">
                  <c:v>41.7425</c:v>
                </c:pt>
                <c:pt idx="71">
                  <c:v>41.708300000000001</c:v>
                </c:pt>
                <c:pt idx="72">
                  <c:v>41.931200000000004</c:v>
                </c:pt>
                <c:pt idx="73">
                  <c:v>41.9084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7"/>
                <c:pt idx="0">
                  <c:v>1.4541599999999999</c:v>
                </c:pt>
                <c:pt idx="1">
                  <c:v>1.49939</c:v>
                </c:pt>
                <c:pt idx="2">
                  <c:v>1.5453000000000001</c:v>
                </c:pt>
                <c:pt idx="3">
                  <c:v>1.5886900000000002</c:v>
                </c:pt>
                <c:pt idx="4">
                  <c:v>1.6301699999999999</c:v>
                </c:pt>
                <c:pt idx="5">
                  <c:v>1.6731499999999999</c:v>
                </c:pt>
                <c:pt idx="6">
                  <c:v>1.72075</c:v>
                </c:pt>
                <c:pt idx="7">
                  <c:v>1.7708699999999999</c:v>
                </c:pt>
                <c:pt idx="8">
                  <c:v>1.8229200000000001</c:v>
                </c:pt>
                <c:pt idx="9">
                  <c:v>1.87748</c:v>
                </c:pt>
                <c:pt idx="10">
                  <c:v>1.93337</c:v>
                </c:pt>
                <c:pt idx="11">
                  <c:v>1.9906599999999999</c:v>
                </c:pt>
                <c:pt idx="12">
                  <c:v>2.0451100000000002</c:v>
                </c:pt>
                <c:pt idx="13">
                  <c:v>2.0982099999999999</c:v>
                </c:pt>
                <c:pt idx="14">
                  <c:v>2.1522100000000002</c:v>
                </c:pt>
                <c:pt idx="15">
                  <c:v>2.2035399999999998</c:v>
                </c:pt>
                <c:pt idx="16">
                  <c:v>2.2507099999999998</c:v>
                </c:pt>
                <c:pt idx="17">
                  <c:v>2.2957299999999998</c:v>
                </c:pt>
                <c:pt idx="18">
                  <c:v>2.3393700000000002</c:v>
                </c:pt>
                <c:pt idx="19">
                  <c:v>2.37798</c:v>
                </c:pt>
                <c:pt idx="20">
                  <c:v>2.4097</c:v>
                </c:pt>
                <c:pt idx="21">
                  <c:v>2.4372600000000002</c:v>
                </c:pt>
                <c:pt idx="22">
                  <c:v>2.4628700000000001</c:v>
                </c:pt>
                <c:pt idx="23">
                  <c:v>2.48821</c:v>
                </c:pt>
                <c:pt idx="24">
                  <c:v>2.5150499999999996</c:v>
                </c:pt>
                <c:pt idx="25">
                  <c:v>2.5425800000000001</c:v>
                </c:pt>
                <c:pt idx="26">
                  <c:v>2.57036</c:v>
                </c:pt>
                <c:pt idx="27">
                  <c:v>2.5980300000000001</c:v>
                </c:pt>
                <c:pt idx="28">
                  <c:v>2.6224999999999996</c:v>
                </c:pt>
                <c:pt idx="29">
                  <c:v>2.6461600000000001</c:v>
                </c:pt>
                <c:pt idx="30">
                  <c:v>2.6637399999999998</c:v>
                </c:pt>
                <c:pt idx="31">
                  <c:v>2.6764900000000003</c:v>
                </c:pt>
                <c:pt idx="32">
                  <c:v>2.6843299999999997</c:v>
                </c:pt>
                <c:pt idx="33">
                  <c:v>2.6902900000000001</c:v>
                </c:pt>
                <c:pt idx="34">
                  <c:v>2.6972</c:v>
                </c:pt>
                <c:pt idx="35">
                  <c:v>2.7045500000000002</c:v>
                </c:pt>
                <c:pt idx="36">
                  <c:v>2.7109399999999999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63.572700000000005</c:v>
                </c:pt>
                <c:pt idx="1">
                  <c:v>62.356500000000004</c:v>
                </c:pt>
                <c:pt idx="2">
                  <c:v>61.190199999999997</c:v>
                </c:pt>
                <c:pt idx="3">
                  <c:v>60.070399999999999</c:v>
                </c:pt>
                <c:pt idx="4">
                  <c:v>59.0627</c:v>
                </c:pt>
                <c:pt idx="5">
                  <c:v>58.038999999999994</c:v>
                </c:pt>
                <c:pt idx="6">
                  <c:v>56.824200000000005</c:v>
                </c:pt>
                <c:pt idx="7">
                  <c:v>55.597300000000004</c:v>
                </c:pt>
                <c:pt idx="8">
                  <c:v>54.442700000000002</c:v>
                </c:pt>
                <c:pt idx="9">
                  <c:v>53.073</c:v>
                </c:pt>
                <c:pt idx="10">
                  <c:v>51.649900000000002</c:v>
                </c:pt>
                <c:pt idx="11">
                  <c:v>50.262300000000003</c:v>
                </c:pt>
                <c:pt idx="12">
                  <c:v>49.036499999999997</c:v>
                </c:pt>
                <c:pt idx="13">
                  <c:v>47.945799999999998</c:v>
                </c:pt>
                <c:pt idx="14">
                  <c:v>46.892899999999997</c:v>
                </c:pt>
                <c:pt idx="15">
                  <c:v>45.957500000000003</c:v>
                </c:pt>
                <c:pt idx="16">
                  <c:v>45.314300000000003</c:v>
                </c:pt>
                <c:pt idx="17">
                  <c:v>44.7395</c:v>
                </c:pt>
                <c:pt idx="18">
                  <c:v>44.172600000000003</c:v>
                </c:pt>
                <c:pt idx="19">
                  <c:v>43.782700000000006</c:v>
                </c:pt>
                <c:pt idx="20">
                  <c:v>43.564399999999999</c:v>
                </c:pt>
                <c:pt idx="21">
                  <c:v>43.396099999999997</c:v>
                </c:pt>
                <c:pt idx="22">
                  <c:v>43.262799999999999</c:v>
                </c:pt>
                <c:pt idx="23">
                  <c:v>43.154399999999995</c:v>
                </c:pt>
                <c:pt idx="24">
                  <c:v>42.945599999999999</c:v>
                </c:pt>
                <c:pt idx="25">
                  <c:v>42.598300000000002</c:v>
                </c:pt>
                <c:pt idx="26">
                  <c:v>42.263199999999998</c:v>
                </c:pt>
                <c:pt idx="27">
                  <c:v>41.928800000000003</c:v>
                </c:pt>
                <c:pt idx="28">
                  <c:v>41.666599999999995</c:v>
                </c:pt>
                <c:pt idx="29">
                  <c:v>41.489599999999996</c:v>
                </c:pt>
                <c:pt idx="30">
                  <c:v>41.380400000000002</c:v>
                </c:pt>
                <c:pt idx="31">
                  <c:v>41.347699999999996</c:v>
                </c:pt>
                <c:pt idx="32">
                  <c:v>41.379199999999997</c:v>
                </c:pt>
                <c:pt idx="33">
                  <c:v>41.315300000000001</c:v>
                </c:pt>
                <c:pt idx="34">
                  <c:v>41.141800000000003</c:v>
                </c:pt>
                <c:pt idx="35">
                  <c:v>40.922399999999996</c:v>
                </c:pt>
                <c:pt idx="36">
                  <c:v>40.700499999999998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2.7109399999999999</c:v>
                </c:pt>
                <c:pt idx="1">
                  <c:v>2.7164899999999998</c:v>
                </c:pt>
                <c:pt idx="2">
                  <c:v>2.7240199999999999</c:v>
                </c:pt>
                <c:pt idx="3">
                  <c:v>2.7313100000000001</c:v>
                </c:pt>
                <c:pt idx="4">
                  <c:v>2.7347799999999998</c:v>
                </c:pt>
                <c:pt idx="5">
                  <c:v>2.7406799999999998</c:v>
                </c:pt>
                <c:pt idx="6">
                  <c:v>2.7503600000000001</c:v>
                </c:pt>
                <c:pt idx="7">
                  <c:v>2.7654899999999998</c:v>
                </c:pt>
                <c:pt idx="8">
                  <c:v>2.7841900000000002</c:v>
                </c:pt>
                <c:pt idx="9">
                  <c:v>2.8055099999999999</c:v>
                </c:pt>
                <c:pt idx="10">
                  <c:v>2.8231800000000002</c:v>
                </c:pt>
                <c:pt idx="11">
                  <c:v>2.8347099999999998</c:v>
                </c:pt>
                <c:pt idx="12">
                  <c:v>2.8451500000000003</c:v>
                </c:pt>
                <c:pt idx="13">
                  <c:v>2.8562099999999999</c:v>
                </c:pt>
                <c:pt idx="14">
                  <c:v>2.8659400000000002</c:v>
                </c:pt>
                <c:pt idx="15">
                  <c:v>2.8728799999999999</c:v>
                </c:pt>
                <c:pt idx="16">
                  <c:v>2.87887</c:v>
                </c:pt>
                <c:pt idx="17">
                  <c:v>2.8857300000000001</c:v>
                </c:pt>
                <c:pt idx="18">
                  <c:v>2.8947099999999999</c:v>
                </c:pt>
                <c:pt idx="19">
                  <c:v>2.9030200000000002</c:v>
                </c:pt>
                <c:pt idx="20">
                  <c:v>2.9105699999999999</c:v>
                </c:pt>
                <c:pt idx="21">
                  <c:v>2.9164600000000003</c:v>
                </c:pt>
                <c:pt idx="22">
                  <c:v>2.9208800000000004</c:v>
                </c:pt>
                <c:pt idx="23">
                  <c:v>2.9248600000000002</c:v>
                </c:pt>
                <c:pt idx="24">
                  <c:v>2.9272300000000002</c:v>
                </c:pt>
                <c:pt idx="25">
                  <c:v>2.9323100000000002</c:v>
                </c:pt>
                <c:pt idx="26">
                  <c:v>2.9430399999999999</c:v>
                </c:pt>
                <c:pt idx="27">
                  <c:v>2.9566300000000001</c:v>
                </c:pt>
                <c:pt idx="28">
                  <c:v>2.9695</c:v>
                </c:pt>
                <c:pt idx="29">
                  <c:v>2.9819299999999997</c:v>
                </c:pt>
                <c:pt idx="30">
                  <c:v>2.9868499999999996</c:v>
                </c:pt>
                <c:pt idx="31">
                  <c:v>2.9858800000000003</c:v>
                </c:pt>
                <c:pt idx="32">
                  <c:v>2.9783300000000001</c:v>
                </c:pt>
                <c:pt idx="33">
                  <c:v>2.9764900000000001</c:v>
                </c:pt>
                <c:pt idx="34">
                  <c:v>2.9821399999999998</c:v>
                </c:pt>
                <c:pt idx="35">
                  <c:v>2.9820899999999999</c:v>
                </c:pt>
                <c:pt idx="36">
                  <c:v>2.9807600000000001</c:v>
                </c:pt>
                <c:pt idx="37">
                  <c:v>2.98529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40.700499999999998</c:v>
                </c:pt>
                <c:pt idx="1">
                  <c:v>40.564299999999996</c:v>
                </c:pt>
                <c:pt idx="2">
                  <c:v>40.431200000000004</c:v>
                </c:pt>
                <c:pt idx="3">
                  <c:v>40.317700000000002</c:v>
                </c:pt>
                <c:pt idx="4">
                  <c:v>40.383299999999998</c:v>
                </c:pt>
                <c:pt idx="5">
                  <c:v>40.432400000000001</c:v>
                </c:pt>
                <c:pt idx="6">
                  <c:v>40.375100000000003</c:v>
                </c:pt>
                <c:pt idx="7">
                  <c:v>40.242400000000004</c:v>
                </c:pt>
                <c:pt idx="8">
                  <c:v>40.0364</c:v>
                </c:pt>
                <c:pt idx="9">
                  <c:v>39.8431</c:v>
                </c:pt>
                <c:pt idx="10">
                  <c:v>39.758500000000005</c:v>
                </c:pt>
                <c:pt idx="11">
                  <c:v>39.891599999999997</c:v>
                </c:pt>
                <c:pt idx="12">
                  <c:v>40.084199999999996</c:v>
                </c:pt>
                <c:pt idx="13">
                  <c:v>40.221400000000003</c:v>
                </c:pt>
                <c:pt idx="14">
                  <c:v>40.385300000000001</c:v>
                </c:pt>
                <c:pt idx="15">
                  <c:v>40.509299999999996</c:v>
                </c:pt>
                <c:pt idx="16">
                  <c:v>40.512799999999999</c:v>
                </c:pt>
                <c:pt idx="17">
                  <c:v>40.472200000000001</c:v>
                </c:pt>
                <c:pt idx="18">
                  <c:v>40.410600000000002</c:v>
                </c:pt>
                <c:pt idx="19">
                  <c:v>40.3825</c:v>
                </c:pt>
                <c:pt idx="20">
                  <c:v>40.448599999999999</c:v>
                </c:pt>
                <c:pt idx="21">
                  <c:v>40.597000000000001</c:v>
                </c:pt>
                <c:pt idx="22">
                  <c:v>40.781600000000005</c:v>
                </c:pt>
                <c:pt idx="23">
                  <c:v>40.959600000000002</c:v>
                </c:pt>
                <c:pt idx="24">
                  <c:v>41.041699999999999</c:v>
                </c:pt>
                <c:pt idx="25">
                  <c:v>41.140900000000002</c:v>
                </c:pt>
                <c:pt idx="26">
                  <c:v>41.115000000000002</c:v>
                </c:pt>
                <c:pt idx="27">
                  <c:v>41.030100000000004</c:v>
                </c:pt>
                <c:pt idx="28">
                  <c:v>41.038200000000003</c:v>
                </c:pt>
                <c:pt idx="29">
                  <c:v>41.072199999999995</c:v>
                </c:pt>
                <c:pt idx="30">
                  <c:v>41.303100000000001</c:v>
                </c:pt>
                <c:pt idx="31">
                  <c:v>41.6815</c:v>
                </c:pt>
                <c:pt idx="32">
                  <c:v>42.0122</c:v>
                </c:pt>
                <c:pt idx="33">
                  <c:v>42.0289</c:v>
                </c:pt>
                <c:pt idx="34">
                  <c:v>41.7425</c:v>
                </c:pt>
                <c:pt idx="35">
                  <c:v>41.708300000000001</c:v>
                </c:pt>
                <c:pt idx="36">
                  <c:v>41.931200000000004</c:v>
                </c:pt>
                <c:pt idx="37">
                  <c:v>41.9084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1.4541599999999999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63.572700000000005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2.2267575675675677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47.795670270270271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2.8825532432432439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40.778251351351351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2.8825532432432439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40.778251351351351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497</v>
      </c>
      <c r="D5" s="191"/>
      <c r="E5" s="191"/>
      <c r="F5" s="192"/>
      <c r="G5" s="48" t="str">
        <f>lang!B27</f>
        <v>编号</v>
      </c>
      <c r="H5" s="190">
        <v>6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496</v>
      </c>
      <c r="D6" s="145"/>
      <c r="E6" s="145"/>
      <c r="F6" s="146"/>
      <c r="G6" s="49" t="str">
        <f>lang!B28</f>
        <v xml:space="preserve"> 日期</v>
      </c>
      <c r="H6" s="129">
        <f>FH_info!A2</f>
        <v>43615.653865740744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34</v>
      </c>
      <c r="D7" s="148"/>
      <c r="E7" s="148"/>
      <c r="F7" s="149"/>
      <c r="G7" s="50" t="str">
        <f>lang!B29</f>
        <v>误差率（%）</v>
      </c>
      <c r="H7" s="132">
        <f>M!B17*1</f>
        <v>13.118499999999999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33.856900000000003</v>
      </c>
      <c r="O8" s="59">
        <f>M!C5*1</f>
        <v>8.15977</v>
      </c>
      <c r="P8" s="59">
        <f>M!D5*1</f>
        <v>24.1008</v>
      </c>
      <c r="Q8" s="59">
        <f>M!E5*1</f>
        <v>20</v>
      </c>
      <c r="R8" s="59">
        <f>M!F5*1</f>
        <v>11.491</v>
      </c>
      <c r="S8" s="59">
        <f>M!G5*1</f>
        <v>50</v>
      </c>
      <c r="T8" s="59">
        <f>M!H5*1</f>
        <v>41.095700000000001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37.189900000000002</v>
      </c>
      <c r="O9" s="59">
        <f>M!C6*1</f>
        <v>0.82071099999999997</v>
      </c>
      <c r="P9" s="59">
        <f>M!D6*1</f>
        <v>2.2068099999999999</v>
      </c>
      <c r="Q9" s="59">
        <f>M!E6*1</f>
        <v>20</v>
      </c>
      <c r="R9" s="59">
        <f>M!F6*1</f>
        <v>35.813200000000002</v>
      </c>
      <c r="S9" s="59">
        <f>M!G6*1</f>
        <v>40</v>
      </c>
      <c r="T9" s="59">
        <f>M!H6*1</f>
        <v>39.087400000000002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11.491</v>
      </c>
      <c r="D10" s="99">
        <f>N8</f>
        <v>33.856900000000003</v>
      </c>
      <c r="E10" s="100">
        <f>T8</f>
        <v>41.095700000000001</v>
      </c>
      <c r="F10" s="91">
        <f>P8</f>
        <v>24.1008</v>
      </c>
      <c r="G10" s="81" t="str">
        <f>CONCATENATE(M9,"
(20 ~ 40)")</f>
        <v>压力
(20 ~ 40)</v>
      </c>
      <c r="H10" s="98">
        <f>R9</f>
        <v>35.813200000000002</v>
      </c>
      <c r="I10" s="108">
        <f>N9</f>
        <v>37.189900000000002</v>
      </c>
      <c r="J10" s="98">
        <f>T9</f>
        <v>39.087400000000002</v>
      </c>
      <c r="K10" s="92">
        <f>P9</f>
        <v>2.2068099999999999</v>
      </c>
      <c r="L10" s="6"/>
      <c r="M10" s="27" t="str">
        <f>lang!B16</f>
        <v>焦虑</v>
      </c>
      <c r="N10" s="59">
        <f>M!B7*1</f>
        <v>35.0077</v>
      </c>
      <c r="O10" s="59">
        <f>M!C7*1</f>
        <v>4.3907499999999997</v>
      </c>
      <c r="P10" s="59">
        <f>M!D7*1</f>
        <v>12.542199999999999</v>
      </c>
      <c r="Q10" s="59">
        <f>M!E7*1</f>
        <v>15</v>
      </c>
      <c r="R10" s="59">
        <f>M!F7*1</f>
        <v>25.503499999999999</v>
      </c>
      <c r="S10" s="59">
        <f>M!G7*1</f>
        <v>40</v>
      </c>
      <c r="T10" s="59">
        <f>M!H7*1</f>
        <v>47.526200000000003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25.503499999999999</v>
      </c>
      <c r="D11" s="102">
        <f>N10</f>
        <v>35.0077</v>
      </c>
      <c r="E11" s="103">
        <f>T10</f>
        <v>47.526200000000003</v>
      </c>
      <c r="F11" s="94">
        <f>P10</f>
        <v>12.542199999999999</v>
      </c>
      <c r="G11" s="52" t="str">
        <f>CONCATENATE(M11,"
(20 ~ 50)")</f>
        <v>可疑
(20 ~ 50)</v>
      </c>
      <c r="H11" s="101">
        <f>R11</f>
        <v>25.7926</v>
      </c>
      <c r="I11" s="104">
        <f>N11</f>
        <v>33.118400000000001</v>
      </c>
      <c r="J11" s="101">
        <f>T11</f>
        <v>37.744199999999999</v>
      </c>
      <c r="K11" s="95">
        <f>P11</f>
        <v>8.3213699999999999</v>
      </c>
      <c r="L11" s="4"/>
      <c r="M11" s="27" t="str">
        <f>lang!B17</f>
        <v>可疑</v>
      </c>
      <c r="N11" s="59">
        <f>M!B8*1</f>
        <v>33.118400000000001</v>
      </c>
      <c r="O11" s="59">
        <f>M!C8*1</f>
        <v>2.7559</v>
      </c>
      <c r="P11" s="59">
        <f>M!D8*1</f>
        <v>8.3213699999999999</v>
      </c>
      <c r="Q11" s="59">
        <f>M!E8*1</f>
        <v>20</v>
      </c>
      <c r="R11" s="59">
        <f>M!F8*1</f>
        <v>25.7926</v>
      </c>
      <c r="S11" s="59">
        <f>M!G8*1</f>
        <v>50</v>
      </c>
      <c r="T11" s="59">
        <f>M!H8*1</f>
        <v>37.744199999999999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60.621200000000002</v>
      </c>
      <c r="D12" s="104">
        <f>N12</f>
        <v>70.972200000000001</v>
      </c>
      <c r="E12" s="101">
        <f>T12</f>
        <v>77.823300000000003</v>
      </c>
      <c r="F12" s="93">
        <f>P12</f>
        <v>5.7711100000000002</v>
      </c>
      <c r="G12" s="52" t="str">
        <f>CONCATENATE(M13,"
(40 ~ 100)")</f>
        <v>自信
(40 ~ 100)</v>
      </c>
      <c r="H12" s="101">
        <f>R13</f>
        <v>50.135399999999997</v>
      </c>
      <c r="I12" s="104">
        <f>N13</f>
        <v>68.327699999999993</v>
      </c>
      <c r="J12" s="101">
        <f>T13</f>
        <v>73.630300000000005</v>
      </c>
      <c r="K12" s="95">
        <f>P13</f>
        <v>10.491899999999999</v>
      </c>
      <c r="L12" s="4"/>
      <c r="M12" s="27" t="str">
        <f>lang!B18</f>
        <v>平衡</v>
      </c>
      <c r="N12" s="59">
        <f>M!B9*1</f>
        <v>70.972200000000001</v>
      </c>
      <c r="O12" s="59">
        <f>M!C9*1</f>
        <v>4.0958899999999998</v>
      </c>
      <c r="P12" s="59">
        <f>M!D9*1</f>
        <v>5.7711100000000002</v>
      </c>
      <c r="Q12" s="59">
        <f>M!E9*1</f>
        <v>50</v>
      </c>
      <c r="R12" s="59">
        <f>M!F9*1</f>
        <v>60.621200000000002</v>
      </c>
      <c r="S12" s="59">
        <f>M!G9*1</f>
        <v>100</v>
      </c>
      <c r="T12" s="59">
        <f>M!H9*1</f>
        <v>77.823300000000003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5.3439300000000003</v>
      </c>
      <c r="D13" s="102">
        <f>N14</f>
        <v>14.716200000000001</v>
      </c>
      <c r="E13" s="103">
        <f>T14</f>
        <v>18.384899999999998</v>
      </c>
      <c r="F13" s="94">
        <f>P14</f>
        <v>26.388200000000001</v>
      </c>
      <c r="G13" s="52" t="str">
        <f>CONCATENATE(M15,"
(50 ~ 100)")</f>
        <v>自我调节
(50 ~ 100)</v>
      </c>
      <c r="H13" s="101">
        <f>R15</f>
        <v>58.598199999999999</v>
      </c>
      <c r="I13" s="104">
        <f>N15</f>
        <v>68.056399999999996</v>
      </c>
      <c r="J13" s="101">
        <f>T15</f>
        <v>74.769300000000001</v>
      </c>
      <c r="K13" s="95">
        <f>P15</f>
        <v>5.1895199999999999</v>
      </c>
      <c r="L13" s="4"/>
      <c r="M13" s="27" t="str">
        <f>lang!B19</f>
        <v>自信</v>
      </c>
      <c r="N13" s="59">
        <f>M!B10*1</f>
        <v>68.327699999999993</v>
      </c>
      <c r="O13" s="59">
        <f>M!C10*1</f>
        <v>7.1688400000000003</v>
      </c>
      <c r="P13" s="59">
        <f>M!D10*1</f>
        <v>10.491899999999999</v>
      </c>
      <c r="Q13" s="59">
        <f>M!E10*1</f>
        <v>40</v>
      </c>
      <c r="R13" s="59">
        <f>M!F10*1</f>
        <v>50.135399999999997</v>
      </c>
      <c r="S13" s="59">
        <f>M!G10*1</f>
        <v>100</v>
      </c>
      <c r="T13" s="59">
        <f>M!H10*1</f>
        <v>73.630300000000005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11.006600000000001</v>
      </c>
      <c r="D14" s="106">
        <f>N16</f>
        <v>13.24</v>
      </c>
      <c r="E14" s="107">
        <f>T16</f>
        <v>15.653700000000001</v>
      </c>
      <c r="F14" s="96">
        <f>P16</f>
        <v>7.98299</v>
      </c>
      <c r="G14" s="112" t="str">
        <f>CONCATENATE(M17,"
(10 ~ 50)")</f>
        <v>神经质
(10 ~ 50)</v>
      </c>
      <c r="H14" s="105">
        <f>R17</f>
        <v>1.4646999999999999</v>
      </c>
      <c r="I14" s="106">
        <f>N17</f>
        <v>10.5695</v>
      </c>
      <c r="J14" s="107">
        <f>T17</f>
        <v>15.4049</v>
      </c>
      <c r="K14" s="97">
        <f>P17</f>
        <v>28.1905</v>
      </c>
      <c r="M14" s="27" t="str">
        <f>lang!B20</f>
        <v>活力</v>
      </c>
      <c r="N14" s="59">
        <f>M!B11*1</f>
        <v>14.716200000000001</v>
      </c>
      <c r="O14" s="59">
        <f>M!C11*1</f>
        <v>3.8833500000000001</v>
      </c>
      <c r="P14" s="59">
        <f>M!D11*1</f>
        <v>26.388200000000001</v>
      </c>
      <c r="Q14" s="59">
        <f>M!E11*1</f>
        <v>10</v>
      </c>
      <c r="R14" s="59">
        <f>M!F11*1</f>
        <v>5.3439300000000003</v>
      </c>
      <c r="S14" s="59">
        <f>M!G11*1</f>
        <v>50</v>
      </c>
      <c r="T14" s="59">
        <f>M!H11*1</f>
        <v>18.384899999999998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68.056399999999996</v>
      </c>
      <c r="O15" s="59">
        <f>M!C12*1</f>
        <v>3.5318000000000001</v>
      </c>
      <c r="P15" s="59">
        <f>M!D12*1</f>
        <v>5.1895199999999999</v>
      </c>
      <c r="Q15" s="59">
        <f>M!E12*1</f>
        <v>50</v>
      </c>
      <c r="R15" s="59">
        <f>M!F12*1</f>
        <v>58.598199999999999</v>
      </c>
      <c r="S15" s="59">
        <f>M!G12*1</f>
        <v>100</v>
      </c>
      <c r="T15" s="59">
        <f>M!H12*1</f>
        <v>74.769300000000001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13.24</v>
      </c>
      <c r="O16" s="59">
        <f>M!C13*1</f>
        <v>1.0569500000000001</v>
      </c>
      <c r="P16" s="59">
        <f>M!D13*1</f>
        <v>7.98299</v>
      </c>
      <c r="Q16" s="59">
        <f>M!E13*1</f>
        <v>10</v>
      </c>
      <c r="R16" s="59">
        <f>M!F13*1</f>
        <v>11.006600000000001</v>
      </c>
      <c r="S16" s="59">
        <f>M!G13*1</f>
        <v>25</v>
      </c>
      <c r="T16" s="59">
        <f>M!H13*1</f>
        <v>15.653700000000001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10.5695</v>
      </c>
      <c r="O17" s="59">
        <f>M!C14*1</f>
        <v>2.97959</v>
      </c>
      <c r="P17" s="59">
        <f>M!D14*1</f>
        <v>28.1905</v>
      </c>
      <c r="Q17" s="59">
        <f>M!E14*1</f>
        <v>10</v>
      </c>
      <c r="R17" s="59">
        <f>M!F14*1</f>
        <v>1.4646999999999999</v>
      </c>
      <c r="S17" s="59">
        <f>M!G14*1</f>
        <v>50</v>
      </c>
      <c r="T17" s="59">
        <f>M!H14*1</f>
        <v>15.4049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55.518124999999998</v>
      </c>
      <c r="O18" s="22">
        <f>N18/(N18+N19+N20)</f>
        <v>0.5431446220311672</v>
      </c>
      <c r="P18" s="65">
        <f>SUM(P12:P15)/4</f>
        <v>11.960182500000002</v>
      </c>
      <c r="Q18" s="22">
        <f>P18/(P18+P19+P20)</f>
        <v>0.28585711819670895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34.793225</v>
      </c>
      <c r="O19" s="22">
        <f>N19/(N18+N19+N20)</f>
        <v>0.34038889176949616</v>
      </c>
      <c r="P19" s="18">
        <f>SUM(P8:P11)/4</f>
        <v>11.792795</v>
      </c>
      <c r="Q19" s="22">
        <f>P19/(P18+P19+P20)</f>
        <v>0.28185643439676256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11.90475</v>
      </c>
      <c r="O20" s="22">
        <f>N20/(N18+N19+N20)</f>
        <v>0.11646648619933649</v>
      </c>
      <c r="P20" s="18">
        <f>(P16+P17)/2</f>
        <v>18.086745000000001</v>
      </c>
      <c r="Q20" s="22">
        <f>P20/(P18+P19+P20)</f>
        <v>0.43228644740652855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-0.13575375675675683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1.1862740015736284</v>
      </c>
      <c r="D25" s="44" t="str">
        <f>lang!B11</f>
        <v>频率方差</v>
      </c>
      <c r="E25" s="182">
        <f ca="1">FH!L3</f>
        <v>0.5964328712592144</v>
      </c>
      <c r="F25" s="183"/>
      <c r="G25" s="174" t="str">
        <f>lang!B12</f>
        <v>生理变化率</v>
      </c>
      <c r="H25" s="175"/>
      <c r="I25" s="62" t="str">
        <f ca="1">CONCATENATE(info!M7,"-",info!M8)</f>
        <v>39.8-63.6</v>
      </c>
      <c r="J25" s="42" t="str">
        <f>lang!B13</f>
        <v>千卡l/分钟</v>
      </c>
      <c r="K25" s="41" t="str">
        <f ca="1">CONCATENATE(info!M5,"-",info!M6)</f>
        <v>1.5-3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62.803299999999993</v>
      </c>
      <c r="F28" s="121"/>
      <c r="G28" s="135" t="str">
        <f>lang!B33</f>
        <v>稳定性</v>
      </c>
      <c r="H28" s="136"/>
      <c r="I28" s="137"/>
      <c r="J28" s="138">
        <f>M!B19*100</f>
        <v>77.549400000000006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43615.653865740744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11.809199999999997</v>
      </c>
      <c r="O7" s="59">
        <f t="shared" ref="O7:T7" si="2">AG7-X7</f>
        <v>-5.5707700000000004</v>
      </c>
      <c r="P7" s="59">
        <f t="shared" si="2"/>
        <v>-26.17604</v>
      </c>
      <c r="Q7" s="59">
        <f t="shared" si="2"/>
        <v>0</v>
      </c>
      <c r="R7" s="59">
        <f t="shared" si="2"/>
        <v>19.538699999999999</v>
      </c>
      <c r="S7" s="59">
        <f t="shared" si="2"/>
        <v>0</v>
      </c>
      <c r="T7" s="59">
        <f t="shared" si="2"/>
        <v>5.0242000000000004</v>
      </c>
      <c r="U7" s="14"/>
      <c r="V7" s="27" t="str">
        <f>M7</f>
        <v>攻击性</v>
      </c>
      <c r="W7" s="59">
        <f>'M1'!B5*1</f>
        <v>23.7776</v>
      </c>
      <c r="X7" s="59">
        <f>'M1'!C5*1</f>
        <v>7.5393800000000004</v>
      </c>
      <c r="Y7" s="59">
        <f>'M1'!D5*1</f>
        <v>31.707899999999999</v>
      </c>
      <c r="Z7" s="59">
        <f>'M1'!E5*1</f>
        <v>20</v>
      </c>
      <c r="AA7" s="59">
        <f>'M1'!F5*1</f>
        <v>11.491</v>
      </c>
      <c r="AB7" s="59">
        <f>'M1'!G5*1</f>
        <v>50</v>
      </c>
      <c r="AC7" s="59">
        <f>'M1'!H5*1</f>
        <v>36.0715</v>
      </c>
      <c r="AE7" s="27" t="str">
        <f>V7</f>
        <v>攻击性</v>
      </c>
      <c r="AF7" s="59">
        <f>'M2'!B5*1</f>
        <v>35.586799999999997</v>
      </c>
      <c r="AG7" s="59">
        <f>'M2'!C5*1</f>
        <v>1.96861</v>
      </c>
      <c r="AH7" s="59">
        <f>'M2'!D5*1</f>
        <v>5.53186</v>
      </c>
      <c r="AI7" s="59">
        <f>'M2'!E5*1</f>
        <v>20</v>
      </c>
      <c r="AJ7" s="59">
        <f>'M2'!F5*1</f>
        <v>31.029699999999998</v>
      </c>
      <c r="AK7" s="59">
        <f>'M2'!G5*1</f>
        <v>50</v>
      </c>
      <c r="AL7" s="59">
        <f>'M2'!H5*1</f>
        <v>41.095700000000001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-0.51790000000000447</v>
      </c>
      <c r="O8" s="59">
        <f t="shared" ref="O8:O16" si="5">AG8-X8</f>
        <v>0.45147899999999985</v>
      </c>
      <c r="P8" s="59">
        <f t="shared" ref="P8:P16" si="6">AH8-Y8</f>
        <v>1.2502600000000001</v>
      </c>
      <c r="Q8" s="59">
        <f t="shared" ref="Q8:Q16" si="7">AI8-Z8</f>
        <v>0</v>
      </c>
      <c r="R8" s="59">
        <f t="shared" ref="R8:R16" si="8">AJ8-AA8</f>
        <v>-0.25730000000000075</v>
      </c>
      <c r="S8" s="59">
        <f t="shared" ref="S8:S16" si="9">AK8-AB8</f>
        <v>0</v>
      </c>
      <c r="T8" s="59">
        <f t="shared" ref="T8:T16" si="10">AL8-AC8</f>
        <v>0.90890000000000271</v>
      </c>
      <c r="U8" s="15"/>
      <c r="V8" s="27" t="str">
        <f t="shared" ref="V8:V16" si="11">M8</f>
        <v>压力</v>
      </c>
      <c r="W8" s="59">
        <f>'M1'!B6*1</f>
        <v>37.252400000000002</v>
      </c>
      <c r="X8" s="59">
        <f>'M1'!C6*1</f>
        <v>0.56057100000000004</v>
      </c>
      <c r="Y8" s="59">
        <f>'M1'!D6*1</f>
        <v>1.5047900000000001</v>
      </c>
      <c r="Z8" s="59">
        <f>'M1'!E6*1</f>
        <v>20</v>
      </c>
      <c r="AA8" s="59">
        <f>'M1'!F6*1</f>
        <v>36.070500000000003</v>
      </c>
      <c r="AB8" s="59">
        <f>'M1'!G6*1</f>
        <v>40</v>
      </c>
      <c r="AC8" s="59">
        <f>'M1'!H6*1</f>
        <v>38.1785</v>
      </c>
      <c r="AE8" s="27" t="str">
        <f t="shared" ref="AE8:AE16" si="12">V8</f>
        <v>压力</v>
      </c>
      <c r="AF8" s="59">
        <f>'M2'!B6*1</f>
        <v>36.734499999999997</v>
      </c>
      <c r="AG8" s="59">
        <f>'M2'!C6*1</f>
        <v>1.0120499999999999</v>
      </c>
      <c r="AH8" s="59">
        <f>'M2'!D6*1</f>
        <v>2.7550500000000002</v>
      </c>
      <c r="AI8" s="59">
        <f>'M2'!E6*1</f>
        <v>20</v>
      </c>
      <c r="AJ8" s="59">
        <f>'M2'!F6*1</f>
        <v>35.813200000000002</v>
      </c>
      <c r="AK8" s="59">
        <f>'M2'!G6*1</f>
        <v>40</v>
      </c>
      <c r="AL8" s="59">
        <f>'M2'!H6*1</f>
        <v>39.087400000000002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19.538699999999999</v>
      </c>
      <c r="D9" s="78">
        <f>N7</f>
        <v>11.809199999999997</v>
      </c>
      <c r="E9" s="79">
        <f>T7</f>
        <v>5.0242000000000004</v>
      </c>
      <c r="F9" s="79">
        <f>P7</f>
        <v>-26.17604</v>
      </c>
      <c r="G9" s="80" t="str">
        <f>CONCATENATE(M8,"
(20 ~ 40)")</f>
        <v>压力
(20 ~ 40)</v>
      </c>
      <c r="H9" s="77">
        <f>R8</f>
        <v>-0.25730000000000075</v>
      </c>
      <c r="I9" s="81">
        <f>N8</f>
        <v>-0.51790000000000447</v>
      </c>
      <c r="J9" s="77">
        <f>T8</f>
        <v>0.90890000000000271</v>
      </c>
      <c r="K9" s="82">
        <f>P8</f>
        <v>1.2502600000000001</v>
      </c>
      <c r="L9" s="6"/>
      <c r="M9" s="27" t="str">
        <f>lang!B16</f>
        <v>焦虑</v>
      </c>
      <c r="N9" s="59">
        <f t="shared" si="4"/>
        <v>-1.3082000000000065</v>
      </c>
      <c r="O9" s="59">
        <f t="shared" si="5"/>
        <v>5.5200000000000138E-2</v>
      </c>
      <c r="P9" s="59">
        <f t="shared" si="6"/>
        <v>0.63100000000000023</v>
      </c>
      <c r="Q9" s="59">
        <f t="shared" si="7"/>
        <v>0</v>
      </c>
      <c r="R9" s="59">
        <f t="shared" si="8"/>
        <v>-0.51000000000000156</v>
      </c>
      <c r="S9" s="59">
        <f t="shared" si="9"/>
        <v>0</v>
      </c>
      <c r="T9" s="59">
        <f t="shared" si="10"/>
        <v>-4.1735000000000042</v>
      </c>
      <c r="U9" s="14"/>
      <c r="V9" s="27" t="str">
        <f t="shared" si="11"/>
        <v>焦虑</v>
      </c>
      <c r="W9" s="59">
        <f>'M1'!B7*1</f>
        <v>35.495600000000003</v>
      </c>
      <c r="X9" s="59">
        <f>'M1'!C7*1</f>
        <v>4.3558599999999998</v>
      </c>
      <c r="Y9" s="59">
        <f>'M1'!D7*1</f>
        <v>12.271599999999999</v>
      </c>
      <c r="Z9" s="59">
        <f>'M1'!E7*1</f>
        <v>15</v>
      </c>
      <c r="AA9" s="59">
        <f>'M1'!F7*1</f>
        <v>26.013500000000001</v>
      </c>
      <c r="AB9" s="59">
        <f>'M1'!G7*1</f>
        <v>40</v>
      </c>
      <c r="AC9" s="59">
        <f>'M1'!H7*1</f>
        <v>47.526200000000003</v>
      </c>
      <c r="AE9" s="27" t="str">
        <f t="shared" si="12"/>
        <v>焦虑</v>
      </c>
      <c r="AF9" s="59">
        <f>'M2'!B7*1</f>
        <v>34.187399999999997</v>
      </c>
      <c r="AG9" s="59">
        <f>'M2'!C7*1</f>
        <v>4.41106</v>
      </c>
      <c r="AH9" s="59">
        <f>'M2'!D7*1</f>
        <v>12.9026</v>
      </c>
      <c r="AI9" s="59">
        <f>'M2'!E7*1</f>
        <v>15</v>
      </c>
      <c r="AJ9" s="59">
        <f>'M2'!F7*1</f>
        <v>25.503499999999999</v>
      </c>
      <c r="AK9" s="59">
        <f>'M2'!G7*1</f>
        <v>40</v>
      </c>
      <c r="AL9" s="59">
        <f>'M2'!H7*1</f>
        <v>43.352699999999999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-0.51000000000000156</v>
      </c>
      <c r="D10" s="51">
        <f>N9</f>
        <v>-1.3082000000000065</v>
      </c>
      <c r="E10" s="53">
        <f>T9</f>
        <v>-4.1735000000000042</v>
      </c>
      <c r="F10" s="53">
        <f>P9</f>
        <v>0.63100000000000023</v>
      </c>
      <c r="G10" s="73" t="str">
        <f>CONCATENATE(M10,"
(20 ~ 50)")</f>
        <v>可疑
(20 ~ 50)</v>
      </c>
      <c r="H10" s="24">
        <f>R10</f>
        <v>7.0223999999999975</v>
      </c>
      <c r="I10" s="52">
        <f>N10</f>
        <v>4.3814999999999955</v>
      </c>
      <c r="J10" s="24">
        <f>T10</f>
        <v>3.4042999999999992</v>
      </c>
      <c r="K10" s="25">
        <f>P10</f>
        <v>-1.3405800000000001</v>
      </c>
      <c r="L10" s="4"/>
      <c r="M10" s="27" t="str">
        <f>lang!B17</f>
        <v>可疑</v>
      </c>
      <c r="N10" s="59">
        <f t="shared" si="4"/>
        <v>4.3814999999999955</v>
      </c>
      <c r="O10" s="59">
        <f t="shared" si="5"/>
        <v>-0.2210700000000001</v>
      </c>
      <c r="P10" s="59">
        <f t="shared" si="6"/>
        <v>-1.3405800000000001</v>
      </c>
      <c r="Q10" s="59">
        <f t="shared" si="7"/>
        <v>0</v>
      </c>
      <c r="R10" s="59">
        <f t="shared" si="8"/>
        <v>7.0223999999999975</v>
      </c>
      <c r="S10" s="59">
        <f t="shared" si="9"/>
        <v>0</v>
      </c>
      <c r="T10" s="59">
        <f t="shared" si="10"/>
        <v>3.4042999999999992</v>
      </c>
      <c r="U10" s="14"/>
      <c r="V10" s="27" t="str">
        <f t="shared" si="11"/>
        <v>可疑</v>
      </c>
      <c r="W10" s="59">
        <f>'M1'!B8*1</f>
        <v>31.403300000000002</v>
      </c>
      <c r="X10" s="59">
        <f>'M1'!C8*1</f>
        <v>1.8538300000000001</v>
      </c>
      <c r="Y10" s="59">
        <f>'M1'!D8*1</f>
        <v>5.9032999999999998</v>
      </c>
      <c r="Z10" s="59">
        <f>'M1'!E8*1</f>
        <v>20</v>
      </c>
      <c r="AA10" s="59">
        <f>'M1'!F8*1</f>
        <v>25.7926</v>
      </c>
      <c r="AB10" s="59">
        <f>'M1'!G8*1</f>
        <v>50</v>
      </c>
      <c r="AC10" s="59">
        <f>'M1'!H8*1</f>
        <v>34.3399</v>
      </c>
      <c r="AE10" s="27" t="str">
        <f t="shared" si="12"/>
        <v>可疑</v>
      </c>
      <c r="AF10" s="59">
        <f>'M2'!B8*1</f>
        <v>35.784799999999997</v>
      </c>
      <c r="AG10" s="59">
        <f>'M2'!C8*1</f>
        <v>1.63276</v>
      </c>
      <c r="AH10" s="59">
        <f>'M2'!D8*1</f>
        <v>4.5627199999999997</v>
      </c>
      <c r="AI10" s="59">
        <f>'M2'!E8*1</f>
        <v>20</v>
      </c>
      <c r="AJ10" s="59">
        <f>'M2'!F8*1</f>
        <v>32.814999999999998</v>
      </c>
      <c r="AK10" s="59">
        <f>'M2'!G8*1</f>
        <v>50</v>
      </c>
      <c r="AL10" s="59">
        <f>'M2'!H8*1</f>
        <v>37.744199999999999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2.0853999999999999</v>
      </c>
      <c r="D11" s="52">
        <f>N11</f>
        <v>0.70980000000000132</v>
      </c>
      <c r="E11" s="24">
        <f>T11</f>
        <v>-0.88450000000000273</v>
      </c>
      <c r="F11" s="24">
        <f>P11</f>
        <v>-2.2281600000000008</v>
      </c>
      <c r="G11" s="73" t="str">
        <f>CONCATENATE(M12,"
(40 ~ 100)")</f>
        <v>自信
(40 ~ 100)</v>
      </c>
      <c r="H11" s="24">
        <f>R12</f>
        <v>11.826800000000006</v>
      </c>
      <c r="I11" s="52">
        <f>N12</f>
        <v>11.119799999999998</v>
      </c>
      <c r="J11" s="24">
        <f>T12</f>
        <v>1.6122000000000014</v>
      </c>
      <c r="K11" s="25">
        <f>P12</f>
        <v>-6.8954800000000001</v>
      </c>
      <c r="L11" s="4"/>
      <c r="M11" s="27" t="str">
        <f>lang!B18</f>
        <v>平衡</v>
      </c>
      <c r="N11" s="59">
        <f t="shared" si="4"/>
        <v>0.70980000000000132</v>
      </c>
      <c r="O11" s="59">
        <f t="shared" si="5"/>
        <v>-1.54365</v>
      </c>
      <c r="P11" s="59">
        <f t="shared" si="6"/>
        <v>-2.2281600000000008</v>
      </c>
      <c r="Q11" s="59">
        <f t="shared" si="7"/>
        <v>0</v>
      </c>
      <c r="R11" s="59">
        <f t="shared" si="8"/>
        <v>2.0853999999999999</v>
      </c>
      <c r="S11" s="59">
        <f t="shared" si="9"/>
        <v>0</v>
      </c>
      <c r="T11" s="59">
        <f t="shared" si="10"/>
        <v>-0.88450000000000273</v>
      </c>
      <c r="U11" s="14"/>
      <c r="V11" s="27" t="str">
        <f t="shared" si="11"/>
        <v>平衡</v>
      </c>
      <c r="W11" s="59">
        <f>'M1'!B9*1</f>
        <v>70.710599999999999</v>
      </c>
      <c r="X11" s="59">
        <f>'M1'!C9*1</f>
        <v>4.7531699999999999</v>
      </c>
      <c r="Y11" s="59">
        <f>'M1'!D9*1</f>
        <v>6.7220000000000004</v>
      </c>
      <c r="Z11" s="59">
        <f>'M1'!E9*1</f>
        <v>50</v>
      </c>
      <c r="AA11" s="59">
        <f>'M1'!F9*1</f>
        <v>60.621200000000002</v>
      </c>
      <c r="AB11" s="59">
        <f>'M1'!G9*1</f>
        <v>100</v>
      </c>
      <c r="AC11" s="59">
        <f>'M1'!H9*1</f>
        <v>77.823300000000003</v>
      </c>
      <c r="AE11" s="27" t="str">
        <f t="shared" si="12"/>
        <v>平衡</v>
      </c>
      <c r="AF11" s="59">
        <f>'M2'!B9*1</f>
        <v>71.420400000000001</v>
      </c>
      <c r="AG11" s="59">
        <f>'M2'!C9*1</f>
        <v>3.2095199999999999</v>
      </c>
      <c r="AH11" s="59">
        <f>'M2'!D9*1</f>
        <v>4.4938399999999996</v>
      </c>
      <c r="AI11" s="59">
        <f>'M2'!E9*1</f>
        <v>50</v>
      </c>
      <c r="AJ11" s="59">
        <f>'M2'!F9*1</f>
        <v>62.706600000000002</v>
      </c>
      <c r="AK11" s="59">
        <f>'M2'!G9*1</f>
        <v>100</v>
      </c>
      <c r="AL11" s="59">
        <f>'M2'!H9*1</f>
        <v>76.938800000000001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8.7373700000000003</v>
      </c>
      <c r="D12" s="51">
        <f>N13</f>
        <v>6.5455899999999989</v>
      </c>
      <c r="E12" s="53">
        <f>T13</f>
        <v>2.5820999999999987</v>
      </c>
      <c r="F12" s="53">
        <f>P13</f>
        <v>-23.780479999999997</v>
      </c>
      <c r="G12" s="73" t="str">
        <f>CONCATENATE(M14,"
(50 ~ 100)")</f>
        <v>自我调节
(50 ~ 100)</v>
      </c>
      <c r="H12" s="24">
        <f>R14</f>
        <v>6.2618000000000009</v>
      </c>
      <c r="I12" s="52">
        <f>N14</f>
        <v>6.1569999999999965</v>
      </c>
      <c r="J12" s="24">
        <f>T14</f>
        <v>3.3468000000000018</v>
      </c>
      <c r="K12" s="25">
        <f>P14</f>
        <v>-3.0910000000000437E-2</v>
      </c>
      <c r="L12" s="4"/>
      <c r="M12" s="27" t="str">
        <f>lang!B19</f>
        <v>自信</v>
      </c>
      <c r="N12" s="59">
        <f t="shared" si="4"/>
        <v>11.119799999999998</v>
      </c>
      <c r="O12" s="59">
        <f t="shared" si="5"/>
        <v>-3.6817399999999996</v>
      </c>
      <c r="P12" s="59">
        <f t="shared" si="6"/>
        <v>-6.8954800000000001</v>
      </c>
      <c r="Q12" s="59">
        <f t="shared" si="7"/>
        <v>0</v>
      </c>
      <c r="R12" s="59">
        <f t="shared" si="8"/>
        <v>11.826800000000006</v>
      </c>
      <c r="S12" s="59">
        <f t="shared" si="9"/>
        <v>0</v>
      </c>
      <c r="T12" s="59">
        <f t="shared" si="10"/>
        <v>1.6122000000000014</v>
      </c>
      <c r="U12" s="15"/>
      <c r="V12" s="27" t="str">
        <f t="shared" si="11"/>
        <v>自信</v>
      </c>
      <c r="W12" s="59">
        <f>'M1'!B10*1</f>
        <v>60.901499999999999</v>
      </c>
      <c r="X12" s="59">
        <f>'M1'!C10*1</f>
        <v>7.0347099999999996</v>
      </c>
      <c r="Y12" s="59">
        <f>'M1'!D10*1</f>
        <v>11.551</v>
      </c>
      <c r="Z12" s="59">
        <f>'M1'!E10*1</f>
        <v>40</v>
      </c>
      <c r="AA12" s="59">
        <f>'M1'!F10*1</f>
        <v>50.135399999999997</v>
      </c>
      <c r="AB12" s="59">
        <f>'M1'!G10*1</f>
        <v>100</v>
      </c>
      <c r="AC12" s="59">
        <f>'M1'!H10*1</f>
        <v>72.018100000000004</v>
      </c>
      <c r="AE12" s="27" t="str">
        <f t="shared" si="12"/>
        <v>自信</v>
      </c>
      <c r="AF12" s="59">
        <f>'M2'!B10*1</f>
        <v>72.021299999999997</v>
      </c>
      <c r="AG12" s="59">
        <f>'M2'!C10*1</f>
        <v>3.35297</v>
      </c>
      <c r="AH12" s="59">
        <f>'M2'!D10*1</f>
        <v>4.6555200000000001</v>
      </c>
      <c r="AI12" s="59">
        <f>'M2'!E10*1</f>
        <v>40</v>
      </c>
      <c r="AJ12" s="59">
        <f>'M2'!F10*1</f>
        <v>61.962200000000003</v>
      </c>
      <c r="AK12" s="59">
        <f>'M2'!G10*1</f>
        <v>100</v>
      </c>
      <c r="AL12" s="59">
        <f>'M2'!H10*1</f>
        <v>73.630300000000005</v>
      </c>
    </row>
    <row r="13" spans="2:38" ht="25.5" customHeight="1" thickBot="1">
      <c r="B13" s="72" t="str">
        <f>CONCATENATE(M15,"
(10 ~ 25)")</f>
        <v>抑郁
(10 ~ 25)</v>
      </c>
      <c r="C13" s="54">
        <f>R15</f>
        <v>-0.3644999999999996</v>
      </c>
      <c r="D13" s="55">
        <f>N15</f>
        <v>0.22339999999999982</v>
      </c>
      <c r="E13" s="56">
        <f>T15</f>
        <v>0.15650000000000119</v>
      </c>
      <c r="F13" s="56">
        <f>P15</f>
        <v>0.70770999999999962</v>
      </c>
      <c r="G13" s="74" t="str">
        <f>CONCATENATE(M16,"
(10 ~ 50)")</f>
        <v>神经质
(10 ~ 50)</v>
      </c>
      <c r="H13" s="54">
        <f>R16</f>
        <v>0.53613000000000022</v>
      </c>
      <c r="I13" s="55">
        <f>N16</f>
        <v>1.1145300000000002</v>
      </c>
      <c r="J13" s="56">
        <f>T16</f>
        <v>4.4469999999999992</v>
      </c>
      <c r="K13" s="57">
        <f>P16</f>
        <v>-2.4591999999999992</v>
      </c>
      <c r="M13" s="27" t="str">
        <f>lang!B20</f>
        <v>活力</v>
      </c>
      <c r="N13" s="59">
        <f t="shared" si="4"/>
        <v>6.5455899999999989</v>
      </c>
      <c r="O13" s="59">
        <f t="shared" si="5"/>
        <v>-1.6728699999999999</v>
      </c>
      <c r="P13" s="59">
        <f t="shared" si="6"/>
        <v>-23.780479999999997</v>
      </c>
      <c r="Q13" s="59">
        <f t="shared" si="7"/>
        <v>0</v>
      </c>
      <c r="R13" s="59">
        <f t="shared" si="8"/>
        <v>8.7373700000000003</v>
      </c>
      <c r="S13" s="59">
        <f t="shared" si="9"/>
        <v>0</v>
      </c>
      <c r="T13" s="59">
        <f t="shared" si="10"/>
        <v>2.5820999999999987</v>
      </c>
      <c r="U13" s="14"/>
      <c r="V13" s="27" t="str">
        <f t="shared" si="11"/>
        <v>活力</v>
      </c>
      <c r="W13" s="59">
        <f>'M1'!B11*1</f>
        <v>9.2267100000000006</v>
      </c>
      <c r="X13" s="59">
        <f>'M1'!C11*1</f>
        <v>2.9289499999999999</v>
      </c>
      <c r="Y13" s="59">
        <f>'M1'!D11*1</f>
        <v>31.744299999999999</v>
      </c>
      <c r="Z13" s="59">
        <f>'M1'!E11*1</f>
        <v>10</v>
      </c>
      <c r="AA13" s="59">
        <f>'M1'!F11*1</f>
        <v>5.3439300000000003</v>
      </c>
      <c r="AB13" s="59">
        <f>'M1'!G11*1</f>
        <v>50</v>
      </c>
      <c r="AC13" s="59">
        <f>'M1'!H11*1</f>
        <v>15.8028</v>
      </c>
      <c r="AE13" s="27" t="str">
        <f t="shared" si="12"/>
        <v>活力</v>
      </c>
      <c r="AF13" s="59">
        <f>'M2'!B11*1</f>
        <v>15.7723</v>
      </c>
      <c r="AG13" s="59">
        <f>'M2'!C11*1</f>
        <v>1.2560800000000001</v>
      </c>
      <c r="AH13" s="59">
        <f>'M2'!D11*1</f>
        <v>7.9638200000000001</v>
      </c>
      <c r="AI13" s="59">
        <f>'M2'!E11*1</f>
        <v>10</v>
      </c>
      <c r="AJ13" s="59">
        <f>'M2'!F11*1</f>
        <v>14.081300000000001</v>
      </c>
      <c r="AK13" s="59">
        <f>'M2'!G11*1</f>
        <v>50</v>
      </c>
      <c r="AL13" s="59">
        <f>'M2'!H11*1</f>
        <v>18.384899999999998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6.1569999999999965</v>
      </c>
      <c r="O14" s="59">
        <f t="shared" si="5"/>
        <v>0.19551000000000007</v>
      </c>
      <c r="P14" s="59">
        <f t="shared" si="6"/>
        <v>-3.0910000000000437E-2</v>
      </c>
      <c r="Q14" s="59">
        <f t="shared" si="7"/>
        <v>0</v>
      </c>
      <c r="R14" s="59">
        <f t="shared" si="8"/>
        <v>6.2618000000000009</v>
      </c>
      <c r="S14" s="59">
        <f t="shared" si="9"/>
        <v>0</v>
      </c>
      <c r="T14" s="59">
        <f t="shared" si="10"/>
        <v>3.3468000000000018</v>
      </c>
      <c r="U14" s="14"/>
      <c r="V14" s="27" t="str">
        <f t="shared" si="11"/>
        <v>自我调节</v>
      </c>
      <c r="W14" s="59">
        <f>'M1'!B12*1</f>
        <v>65.418400000000005</v>
      </c>
      <c r="X14" s="59">
        <f>'M1'!C12*1</f>
        <v>2.31237</v>
      </c>
      <c r="Y14" s="59">
        <f>'M1'!D12*1</f>
        <v>3.5347400000000002</v>
      </c>
      <c r="Z14" s="59">
        <f>'M1'!E12*1</f>
        <v>50</v>
      </c>
      <c r="AA14" s="59">
        <f>'M1'!F12*1</f>
        <v>58.598199999999999</v>
      </c>
      <c r="AB14" s="59">
        <f>'M1'!G12*1</f>
        <v>100</v>
      </c>
      <c r="AC14" s="59">
        <f>'M1'!H12*1</f>
        <v>71.422499999999999</v>
      </c>
      <c r="AE14" s="27" t="str">
        <f t="shared" si="12"/>
        <v>自我调节</v>
      </c>
      <c r="AF14" s="59">
        <f>'M2'!B12*1</f>
        <v>71.575400000000002</v>
      </c>
      <c r="AG14" s="59">
        <f>'M2'!C12*1</f>
        <v>2.5078800000000001</v>
      </c>
      <c r="AH14" s="59">
        <f>'M2'!D12*1</f>
        <v>3.5038299999999998</v>
      </c>
      <c r="AI14" s="59">
        <f>'M2'!E12*1</f>
        <v>50</v>
      </c>
      <c r="AJ14" s="59">
        <f>'M2'!F12*1</f>
        <v>64.86</v>
      </c>
      <c r="AK14" s="59">
        <f>'M2'!G12*1</f>
        <v>100</v>
      </c>
      <c r="AL14" s="59">
        <f>'M2'!H12*1</f>
        <v>74.769300000000001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0.22339999999999982</v>
      </c>
      <c r="O15" s="59">
        <f t="shared" si="5"/>
        <v>0.11145300000000002</v>
      </c>
      <c r="P15" s="59">
        <f t="shared" si="6"/>
        <v>0.70770999999999962</v>
      </c>
      <c r="Q15" s="59">
        <f t="shared" si="7"/>
        <v>0</v>
      </c>
      <c r="R15" s="59">
        <f t="shared" si="8"/>
        <v>-0.3644999999999996</v>
      </c>
      <c r="S15" s="59">
        <f t="shared" si="9"/>
        <v>0</v>
      </c>
      <c r="T15" s="59">
        <f t="shared" si="10"/>
        <v>0.15650000000000119</v>
      </c>
      <c r="U15" s="14"/>
      <c r="V15" s="27" t="str">
        <f t="shared" si="11"/>
        <v>抑郁</v>
      </c>
      <c r="W15" s="59">
        <f>'M1'!B13*1</f>
        <v>13.1281</v>
      </c>
      <c r="X15" s="59">
        <f>'M1'!C13*1</f>
        <v>0.99646699999999999</v>
      </c>
      <c r="Y15" s="59">
        <f>'M1'!D13*1</f>
        <v>7.5903400000000003</v>
      </c>
      <c r="Z15" s="59">
        <f>'M1'!E13*1</f>
        <v>10</v>
      </c>
      <c r="AA15" s="59">
        <f>'M1'!F13*1</f>
        <v>11.3711</v>
      </c>
      <c r="AB15" s="59">
        <f>'M1'!G13*1</f>
        <v>25</v>
      </c>
      <c r="AC15" s="59">
        <f>'M1'!H13*1</f>
        <v>15.497199999999999</v>
      </c>
      <c r="AE15" s="27" t="str">
        <f t="shared" si="12"/>
        <v>抑郁</v>
      </c>
      <c r="AF15" s="59">
        <f>'M2'!B13*1</f>
        <v>13.3515</v>
      </c>
      <c r="AG15" s="59">
        <f>'M2'!C13*1</f>
        <v>1.10792</v>
      </c>
      <c r="AH15" s="59">
        <f>'M2'!D13*1</f>
        <v>8.2980499999999999</v>
      </c>
      <c r="AI15" s="59">
        <f>'M2'!E13*1</f>
        <v>10</v>
      </c>
      <c r="AJ15" s="59">
        <f>'M2'!F13*1</f>
        <v>11.006600000000001</v>
      </c>
      <c r="AK15" s="59">
        <f>'M2'!G13*1</f>
        <v>25</v>
      </c>
      <c r="AL15" s="59">
        <f>'M2'!H13*1</f>
        <v>15.653700000000001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1.1145300000000002</v>
      </c>
      <c r="O16" s="59">
        <f t="shared" si="5"/>
        <v>3.5330000000000084E-2</v>
      </c>
      <c r="P16" s="59">
        <f t="shared" si="6"/>
        <v>-2.4591999999999992</v>
      </c>
      <c r="Q16" s="59">
        <f t="shared" si="7"/>
        <v>0</v>
      </c>
      <c r="R16" s="59">
        <f t="shared" si="8"/>
        <v>0.53613000000000022</v>
      </c>
      <c r="S16" s="59">
        <f t="shared" si="9"/>
        <v>0</v>
      </c>
      <c r="T16" s="59">
        <f t="shared" si="10"/>
        <v>4.4469999999999992</v>
      </c>
      <c r="U16" s="15"/>
      <c r="V16" s="27" t="str">
        <f t="shared" si="11"/>
        <v>神经质</v>
      </c>
      <c r="W16" s="59">
        <f>'M1'!B14*1</f>
        <v>9.9646699999999999</v>
      </c>
      <c r="X16" s="59">
        <f>'M1'!C14*1</f>
        <v>2.7518400000000001</v>
      </c>
      <c r="Y16" s="59">
        <f>'M1'!D14*1</f>
        <v>27.616</v>
      </c>
      <c r="Z16" s="59">
        <f>'M1'!E14*1</f>
        <v>10</v>
      </c>
      <c r="AA16" s="59">
        <f>'M1'!F14*1</f>
        <v>1.4646999999999999</v>
      </c>
      <c r="AB16" s="59">
        <f>'M1'!G14*1</f>
        <v>50</v>
      </c>
      <c r="AC16" s="59">
        <f>'M1'!H14*1</f>
        <v>10.9579</v>
      </c>
      <c r="AE16" s="27" t="str">
        <f t="shared" si="12"/>
        <v>神经质</v>
      </c>
      <c r="AF16" s="59">
        <f>'M2'!B14*1</f>
        <v>11.0792</v>
      </c>
      <c r="AG16" s="59">
        <f>'M2'!C14*1</f>
        <v>2.7871700000000001</v>
      </c>
      <c r="AH16" s="59">
        <f>'M2'!D14*1</f>
        <v>25.1568</v>
      </c>
      <c r="AI16" s="59">
        <f>'M2'!E14*1</f>
        <v>10</v>
      </c>
      <c r="AJ16" s="59">
        <f>'M2'!F14*1</f>
        <v>2.0008300000000001</v>
      </c>
      <c r="AK16" s="59">
        <f>'M2'!G14*1</f>
        <v>50</v>
      </c>
      <c r="AL16" s="59">
        <f>'M2'!H14*1</f>
        <v>15.4049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6.1330474999999982</v>
      </c>
      <c r="O17" s="22">
        <f>N17/(N17+N18+N19)</f>
        <v>0.59010407082541061</v>
      </c>
      <c r="P17" s="65">
        <f>SUM(P11:P14)/4</f>
        <v>-8.2337574999999994</v>
      </c>
      <c r="Q17" s="22">
        <f>P17/(P17+P18+P19)</f>
        <v>0.53058227706986105</v>
      </c>
      <c r="R17" s="14"/>
      <c r="S17" s="14"/>
      <c r="T17" s="14"/>
      <c r="U17" s="14"/>
      <c r="V17" s="21" t="str">
        <f>M17</f>
        <v>Positive</v>
      </c>
      <c r="W17" s="65">
        <f>SUM(W11:W14)/4</f>
        <v>51.564302499999997</v>
      </c>
      <c r="X17" s="22">
        <f>W17/(W17+W18+W19)</f>
        <v>0.54225179505360088</v>
      </c>
      <c r="Y17" s="65">
        <f>SUM(Y11:Y14)/4</f>
        <v>13.38801</v>
      </c>
      <c r="Z17" s="22">
        <f>Y17/(Y17+Y18+Y19)</f>
        <v>0.30539683224019121</v>
      </c>
      <c r="AA17" s="14"/>
      <c r="AB17" s="14"/>
      <c r="AC17" s="14"/>
      <c r="AE17" s="21" t="str">
        <f>V17</f>
        <v>Positive</v>
      </c>
      <c r="AF17" s="65">
        <f>SUM(AF11:AF14)/4</f>
        <v>57.69735</v>
      </c>
      <c r="AG17" s="22">
        <f>AF17/(AF17+AF18+AF19)</f>
        <v>0.54696650719064099</v>
      </c>
      <c r="AH17" s="65">
        <f>SUM(AH11:AH14)/4</f>
        <v>5.1542525000000001</v>
      </c>
      <c r="AI17" s="22">
        <f>AH17/(AH17+AH18+AH19)</f>
        <v>0.18200214444097021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3.5911499999999954</v>
      </c>
      <c r="O18" s="22">
        <f>N18/(N17+N18+N19)</f>
        <v>0.34553005401387671</v>
      </c>
      <c r="P18" s="18">
        <f>SUM(P7:P10)/4</f>
        <v>-6.4088399999999996</v>
      </c>
      <c r="Q18" s="22">
        <f>P18/(P17+P18+P19)</f>
        <v>0.41298482747110393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31.982225</v>
      </c>
      <c r="X18" s="22">
        <f>W18/(W17+W18+W19)</f>
        <v>0.33632606425846934</v>
      </c>
      <c r="Y18" s="18">
        <f>SUM(Y7:Y10)/4</f>
        <v>12.846897500000001</v>
      </c>
      <c r="Z18" s="22">
        <f>Y18/(Y17+Y18+Y19)</f>
        <v>0.29305339633107774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35.573374999999999</v>
      </c>
      <c r="AG18" s="22">
        <f>AF18/(AF17+AF18+AF19)</f>
        <v>0.33723290017189472</v>
      </c>
      <c r="AH18" s="18">
        <f>SUM(AH7:AH10)/4</f>
        <v>6.4380574999999993</v>
      </c>
      <c r="AI18" s="22">
        <f>AH18/(AH17+AH18+AH19)</f>
        <v>0.22733466609062547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0.66896500000000003</v>
      </c>
      <c r="O19" s="22">
        <f>N19/(N17+N18+N19)</f>
        <v>6.4365875160712668E-2</v>
      </c>
      <c r="P19" s="18">
        <f>(P15+P16)/2</f>
        <v>-0.87574499999999977</v>
      </c>
      <c r="Q19" s="22">
        <f>P19/(P17+P18+P19)</f>
        <v>5.6432895459035001E-2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11.546385000000001</v>
      </c>
      <c r="X19" s="22">
        <f>W19/(W17+W18+W19)</f>
        <v>0.12142214068792984</v>
      </c>
      <c r="Y19" s="18">
        <f>(Y15+Y16)/2</f>
        <v>17.603169999999999</v>
      </c>
      <c r="Z19" s="22">
        <f>Y19/(Y17+Y18+Y19)</f>
        <v>0.40154977142873111</v>
      </c>
      <c r="AA19" s="14"/>
      <c r="AB19" s="14"/>
      <c r="AC19" s="14"/>
      <c r="AE19" s="21" t="str">
        <f t="shared" si="14"/>
        <v>Physiological</v>
      </c>
      <c r="AF19" s="18">
        <f>(AF15+AF16)/2</f>
        <v>12.215350000000001</v>
      </c>
      <c r="AG19" s="22">
        <f>AF19/(AF17+AF18+AF19)</f>
        <v>0.11580059263746424</v>
      </c>
      <c r="AH19" s="18">
        <f>(AH15+AH16)/2</f>
        <v>16.727425</v>
      </c>
      <c r="AI19" s="22">
        <f>AH19/(AH17+AH18+AH19)</f>
        <v>0.59066318946840424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0.94/1.38</v>
      </c>
      <c r="D24" s="44" t="str">
        <f>lang!B11</f>
        <v>频率方差</v>
      </c>
      <c r="E24" s="182" t="str">
        <f ca="1">CONCATENATE(ROUND('FH1'!L3,2),"/",ROUND('FH2'!L3,2))</f>
        <v>0.51/0.58</v>
      </c>
      <c r="F24" s="183"/>
      <c r="G24" s="174" t="str">
        <f>lang!B12</f>
        <v>生理变化率</v>
      </c>
      <c r="H24" s="175"/>
      <c r="I24" s="62" t="str">
        <f ca="1">CONCATENATE(info!M7,"-",info!M8)</f>
        <v>39.8-63.6</v>
      </c>
      <c r="J24" s="42" t="str">
        <f>lang!B13</f>
        <v>千卡l/分钟</v>
      </c>
      <c r="K24" s="41" t="str">
        <f ca="1">CONCATENATE(info!M5,"-",info!M6)</f>
        <v>1.5-3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11.809700000000001</v>
      </c>
      <c r="F27" s="121"/>
      <c r="G27" s="135" t="str">
        <f>lang!B33</f>
        <v>稳定性</v>
      </c>
      <c r="H27" s="136"/>
      <c r="I27" s="137"/>
      <c r="J27" s="138">
        <f>dM!B19*100</f>
        <v>13.102999999999998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-0.98191961225807756</v>
      </c>
      <c r="C2">
        <f t="array" aca="1" ref="C2" ca="1">CORREL(FT_E02,FT_PH02)</f>
        <v>0.72844257781078126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1.4541599999999999</v>
      </c>
      <c r="G2" s="61">
        <f>IF(FT!B2&lt;&gt;"",FT!B2*100,"")</f>
        <v>63.572700000000005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1.49939</v>
      </c>
      <c r="G3" s="61">
        <f>IF(FT!B3&lt;&gt;"",FT!B3*100,"")</f>
        <v>62.356500000000004</v>
      </c>
      <c r="H3" s="61">
        <f t="shared" ref="H3:H66" si="1">(IF(F3&lt;&gt;"",1,""))</f>
        <v>1</v>
      </c>
      <c r="I3" t="str">
        <f>IF(FT!B3&lt;&gt;"",FT!E3,"")</f>
        <v>1 [0.411342]</v>
      </c>
      <c r="J3">
        <f>IF(FT!B3&lt;&gt;"",FT!C3,"")</f>
        <v>0.41134199999999999</v>
      </c>
      <c r="K3" t="s">
        <v>52</v>
      </c>
      <c r="L3">
        <f>SUM(H2:H2005)</f>
        <v>74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0.47795670270270274</v>
      </c>
      <c r="V3">
        <f ca="1">AVERAGE(OFFSET(FT!B2,info!$L$3/2,0,info!$L$3/2,1))</f>
        <v>0.40778251351351352</v>
      </c>
      <c r="W3">
        <f ca="1">AVERAGE(OFFSET(FT!A2,0,0,info!$L$3/2,1))</f>
        <v>0.22267575675675677</v>
      </c>
      <c r="X3">
        <f ca="1">AVERAGE(OFFSET(FT!A2,info!$L$3/2,0,info!$L$3/2,1))</f>
        <v>0.28825532432432438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1.5453000000000001</v>
      </c>
      <c r="G4" s="61">
        <f>IF(FT!B4&lt;&gt;"",FT!B4*100,"")</f>
        <v>61.190199999999997</v>
      </c>
      <c r="H4" s="61">
        <f t="shared" si="1"/>
        <v>1</v>
      </c>
      <c r="I4" t="str">
        <f>IF(FT!B4&lt;&gt;"",FT!E4,"")</f>
        <v>1 [0.814565]</v>
      </c>
      <c r="J4">
        <f>IF(FT!B4&lt;&gt;"",FT!C4,"")</f>
        <v>0.81456499999999998</v>
      </c>
      <c r="O4">
        <f>O3+1</f>
        <v>1</v>
      </c>
      <c r="P4">
        <v>0</v>
      </c>
      <c r="Q4">
        <f>IF(R4=1998,0,R4)</f>
        <v>36</v>
      </c>
      <c r="R4">
        <f t="array" ref="R4">MAX(IF(ft_nq=O4,row_n))</f>
        <v>36</v>
      </c>
      <c r="S4">
        <f>Q4-P4+1</f>
        <v>37</v>
      </c>
      <c r="U4">
        <f>MAX(FT!C2:C4000)/4</f>
        <v>7.4145250000000003</v>
      </c>
      <c r="V4">
        <f>U4*3</f>
        <v>22.243575</v>
      </c>
      <c r="W4">
        <f>U4</f>
        <v>7.4145250000000003</v>
      </c>
      <c r="X4">
        <f>V4</f>
        <v>22.243575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1.5886900000000002</v>
      </c>
      <c r="G5" s="61">
        <f>IF(FT!B5&lt;&gt;"",FT!B5*100,"")</f>
        <v>60.070399999999999</v>
      </c>
      <c r="H5" s="61">
        <f t="shared" si="1"/>
        <v>1</v>
      </c>
      <c r="I5" t="str">
        <f>IF(FT!B5&lt;&gt;"",FT!E5,"")</f>
        <v>1 [1.220431]</v>
      </c>
      <c r="J5">
        <f>IF(FT!B5&lt;&gt;"",FT!C5,"")</f>
        <v>1.2204299999999999</v>
      </c>
      <c r="K5" t="s">
        <v>53</v>
      </c>
      <c r="L5" s="63">
        <f ca="1">MIN(FT_E)</f>
        <v>1.4541599999999999</v>
      </c>
      <c r="M5" s="63">
        <f ca="1">ROUND(L5,1)</f>
        <v>1.5</v>
      </c>
      <c r="O5">
        <f t="shared" ref="O5:O27" si="4">O4+1</f>
        <v>2</v>
      </c>
      <c r="P5">
        <f>IF(OR(R5=1998,R5=0),0,Q4)</f>
        <v>36</v>
      </c>
      <c r="Q5">
        <f>IF(R5=1998,0,R5)</f>
        <v>73</v>
      </c>
      <c r="R5">
        <f t="array" ref="R5">MAX(IF(ft_nq=O5,row_n))</f>
        <v>73</v>
      </c>
      <c r="S5">
        <f t="shared" ref="S5:S27" si="5">Q5-P5+1</f>
        <v>38</v>
      </c>
      <c r="U5">
        <f ca="1">U3*100</f>
        <v>47.795670270270271</v>
      </c>
      <c r="V5">
        <f ca="1">V3*100</f>
        <v>40.778251351351351</v>
      </c>
      <c r="W5">
        <f ca="1">W3*10</f>
        <v>2.2267575675675677</v>
      </c>
      <c r="X5">
        <f ca="1">X3*10</f>
        <v>2.8825532432432439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1.6301699999999999</v>
      </c>
      <c r="G6" s="61">
        <f>IF(FT!B6&lt;&gt;"",FT!B6*100,"")</f>
        <v>59.0627</v>
      </c>
      <c r="H6" s="61">
        <f t="shared" si="1"/>
        <v>1</v>
      </c>
      <c r="I6" t="str">
        <f>IF(FT!B6&lt;&gt;"",FT!E6,"")</f>
        <v>1 [1.628996]</v>
      </c>
      <c r="J6">
        <f>IF(FT!B6&lt;&gt;"",FT!C6,"")</f>
        <v>1.629</v>
      </c>
      <c r="K6" t="s">
        <v>54</v>
      </c>
      <c r="L6" s="63">
        <f ca="1">MAX(FT_E)</f>
        <v>2.9868499999999996</v>
      </c>
      <c r="M6" s="63">
        <f ca="1">ROUND(L6,1)</f>
        <v>3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1.6731499999999999</v>
      </c>
      <c r="G7" s="61">
        <f>IF(FT!B7&lt;&gt;"",FT!B7*100,"")</f>
        <v>58.038999999999994</v>
      </c>
      <c r="H7" s="61">
        <f t="shared" si="1"/>
        <v>1</v>
      </c>
      <c r="I7" t="str">
        <f>IF(FT!B7&lt;&gt;"",FT!E7,"")</f>
        <v>1 [2.036410]</v>
      </c>
      <c r="J7">
        <f>IF(FT!B7&lt;&gt;"",FT!C7,"")</f>
        <v>2.0364100000000001</v>
      </c>
      <c r="K7" t="s">
        <v>55</v>
      </c>
      <c r="L7" s="63">
        <f ca="1">MIN(FT_PH)</f>
        <v>39.758500000000005</v>
      </c>
      <c r="M7" s="63">
        <f ca="1">ROUND(L7,1)</f>
        <v>39.799999999999997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9905</v>
      </c>
      <c r="D8" s="61">
        <f>FH!B8*1</f>
        <v>9905</v>
      </c>
      <c r="E8">
        <f t="shared" si="3"/>
        <v>6</v>
      </c>
      <c r="F8" s="61">
        <f>IF(FT!A8&lt;&gt;"",FT!A8*10,"")</f>
        <v>1.72075</v>
      </c>
      <c r="G8" s="61">
        <f>IF(FT!B8&lt;&gt;"",FT!B8*100,"")</f>
        <v>56.824200000000005</v>
      </c>
      <c r="H8" s="61">
        <f t="shared" si="1"/>
        <v>1</v>
      </c>
      <c r="I8" t="str">
        <f>IF(FT!B8&lt;&gt;"",FT!E8,"")</f>
        <v>1 [2.442269]</v>
      </c>
      <c r="J8">
        <f>IF(FT!B8&lt;&gt;"",FT!C8,"")</f>
        <v>2.4422700000000002</v>
      </c>
      <c r="K8" t="s">
        <v>56</v>
      </c>
      <c r="L8" s="63">
        <f ca="1">MAX(FT_PH)</f>
        <v>63.572700000000005</v>
      </c>
      <c r="M8" s="63">
        <f ca="1">ROUND(L8,1)</f>
        <v>63.6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1.7708699999999999</v>
      </c>
      <c r="G9" s="61">
        <f>IF(FT!B9&lt;&gt;"",FT!B9*100,"")</f>
        <v>55.597300000000004</v>
      </c>
      <c r="H9" s="61">
        <f t="shared" si="1"/>
        <v>1</v>
      </c>
      <c r="I9" t="str">
        <f>IF(FT!B9&lt;&gt;"",FT!E9,"")</f>
        <v>1 [2.846903]</v>
      </c>
      <c r="J9">
        <f>IF(FT!B9&lt;&gt;"",FT!C9,"")</f>
        <v>2.8469000000000002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15439</v>
      </c>
      <c r="D10" s="61">
        <f>FH!B10*1</f>
        <v>15439</v>
      </c>
      <c r="E10">
        <f t="shared" si="3"/>
        <v>8</v>
      </c>
      <c r="F10" s="61">
        <f>IF(FT!A10&lt;&gt;"",FT!A10*10,"")</f>
        <v>1.8229200000000001</v>
      </c>
      <c r="G10" s="61">
        <f>IF(FT!B10&lt;&gt;"",FT!B10*100,"")</f>
        <v>54.442700000000002</v>
      </c>
      <c r="H10" s="61">
        <f t="shared" si="1"/>
        <v>1</v>
      </c>
      <c r="I10" t="str">
        <f>IF(FT!B10&lt;&gt;"",FT!E10,"")</f>
        <v>1 [3.252208]</v>
      </c>
      <c r="J10">
        <f>IF(FT!B10&lt;&gt;"",FT!C10,"")</f>
        <v>3.2522099999999998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1.87748</v>
      </c>
      <c r="G11" s="61">
        <f>IF(FT!B11&lt;&gt;"",FT!B11*100,"")</f>
        <v>53.073</v>
      </c>
      <c r="H11" s="61">
        <f t="shared" si="1"/>
        <v>1</v>
      </c>
      <c r="I11" t="str">
        <f>IF(FT!B11&lt;&gt;"",FT!E11,"")</f>
        <v>1 [3.659553]</v>
      </c>
      <c r="J11">
        <f>IF(FT!B11&lt;&gt;"",FT!C11,"")</f>
        <v>3.6595499999999999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1.93337</v>
      </c>
      <c r="G12" s="61">
        <f>IF(FT!B12&lt;&gt;"",FT!B12*100,"")</f>
        <v>51.649900000000002</v>
      </c>
      <c r="H12" s="61">
        <f t="shared" si="1"/>
        <v>1</v>
      </c>
      <c r="I12" t="str">
        <f>IF(FT!B12&lt;&gt;"",FT!E12,"")</f>
        <v>1 [4.065491]</v>
      </c>
      <c r="J12">
        <f>IF(FT!B12&lt;&gt;"",FT!C12,"")</f>
        <v>4.0654899999999996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21250</v>
      </c>
      <c r="D13" s="61">
        <f>FH!B13*1</f>
        <v>21250</v>
      </c>
      <c r="E13">
        <f t="shared" si="3"/>
        <v>11</v>
      </c>
      <c r="F13" s="61">
        <f>IF(FT!A13&lt;&gt;"",FT!A13*10,"")</f>
        <v>1.9906599999999999</v>
      </c>
      <c r="G13" s="61">
        <f>IF(FT!B13&lt;&gt;"",FT!B13*100,"")</f>
        <v>50.262300000000003</v>
      </c>
      <c r="H13" s="61">
        <f t="shared" si="1"/>
        <v>1</v>
      </c>
      <c r="I13" t="str">
        <f>IF(FT!B13&lt;&gt;"",FT!E13,"")</f>
        <v>1 [4.473819]</v>
      </c>
      <c r="J13">
        <f>IF(FT!B13&lt;&gt;"",FT!C13,"")</f>
        <v>4.4738199999999999</v>
      </c>
      <c r="L13" s="67">
        <f t="array" ref="L13">MAX(IF(ft_nq=2,row_n))</f>
        <v>73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2.0451100000000002</v>
      </c>
      <c r="G14" s="61">
        <f>IF(FT!B14&lt;&gt;"",FT!B14*100,"")</f>
        <v>49.036499999999997</v>
      </c>
      <c r="H14" s="61">
        <f t="shared" si="1"/>
        <v>1</v>
      </c>
      <c r="I14" t="str">
        <f>IF(FT!B14&lt;&gt;"",FT!E14,"")</f>
        <v>1 [4.883971]</v>
      </c>
      <c r="J14">
        <f>IF(FT!B14&lt;&gt;"",FT!C14,"")</f>
        <v>4.8839699999999997</v>
      </c>
      <c r="L14">
        <f>L13+1</f>
        <v>74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22232</v>
      </c>
      <c r="D15" s="61">
        <f>FH!B15*1</f>
        <v>22232</v>
      </c>
      <c r="E15">
        <f t="shared" si="3"/>
        <v>13</v>
      </c>
      <c r="F15" s="61">
        <f>IF(FT!A15&lt;&gt;"",FT!A15*10,"")</f>
        <v>2.0982099999999999</v>
      </c>
      <c r="G15" s="61">
        <f>IF(FT!B15&lt;&gt;"",FT!B15*100,"")</f>
        <v>47.945799999999998</v>
      </c>
      <c r="H15" s="61">
        <f t="shared" si="1"/>
        <v>1</v>
      </c>
      <c r="I15" t="str">
        <f>IF(FT!B15&lt;&gt;"",FT!E15,"")</f>
        <v>1 [5.285103]</v>
      </c>
      <c r="J15">
        <f>IF(FT!B15&lt;&gt;"",FT!C15,"")</f>
        <v>5.2850999999999999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2.1522100000000002</v>
      </c>
      <c r="G16" s="61">
        <f>IF(FT!B16&lt;&gt;"",FT!B16*100,"")</f>
        <v>46.892899999999997</v>
      </c>
      <c r="H16" s="61">
        <f t="shared" si="1"/>
        <v>1</v>
      </c>
      <c r="I16" t="str">
        <f>IF(FT!B16&lt;&gt;"",FT!E16,"")</f>
        <v>1 [5.688145]</v>
      </c>
      <c r="J16">
        <f>IF(FT!B16&lt;&gt;"",FT!C16,"")</f>
        <v>5.6881399999999998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2.2035399999999998</v>
      </c>
      <c r="G17" s="61">
        <f>IF(FT!B17&lt;&gt;"",FT!B17*100,"")</f>
        <v>45.957500000000003</v>
      </c>
      <c r="H17" s="61">
        <f t="shared" si="1"/>
        <v>1</v>
      </c>
      <c r="I17" t="str">
        <f>IF(FT!B17&lt;&gt;"",FT!E17,"")</f>
        <v>1 [6.098256]</v>
      </c>
      <c r="J17">
        <f>IF(FT!B17&lt;&gt;"",FT!C17,"")</f>
        <v>6.0982599999999998</v>
      </c>
      <c r="L17">
        <f>L3+1</f>
        <v>75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23376</v>
      </c>
      <c r="D18" s="61">
        <f>FH!B18*1</f>
        <v>23376</v>
      </c>
      <c r="E18">
        <f t="shared" si="3"/>
        <v>16</v>
      </c>
      <c r="F18" s="61">
        <f>IF(FT!A18&lt;&gt;"",FT!A18*10,"")</f>
        <v>2.2507099999999998</v>
      </c>
      <c r="G18" s="61">
        <f>IF(FT!B18&lt;&gt;"",FT!B18*100,"")</f>
        <v>45.314300000000003</v>
      </c>
      <c r="H18" s="61">
        <f t="shared" si="1"/>
        <v>1</v>
      </c>
      <c r="I18" t="str">
        <f>IF(FT!B18&lt;&gt;"",FT!E18,"")</f>
        <v>1 [6.501788]</v>
      </c>
      <c r="J18">
        <f>IF(FT!B18&lt;&gt;"",FT!C18,"")</f>
        <v>6.5017899999999997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2.2957299999999998</v>
      </c>
      <c r="G19" s="61">
        <f>IF(FT!B19&lt;&gt;"",FT!B19*100,"")</f>
        <v>44.7395</v>
      </c>
      <c r="H19" s="61">
        <f t="shared" si="1"/>
        <v>1</v>
      </c>
      <c r="I19" t="str">
        <f>IF(FT!B19&lt;&gt;"",FT!E19,"")</f>
        <v>1 [6.909374]</v>
      </c>
      <c r="J19">
        <f>IF(FT!B19&lt;&gt;"",FT!C19,"")</f>
        <v>6.90937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2.3393700000000002</v>
      </c>
      <c r="G20" s="61">
        <f>IF(FT!B20&lt;&gt;"",FT!B20*100,"")</f>
        <v>44.172600000000003</v>
      </c>
      <c r="H20" s="61">
        <f t="shared" si="1"/>
        <v>1</v>
      </c>
      <c r="I20" t="str">
        <f>IF(FT!B20&lt;&gt;"",FT!E20,"")</f>
        <v>1 [7.314542]</v>
      </c>
      <c r="J20">
        <f>IF(FT!B20&lt;&gt;"",FT!C20,"")</f>
        <v>7.31454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27644</v>
      </c>
      <c r="D21" s="61">
        <f>FH!B21*1</f>
        <v>27644</v>
      </c>
      <c r="E21">
        <f t="shared" si="3"/>
        <v>19</v>
      </c>
      <c r="F21" s="61">
        <f>IF(FT!A21&lt;&gt;"",FT!A21*10,"")</f>
        <v>2.37798</v>
      </c>
      <c r="G21" s="61">
        <f>IF(FT!B21&lt;&gt;"",FT!B21*100,"")</f>
        <v>43.782700000000006</v>
      </c>
      <c r="H21" s="61">
        <f t="shared" si="1"/>
        <v>1</v>
      </c>
      <c r="I21" t="str">
        <f>IF(FT!B21&lt;&gt;"",FT!E21,"")</f>
        <v>1 [7.719933]</v>
      </c>
      <c r="J21">
        <f>IF(FT!B21&lt;&gt;"",FT!C21,"")</f>
        <v>7.7199299999999997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2.4097</v>
      </c>
      <c r="G22" s="61">
        <f>IF(FT!B22&lt;&gt;"",FT!B22*100,"")</f>
        <v>43.564399999999999</v>
      </c>
      <c r="H22" s="61">
        <f t="shared" si="1"/>
        <v>1</v>
      </c>
      <c r="I22" t="str">
        <f>IF(FT!B22&lt;&gt;"",FT!E22,"")</f>
        <v>1 [8.130033]</v>
      </c>
      <c r="J22">
        <f>IF(FT!B22&lt;&gt;"",FT!C22,"")</f>
        <v>8.1300299999999996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39043</v>
      </c>
      <c r="D23" s="61">
        <f>FH!B23*1</f>
        <v>39043</v>
      </c>
      <c r="E23">
        <f t="shared" si="3"/>
        <v>21</v>
      </c>
      <c r="F23" s="61">
        <f>IF(FT!A23&lt;&gt;"",FT!A23*10,"")</f>
        <v>2.4372600000000002</v>
      </c>
      <c r="G23" s="61">
        <f>IF(FT!B23&lt;&gt;"",FT!B23*100,"")</f>
        <v>43.396099999999997</v>
      </c>
      <c r="H23" s="61">
        <f t="shared" si="1"/>
        <v>1</v>
      </c>
      <c r="I23" t="str">
        <f>IF(FT!B23&lt;&gt;"",FT!E23,"")</f>
        <v>1 [8.532605]</v>
      </c>
      <c r="J23">
        <f>IF(FT!B23&lt;&gt;"",FT!C23,"")</f>
        <v>8.5326000000000004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2.4628700000000001</v>
      </c>
      <c r="G24" s="61">
        <f>IF(FT!B24&lt;&gt;"",FT!B24*100,"")</f>
        <v>43.262799999999999</v>
      </c>
      <c r="H24" s="61">
        <f t="shared" si="1"/>
        <v>1</v>
      </c>
      <c r="I24" t="str">
        <f>IF(FT!B24&lt;&gt;"",FT!E24,"")</f>
        <v>1 [8.942672]</v>
      </c>
      <c r="J24">
        <f>IF(FT!B24&lt;&gt;"",FT!C24,"")</f>
        <v>8.9426699999999997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2.48821</v>
      </c>
      <c r="G25" s="61">
        <f>IF(FT!B25&lt;&gt;"",FT!B25*100,"")</f>
        <v>43.154399999999995</v>
      </c>
      <c r="H25" s="61">
        <f t="shared" si="1"/>
        <v>1</v>
      </c>
      <c r="I25" t="str">
        <f>IF(FT!B25&lt;&gt;"",FT!E25,"")</f>
        <v>1 [9.345634]</v>
      </c>
      <c r="J25">
        <f>IF(FT!B25&lt;&gt;"",FT!C25,"")</f>
        <v>9.3456299999999999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42834</v>
      </c>
      <c r="D26" s="61">
        <f>FH!B26*1</f>
        <v>42834</v>
      </c>
      <c r="E26">
        <f t="shared" si="3"/>
        <v>24</v>
      </c>
      <c r="F26" s="61">
        <f>IF(FT!A26&lt;&gt;"",FT!A26*10,"")</f>
        <v>2.5150499999999996</v>
      </c>
      <c r="G26" s="61">
        <f>IF(FT!B26&lt;&gt;"",FT!B26*100,"")</f>
        <v>42.945599999999999</v>
      </c>
      <c r="H26" s="61">
        <f t="shared" si="1"/>
        <v>1</v>
      </c>
      <c r="I26" t="str">
        <f>IF(FT!B26&lt;&gt;"",FT!E26,"")</f>
        <v>1 [9.752097]</v>
      </c>
      <c r="J26">
        <f>IF(FT!B26&lt;&gt;"",FT!C26,"")</f>
        <v>9.7521000000000004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2.5425800000000001</v>
      </c>
      <c r="G27" s="61">
        <f>IF(FT!B27&lt;&gt;"",FT!B27*100,"")</f>
        <v>42.598300000000002</v>
      </c>
      <c r="H27" s="61">
        <f t="shared" si="1"/>
        <v>1</v>
      </c>
      <c r="I27" t="str">
        <f>IF(FT!B27&lt;&gt;"",FT!E27,"")</f>
        <v>1 [10.157745]</v>
      </c>
      <c r="J27">
        <f>IF(FT!B27&lt;&gt;"",FT!C27,"")</f>
        <v>10.1577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42126</v>
      </c>
      <c r="D28" s="61">
        <f>FH!B28*1</f>
        <v>42126</v>
      </c>
      <c r="E28">
        <f t="shared" si="3"/>
        <v>26</v>
      </c>
      <c r="F28" s="61">
        <f>IF(FT!A28&lt;&gt;"",FT!A28*10,"")</f>
        <v>2.57036</v>
      </c>
      <c r="G28" s="61">
        <f>IF(FT!B28&lt;&gt;"",FT!B28*100,"")</f>
        <v>42.263199999999998</v>
      </c>
      <c r="H28" s="61">
        <f t="shared" si="1"/>
        <v>1</v>
      </c>
      <c r="I28" t="str">
        <f>IF(FT!B28&lt;&gt;"",FT!E28,"")</f>
        <v>1 [10.566868]</v>
      </c>
      <c r="J28">
        <f>IF(FT!B28&lt;&gt;"",FT!C28,"")</f>
        <v>10.5669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2.5980300000000001</v>
      </c>
      <c r="G29" s="61">
        <f>IF(FT!B29&lt;&gt;"",FT!B29*100,"")</f>
        <v>41.928800000000003</v>
      </c>
      <c r="H29" s="61">
        <f t="shared" si="1"/>
        <v>1</v>
      </c>
      <c r="I29" t="str">
        <f>IF(FT!B29&lt;&gt;"",FT!E29,"")</f>
        <v>1 [10.975585]</v>
      </c>
      <c r="J29">
        <f>IF(FT!B29&lt;&gt;"",FT!C29,"")</f>
        <v>10.9756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2.6224999999999996</v>
      </c>
      <c r="G30" s="61">
        <f>IF(FT!B30&lt;&gt;"",FT!B30*100,"")</f>
        <v>41.666599999999995</v>
      </c>
      <c r="H30" s="61">
        <f t="shared" si="1"/>
        <v>1</v>
      </c>
      <c r="I30" t="str">
        <f>IF(FT!B30&lt;&gt;"",FT!E30,"")</f>
        <v>1 [11.378735]</v>
      </c>
      <c r="J30">
        <f>IF(FT!B30&lt;&gt;"",FT!C30,"")</f>
        <v>11.3787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44215</v>
      </c>
      <c r="D31" s="61">
        <f>FH!B31*1</f>
        <v>44215</v>
      </c>
      <c r="E31">
        <f t="shared" si="3"/>
        <v>29</v>
      </c>
      <c r="F31" s="61">
        <f>IF(FT!A31&lt;&gt;"",FT!A31*10,"")</f>
        <v>2.6461600000000001</v>
      </c>
      <c r="G31" s="61">
        <f>IF(FT!B31&lt;&gt;"",FT!B31*100,"")</f>
        <v>41.489599999999996</v>
      </c>
      <c r="H31" s="61">
        <f t="shared" si="1"/>
        <v>1</v>
      </c>
      <c r="I31" t="str">
        <f>IF(FT!B31&lt;&gt;"",FT!E31,"")</f>
        <v>1 [11.782489]</v>
      </c>
      <c r="J31">
        <f>IF(FT!B31&lt;&gt;"",FT!C31,"")</f>
        <v>11.782500000000001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2.6637399999999998</v>
      </c>
      <c r="G32" s="61">
        <f>IF(FT!B32&lt;&gt;"",FT!B32*100,"")</f>
        <v>41.380400000000002</v>
      </c>
      <c r="H32" s="61">
        <f t="shared" si="1"/>
        <v>1</v>
      </c>
      <c r="I32" t="str">
        <f>IF(FT!B32&lt;&gt;"",FT!E32,"")</f>
        <v>1 [12.188963]</v>
      </c>
      <c r="J32">
        <f>IF(FT!B32&lt;&gt;"",FT!C32,"")</f>
        <v>12.189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46056</v>
      </c>
      <c r="D33" s="61">
        <f>FH!B33*1</f>
        <v>46056</v>
      </c>
      <c r="E33">
        <f t="shared" si="3"/>
        <v>31</v>
      </c>
      <c r="F33" s="61">
        <f>IF(FT!A33&lt;&gt;"",FT!A33*10,"")</f>
        <v>2.6764900000000003</v>
      </c>
      <c r="G33" s="61">
        <f>IF(FT!B33&lt;&gt;"",FT!B33*100,"")</f>
        <v>41.347699999999996</v>
      </c>
      <c r="H33" s="61">
        <f t="shared" si="1"/>
        <v>1</v>
      </c>
      <c r="I33" t="str">
        <f>IF(FT!B33&lt;&gt;"",FT!E33,"")</f>
        <v>1 [12.597570]</v>
      </c>
      <c r="J33">
        <f>IF(FT!B33&lt;&gt;"",FT!C33,"")</f>
        <v>12.5976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2.6843299999999997</v>
      </c>
      <c r="G34" s="61">
        <f>IF(FT!B34&lt;&gt;"",FT!B34*100,"")</f>
        <v>41.379199999999997</v>
      </c>
      <c r="H34" s="61">
        <f t="shared" si="1"/>
        <v>1</v>
      </c>
      <c r="I34" t="str">
        <f>IF(FT!B34&lt;&gt;"",FT!E34,"")</f>
        <v>1 [13.005481]</v>
      </c>
      <c r="J34">
        <f>IF(FT!B34&lt;&gt;"",FT!C34,"")</f>
        <v>13.0055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2.6902900000000001</v>
      </c>
      <c r="G35" s="61">
        <f>IF(FT!B35&lt;&gt;"",FT!B35*100,"")</f>
        <v>41.315300000000001</v>
      </c>
      <c r="H35" s="61">
        <f t="shared" si="1"/>
        <v>1</v>
      </c>
      <c r="I35" t="str">
        <f>IF(FT!B35&lt;&gt;"",FT!E35,"")</f>
        <v>1 [13.408002]</v>
      </c>
      <c r="J35">
        <f>IF(FT!B35&lt;&gt;"",FT!C35,"")</f>
        <v>13.407999999999999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50187</v>
      </c>
      <c r="D36" s="61">
        <f>FH!B36*1</f>
        <v>50187</v>
      </c>
      <c r="E36">
        <f t="shared" si="3"/>
        <v>34</v>
      </c>
      <c r="F36" s="61">
        <f>IF(FT!A36&lt;&gt;"",FT!A36*10,"")</f>
        <v>2.6972</v>
      </c>
      <c r="G36" s="61">
        <f>IF(FT!B36&lt;&gt;"",FT!B36*100,"")</f>
        <v>41.141800000000003</v>
      </c>
      <c r="H36" s="61">
        <f t="shared" si="1"/>
        <v>1</v>
      </c>
      <c r="I36" t="str">
        <f>IF(FT!B36&lt;&gt;"",FT!E36,"")</f>
        <v>1 [13.813782]</v>
      </c>
      <c r="J36">
        <f>IF(FT!B36&lt;&gt;"",FT!C36,"")</f>
        <v>13.813800000000001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2.7045500000000002</v>
      </c>
      <c r="G37" s="61">
        <f>IF(FT!B37&lt;&gt;"",FT!B37*100,"")</f>
        <v>40.922399999999996</v>
      </c>
      <c r="H37" s="61">
        <f t="shared" si="1"/>
        <v>1</v>
      </c>
      <c r="I37" t="str">
        <f>IF(FT!B37&lt;&gt;"",FT!E37,"")</f>
        <v>1 [14.221398]</v>
      </c>
      <c r="J37">
        <f>IF(FT!B37&lt;&gt;"",FT!C37,"")</f>
        <v>14.221399999999999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2.7109399999999999</v>
      </c>
      <c r="G38" s="61">
        <f>IF(FT!B38&lt;&gt;"",FT!B38*100,"")</f>
        <v>40.700499999999998</v>
      </c>
      <c r="H38" s="61">
        <f t="shared" si="1"/>
        <v>1</v>
      </c>
      <c r="I38" t="str">
        <f>IF(FT!B38&lt;&gt;"",FT!E38,"")</f>
        <v>1 [14.629277]</v>
      </c>
      <c r="J38">
        <f>IF(FT!B38&lt;&gt;"",FT!C38,"")</f>
        <v>14.629300000000001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50085</v>
      </c>
      <c r="D39" s="61">
        <f>FH!B39*1</f>
        <v>50085</v>
      </c>
      <c r="E39">
        <f t="shared" si="3"/>
        <v>37</v>
      </c>
      <c r="F39" s="61">
        <f>IF(FT!A39&lt;&gt;"",FT!A39*10,"")</f>
        <v>2.7164899999999998</v>
      </c>
      <c r="G39" s="61">
        <f>IF(FT!B39&lt;&gt;"",FT!B39*100,"")</f>
        <v>40.564299999999996</v>
      </c>
      <c r="H39" s="61">
        <f t="shared" si="1"/>
        <v>1</v>
      </c>
      <c r="I39" t="str">
        <f>IF(FT!B39&lt;&gt;"",FT!E39,"")</f>
        <v>2 [15.033006]</v>
      </c>
      <c r="J39">
        <f>IF(FT!B39&lt;&gt;"",FT!C39,"")</f>
        <v>15.032999999999999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2.7240199999999999</v>
      </c>
      <c r="G40" s="61">
        <f>IF(FT!B40&lt;&gt;"",FT!B40*100,"")</f>
        <v>40.431200000000004</v>
      </c>
      <c r="H40" s="61">
        <f t="shared" si="1"/>
        <v>1</v>
      </c>
      <c r="I40" t="str">
        <f>IF(FT!B40&lt;&gt;"",FT!E40,"")</f>
        <v>2 [15.437847]</v>
      </c>
      <c r="J40">
        <f>IF(FT!B40&lt;&gt;"",FT!C40,"")</f>
        <v>15.437799999999999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56354</v>
      </c>
      <c r="D41" s="61">
        <f>FH!B41*1</f>
        <v>56354</v>
      </c>
      <c r="E41">
        <f t="shared" si="3"/>
        <v>39</v>
      </c>
      <c r="F41" s="61">
        <f>IF(FT!A41&lt;&gt;"",FT!A41*10,"")</f>
        <v>2.7313100000000001</v>
      </c>
      <c r="G41" s="61">
        <f>IF(FT!B41&lt;&gt;"",FT!B41*100,"")</f>
        <v>40.317700000000002</v>
      </c>
      <c r="H41" s="61">
        <f t="shared" si="1"/>
        <v>1</v>
      </c>
      <c r="I41" t="str">
        <f>IF(FT!B41&lt;&gt;"",FT!E41,"")</f>
        <v>2 [15.846683]</v>
      </c>
      <c r="J41">
        <f>IF(FT!B41&lt;&gt;"",FT!C41,"")</f>
        <v>15.8467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2.7347799999999998</v>
      </c>
      <c r="G42" s="61">
        <f>IF(FT!B42&lt;&gt;"",FT!B42*100,"")</f>
        <v>40.383299999999998</v>
      </c>
      <c r="H42" s="61">
        <f t="shared" si="1"/>
        <v>1</v>
      </c>
      <c r="I42" t="str">
        <f>IF(FT!B42&lt;&gt;"",FT!E42,"")</f>
        <v>2 [16.252789]</v>
      </c>
      <c r="J42">
        <f>IF(FT!B42&lt;&gt;"",FT!C42,"")</f>
        <v>16.252800000000001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2.7406799999999998</v>
      </c>
      <c r="G43" s="61">
        <f>IF(FT!B43&lt;&gt;"",FT!B43*100,"")</f>
        <v>40.432400000000001</v>
      </c>
      <c r="H43" s="61">
        <f t="shared" si="1"/>
        <v>1</v>
      </c>
      <c r="I43" t="str">
        <f>IF(FT!B43&lt;&gt;"",FT!E43,"")</f>
        <v>2 [16.657229]</v>
      </c>
      <c r="J43">
        <f>IF(FT!B43&lt;&gt;"",FT!C43,"")</f>
        <v>16.6572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52027</v>
      </c>
      <c r="D44" s="61">
        <f>FH!B44*1</f>
        <v>52027</v>
      </c>
      <c r="E44">
        <f t="shared" si="3"/>
        <v>42</v>
      </c>
      <c r="F44" s="61">
        <f>IF(FT!A44&lt;&gt;"",FT!A44*10,"")</f>
        <v>2.7503600000000001</v>
      </c>
      <c r="G44" s="61">
        <f>IF(FT!B44&lt;&gt;"",FT!B44*100,"")</f>
        <v>40.375100000000003</v>
      </c>
      <c r="H44" s="61">
        <f t="shared" si="1"/>
        <v>1</v>
      </c>
      <c r="I44" t="str">
        <f>IF(FT!B44&lt;&gt;"",FT!E44,"")</f>
        <v>2 [17.065921]</v>
      </c>
      <c r="J44">
        <f>IF(FT!B44&lt;&gt;"",FT!C44,"")</f>
        <v>17.065899999999999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2.7654899999999998</v>
      </c>
      <c r="G45" s="61">
        <f>IF(FT!B45&lt;&gt;"",FT!B45*100,"")</f>
        <v>40.242400000000004</v>
      </c>
      <c r="H45" s="61">
        <f t="shared" si="1"/>
        <v>1</v>
      </c>
      <c r="I45" t="str">
        <f>IF(FT!B45&lt;&gt;"",FT!E45,"")</f>
        <v>2 [17.469305]</v>
      </c>
      <c r="J45">
        <f>IF(FT!B45&lt;&gt;"",FT!C45,"")</f>
        <v>17.4693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54338</v>
      </c>
      <c r="D46" s="61">
        <f>FH!B46*1</f>
        <v>54338</v>
      </c>
      <c r="E46">
        <f t="shared" si="3"/>
        <v>44</v>
      </c>
      <c r="F46" s="61">
        <f>IF(FT!A46&lt;&gt;"",FT!A46*10,"")</f>
        <v>2.7841900000000002</v>
      </c>
      <c r="G46" s="61">
        <f>IF(FT!B46&lt;&gt;"",FT!B46*100,"")</f>
        <v>40.0364</v>
      </c>
      <c r="H46" s="61">
        <f t="shared" si="1"/>
        <v>1</v>
      </c>
      <c r="I46" t="str">
        <f>IF(FT!B46&lt;&gt;"",FT!E46,"")</f>
        <v>2 [17.879612]</v>
      </c>
      <c r="J46">
        <f>IF(FT!B46&lt;&gt;"",FT!C46,"")</f>
        <v>17.8796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2.8055099999999999</v>
      </c>
      <c r="G47" s="61">
        <f>IF(FT!B47&lt;&gt;"",FT!B47*100,"")</f>
        <v>39.8431</v>
      </c>
      <c r="H47" s="61">
        <f t="shared" si="1"/>
        <v>1</v>
      </c>
      <c r="I47" t="str">
        <f>IF(FT!B47&lt;&gt;"",FT!E47,"")</f>
        <v>2 [18.288090]</v>
      </c>
      <c r="J47">
        <f>IF(FT!B47&lt;&gt;"",FT!C47,"")</f>
        <v>18.2881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2.8231800000000002</v>
      </c>
      <c r="G48" s="61">
        <f>IF(FT!B48&lt;&gt;"",FT!B48*100,"")</f>
        <v>39.758500000000005</v>
      </c>
      <c r="H48" s="61">
        <f t="shared" si="1"/>
        <v>1</v>
      </c>
      <c r="I48" t="str">
        <f>IF(FT!B48&lt;&gt;"",FT!E48,"")</f>
        <v>2 [18.689084]</v>
      </c>
      <c r="J48">
        <f>IF(FT!B48&lt;&gt;"",FT!C48,"")</f>
        <v>18.6891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56202</v>
      </c>
      <c r="D49" s="61">
        <f>FH!B49*1</f>
        <v>56202</v>
      </c>
      <c r="E49">
        <f t="shared" si="3"/>
        <v>47</v>
      </c>
      <c r="F49" s="61">
        <f>IF(FT!A49&lt;&gt;"",FT!A49*10,"")</f>
        <v>2.8347099999999998</v>
      </c>
      <c r="G49" s="61">
        <f>IF(FT!B49&lt;&gt;"",FT!B49*100,"")</f>
        <v>39.891599999999997</v>
      </c>
      <c r="H49" s="61">
        <f t="shared" si="1"/>
        <v>1</v>
      </c>
      <c r="I49" t="str">
        <f>IF(FT!B49&lt;&gt;"",FT!E49,"")</f>
        <v>2 [19.094643]</v>
      </c>
      <c r="J49">
        <f>IF(FT!B49&lt;&gt;"",FT!C49,"")</f>
        <v>19.0946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2.8451500000000003</v>
      </c>
      <c r="G50" s="61">
        <f>IF(FT!B50&lt;&gt;"",FT!B50*100,"")</f>
        <v>40.084199999999996</v>
      </c>
      <c r="H50" s="61">
        <f t="shared" si="1"/>
        <v>1</v>
      </c>
      <c r="I50" t="str">
        <f>IF(FT!B50&lt;&gt;"",FT!E50,"")</f>
        <v>2 [19.501788]</v>
      </c>
      <c r="J50">
        <f>IF(FT!B50&lt;&gt;"",FT!C50,"")</f>
        <v>19.501799999999999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50112</v>
      </c>
      <c r="D51" s="61">
        <f>FH!B51*1</f>
        <v>50112</v>
      </c>
      <c r="E51">
        <f t="shared" si="3"/>
        <v>49</v>
      </c>
      <c r="F51" s="61">
        <f>IF(FT!A51&lt;&gt;"",FT!A51*10,"")</f>
        <v>2.8562099999999999</v>
      </c>
      <c r="G51" s="61">
        <f>IF(FT!B51&lt;&gt;"",FT!B51*100,"")</f>
        <v>40.221400000000003</v>
      </c>
      <c r="H51" s="61">
        <f t="shared" si="1"/>
        <v>1</v>
      </c>
      <c r="I51" t="str">
        <f>IF(FT!B51&lt;&gt;"",FT!E51,"")</f>
        <v>2 [19.907194]</v>
      </c>
      <c r="J51">
        <f>IF(FT!B51&lt;&gt;"",FT!C51,"")</f>
        <v>19.9072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2.8659400000000002</v>
      </c>
      <c r="G52" s="61">
        <f>IF(FT!B52&lt;&gt;"",FT!B52*100,"")</f>
        <v>40.385300000000001</v>
      </c>
      <c r="H52" s="61">
        <f t="shared" si="1"/>
        <v>1</v>
      </c>
      <c r="I52" t="str">
        <f>IF(FT!B52&lt;&gt;"",FT!E52,"")</f>
        <v>2 [20.318773]</v>
      </c>
      <c r="J52">
        <f>IF(FT!B52&lt;&gt;"",FT!C52,"")</f>
        <v>20.3188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2.8728799999999999</v>
      </c>
      <c r="G53" s="61">
        <f>IF(FT!B53&lt;&gt;"",FT!B53*100,"")</f>
        <v>40.509299999999996</v>
      </c>
      <c r="H53" s="61">
        <f t="shared" si="1"/>
        <v>1</v>
      </c>
      <c r="I53" t="str">
        <f>IF(FT!B53&lt;&gt;"",FT!E53,"")</f>
        <v>2 [20.720277]</v>
      </c>
      <c r="J53">
        <f>IF(FT!B53&lt;&gt;"",FT!C53,"")</f>
        <v>20.720300000000002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53249</v>
      </c>
      <c r="D54" s="61">
        <f>FH!B54*1</f>
        <v>53249</v>
      </c>
      <c r="E54">
        <f t="shared" si="3"/>
        <v>52</v>
      </c>
      <c r="F54" s="61">
        <f>IF(FT!A54&lt;&gt;"",FT!A54*10,"")</f>
        <v>2.87887</v>
      </c>
      <c r="G54" s="61">
        <f>IF(FT!B54&lt;&gt;"",FT!B54*100,"")</f>
        <v>40.512799999999999</v>
      </c>
      <c r="H54" s="61">
        <f t="shared" si="1"/>
        <v>1</v>
      </c>
      <c r="I54" t="str">
        <f>IF(FT!B54&lt;&gt;"",FT!E54,"")</f>
        <v>2 [21.127744]</v>
      </c>
      <c r="J54">
        <f>IF(FT!B54&lt;&gt;"",FT!C54,"")</f>
        <v>21.127700000000001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2.8857300000000001</v>
      </c>
      <c r="G55" s="61">
        <f>IF(FT!B55&lt;&gt;"",FT!B55*100,"")</f>
        <v>40.472200000000001</v>
      </c>
      <c r="H55" s="61">
        <f t="shared" si="1"/>
        <v>1</v>
      </c>
      <c r="I55" t="str">
        <f>IF(FT!B55&lt;&gt;"",FT!E55,"")</f>
        <v>2 [21.536016]</v>
      </c>
      <c r="J55">
        <f>IF(FT!B55&lt;&gt;"",FT!C55,"")</f>
        <v>21.536000000000001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2.8947099999999999</v>
      </c>
      <c r="G56" s="61">
        <f>IF(FT!B56&lt;&gt;"",FT!B56*100,"")</f>
        <v>40.410600000000002</v>
      </c>
      <c r="H56" s="61">
        <f t="shared" si="1"/>
        <v>1</v>
      </c>
      <c r="I56" t="str">
        <f>IF(FT!B56&lt;&gt;"",FT!E56,"")</f>
        <v>2 [21.942823]</v>
      </c>
      <c r="J56">
        <f>IF(FT!B56&lt;&gt;"",FT!C56,"")</f>
        <v>21.942799999999998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52081</v>
      </c>
      <c r="D57" s="61">
        <f>FH!B57*1</f>
        <v>52081</v>
      </c>
      <c r="E57">
        <f t="shared" si="3"/>
        <v>55</v>
      </c>
      <c r="F57" s="61">
        <f>IF(FT!A57&lt;&gt;"",FT!A57*10,"")</f>
        <v>2.9030200000000002</v>
      </c>
      <c r="G57" s="61">
        <f>IF(FT!B57&lt;&gt;"",FT!B57*100,"")</f>
        <v>40.3825</v>
      </c>
      <c r="H57" s="61">
        <f t="shared" si="1"/>
        <v>1</v>
      </c>
      <c r="I57" t="str">
        <f>IF(FT!B57&lt;&gt;"",FT!E57,"")</f>
        <v>2 [22.348748]</v>
      </c>
      <c r="J57">
        <f>IF(FT!B57&lt;&gt;"",FT!C57,"")</f>
        <v>22.348700000000001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2.9105699999999999</v>
      </c>
      <c r="G58" s="61">
        <f>IF(FT!B58&lt;&gt;"",FT!B58*100,"")</f>
        <v>40.448599999999999</v>
      </c>
      <c r="H58" s="61">
        <f t="shared" si="1"/>
        <v>1</v>
      </c>
      <c r="I58" t="str">
        <f>IF(FT!B58&lt;&gt;"",FT!E58,"")</f>
        <v>2 [22.753101]</v>
      </c>
      <c r="J58">
        <f>IF(FT!B58&lt;&gt;"",FT!C58,"")</f>
        <v>22.7531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55441</v>
      </c>
      <c r="D59" s="61">
        <f>FH!B59*1</f>
        <v>55441</v>
      </c>
      <c r="E59">
        <f t="shared" si="3"/>
        <v>57</v>
      </c>
      <c r="F59" s="61">
        <f>IF(FT!A59&lt;&gt;"",FT!A59*10,"")</f>
        <v>2.9164600000000003</v>
      </c>
      <c r="G59" s="61">
        <f>IF(FT!B59&lt;&gt;"",FT!B59*100,"")</f>
        <v>40.597000000000001</v>
      </c>
      <c r="H59" s="61">
        <f t="shared" si="1"/>
        <v>1</v>
      </c>
      <c r="I59" t="str">
        <f>IF(FT!B59&lt;&gt;"",FT!E59,"")</f>
        <v>2 [23.158557]</v>
      </c>
      <c r="J59">
        <f>IF(FT!B59&lt;&gt;"",FT!C59,"")</f>
        <v>23.1586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2.9208800000000004</v>
      </c>
      <c r="G60" s="61">
        <f>IF(FT!B60&lt;&gt;"",FT!B60*100,"")</f>
        <v>40.781600000000005</v>
      </c>
      <c r="H60" s="61">
        <f t="shared" si="1"/>
        <v>1</v>
      </c>
      <c r="I60" t="str">
        <f>IF(FT!B60&lt;&gt;"",FT!E60,"")</f>
        <v>2 [23.563289]</v>
      </c>
      <c r="J60">
        <f>IF(FT!B60&lt;&gt;"",FT!C60,"")</f>
        <v>23.563300000000002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2.9248600000000002</v>
      </c>
      <c r="G61" s="61">
        <f>IF(FT!B61&lt;&gt;"",FT!B61*100,"")</f>
        <v>40.959600000000002</v>
      </c>
      <c r="H61" s="61">
        <f t="shared" si="1"/>
        <v>1</v>
      </c>
      <c r="I61" t="str">
        <f>IF(FT!B61&lt;&gt;"",FT!E61,"")</f>
        <v>2 [23.971969]</v>
      </c>
      <c r="J61">
        <f>IF(FT!B61&lt;&gt;"",FT!C61,"")</f>
        <v>23.972000000000001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53961</v>
      </c>
      <c r="D62" s="61">
        <f>FH!B62*1</f>
        <v>53961</v>
      </c>
      <c r="E62">
        <f t="shared" si="3"/>
        <v>60</v>
      </c>
      <c r="F62" s="61">
        <f>IF(FT!A62&lt;&gt;"",FT!A62*10,"")</f>
        <v>2.9272300000000002</v>
      </c>
      <c r="G62" s="61">
        <f>IF(FT!B62&lt;&gt;"",FT!B62*100,"")</f>
        <v>41.041699999999999</v>
      </c>
      <c r="H62" s="61">
        <f t="shared" si="1"/>
        <v>1</v>
      </c>
      <c r="I62" t="str">
        <f>IF(FT!B62&lt;&gt;"",FT!E62,"")</f>
        <v>2 [24.379743]</v>
      </c>
      <c r="J62">
        <f>IF(FT!B62&lt;&gt;"",FT!C62,"")</f>
        <v>24.3797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2.9323100000000002</v>
      </c>
      <c r="G63" s="61">
        <f>IF(FT!B63&lt;&gt;"",FT!B63*100,"")</f>
        <v>41.140900000000002</v>
      </c>
      <c r="H63" s="61">
        <f t="shared" si="1"/>
        <v>1</v>
      </c>
      <c r="I63" t="str">
        <f>IF(FT!B63&lt;&gt;"",FT!E63,"")</f>
        <v>2 [24.786413]</v>
      </c>
      <c r="J63">
        <f>IF(FT!B63&lt;&gt;"",FT!C63,"")</f>
        <v>24.7864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50660</v>
      </c>
      <c r="D64" s="61">
        <f>FH!B64*1</f>
        <v>50660</v>
      </c>
      <c r="E64">
        <f t="shared" si="3"/>
        <v>62</v>
      </c>
      <c r="F64" s="61">
        <f>IF(FT!A64&lt;&gt;"",FT!A64*10,"")</f>
        <v>2.9430399999999999</v>
      </c>
      <c r="G64" s="61">
        <f>IF(FT!B64&lt;&gt;"",FT!B64*100,"")</f>
        <v>41.115000000000002</v>
      </c>
      <c r="H64" s="61">
        <f t="shared" si="1"/>
        <v>1</v>
      </c>
      <c r="I64" t="str">
        <f>IF(FT!B64&lt;&gt;"",FT!E64,"")</f>
        <v>2 [25.190571]</v>
      </c>
      <c r="J64">
        <f>IF(FT!B64&lt;&gt;"",FT!C64,"")</f>
        <v>25.1906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2.9566300000000001</v>
      </c>
      <c r="G65" s="61">
        <f>IF(FT!B65&lt;&gt;"",FT!B65*100,"")</f>
        <v>41.030100000000004</v>
      </c>
      <c r="H65" s="61">
        <f t="shared" si="1"/>
        <v>1</v>
      </c>
      <c r="I65" t="str">
        <f>IF(FT!B65&lt;&gt;"",FT!E65,"")</f>
        <v>2 [25.596317]</v>
      </c>
      <c r="J65">
        <f>IF(FT!B65&lt;&gt;"",FT!C65,"")</f>
        <v>25.596299999999999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2.9695</v>
      </c>
      <c r="G66" s="61">
        <f>IF(FT!B66&lt;&gt;"",FT!B66*100,"")</f>
        <v>41.038200000000003</v>
      </c>
      <c r="H66" s="61">
        <f t="shared" si="1"/>
        <v>1</v>
      </c>
      <c r="I66" t="str">
        <f>IF(FT!B66&lt;&gt;"",FT!E66,"")</f>
        <v>2 [26.003855]</v>
      </c>
      <c r="J66">
        <f>IF(FT!B66&lt;&gt;"",FT!C66,"")</f>
        <v>26.003900000000002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51104</v>
      </c>
      <c r="D67" s="61">
        <f>FH!B67*1</f>
        <v>51104</v>
      </c>
      <c r="E67">
        <f t="shared" si="3"/>
        <v>65</v>
      </c>
      <c r="F67" s="61">
        <f>IF(FT!A67&lt;&gt;"",FT!A67*10,"")</f>
        <v>2.9819299999999997</v>
      </c>
      <c r="G67" s="61">
        <f>IF(FT!B67&lt;&gt;"",FT!B67*100,"")</f>
        <v>41.072199999999995</v>
      </c>
      <c r="H67" s="61">
        <f t="shared" ref="H67:H130" si="9">(IF(F67&lt;&gt;"",1,""))</f>
        <v>1</v>
      </c>
      <c r="I67" t="str">
        <f>IF(FT!B67&lt;&gt;"",FT!E67,"")</f>
        <v>2 [26.412029]</v>
      </c>
      <c r="J67">
        <f>IF(FT!B67&lt;&gt;"",FT!C67,"")</f>
        <v>26.411999999999999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2.9868499999999996</v>
      </c>
      <c r="G68" s="61">
        <f>IF(FT!B68&lt;&gt;"",FT!B68*100,"")</f>
        <v>41.303100000000001</v>
      </c>
      <c r="H68" s="61">
        <f t="shared" si="9"/>
        <v>1</v>
      </c>
      <c r="I68" t="str">
        <f>IF(FT!B68&lt;&gt;"",FT!E68,"")</f>
        <v>2 [26.817654]</v>
      </c>
      <c r="J68">
        <f>IF(FT!B68&lt;&gt;"",FT!C68,"")</f>
        <v>26.817699999999999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49763</v>
      </c>
      <c r="D69" s="61">
        <f>FH!B69*1</f>
        <v>49763</v>
      </c>
      <c r="E69">
        <f t="shared" si="11"/>
        <v>67</v>
      </c>
      <c r="F69" s="61">
        <f>IF(FT!A69&lt;&gt;"",FT!A69*10,"")</f>
        <v>2.9858800000000003</v>
      </c>
      <c r="G69" s="61">
        <f>IF(FT!B69&lt;&gt;"",FT!B69*100,"")</f>
        <v>41.6815</v>
      </c>
      <c r="H69" s="61">
        <f t="shared" si="9"/>
        <v>1</v>
      </c>
      <c r="I69" t="str">
        <f>IF(FT!B69&lt;&gt;"",FT!E69,"")</f>
        <v>2 [27.221662]</v>
      </c>
      <c r="J69">
        <f>IF(FT!B69&lt;&gt;"",FT!C69,"")</f>
        <v>27.221699999999998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2.9783300000000001</v>
      </c>
      <c r="G70" s="61">
        <f>IF(FT!B70&lt;&gt;"",FT!B70*100,"")</f>
        <v>42.0122</v>
      </c>
      <c r="H70" s="61">
        <f t="shared" si="9"/>
        <v>1</v>
      </c>
      <c r="I70" t="str">
        <f>IF(FT!B70&lt;&gt;"",FT!E70,"")</f>
        <v>2 [27.627954]</v>
      </c>
      <c r="J70">
        <f>IF(FT!B70&lt;&gt;"",FT!C70,"")</f>
        <v>27.628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2.9764900000000001</v>
      </c>
      <c r="G71" s="61">
        <f>IF(FT!B71&lt;&gt;"",FT!B71*100,"")</f>
        <v>42.0289</v>
      </c>
      <c r="H71" s="61">
        <f t="shared" si="9"/>
        <v>1</v>
      </c>
      <c r="I71" t="str">
        <f>IF(FT!B71&lt;&gt;"",FT!E71,"")</f>
        <v>2 [28.035559]</v>
      </c>
      <c r="J71">
        <f>IF(FT!B71&lt;&gt;"",FT!C71,"")</f>
        <v>28.035599999999999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46175</v>
      </c>
      <c r="D72" s="61">
        <f>FH!B72*1</f>
        <v>46175</v>
      </c>
      <c r="E72">
        <f t="shared" si="11"/>
        <v>70</v>
      </c>
      <c r="F72" s="61">
        <f>IF(FT!A72&lt;&gt;"",FT!A72*10,"")</f>
        <v>2.9821399999999998</v>
      </c>
      <c r="G72" s="61">
        <f>IF(FT!B72&lt;&gt;"",FT!B72*100,"")</f>
        <v>41.7425</v>
      </c>
      <c r="H72" s="61">
        <f t="shared" si="9"/>
        <v>1</v>
      </c>
      <c r="I72" t="str">
        <f>IF(FT!B72&lt;&gt;"",FT!E72,"")</f>
        <v>2 [28.443001]</v>
      </c>
      <c r="J72">
        <f>IF(FT!B72&lt;&gt;"",FT!C72,"")</f>
        <v>28.443000000000001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2.9820899999999999</v>
      </c>
      <c r="G73" s="61">
        <f>IF(FT!B73&lt;&gt;"",FT!B73*100,"")</f>
        <v>41.708300000000001</v>
      </c>
      <c r="H73" s="61">
        <f t="shared" si="9"/>
        <v>1</v>
      </c>
      <c r="I73" t="str">
        <f>IF(FT!B73&lt;&gt;"",FT!E73,"")</f>
        <v>2 [28.848051]</v>
      </c>
      <c r="J73">
        <f>IF(FT!B73&lt;&gt;"",FT!C73,"")</f>
        <v>28.848099999999999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2.9807600000000001</v>
      </c>
      <c r="G74" s="61">
        <f>IF(FT!B74&lt;&gt;"",FT!B74*100,"")</f>
        <v>41.931200000000004</v>
      </c>
      <c r="H74" s="61">
        <f t="shared" si="9"/>
        <v>1</v>
      </c>
      <c r="I74" t="str">
        <f>IF(FT!B74&lt;&gt;"",FT!E74,"")</f>
        <v>2 [29.253381]</v>
      </c>
      <c r="J74">
        <f>IF(FT!B74&lt;&gt;"",FT!C74,"")</f>
        <v>29.253399999999999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41208</v>
      </c>
      <c r="D75" s="61">
        <f>FH!B75*1</f>
        <v>41208</v>
      </c>
      <c r="E75">
        <f t="shared" si="11"/>
        <v>73</v>
      </c>
      <c r="F75" s="61">
        <f>IF(FT!A75&lt;&gt;"",FT!A75*10,"")</f>
        <v>2.98529</v>
      </c>
      <c r="G75" s="61">
        <f>IF(FT!B75&lt;&gt;"",FT!B75*100,"")</f>
        <v>41.9084</v>
      </c>
      <c r="H75" s="61">
        <f t="shared" si="9"/>
        <v>1</v>
      </c>
      <c r="I75" t="str">
        <f>IF(FT!B75&lt;&gt;"",FT!E75,"")</f>
        <v>2 [29.658097]</v>
      </c>
      <c r="J75">
        <f>IF(FT!B75&lt;&gt;"",FT!C75,"")</f>
        <v>29.658100000000001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 t="str">
        <f>IF(FT!A76&lt;&gt;"",FT!A76*10,"")</f>
        <v/>
      </c>
      <c r="G76" s="61" t="str">
        <f>IF(FT!B76&lt;&gt;"",FT!B76*100,"")</f>
        <v/>
      </c>
      <c r="H76" s="61" t="str">
        <f t="shared" si="9"/>
        <v/>
      </c>
      <c r="I76" t="str">
        <f>IF(FT!B76&lt;&gt;"",FT!E76,"")</f>
        <v/>
      </c>
      <c r="J76" t="str">
        <f>IF(FT!B76&lt;&gt;"",FT!C76,"")</f>
        <v/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38452</v>
      </c>
      <c r="D77" s="61">
        <f>FH!B77*1</f>
        <v>38452</v>
      </c>
      <c r="E77">
        <f t="shared" si="11"/>
        <v>75</v>
      </c>
      <c r="F77" s="61" t="str">
        <f>IF(FT!A77&lt;&gt;"",FT!A77*10,"")</f>
        <v/>
      </c>
      <c r="G77" s="61" t="str">
        <f>IF(FT!B77&lt;&gt;"",FT!B77*100,"")</f>
        <v/>
      </c>
      <c r="H77" s="61" t="str">
        <f t="shared" si="9"/>
        <v/>
      </c>
      <c r="I77" t="str">
        <f>IF(FT!B77&lt;&gt;"",FT!E77,"")</f>
        <v/>
      </c>
      <c r="J77" t="str">
        <f>IF(FT!B77&lt;&gt;"",FT!C77,"")</f>
        <v/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 t="str">
        <f>IF(FT!A78&lt;&gt;"",FT!A78*10,"")</f>
        <v/>
      </c>
      <c r="G78" s="61" t="str">
        <f>IF(FT!B78&lt;&gt;"",FT!B78*100,"")</f>
        <v/>
      </c>
      <c r="H78" s="61" t="str">
        <f t="shared" si="9"/>
        <v/>
      </c>
      <c r="I78" t="str">
        <f>IF(FT!B78&lt;&gt;"",FT!E78,"")</f>
        <v/>
      </c>
      <c r="J78" t="str">
        <f>IF(FT!B78&lt;&gt;"",FT!C78,"")</f>
        <v/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 t="str">
        <f>IF(FT!A79&lt;&gt;"",FT!A79*10,"")</f>
        <v/>
      </c>
      <c r="G79" s="61" t="str">
        <f>IF(FT!B79&lt;&gt;"",FT!B79*100,"")</f>
        <v/>
      </c>
      <c r="H79" s="61" t="str">
        <f t="shared" si="9"/>
        <v/>
      </c>
      <c r="I79" t="str">
        <f>IF(FT!B79&lt;&gt;"",FT!E79,"")</f>
        <v/>
      </c>
      <c r="J79" t="str">
        <f>IF(FT!B79&lt;&gt;"",FT!C79,"")</f>
        <v/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42078</v>
      </c>
      <c r="D80" s="61">
        <f>FH!B80*1</f>
        <v>42078</v>
      </c>
      <c r="E80">
        <f t="shared" si="11"/>
        <v>78</v>
      </c>
      <c r="F80" s="61" t="str">
        <f>IF(FT!A80&lt;&gt;"",FT!A80*10,"")</f>
        <v/>
      </c>
      <c r="G80" s="61" t="str">
        <f>IF(FT!B80&lt;&gt;"",FT!B80*100,"")</f>
        <v/>
      </c>
      <c r="H80" s="61" t="str">
        <f t="shared" si="9"/>
        <v/>
      </c>
      <c r="I80" t="str">
        <f>IF(FT!B80&lt;&gt;"",FT!E80,"")</f>
        <v/>
      </c>
      <c r="J80" t="str">
        <f>IF(FT!B80&lt;&gt;"",FT!C80,"")</f>
        <v/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 t="str">
        <f>IF(FT!A81&lt;&gt;"",FT!A81*10,"")</f>
        <v/>
      </c>
      <c r="G81" s="61" t="str">
        <f>IF(FT!B81&lt;&gt;"",FT!B81*100,"")</f>
        <v/>
      </c>
      <c r="H81" s="61" t="str">
        <f t="shared" si="9"/>
        <v/>
      </c>
      <c r="I81" t="str">
        <f>IF(FT!B81&lt;&gt;"",FT!E81,"")</f>
        <v/>
      </c>
      <c r="J81" t="str">
        <f>IF(FT!B81&lt;&gt;"",FT!C81,"")</f>
        <v/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38729</v>
      </c>
      <c r="D82" s="61">
        <f>FH!B82*1</f>
        <v>38729</v>
      </c>
      <c r="E82">
        <f t="shared" si="11"/>
        <v>80</v>
      </c>
      <c r="F82" s="61" t="str">
        <f>IF(FT!A82&lt;&gt;"",FT!A82*10,"")</f>
        <v/>
      </c>
      <c r="G82" s="61" t="str">
        <f>IF(FT!B82&lt;&gt;"",FT!B82*100,"")</f>
        <v/>
      </c>
      <c r="H82" s="61" t="str">
        <f t="shared" si="9"/>
        <v/>
      </c>
      <c r="I82" t="str">
        <f>IF(FT!B82&lt;&gt;"",FT!E82,"")</f>
        <v/>
      </c>
      <c r="J82" t="str">
        <f>IF(FT!B82&lt;&gt;"",FT!C82,"")</f>
        <v/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 t="str">
        <f>IF(FT!A83&lt;&gt;"",FT!A83*10,"")</f>
        <v/>
      </c>
      <c r="G83" s="61" t="str">
        <f>IF(FT!B83&lt;&gt;"",FT!B83*100,"")</f>
        <v/>
      </c>
      <c r="H83" s="61" t="str">
        <f t="shared" si="9"/>
        <v/>
      </c>
      <c r="I83" t="str">
        <f>IF(FT!B83&lt;&gt;"",FT!E83,"")</f>
        <v/>
      </c>
      <c r="J83" t="str">
        <f>IF(FT!B83&lt;&gt;"",FT!C83,"")</f>
        <v/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 t="str">
        <f>IF(FT!A84&lt;&gt;"",FT!A84*10,"")</f>
        <v/>
      </c>
      <c r="G84" s="61" t="str">
        <f>IF(FT!B84&lt;&gt;"",FT!B84*100,"")</f>
        <v/>
      </c>
      <c r="H84" s="61" t="str">
        <f t="shared" si="9"/>
        <v/>
      </c>
      <c r="I84" t="str">
        <f>IF(FT!B84&lt;&gt;"",FT!E84,"")</f>
        <v/>
      </c>
      <c r="J84" t="str">
        <f>IF(FT!B84&lt;&gt;"",FT!C84,"")</f>
        <v/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35614</v>
      </c>
      <c r="D85" s="61">
        <f>FH!B85*1</f>
        <v>35614</v>
      </c>
      <c r="E85">
        <f t="shared" si="11"/>
        <v>83</v>
      </c>
      <c r="F85" s="61" t="str">
        <f>IF(FT!A85&lt;&gt;"",FT!A85*10,"")</f>
        <v/>
      </c>
      <c r="G85" s="61" t="str">
        <f>IF(FT!B85&lt;&gt;"",FT!B85*100,"")</f>
        <v/>
      </c>
      <c r="H85" s="61" t="str">
        <f t="shared" si="9"/>
        <v/>
      </c>
      <c r="I85" t="str">
        <f>IF(FT!B85&lt;&gt;"",FT!E85,"")</f>
        <v/>
      </c>
      <c r="J85" t="str">
        <f>IF(FT!B85&lt;&gt;"",FT!C85,"")</f>
        <v/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 t="str">
        <f>IF(FT!A86&lt;&gt;"",FT!A86*10,"")</f>
        <v/>
      </c>
      <c r="G86" s="61" t="str">
        <f>IF(FT!B86&lt;&gt;"",FT!B86*100,"")</f>
        <v/>
      </c>
      <c r="H86" s="61" t="str">
        <f t="shared" si="9"/>
        <v/>
      </c>
      <c r="I86" t="str">
        <f>IF(FT!B86&lt;&gt;"",FT!E86,"")</f>
        <v/>
      </c>
      <c r="J86" t="str">
        <f>IF(FT!B86&lt;&gt;"",FT!C86,"")</f>
        <v/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 t="str">
        <f>IF(FT!A87&lt;&gt;"",FT!A87*10,"")</f>
        <v/>
      </c>
      <c r="G87" s="61" t="str">
        <f>IF(FT!B87&lt;&gt;"",FT!B87*100,"")</f>
        <v/>
      </c>
      <c r="H87" s="61" t="str">
        <f t="shared" si="9"/>
        <v/>
      </c>
      <c r="I87" t="str">
        <f>IF(FT!B87&lt;&gt;"",FT!E87,"")</f>
        <v/>
      </c>
      <c r="J87" t="str">
        <f>IF(FT!B87&lt;&gt;"",FT!C87,"")</f>
        <v/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33777</v>
      </c>
      <c r="D88" s="61">
        <f>FH!B88*1</f>
        <v>33777</v>
      </c>
      <c r="E88">
        <f t="shared" si="11"/>
        <v>86</v>
      </c>
      <c r="F88" s="61" t="str">
        <f>IF(FT!A88&lt;&gt;"",FT!A88*10,"")</f>
        <v/>
      </c>
      <c r="G88" s="61" t="str">
        <f>IF(FT!B88&lt;&gt;"",FT!B88*100,"")</f>
        <v/>
      </c>
      <c r="H88" s="61" t="str">
        <f t="shared" si="9"/>
        <v/>
      </c>
      <c r="I88" t="str">
        <f>IF(FT!B88&lt;&gt;"",FT!E88,"")</f>
        <v/>
      </c>
      <c r="J88" t="str">
        <f>IF(FT!B88&lt;&gt;"",FT!C88,"")</f>
        <v/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 t="str">
        <f>IF(FT!A89&lt;&gt;"",FT!A89*10,"")</f>
        <v/>
      </c>
      <c r="G89" s="61" t="str">
        <f>IF(FT!B89&lt;&gt;"",FT!B89*100,"")</f>
        <v/>
      </c>
      <c r="H89" s="61" t="str">
        <f t="shared" si="9"/>
        <v/>
      </c>
      <c r="I89" t="str">
        <f>IF(FT!B89&lt;&gt;"",FT!E89,"")</f>
        <v/>
      </c>
      <c r="J89" t="str">
        <f>IF(FT!B89&lt;&gt;"",FT!C89,"")</f>
        <v/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31206</v>
      </c>
      <c r="D90" s="61">
        <f>FH!B90*1</f>
        <v>31206</v>
      </c>
      <c r="E90">
        <f t="shared" si="11"/>
        <v>88</v>
      </c>
      <c r="F90" s="61" t="str">
        <f>IF(FT!A90&lt;&gt;"",FT!A90*10,"")</f>
        <v/>
      </c>
      <c r="G90" s="61" t="str">
        <f>IF(FT!B90&lt;&gt;"",FT!B90*100,"")</f>
        <v/>
      </c>
      <c r="H90" s="61" t="str">
        <f t="shared" si="9"/>
        <v/>
      </c>
      <c r="I90" t="str">
        <f>IF(FT!B90&lt;&gt;"",FT!E90,"")</f>
        <v/>
      </c>
      <c r="J90" t="str">
        <f>IF(FT!B90&lt;&gt;"",FT!C90,"")</f>
        <v/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 t="str">
        <f>IF(FT!A91&lt;&gt;"",FT!A91*10,"")</f>
        <v/>
      </c>
      <c r="G91" s="61" t="str">
        <f>IF(FT!B91&lt;&gt;"",FT!B91*100,"")</f>
        <v/>
      </c>
      <c r="H91" s="61" t="str">
        <f t="shared" si="9"/>
        <v/>
      </c>
      <c r="I91" t="str">
        <f>IF(FT!B91&lt;&gt;"",FT!E91,"")</f>
        <v/>
      </c>
      <c r="J91" t="str">
        <f>IF(FT!B91&lt;&gt;"",FT!C91,"")</f>
        <v/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 t="str">
        <f>IF(FT!A92&lt;&gt;"",FT!A92*10,"")</f>
        <v/>
      </c>
      <c r="G92" s="61" t="str">
        <f>IF(FT!B92&lt;&gt;"",FT!B92*100,"")</f>
        <v/>
      </c>
      <c r="H92" s="61" t="str">
        <f t="shared" si="9"/>
        <v/>
      </c>
      <c r="I92" t="str">
        <f>IF(FT!B92&lt;&gt;"",FT!E92,"")</f>
        <v/>
      </c>
      <c r="J92" t="str">
        <f>IF(FT!B92&lt;&gt;"",FT!C92,"")</f>
        <v/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28817</v>
      </c>
      <c r="D93" s="61">
        <f>FH!B93*1</f>
        <v>28817</v>
      </c>
      <c r="E93">
        <f t="shared" si="11"/>
        <v>91</v>
      </c>
      <c r="F93" s="61" t="str">
        <f>IF(FT!A93&lt;&gt;"",FT!A93*10,"")</f>
        <v/>
      </c>
      <c r="G93" s="61" t="str">
        <f>IF(FT!B93&lt;&gt;"",FT!B93*100,"")</f>
        <v/>
      </c>
      <c r="H93" s="61" t="str">
        <f t="shared" si="9"/>
        <v/>
      </c>
      <c r="I93" t="str">
        <f>IF(FT!B93&lt;&gt;"",FT!E93,"")</f>
        <v/>
      </c>
      <c r="J93" t="str">
        <f>IF(FT!B93&lt;&gt;"",FT!C93,"")</f>
        <v/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 t="str">
        <f>IF(FT!A94&lt;&gt;"",FT!A94*10,"")</f>
        <v/>
      </c>
      <c r="G94" s="61" t="str">
        <f>IF(FT!B94&lt;&gt;"",FT!B94*100,"")</f>
        <v/>
      </c>
      <c r="H94" s="61" t="str">
        <f t="shared" si="9"/>
        <v/>
      </c>
      <c r="I94" t="str">
        <f>IF(FT!B94&lt;&gt;"",FT!E94,"")</f>
        <v/>
      </c>
      <c r="J94" t="str">
        <f>IF(FT!B94&lt;&gt;"",FT!C94,"")</f>
        <v/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28388</v>
      </c>
      <c r="D95" s="61">
        <f>FH!B95*1</f>
        <v>28388</v>
      </c>
      <c r="E95">
        <f t="shared" si="11"/>
        <v>93</v>
      </c>
      <c r="F95" s="61" t="str">
        <f>IF(FT!A95&lt;&gt;"",FT!A95*10,"")</f>
        <v/>
      </c>
      <c r="G95" s="61" t="str">
        <f>IF(FT!B95&lt;&gt;"",FT!B95*100,"")</f>
        <v/>
      </c>
      <c r="H95" s="61" t="str">
        <f t="shared" si="9"/>
        <v/>
      </c>
      <c r="I95" t="str">
        <f>IF(FT!B95&lt;&gt;"",FT!E95,"")</f>
        <v/>
      </c>
      <c r="J95" t="str">
        <f>IF(FT!B95&lt;&gt;"",FT!C95,"")</f>
        <v/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 t="str">
        <f>IF(FT!A96&lt;&gt;"",FT!A96*10,"")</f>
        <v/>
      </c>
      <c r="G96" s="61" t="str">
        <f>IF(FT!B96&lt;&gt;"",FT!B96*100,"")</f>
        <v/>
      </c>
      <c r="H96" s="61" t="str">
        <f t="shared" si="9"/>
        <v/>
      </c>
      <c r="I96" t="str">
        <f>IF(FT!B96&lt;&gt;"",FT!E96,"")</f>
        <v/>
      </c>
      <c r="J96" t="str">
        <f>IF(FT!B96&lt;&gt;"",FT!C96,"")</f>
        <v/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 t="str">
        <f>IF(FT!A97&lt;&gt;"",FT!A97*10,"")</f>
        <v/>
      </c>
      <c r="G97" s="61" t="str">
        <f>IF(FT!B97&lt;&gt;"",FT!B97*100,"")</f>
        <v/>
      </c>
      <c r="H97" s="61" t="str">
        <f t="shared" si="9"/>
        <v/>
      </c>
      <c r="I97" t="str">
        <f>IF(FT!B97&lt;&gt;"",FT!E97,"")</f>
        <v/>
      </c>
      <c r="J97" t="str">
        <f>IF(FT!B97&lt;&gt;"",FT!C97,"")</f>
        <v/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24434</v>
      </c>
      <c r="D98" s="61">
        <f>FH!B98*1</f>
        <v>24434</v>
      </c>
      <c r="E98">
        <f t="shared" si="11"/>
        <v>96</v>
      </c>
      <c r="F98" s="61" t="str">
        <f>IF(FT!A98&lt;&gt;"",FT!A98*10,"")</f>
        <v/>
      </c>
      <c r="G98" s="61" t="str">
        <f>IF(FT!B98&lt;&gt;"",FT!B98*100,"")</f>
        <v/>
      </c>
      <c r="H98" s="61" t="str">
        <f t="shared" si="9"/>
        <v/>
      </c>
      <c r="I98" t="str">
        <f>IF(FT!B98&lt;&gt;"",FT!E98,"")</f>
        <v/>
      </c>
      <c r="J98" t="str">
        <f>IF(FT!B98&lt;&gt;"",FT!C98,"")</f>
        <v/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 t="str">
        <f>IF(FT!A99&lt;&gt;"",FT!A99*10,"")</f>
        <v/>
      </c>
      <c r="G99" s="61" t="str">
        <f>IF(FT!B99&lt;&gt;"",FT!B99*100,"")</f>
        <v/>
      </c>
      <c r="H99" s="61" t="str">
        <f t="shared" si="9"/>
        <v/>
      </c>
      <c r="I99" t="str">
        <f>IF(FT!B99&lt;&gt;"",FT!E99,"")</f>
        <v/>
      </c>
      <c r="J99" t="str">
        <f>IF(FT!B99&lt;&gt;"",FT!C99,"")</f>
        <v/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23654</v>
      </c>
      <c r="D100" s="61">
        <f>FH!B100*1</f>
        <v>23654</v>
      </c>
      <c r="E100">
        <f t="shared" si="11"/>
        <v>98</v>
      </c>
      <c r="F100" s="61" t="str">
        <f>IF(FT!A100&lt;&gt;"",FT!A100*10,"")</f>
        <v/>
      </c>
      <c r="G100" s="61" t="str">
        <f>IF(FT!B100&lt;&gt;"",FT!B100*100,"")</f>
        <v/>
      </c>
      <c r="H100" s="61" t="str">
        <f t="shared" si="9"/>
        <v/>
      </c>
      <c r="I100" t="str">
        <f>IF(FT!B100&lt;&gt;"",FT!E100,"")</f>
        <v/>
      </c>
      <c r="J100" t="str">
        <f>IF(FT!B100&lt;&gt;"",FT!C100,"")</f>
        <v/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 t="str">
        <f>IF(FT!A101&lt;&gt;"",FT!A101*10,"")</f>
        <v/>
      </c>
      <c r="G101" s="61" t="str">
        <f>IF(FT!B101&lt;&gt;"",FT!B101*100,"")</f>
        <v/>
      </c>
      <c r="H101" s="61" t="str">
        <f t="shared" si="9"/>
        <v/>
      </c>
      <c r="I101" t="str">
        <f>IF(FT!B101&lt;&gt;"",FT!E101,"")</f>
        <v/>
      </c>
      <c r="J101" t="str">
        <f>IF(FT!B101&lt;&gt;"",FT!C101,"")</f>
        <v/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 t="str">
        <f>IF(FT!A102&lt;&gt;"",FT!A102*10,"")</f>
        <v/>
      </c>
      <c r="G102" s="61" t="str">
        <f>IF(FT!B102&lt;&gt;"",FT!B102*100,"")</f>
        <v/>
      </c>
      <c r="H102" s="61" t="str">
        <f t="shared" si="9"/>
        <v/>
      </c>
      <c r="I102" t="str">
        <f>IF(FT!B102&lt;&gt;"",FT!E102,"")</f>
        <v/>
      </c>
      <c r="J102" t="str">
        <f>IF(FT!B102&lt;&gt;"",FT!C102,"")</f>
        <v/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22918</v>
      </c>
      <c r="D103" s="61">
        <f>FH!B103*1</f>
        <v>22918</v>
      </c>
      <c r="E103">
        <f t="shared" si="11"/>
        <v>101</v>
      </c>
      <c r="F103" s="61" t="str">
        <f>IF(FT!A103&lt;&gt;"",FT!A103*10,"")</f>
        <v/>
      </c>
      <c r="G103" s="61" t="str">
        <f>IF(FT!B103&lt;&gt;"",FT!B103*100,"")</f>
        <v/>
      </c>
      <c r="H103" s="61" t="str">
        <f t="shared" si="9"/>
        <v/>
      </c>
      <c r="I103" t="str">
        <f>IF(FT!B103&lt;&gt;"",FT!E103,"")</f>
        <v/>
      </c>
      <c r="J103" t="str">
        <f>IF(FT!B103&lt;&gt;"",FT!C103,"")</f>
        <v/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 t="str">
        <f>IF(FT!A104&lt;&gt;"",FT!A104*10,"")</f>
        <v/>
      </c>
      <c r="G104" s="61" t="str">
        <f>IF(FT!B104&lt;&gt;"",FT!B104*100,"")</f>
        <v/>
      </c>
      <c r="H104" s="61" t="str">
        <f t="shared" si="9"/>
        <v/>
      </c>
      <c r="I104" t="str">
        <f>IF(FT!B104&lt;&gt;"",FT!E104,"")</f>
        <v/>
      </c>
      <c r="J104" t="str">
        <f>IF(FT!B104&lt;&gt;"",FT!C104,"")</f>
        <v/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 t="str">
        <f>IF(FT!A105&lt;&gt;"",FT!A105*10,"")</f>
        <v/>
      </c>
      <c r="G105" s="61" t="str">
        <f>IF(FT!B105&lt;&gt;"",FT!B105*100,"")</f>
        <v/>
      </c>
      <c r="H105" s="61" t="str">
        <f t="shared" si="9"/>
        <v/>
      </c>
      <c r="I105" t="str">
        <f>IF(FT!B105&lt;&gt;"",FT!E105,"")</f>
        <v/>
      </c>
      <c r="J105" t="str">
        <f>IF(FT!B105&lt;&gt;"",FT!C105,"")</f>
        <v/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20939</v>
      </c>
      <c r="D106" s="61">
        <f>FH!B106*1</f>
        <v>20939</v>
      </c>
      <c r="E106">
        <f t="shared" si="11"/>
        <v>104</v>
      </c>
      <c r="F106" s="61" t="str">
        <f>IF(FT!A106&lt;&gt;"",FT!A106*10,"")</f>
        <v/>
      </c>
      <c r="G106" s="61" t="str">
        <f>IF(FT!B106&lt;&gt;"",FT!B106*100,"")</f>
        <v/>
      </c>
      <c r="H106" s="61" t="str">
        <f t="shared" si="9"/>
        <v/>
      </c>
      <c r="I106" t="str">
        <f>IF(FT!B106&lt;&gt;"",FT!E106,"")</f>
        <v/>
      </c>
      <c r="J106" t="str">
        <f>IF(FT!B106&lt;&gt;"",FT!C106,"")</f>
        <v/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 t="str">
        <f>IF(FT!A107&lt;&gt;"",FT!A107*10,"")</f>
        <v/>
      </c>
      <c r="G107" s="61" t="str">
        <f>IF(FT!B107&lt;&gt;"",FT!B107*100,"")</f>
        <v/>
      </c>
      <c r="H107" s="61" t="str">
        <f t="shared" si="9"/>
        <v/>
      </c>
      <c r="I107" t="str">
        <f>IF(FT!B107&lt;&gt;"",FT!E107,"")</f>
        <v/>
      </c>
      <c r="J107" t="str">
        <f>IF(FT!B107&lt;&gt;"",FT!C107,"")</f>
        <v/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21607</v>
      </c>
      <c r="D108" s="61">
        <f>FH!B108*1</f>
        <v>21607</v>
      </c>
      <c r="E108">
        <f t="shared" si="11"/>
        <v>106</v>
      </c>
      <c r="F108" s="61" t="str">
        <f>IF(FT!A108&lt;&gt;"",FT!A108*10,"")</f>
        <v/>
      </c>
      <c r="G108" s="61" t="str">
        <f>IF(FT!B108&lt;&gt;"",FT!B108*100,"")</f>
        <v/>
      </c>
      <c r="H108" s="61" t="str">
        <f t="shared" si="9"/>
        <v/>
      </c>
      <c r="I108" t="str">
        <f>IF(FT!B108&lt;&gt;"",FT!E108,"")</f>
        <v/>
      </c>
      <c r="J108" t="str">
        <f>IF(FT!B108&lt;&gt;"",FT!C108,"")</f>
        <v/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 t="str">
        <f>IF(FT!A109&lt;&gt;"",FT!A109*10,"")</f>
        <v/>
      </c>
      <c r="G109" s="61" t="str">
        <f>IF(FT!B109&lt;&gt;"",FT!B109*100,"")</f>
        <v/>
      </c>
      <c r="H109" s="61" t="str">
        <f t="shared" si="9"/>
        <v/>
      </c>
      <c r="I109" t="str">
        <f>IF(FT!B109&lt;&gt;"",FT!E109,"")</f>
        <v/>
      </c>
      <c r="J109" t="str">
        <f>IF(FT!B109&lt;&gt;"",FT!C109,"")</f>
        <v/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 t="str">
        <f>IF(FT!A110&lt;&gt;"",FT!A110*10,"")</f>
        <v/>
      </c>
      <c r="G110" s="61" t="str">
        <f>IF(FT!B110&lt;&gt;"",FT!B110*100,"")</f>
        <v/>
      </c>
      <c r="H110" s="61" t="str">
        <f t="shared" si="9"/>
        <v/>
      </c>
      <c r="I110" t="str">
        <f>IF(FT!B110&lt;&gt;"",FT!E110,"")</f>
        <v/>
      </c>
      <c r="J110" t="str">
        <f>IF(FT!B110&lt;&gt;"",FT!C110,"")</f>
        <v/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22133</v>
      </c>
      <c r="D111" s="61">
        <f>FH!B111*1</f>
        <v>22133</v>
      </c>
      <c r="E111">
        <f t="shared" si="11"/>
        <v>109</v>
      </c>
      <c r="F111" s="61" t="str">
        <f>IF(FT!A111&lt;&gt;"",FT!A111*10,"")</f>
        <v/>
      </c>
      <c r="G111" s="61" t="str">
        <f>IF(FT!B111&lt;&gt;"",FT!B111*100,"")</f>
        <v/>
      </c>
      <c r="H111" s="61" t="str">
        <f t="shared" si="9"/>
        <v/>
      </c>
      <c r="I111" t="str">
        <f>IF(FT!B111&lt;&gt;"",FT!E111,"")</f>
        <v/>
      </c>
      <c r="J111" t="str">
        <f>IF(FT!B111&lt;&gt;"",FT!C111,"")</f>
        <v/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 t="str">
        <f>IF(FT!A112&lt;&gt;"",FT!A112*10,"")</f>
        <v/>
      </c>
      <c r="G112" s="61" t="str">
        <f>IF(FT!B112&lt;&gt;"",FT!B112*100,"")</f>
        <v/>
      </c>
      <c r="H112" s="61" t="str">
        <f t="shared" si="9"/>
        <v/>
      </c>
      <c r="I112" t="str">
        <f>IF(FT!B112&lt;&gt;"",FT!E112,"")</f>
        <v/>
      </c>
      <c r="J112" t="str">
        <f>IF(FT!B112&lt;&gt;"",FT!C112,"")</f>
        <v/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19748</v>
      </c>
      <c r="D113" s="61">
        <f>FH!B113*1</f>
        <v>19748</v>
      </c>
      <c r="E113">
        <f t="shared" si="11"/>
        <v>111</v>
      </c>
      <c r="F113" s="61" t="str">
        <f>IF(FT!A113&lt;&gt;"",FT!A113*10,"")</f>
        <v/>
      </c>
      <c r="G113" s="61" t="str">
        <f>IF(FT!B113&lt;&gt;"",FT!B113*100,"")</f>
        <v/>
      </c>
      <c r="H113" s="61" t="str">
        <f t="shared" si="9"/>
        <v/>
      </c>
      <c r="I113" t="str">
        <f>IF(FT!B113&lt;&gt;"",FT!E113,"")</f>
        <v/>
      </c>
      <c r="J113" t="str">
        <f>IF(FT!B113&lt;&gt;"",FT!C113,"")</f>
        <v/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 t="str">
        <f>IF(FT!A114&lt;&gt;"",FT!A114*10,"")</f>
        <v/>
      </c>
      <c r="G114" s="61" t="str">
        <f>IF(FT!B114&lt;&gt;"",FT!B114*100,"")</f>
        <v/>
      </c>
      <c r="H114" s="61" t="str">
        <f t="shared" si="9"/>
        <v/>
      </c>
      <c r="I114" t="str">
        <f>IF(FT!B114&lt;&gt;"",FT!E114,"")</f>
        <v/>
      </c>
      <c r="J114" t="str">
        <f>IF(FT!B114&lt;&gt;"",FT!C114,"")</f>
        <v/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 t="str">
        <f>IF(FT!A115&lt;&gt;"",FT!A115*10,"")</f>
        <v/>
      </c>
      <c r="G115" s="61" t="str">
        <f>IF(FT!B115&lt;&gt;"",FT!B115*100,"")</f>
        <v/>
      </c>
      <c r="H115" s="61" t="str">
        <f t="shared" si="9"/>
        <v/>
      </c>
      <c r="I115" t="str">
        <f>IF(FT!B115&lt;&gt;"",FT!E115,"")</f>
        <v/>
      </c>
      <c r="J115" t="str">
        <f>IF(FT!B115&lt;&gt;"",FT!C115,"")</f>
        <v/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18124</v>
      </c>
      <c r="D116" s="61">
        <f>FH!B116*1</f>
        <v>18124</v>
      </c>
      <c r="E116">
        <f t="shared" si="11"/>
        <v>114</v>
      </c>
      <c r="F116" s="61" t="str">
        <f>IF(FT!A116&lt;&gt;"",FT!A116*10,"")</f>
        <v/>
      </c>
      <c r="G116" s="61" t="str">
        <f>IF(FT!B116&lt;&gt;"",FT!B116*100,"")</f>
        <v/>
      </c>
      <c r="H116" s="61" t="str">
        <f t="shared" si="9"/>
        <v/>
      </c>
      <c r="I116" t="str">
        <f>IF(FT!B116&lt;&gt;"",FT!E116,"")</f>
        <v/>
      </c>
      <c r="J116" t="str">
        <f>IF(FT!B116&lt;&gt;"",FT!C116,"")</f>
        <v/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 t="str">
        <f>IF(FT!A117&lt;&gt;"",FT!A117*10,"")</f>
        <v/>
      </c>
      <c r="G117" s="61" t="str">
        <f>IF(FT!B117&lt;&gt;"",FT!B117*100,"")</f>
        <v/>
      </c>
      <c r="H117" s="61" t="str">
        <f t="shared" si="9"/>
        <v/>
      </c>
      <c r="I117" t="str">
        <f>IF(FT!B117&lt;&gt;"",FT!E117,"")</f>
        <v/>
      </c>
      <c r="J117" t="str">
        <f>IF(FT!B117&lt;&gt;"",FT!C117,"")</f>
        <v/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14588</v>
      </c>
      <c r="D118" s="61">
        <f>FH!B118*1</f>
        <v>14588</v>
      </c>
      <c r="E118">
        <f t="shared" si="11"/>
        <v>116</v>
      </c>
      <c r="F118" s="61" t="str">
        <f>IF(FT!A118&lt;&gt;"",FT!A118*10,"")</f>
        <v/>
      </c>
      <c r="G118" s="61" t="str">
        <f>IF(FT!B118&lt;&gt;"",FT!B118*100,"")</f>
        <v/>
      </c>
      <c r="H118" s="61" t="str">
        <f t="shared" si="9"/>
        <v/>
      </c>
      <c r="I118" t="str">
        <f>IF(FT!B118&lt;&gt;"",FT!E118,"")</f>
        <v/>
      </c>
      <c r="J118" t="str">
        <f>IF(FT!B118&lt;&gt;"",FT!C118,"")</f>
        <v/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 t="str">
        <f>IF(FT!A119&lt;&gt;"",FT!A119*10,"")</f>
        <v/>
      </c>
      <c r="G119" s="61" t="str">
        <f>IF(FT!B119&lt;&gt;"",FT!B119*100,"")</f>
        <v/>
      </c>
      <c r="H119" s="61" t="str">
        <f t="shared" si="9"/>
        <v/>
      </c>
      <c r="I119" t="str">
        <f>IF(FT!B119&lt;&gt;"",FT!E119,"")</f>
        <v/>
      </c>
      <c r="J119" t="str">
        <f>IF(FT!B119&lt;&gt;"",FT!C119,"")</f>
        <v/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 t="str">
        <f>IF(FT!A120&lt;&gt;"",FT!A120*10,"")</f>
        <v/>
      </c>
      <c r="G120" s="61" t="str">
        <f>IF(FT!B120&lt;&gt;"",FT!B120*100,"")</f>
        <v/>
      </c>
      <c r="H120" s="61" t="str">
        <f t="shared" si="9"/>
        <v/>
      </c>
      <c r="I120" t="str">
        <f>IF(FT!B120&lt;&gt;"",FT!E120,"")</f>
        <v/>
      </c>
      <c r="J120" t="str">
        <f>IF(FT!B120&lt;&gt;"",FT!C120,"")</f>
        <v/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17086</v>
      </c>
      <c r="D121" s="61">
        <f>FH!B121*1</f>
        <v>17086</v>
      </c>
      <c r="E121">
        <f t="shared" si="11"/>
        <v>119</v>
      </c>
      <c r="F121" s="61" t="str">
        <f>IF(FT!A121&lt;&gt;"",FT!A121*10,"")</f>
        <v/>
      </c>
      <c r="G121" s="61" t="str">
        <f>IF(FT!B121&lt;&gt;"",FT!B121*100,"")</f>
        <v/>
      </c>
      <c r="H121" s="61" t="str">
        <f t="shared" si="9"/>
        <v/>
      </c>
      <c r="I121" t="str">
        <f>IF(FT!B121&lt;&gt;"",FT!E121,"")</f>
        <v/>
      </c>
      <c r="J121" t="str">
        <f>IF(FT!B121&lt;&gt;"",FT!C121,"")</f>
        <v/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 t="str">
        <f>IF(FT!A122&lt;&gt;"",FT!A122*10,"")</f>
        <v/>
      </c>
      <c r="G122" s="61" t="str">
        <f>IF(FT!B122&lt;&gt;"",FT!B122*100,"")</f>
        <v/>
      </c>
      <c r="H122" s="61" t="str">
        <f t="shared" si="9"/>
        <v/>
      </c>
      <c r="I122" t="str">
        <f>IF(FT!B122&lt;&gt;"",FT!E122,"")</f>
        <v/>
      </c>
      <c r="J122" t="str">
        <f>IF(FT!B122&lt;&gt;"",FT!C122,"")</f>
        <v/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 t="str">
        <f>IF(FT!A123&lt;&gt;"",FT!A123*10,"")</f>
        <v/>
      </c>
      <c r="G123" s="61" t="str">
        <f>IF(FT!B123&lt;&gt;"",FT!B123*100,"")</f>
        <v/>
      </c>
      <c r="H123" s="61" t="str">
        <f t="shared" si="9"/>
        <v/>
      </c>
      <c r="I123" t="str">
        <f>IF(FT!B123&lt;&gt;"",FT!E123,"")</f>
        <v/>
      </c>
      <c r="J123" t="str">
        <f>IF(FT!B123&lt;&gt;"",FT!C123,"")</f>
        <v/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13929</v>
      </c>
      <c r="D124" s="61">
        <f>FH!B124*1</f>
        <v>13929</v>
      </c>
      <c r="E124">
        <f t="shared" si="11"/>
        <v>122</v>
      </c>
      <c r="F124" s="61" t="str">
        <f>IF(FT!A124&lt;&gt;"",FT!A124*10,"")</f>
        <v/>
      </c>
      <c r="G124" s="61" t="str">
        <f>IF(FT!B124&lt;&gt;"",FT!B124*100,"")</f>
        <v/>
      </c>
      <c r="H124" s="61" t="str">
        <f t="shared" si="9"/>
        <v/>
      </c>
      <c r="I124" t="str">
        <f>IF(FT!B124&lt;&gt;"",FT!E124,"")</f>
        <v/>
      </c>
      <c r="J124" t="str">
        <f>IF(FT!B124&lt;&gt;"",FT!C124,"")</f>
        <v/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 t="str">
        <f>IF(FT!A125&lt;&gt;"",FT!A125*10,"")</f>
        <v/>
      </c>
      <c r="G125" s="61" t="str">
        <f>IF(FT!B125&lt;&gt;"",FT!B125*100,"")</f>
        <v/>
      </c>
      <c r="H125" s="61" t="str">
        <f t="shared" si="9"/>
        <v/>
      </c>
      <c r="I125" t="str">
        <f>IF(FT!B125&lt;&gt;"",FT!E125,"")</f>
        <v/>
      </c>
      <c r="J125" t="str">
        <f>IF(FT!B125&lt;&gt;"",FT!C125,"")</f>
        <v/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12641</v>
      </c>
      <c r="D126" s="61">
        <f>FH!B126*1</f>
        <v>12641</v>
      </c>
      <c r="E126">
        <f t="shared" si="11"/>
        <v>124</v>
      </c>
      <c r="F126" s="61" t="str">
        <f>IF(FT!A126&lt;&gt;"",FT!A126*10,"")</f>
        <v/>
      </c>
      <c r="G126" s="61" t="str">
        <f>IF(FT!B126&lt;&gt;"",FT!B126*100,"")</f>
        <v/>
      </c>
      <c r="H126" s="61" t="str">
        <f t="shared" si="9"/>
        <v/>
      </c>
      <c r="I126" t="str">
        <f>IF(FT!B126&lt;&gt;"",FT!E126,"")</f>
        <v/>
      </c>
      <c r="J126" t="str">
        <f>IF(FT!B126&lt;&gt;"",FT!C126,"")</f>
        <v/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 t="str">
        <f>IF(FT!A127&lt;&gt;"",FT!A127*10,"")</f>
        <v/>
      </c>
      <c r="G127" s="61" t="str">
        <f>IF(FT!B127&lt;&gt;"",FT!B127*100,"")</f>
        <v/>
      </c>
      <c r="H127" s="61" t="str">
        <f t="shared" si="9"/>
        <v/>
      </c>
      <c r="I127" t="str">
        <f>IF(FT!B127&lt;&gt;"",FT!E127,"")</f>
        <v/>
      </c>
      <c r="J127" t="str">
        <f>IF(FT!B127&lt;&gt;"",FT!C127,"")</f>
        <v/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 t="str">
        <f>IF(FT!A128&lt;&gt;"",FT!A128*10,"")</f>
        <v/>
      </c>
      <c r="G128" s="61" t="str">
        <f>IF(FT!B128&lt;&gt;"",FT!B128*100,"")</f>
        <v/>
      </c>
      <c r="H128" s="61" t="str">
        <f t="shared" si="9"/>
        <v/>
      </c>
      <c r="I128" t="str">
        <f>IF(FT!B128&lt;&gt;"",FT!E128,"")</f>
        <v/>
      </c>
      <c r="J128" t="str">
        <f>IF(FT!B128&lt;&gt;"",FT!C128,"")</f>
        <v/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11366</v>
      </c>
      <c r="D129" s="61">
        <f>FH!B129*1</f>
        <v>11366</v>
      </c>
      <c r="E129">
        <f t="shared" si="11"/>
        <v>127</v>
      </c>
      <c r="F129" s="61" t="str">
        <f>IF(FT!A129&lt;&gt;"",FT!A129*10,"")</f>
        <v/>
      </c>
      <c r="G129" s="61" t="str">
        <f>IF(FT!B129&lt;&gt;"",FT!B129*100,"")</f>
        <v/>
      </c>
      <c r="H129" s="61" t="str">
        <f t="shared" si="9"/>
        <v/>
      </c>
      <c r="I129" t="str">
        <f>IF(FT!B129&lt;&gt;"",FT!E129,"")</f>
        <v/>
      </c>
      <c r="J129" t="str">
        <f>IF(FT!B129&lt;&gt;"",FT!C129,"")</f>
        <v/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 t="str">
        <f>IF(FT!A130&lt;&gt;"",FT!A130*10,"")</f>
        <v/>
      </c>
      <c r="G130" s="61" t="str">
        <f>IF(FT!B130&lt;&gt;"",FT!B130*100,"")</f>
        <v/>
      </c>
      <c r="H130" s="61" t="str">
        <f t="shared" si="9"/>
        <v/>
      </c>
      <c r="I130" t="str">
        <f>IF(FT!B130&lt;&gt;"",FT!E130,"")</f>
        <v/>
      </c>
      <c r="J130" t="str">
        <f>IF(FT!B130&lt;&gt;"",FT!C130,"")</f>
        <v/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9490</v>
      </c>
      <c r="D131" s="61">
        <f>FH!B131*1</f>
        <v>9490</v>
      </c>
      <c r="E131">
        <f t="shared" si="11"/>
        <v>129</v>
      </c>
      <c r="F131" s="61" t="str">
        <f>IF(FT!A131&lt;&gt;"",FT!A131*10,"")</f>
        <v/>
      </c>
      <c r="G131" s="61" t="str">
        <f>IF(FT!B131&lt;&gt;"",FT!B131*100,"")</f>
        <v/>
      </c>
      <c r="H131" s="61" t="str">
        <f t="shared" ref="H131:H194" si="13">(IF(F131&lt;&gt;"",1,""))</f>
        <v/>
      </c>
      <c r="I131" t="str">
        <f>IF(FT!B131&lt;&gt;"",FT!E131,"")</f>
        <v/>
      </c>
      <c r="J131" t="str">
        <f>IF(FT!B131&lt;&gt;"",FT!C131,"")</f>
        <v/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 t="str">
        <f>IF(FT!A132&lt;&gt;"",FT!A132*10,"")</f>
        <v/>
      </c>
      <c r="G132" s="61" t="str">
        <f>IF(FT!B132&lt;&gt;"",FT!B132*100,"")</f>
        <v/>
      </c>
      <c r="H132" s="61" t="str">
        <f t="shared" si="13"/>
        <v/>
      </c>
      <c r="I132" t="str">
        <f>IF(FT!B132&lt;&gt;"",FT!E132,"")</f>
        <v/>
      </c>
      <c r="J132" t="str">
        <f>IF(FT!B132&lt;&gt;"",FT!C132,"")</f>
        <v/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 t="str">
        <f>IF(FT!A133&lt;&gt;"",FT!A133*10,"")</f>
        <v/>
      </c>
      <c r="G133" s="61" t="str">
        <f>IF(FT!B133&lt;&gt;"",FT!B133*100,"")</f>
        <v/>
      </c>
      <c r="H133" s="61" t="str">
        <f t="shared" si="13"/>
        <v/>
      </c>
      <c r="I133" t="str">
        <f>IF(FT!B133&lt;&gt;"",FT!E133,"")</f>
        <v/>
      </c>
      <c r="J133" t="str">
        <f>IF(FT!B133&lt;&gt;"",FT!C133,"")</f>
        <v/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6279</v>
      </c>
      <c r="D134" s="61">
        <f>FH!B134*1</f>
        <v>6279</v>
      </c>
      <c r="E134">
        <f t="shared" si="15"/>
        <v>132</v>
      </c>
      <c r="F134" s="61" t="str">
        <f>IF(FT!A134&lt;&gt;"",FT!A134*10,"")</f>
        <v/>
      </c>
      <c r="G134" s="61" t="str">
        <f>IF(FT!B134&lt;&gt;"",FT!B134*100,"")</f>
        <v/>
      </c>
      <c r="H134" s="61" t="str">
        <f t="shared" si="13"/>
        <v/>
      </c>
      <c r="I134" t="str">
        <f>IF(FT!B134&lt;&gt;"",FT!E134,"")</f>
        <v/>
      </c>
      <c r="J134" t="str">
        <f>IF(FT!B134&lt;&gt;"",FT!C134,"")</f>
        <v/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 t="str">
        <f>IF(FT!A135&lt;&gt;"",FT!A135*10,"")</f>
        <v/>
      </c>
      <c r="G135" s="61" t="str">
        <f>IF(FT!B135&lt;&gt;"",FT!B135*100,"")</f>
        <v/>
      </c>
      <c r="H135" s="61" t="str">
        <f t="shared" si="13"/>
        <v/>
      </c>
      <c r="I135" t="str">
        <f>IF(FT!B135&lt;&gt;"",FT!E135,"")</f>
        <v/>
      </c>
      <c r="J135" t="str">
        <f>IF(FT!B135&lt;&gt;"",FT!C135,"")</f>
        <v/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4599</v>
      </c>
      <c r="D136" s="61">
        <f>FH!B136*1</f>
        <v>4599</v>
      </c>
      <c r="E136">
        <f t="shared" si="15"/>
        <v>134</v>
      </c>
      <c r="F136" s="61" t="str">
        <f>IF(FT!A136&lt;&gt;"",FT!A136*10,"")</f>
        <v/>
      </c>
      <c r="G136" s="61" t="str">
        <f>IF(FT!B136&lt;&gt;"",FT!B136*100,"")</f>
        <v/>
      </c>
      <c r="H136" s="61" t="str">
        <f t="shared" si="13"/>
        <v/>
      </c>
      <c r="I136" t="str">
        <f>IF(FT!B136&lt;&gt;"",FT!E136,"")</f>
        <v/>
      </c>
      <c r="J136" t="str">
        <f>IF(FT!B136&lt;&gt;"",FT!C136,"")</f>
        <v/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 t="str">
        <f>IF(FT!A137&lt;&gt;"",FT!A137*10,"")</f>
        <v/>
      </c>
      <c r="G137" s="61" t="str">
        <f>IF(FT!B137&lt;&gt;"",FT!B137*100,"")</f>
        <v/>
      </c>
      <c r="H137" s="61" t="str">
        <f t="shared" si="13"/>
        <v/>
      </c>
      <c r="I137" t="str">
        <f>IF(FT!B137&lt;&gt;"",FT!E137,"")</f>
        <v/>
      </c>
      <c r="J137" t="str">
        <f>IF(FT!B137&lt;&gt;"",FT!C137,"")</f>
        <v/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 t="str">
        <f>IF(FT!A138&lt;&gt;"",FT!A138*10,"")</f>
        <v/>
      </c>
      <c r="G138" s="61" t="str">
        <f>IF(FT!B138&lt;&gt;"",FT!B138*100,"")</f>
        <v/>
      </c>
      <c r="H138" s="61" t="str">
        <f t="shared" si="13"/>
        <v/>
      </c>
      <c r="I138" t="str">
        <f>IF(FT!B138&lt;&gt;"",FT!E138,"")</f>
        <v/>
      </c>
      <c r="J138" t="str">
        <f>IF(FT!B138&lt;&gt;"",FT!C138,"")</f>
        <v/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4024</v>
      </c>
      <c r="D139" s="61">
        <f>FH!B139*1</f>
        <v>4024</v>
      </c>
      <c r="E139">
        <f t="shared" si="15"/>
        <v>137</v>
      </c>
      <c r="F139" s="61" t="str">
        <f>IF(FT!A139&lt;&gt;"",FT!A139*10,"")</f>
        <v/>
      </c>
      <c r="G139" s="61" t="str">
        <f>IF(FT!B139&lt;&gt;"",FT!B139*100,"")</f>
        <v/>
      </c>
      <c r="H139" s="61" t="str">
        <f t="shared" si="13"/>
        <v/>
      </c>
      <c r="I139" t="str">
        <f>IF(FT!B139&lt;&gt;"",FT!E139,"")</f>
        <v/>
      </c>
      <c r="J139" t="str">
        <f>IF(FT!B139&lt;&gt;"",FT!C139,"")</f>
        <v/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 t="str">
        <f>IF(FT!A140&lt;&gt;"",FT!A140*10,"")</f>
        <v/>
      </c>
      <c r="G140" s="61" t="str">
        <f>IF(FT!B140&lt;&gt;"",FT!B140*100,"")</f>
        <v/>
      </c>
      <c r="H140" s="61" t="str">
        <f t="shared" si="13"/>
        <v/>
      </c>
      <c r="I140" t="str">
        <f>IF(FT!B140&lt;&gt;"",FT!E140,"")</f>
        <v/>
      </c>
      <c r="J140" t="str">
        <f>IF(FT!B140&lt;&gt;"",FT!C140,"")</f>
        <v/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 t="str">
        <f>IF(FT!A141&lt;&gt;"",FT!A141*10,"")</f>
        <v/>
      </c>
      <c r="G141" s="61" t="str">
        <f>IF(FT!B141&lt;&gt;"",FT!B141*100,"")</f>
        <v/>
      </c>
      <c r="H141" s="61" t="str">
        <f t="shared" si="13"/>
        <v/>
      </c>
      <c r="I141" t="str">
        <f>IF(FT!B141&lt;&gt;"",FT!E141,"")</f>
        <v/>
      </c>
      <c r="J141" t="str">
        <f>IF(FT!B141&lt;&gt;"",FT!C141,"")</f>
        <v/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2972</v>
      </c>
      <c r="D142" s="61">
        <f>FH!B142*1</f>
        <v>2972</v>
      </c>
      <c r="E142">
        <f t="shared" si="15"/>
        <v>140</v>
      </c>
      <c r="F142" s="61" t="str">
        <f>IF(FT!A142&lt;&gt;"",FT!A142*10,"")</f>
        <v/>
      </c>
      <c r="G142" s="61" t="str">
        <f>IF(FT!B142&lt;&gt;"",FT!B142*100,"")</f>
        <v/>
      </c>
      <c r="H142" s="61" t="str">
        <f t="shared" si="13"/>
        <v/>
      </c>
      <c r="I142" t="str">
        <f>IF(FT!B142&lt;&gt;"",FT!E142,"")</f>
        <v/>
      </c>
      <c r="J142" t="str">
        <f>IF(FT!B142&lt;&gt;"",FT!C142,"")</f>
        <v/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 t="str">
        <f>IF(FT!A143&lt;&gt;"",FT!A143*10,"")</f>
        <v/>
      </c>
      <c r="G143" s="61" t="str">
        <f>IF(FT!B143&lt;&gt;"",FT!B143*100,"")</f>
        <v/>
      </c>
      <c r="H143" s="61" t="str">
        <f t="shared" si="13"/>
        <v/>
      </c>
      <c r="I143" t="str">
        <f>IF(FT!B143&lt;&gt;"",FT!E143,"")</f>
        <v/>
      </c>
      <c r="J143" t="str">
        <f>IF(FT!B143&lt;&gt;"",FT!C143,"")</f>
        <v/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1921</v>
      </c>
      <c r="D144" s="61">
        <f>FH!B144*1</f>
        <v>1921</v>
      </c>
      <c r="E144">
        <f t="shared" si="15"/>
        <v>142</v>
      </c>
      <c r="F144" s="61" t="str">
        <f>IF(FT!A144&lt;&gt;"",FT!A144*10,"")</f>
        <v/>
      </c>
      <c r="G144" s="61" t="str">
        <f>IF(FT!B144&lt;&gt;"",FT!B144*100,"")</f>
        <v/>
      </c>
      <c r="H144" s="61" t="str">
        <f t="shared" si="13"/>
        <v/>
      </c>
      <c r="I144" t="str">
        <f>IF(FT!B144&lt;&gt;"",FT!E144,"")</f>
        <v/>
      </c>
      <c r="J144" t="str">
        <f>IF(FT!B144&lt;&gt;"",FT!C144,"")</f>
        <v/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 t="str">
        <f>IF(FT!A145&lt;&gt;"",FT!A145*10,"")</f>
        <v/>
      </c>
      <c r="G145" s="61" t="str">
        <f>IF(FT!B145&lt;&gt;"",FT!B145*100,"")</f>
        <v/>
      </c>
      <c r="H145" s="61" t="str">
        <f t="shared" si="13"/>
        <v/>
      </c>
      <c r="I145" t="str">
        <f>IF(FT!B145&lt;&gt;"",FT!E145,"")</f>
        <v/>
      </c>
      <c r="J145" t="str">
        <f>IF(FT!B145&lt;&gt;"",FT!C145,"")</f>
        <v/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 t="str">
        <f>IF(FT!A146&lt;&gt;"",FT!A146*10,"")</f>
        <v/>
      </c>
      <c r="G146" s="61" t="str">
        <f>IF(FT!B146&lt;&gt;"",FT!B146*100,"")</f>
        <v/>
      </c>
      <c r="H146" s="61" t="str">
        <f t="shared" si="13"/>
        <v/>
      </c>
      <c r="I146" t="str">
        <f>IF(FT!B146&lt;&gt;"",FT!E146,"")</f>
        <v/>
      </c>
      <c r="J146" t="str">
        <f>IF(FT!B146&lt;&gt;"",FT!C146,"")</f>
        <v/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1833</v>
      </c>
      <c r="D147" s="61">
        <f>FH!B147*1</f>
        <v>1833</v>
      </c>
      <c r="E147">
        <f t="shared" si="15"/>
        <v>145</v>
      </c>
      <c r="F147" s="61" t="str">
        <f>IF(FT!A147&lt;&gt;"",FT!A147*10,"")</f>
        <v/>
      </c>
      <c r="G147" s="61" t="str">
        <f>IF(FT!B147&lt;&gt;"",FT!B147*100,"")</f>
        <v/>
      </c>
      <c r="H147" s="61" t="str">
        <f t="shared" si="13"/>
        <v/>
      </c>
      <c r="I147" t="str">
        <f>IF(FT!B147&lt;&gt;"",FT!E147,"")</f>
        <v/>
      </c>
      <c r="J147" t="str">
        <f>IF(FT!B147&lt;&gt;"",FT!C147,"")</f>
        <v/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 t="str">
        <f>IF(FT!A148&lt;&gt;"",FT!A148*10,"")</f>
        <v/>
      </c>
      <c r="G148" s="61" t="str">
        <f>IF(FT!B148&lt;&gt;"",FT!B148*100,"")</f>
        <v/>
      </c>
      <c r="H148" s="61" t="str">
        <f t="shared" si="13"/>
        <v/>
      </c>
      <c r="I148" t="str">
        <f>IF(FT!B148&lt;&gt;"",FT!E148,"")</f>
        <v/>
      </c>
      <c r="J148" t="str">
        <f>IF(FT!B148&lt;&gt;"",FT!C148,"")</f>
        <v/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751</v>
      </c>
      <c r="D149" s="61">
        <f>FH!B149*1</f>
        <v>751</v>
      </c>
      <c r="E149">
        <f t="shared" si="15"/>
        <v>147</v>
      </c>
      <c r="F149" s="61" t="str">
        <f>IF(FT!A149&lt;&gt;"",FT!A149*10,"")</f>
        <v/>
      </c>
      <c r="G149" s="61" t="str">
        <f>IF(FT!B149&lt;&gt;"",FT!B149*100,"")</f>
        <v/>
      </c>
      <c r="H149" s="61" t="str">
        <f t="shared" si="13"/>
        <v/>
      </c>
      <c r="I149" t="str">
        <f>IF(FT!B149&lt;&gt;"",FT!E149,"")</f>
        <v/>
      </c>
      <c r="J149" t="str">
        <f>IF(FT!B149&lt;&gt;"",FT!C149,"")</f>
        <v/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1143</v>
      </c>
      <c r="D152" s="61">
        <f>FH!B152*1</f>
        <v>1143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633</v>
      </c>
      <c r="D154" s="61">
        <f>FH!B154*1</f>
        <v>633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103</v>
      </c>
      <c r="D157" s="61">
        <f>FH!B157*1</f>
        <v>103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61</v>
      </c>
      <c r="D160" s="61">
        <f>FH!B160*1</f>
        <v>61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106</v>
      </c>
      <c r="D162" s="61">
        <f>FH!B162*1</f>
        <v>106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63</v>
      </c>
      <c r="D165" s="61">
        <f>FH!B165*1</f>
        <v>63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188</v>
      </c>
      <c r="D167" s="61">
        <f>FH!B167*1</f>
        <v>188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381</v>
      </c>
      <c r="D170" s="61">
        <f>FH!B170*1</f>
        <v>381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254</v>
      </c>
      <c r="D173" s="61">
        <f>FH!B173*1</f>
        <v>254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46</v>
      </c>
      <c r="D175" s="61">
        <f>FH!B175*1</f>
        <v>46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33.856900000000003</v>
      </c>
      <c r="C5" s="66">
        <v>8.15977</v>
      </c>
      <c r="D5" s="66">
        <v>24.1008</v>
      </c>
      <c r="E5" s="66">
        <v>20</v>
      </c>
      <c r="F5" s="66">
        <v>11.491</v>
      </c>
      <c r="G5" s="66">
        <v>50</v>
      </c>
      <c r="H5" s="66">
        <v>41.095700000000001</v>
      </c>
    </row>
    <row r="6" spans="1:8">
      <c r="A6" s="58" t="s">
        <v>303</v>
      </c>
      <c r="B6" s="66">
        <v>37.189900000000002</v>
      </c>
      <c r="C6" s="66">
        <v>0.82071099999999997</v>
      </c>
      <c r="D6" s="66">
        <v>2.2068099999999999</v>
      </c>
      <c r="E6" s="66">
        <v>20</v>
      </c>
      <c r="F6" s="66">
        <v>35.813200000000002</v>
      </c>
      <c r="G6" s="66">
        <v>40</v>
      </c>
      <c r="H6" s="66">
        <v>39.087400000000002</v>
      </c>
    </row>
    <row r="7" spans="1:8">
      <c r="A7" s="58" t="s">
        <v>304</v>
      </c>
      <c r="B7" s="66">
        <v>35.0077</v>
      </c>
      <c r="C7" s="66">
        <v>4.3907499999999997</v>
      </c>
      <c r="D7" s="66">
        <v>12.542199999999999</v>
      </c>
      <c r="E7" s="66">
        <v>15</v>
      </c>
      <c r="F7" s="66">
        <v>25.503499999999999</v>
      </c>
      <c r="G7" s="66">
        <v>40</v>
      </c>
      <c r="H7" s="66">
        <v>47.526200000000003</v>
      </c>
    </row>
    <row r="8" spans="1:8">
      <c r="A8" s="58" t="s">
        <v>305</v>
      </c>
      <c r="B8" s="66">
        <v>33.118400000000001</v>
      </c>
      <c r="C8" s="66">
        <v>2.7559</v>
      </c>
      <c r="D8" s="66">
        <v>8.3213699999999999</v>
      </c>
      <c r="E8" s="66">
        <v>20</v>
      </c>
      <c r="F8" s="66">
        <v>25.7926</v>
      </c>
      <c r="G8" s="66">
        <v>50</v>
      </c>
      <c r="H8" s="66">
        <v>37.744199999999999</v>
      </c>
    </row>
    <row r="9" spans="1:8">
      <c r="A9" s="58" t="s">
        <v>306</v>
      </c>
      <c r="B9" s="66">
        <v>70.972200000000001</v>
      </c>
      <c r="C9" s="66">
        <v>4.0958899999999998</v>
      </c>
      <c r="D9" s="66">
        <v>5.7711100000000002</v>
      </c>
      <c r="E9" s="66">
        <v>50</v>
      </c>
      <c r="F9" s="66">
        <v>60.621200000000002</v>
      </c>
      <c r="G9" s="66">
        <v>100</v>
      </c>
      <c r="H9" s="66">
        <v>77.823300000000003</v>
      </c>
    </row>
    <row r="10" spans="1:8">
      <c r="A10" s="58" t="s">
        <v>307</v>
      </c>
      <c r="B10" s="66">
        <v>68.327699999999993</v>
      </c>
      <c r="C10" s="66">
        <v>7.1688400000000003</v>
      </c>
      <c r="D10" s="66">
        <v>10.491899999999999</v>
      </c>
      <c r="E10" s="66">
        <v>40</v>
      </c>
      <c r="F10" s="66">
        <v>50.135399999999997</v>
      </c>
      <c r="G10" s="66">
        <v>100</v>
      </c>
      <c r="H10" s="66">
        <v>73.630300000000005</v>
      </c>
    </row>
    <row r="11" spans="1:8">
      <c r="A11" s="58" t="s">
        <v>308</v>
      </c>
      <c r="B11" s="66">
        <v>14.716200000000001</v>
      </c>
      <c r="C11" s="66">
        <v>3.8833500000000001</v>
      </c>
      <c r="D11" s="66">
        <v>26.388200000000001</v>
      </c>
      <c r="E11" s="66">
        <v>10</v>
      </c>
      <c r="F11" s="66">
        <v>5.3439300000000003</v>
      </c>
      <c r="G11" s="66">
        <v>50</v>
      </c>
      <c r="H11" s="66">
        <v>18.384899999999998</v>
      </c>
    </row>
    <row r="12" spans="1:8">
      <c r="A12" s="58" t="s">
        <v>309</v>
      </c>
      <c r="B12" s="66">
        <v>68.056399999999996</v>
      </c>
      <c r="C12" s="66">
        <v>3.5318000000000001</v>
      </c>
      <c r="D12" s="66">
        <v>5.1895199999999999</v>
      </c>
      <c r="E12" s="66">
        <v>50</v>
      </c>
      <c r="F12" s="66">
        <v>58.598199999999999</v>
      </c>
      <c r="G12" s="66">
        <v>100</v>
      </c>
      <c r="H12" s="66">
        <v>74.769300000000001</v>
      </c>
    </row>
    <row r="13" spans="1:8">
      <c r="A13" s="58" t="s">
        <v>310</v>
      </c>
      <c r="B13" s="66">
        <v>13.24</v>
      </c>
      <c r="C13" s="66">
        <v>1.0569500000000001</v>
      </c>
      <c r="D13" s="66">
        <v>7.98299</v>
      </c>
      <c r="E13" s="66">
        <v>10</v>
      </c>
      <c r="F13" s="66">
        <v>11.006600000000001</v>
      </c>
      <c r="G13" s="66">
        <v>25</v>
      </c>
      <c r="H13" s="66">
        <v>15.653700000000001</v>
      </c>
    </row>
    <row r="14" spans="1:8">
      <c r="A14" s="58" t="s">
        <v>311</v>
      </c>
      <c r="B14" s="66">
        <v>10.5695</v>
      </c>
      <c r="C14" s="66">
        <v>2.97959</v>
      </c>
      <c r="D14" s="66">
        <v>28.1905</v>
      </c>
      <c r="E14" s="66">
        <v>10</v>
      </c>
      <c r="F14" s="66">
        <v>1.4646999999999999</v>
      </c>
      <c r="G14" s="66">
        <v>50</v>
      </c>
      <c r="H14" s="66">
        <v>15.4049</v>
      </c>
    </row>
    <row r="15" spans="1:8">
      <c r="A15" s="58" t="s">
        <v>312</v>
      </c>
      <c r="B15" s="66">
        <v>5.1841199999999997E-2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6.6287299999999993E-2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13.118499999999999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0.62803299999999995</v>
      </c>
      <c r="C18" s="66">
        <v>3.22116E-2</v>
      </c>
      <c r="D18" s="66">
        <v>5.1289599999999998E-2</v>
      </c>
      <c r="E18" s="66">
        <v>0</v>
      </c>
      <c r="F18" s="66">
        <v>0.59582199999999996</v>
      </c>
      <c r="G18" s="66">
        <v>0</v>
      </c>
      <c r="H18" s="66">
        <v>0.66024499999999997</v>
      </c>
    </row>
    <row r="19" spans="1:8">
      <c r="A19" s="58" t="s">
        <v>316</v>
      </c>
      <c r="B19" s="66">
        <v>0.77549400000000002</v>
      </c>
      <c r="C19" s="66">
        <v>3.3329400000000002E-2</v>
      </c>
      <c r="D19" s="66">
        <v>4.2978299999999997E-2</v>
      </c>
      <c r="E19" s="66">
        <v>0</v>
      </c>
      <c r="F19" s="66">
        <v>0.74216499999999996</v>
      </c>
      <c r="G19" s="66">
        <v>0</v>
      </c>
      <c r="H19" s="66">
        <v>0.80882399999999999</v>
      </c>
    </row>
    <row r="20" spans="1:8">
      <c r="A20" s="58" t="s">
        <v>317</v>
      </c>
      <c r="B20" s="66">
        <v>1.28126E-2</v>
      </c>
      <c r="C20" s="66">
        <v>3.1007399999999998E-3</v>
      </c>
      <c r="D20" s="66">
        <v>0.242007</v>
      </c>
      <c r="E20" s="66">
        <v>0</v>
      </c>
      <c r="F20" s="66">
        <v>9.0449299999999996E-3</v>
      </c>
      <c r="G20" s="66">
        <v>0</v>
      </c>
      <c r="H20" s="66">
        <v>5.04953E-2</v>
      </c>
    </row>
    <row r="21" spans="1:8">
      <c r="A21" s="58" t="s">
        <v>318</v>
      </c>
      <c r="B21" s="66">
        <v>4.9193000000000001E-2</v>
      </c>
      <c r="C21" s="66">
        <v>4.0060100000000001E-2</v>
      </c>
      <c r="D21" s="66">
        <v>0.81434499999999999</v>
      </c>
      <c r="E21" s="66">
        <v>0</v>
      </c>
      <c r="F21" s="66">
        <v>1.2356000000000001E-2</v>
      </c>
      <c r="G21" s="66">
        <v>0</v>
      </c>
      <c r="H21" s="66">
        <v>0.18720700000000001</v>
      </c>
    </row>
    <row r="22" spans="1:8">
      <c r="A22" s="58" t="s">
        <v>319</v>
      </c>
      <c r="B22" s="66">
        <v>18.591799999999999</v>
      </c>
      <c r="C22" s="66">
        <v>4.1837200000000001</v>
      </c>
      <c r="D22" s="66">
        <v>0.22503000000000001</v>
      </c>
      <c r="E22" s="66">
        <v>0</v>
      </c>
      <c r="F22" s="66">
        <v>13.7912</v>
      </c>
      <c r="G22" s="66">
        <v>0</v>
      </c>
      <c r="H22" s="66">
        <v>32.274299999999997</v>
      </c>
    </row>
    <row r="23" spans="1:8">
      <c r="A23" s="58" t="s">
        <v>320</v>
      </c>
      <c r="B23" s="66">
        <v>9.1988000000000003</v>
      </c>
      <c r="C23" s="66">
        <v>1.18031</v>
      </c>
      <c r="D23" s="66">
        <v>0.12831100000000001</v>
      </c>
      <c r="E23" s="66">
        <v>0</v>
      </c>
      <c r="F23" s="66">
        <v>5.7899500000000002</v>
      </c>
      <c r="G23" s="66">
        <v>0</v>
      </c>
      <c r="H23" s="66">
        <v>9.5793099999999995</v>
      </c>
    </row>
    <row r="24" spans="1:8">
      <c r="A24" s="58" t="s">
        <v>321</v>
      </c>
      <c r="B24" s="66">
        <v>1.29024E-2</v>
      </c>
      <c r="C24" s="66">
        <v>1.7987700000000001E-3</v>
      </c>
      <c r="D24" s="66">
        <v>0.13941300000000001</v>
      </c>
      <c r="E24" s="66">
        <v>0</v>
      </c>
      <c r="F24" s="66">
        <v>1.1417200000000001E-2</v>
      </c>
      <c r="G24" s="66">
        <v>0</v>
      </c>
      <c r="H24" s="66">
        <v>2.6757699999999999E-2</v>
      </c>
    </row>
    <row r="25" spans="1:8">
      <c r="A25" s="58" t="s">
        <v>322</v>
      </c>
      <c r="B25" s="66">
        <v>5.5405200000000002E-2</v>
      </c>
      <c r="C25" s="66">
        <v>1.59878E-2</v>
      </c>
      <c r="D25" s="66">
        <v>0.28856100000000001</v>
      </c>
      <c r="E25" s="66">
        <v>0</v>
      </c>
      <c r="F25" s="66">
        <v>1.9471599999999999E-2</v>
      </c>
      <c r="G25" s="66">
        <v>0</v>
      </c>
      <c r="H25" s="66">
        <v>8.8633500000000004E-2</v>
      </c>
    </row>
    <row r="26" spans="1:8">
      <c r="A26" s="58" t="s">
        <v>323</v>
      </c>
      <c r="B26" s="66">
        <v>2.3732900000000001E-3</v>
      </c>
      <c r="C26" s="66">
        <v>4.5190699999999998E-4</v>
      </c>
      <c r="D26" s="66">
        <v>0.190413</v>
      </c>
      <c r="E26" s="66">
        <v>0</v>
      </c>
      <c r="F26" s="66">
        <v>1.7003700000000001E-3</v>
      </c>
      <c r="G26" s="66">
        <v>0</v>
      </c>
      <c r="H26" s="66">
        <v>6.3648899999999998E-3</v>
      </c>
    </row>
    <row r="27" spans="1:8">
      <c r="A27" s="58" t="s">
        <v>324</v>
      </c>
      <c r="B27" s="196">
        <v>-6.5651299999999996E-6</v>
      </c>
      <c r="C27" s="66">
        <v>4.1032500000000001E-4</v>
      </c>
      <c r="D27" s="66">
        <v>-62.500599999999999</v>
      </c>
      <c r="E27" s="66">
        <v>0</v>
      </c>
      <c r="F27" s="66">
        <v>-2.3338999999999999E-3</v>
      </c>
      <c r="G27" s="66">
        <v>0</v>
      </c>
      <c r="H27" s="66">
        <v>2.3732900000000001E-3</v>
      </c>
    </row>
    <row r="28" spans="1:8">
      <c r="A28" s="58" t="s">
        <v>325</v>
      </c>
      <c r="B28" s="66">
        <v>1.1134399999999999E-2</v>
      </c>
      <c r="C28" s="66">
        <v>7.3816799999999998E-3</v>
      </c>
      <c r="D28" s="66">
        <v>0.66295999999999999</v>
      </c>
      <c r="E28" s="66">
        <v>0</v>
      </c>
      <c r="F28" s="66">
        <v>2.3046899999999999E-3</v>
      </c>
      <c r="G28" s="66">
        <v>0</v>
      </c>
      <c r="H28" s="66">
        <v>2.9557300000000002E-2</v>
      </c>
    </row>
    <row r="29" spans="1:8">
      <c r="A29" s="58" t="s">
        <v>326</v>
      </c>
      <c r="B29" s="66">
        <v>56.825699999999998</v>
      </c>
      <c r="C29" s="66">
        <v>8.1470699999999994</v>
      </c>
      <c r="D29" s="66">
        <v>0.143369</v>
      </c>
      <c r="E29" s="66">
        <v>0</v>
      </c>
      <c r="F29" s="66">
        <v>43.309199999999997</v>
      </c>
      <c r="G29" s="66">
        <v>0</v>
      </c>
      <c r="H29" s="66">
        <v>78.973100000000002</v>
      </c>
    </row>
    <row r="30" spans="1:8">
      <c r="A30" s="58" t="s">
        <v>327</v>
      </c>
      <c r="B30" s="66">
        <v>17.523</v>
      </c>
      <c r="C30" s="66">
        <v>2.6448399999999999</v>
      </c>
      <c r="D30" s="66">
        <v>0.15093599999999999</v>
      </c>
      <c r="E30" s="66">
        <v>0</v>
      </c>
      <c r="F30" s="66">
        <v>9.5983999999999998</v>
      </c>
      <c r="G30" s="66">
        <v>0</v>
      </c>
      <c r="H30" s="66">
        <v>18.532699999999998</v>
      </c>
    </row>
    <row r="31" spans="1:8">
      <c r="A31" s="58" t="s">
        <v>328</v>
      </c>
      <c r="B31" s="66">
        <v>99.127399999999994</v>
      </c>
      <c r="C31" s="66">
        <v>24.413799999999998</v>
      </c>
      <c r="D31" s="66">
        <v>0.24628700000000001</v>
      </c>
      <c r="E31" s="66">
        <v>0</v>
      </c>
      <c r="F31" s="66">
        <v>30.862300000000001</v>
      </c>
      <c r="G31" s="66">
        <v>0</v>
      </c>
      <c r="H31" s="66">
        <v>116.961</v>
      </c>
    </row>
    <row r="32" spans="1:8">
      <c r="A32" s="58" t="s">
        <v>329</v>
      </c>
      <c r="B32" s="66">
        <v>0.35007700000000003</v>
      </c>
      <c r="C32" s="66">
        <v>4.3907500000000002E-2</v>
      </c>
      <c r="D32" s="66">
        <v>0.12542200000000001</v>
      </c>
      <c r="E32" s="66">
        <v>0.15</v>
      </c>
      <c r="F32" s="66">
        <v>0.25503500000000001</v>
      </c>
      <c r="G32" s="66">
        <v>0.4</v>
      </c>
      <c r="H32" s="66">
        <v>0.47526200000000002</v>
      </c>
    </row>
    <row r="33" spans="1:8">
      <c r="A33" s="58" t="s">
        <v>330</v>
      </c>
      <c r="B33" s="66">
        <v>0.27962300000000001</v>
      </c>
      <c r="C33" s="66">
        <v>4.0276899999999997E-2</v>
      </c>
      <c r="D33" s="66">
        <v>0.14404</v>
      </c>
      <c r="E33" s="66">
        <v>0</v>
      </c>
      <c r="F33" s="66">
        <v>0.21019399999999999</v>
      </c>
      <c r="G33" s="66">
        <v>0</v>
      </c>
      <c r="H33" s="66">
        <v>0.346777</v>
      </c>
    </row>
    <row r="34" spans="1:8">
      <c r="A34" s="58" t="s">
        <v>331</v>
      </c>
      <c r="B34" s="66">
        <v>0.13239999999999999</v>
      </c>
      <c r="C34" s="66">
        <v>1.0569500000000001E-2</v>
      </c>
      <c r="D34" s="66">
        <v>7.9829899999999995E-2</v>
      </c>
      <c r="E34" s="66">
        <v>0.1</v>
      </c>
      <c r="F34" s="66">
        <v>0.110066</v>
      </c>
      <c r="G34" s="66">
        <v>0.25</v>
      </c>
      <c r="H34" s="66">
        <v>0.15653700000000001</v>
      </c>
    </row>
    <row r="35" spans="1:8">
      <c r="A35" s="58" t="s">
        <v>332</v>
      </c>
      <c r="B35" s="66">
        <v>5.1736600000000001E-2</v>
      </c>
      <c r="C35" s="66">
        <v>1.30496E-2</v>
      </c>
      <c r="D35" s="66">
        <v>0.25223200000000001</v>
      </c>
      <c r="E35" s="66">
        <v>0</v>
      </c>
      <c r="F35" s="66">
        <v>3.4859899999999999E-2</v>
      </c>
      <c r="G35" s="66">
        <v>0</v>
      </c>
      <c r="H35" s="66">
        <v>0.105605</v>
      </c>
    </row>
    <row r="36" spans="1:8">
      <c r="A36" s="58" t="s">
        <v>333</v>
      </c>
      <c r="B36" s="66">
        <v>0.12389699999999999</v>
      </c>
      <c r="C36" s="66">
        <v>5.7007299999999997E-2</v>
      </c>
      <c r="D36" s="66">
        <v>0.46011800000000003</v>
      </c>
      <c r="E36" s="66">
        <v>0</v>
      </c>
      <c r="F36" s="66">
        <v>3.3232699999999997E-2</v>
      </c>
      <c r="G36" s="66">
        <v>0</v>
      </c>
      <c r="H36" s="66">
        <v>0.41994399999999998</v>
      </c>
    </row>
    <row r="37" spans="1:8">
      <c r="A37" s="58" t="s">
        <v>334</v>
      </c>
      <c r="B37" s="66">
        <v>0.105695</v>
      </c>
      <c r="C37" s="66">
        <v>2.97959E-2</v>
      </c>
      <c r="D37" s="66">
        <v>0.28190500000000002</v>
      </c>
      <c r="E37" s="66">
        <v>0.1</v>
      </c>
      <c r="F37" s="66">
        <v>1.4647E-2</v>
      </c>
      <c r="G37" s="66">
        <v>0.5</v>
      </c>
      <c r="H37" s="66">
        <v>0.15404899999999999</v>
      </c>
    </row>
    <row r="38" spans="1:8">
      <c r="A38" s="58" t="s">
        <v>335</v>
      </c>
      <c r="B38" s="66">
        <v>7.8158599999999998</v>
      </c>
      <c r="C38" s="66">
        <v>37.687600000000003</v>
      </c>
      <c r="D38" s="66">
        <v>4.8219399999999997</v>
      </c>
      <c r="E38" s="66">
        <v>0</v>
      </c>
      <c r="F38" s="66">
        <v>-128.86199999999999</v>
      </c>
      <c r="G38" s="66">
        <v>0</v>
      </c>
      <c r="H38" s="66">
        <v>120.175</v>
      </c>
    </row>
    <row r="39" spans="1:8">
      <c r="A39" s="58" t="s">
        <v>336</v>
      </c>
      <c r="B39" s="66">
        <v>4.5883200000000004</v>
      </c>
      <c r="C39" s="66">
        <v>4.15456</v>
      </c>
      <c r="D39" s="66">
        <v>0.90546300000000002</v>
      </c>
      <c r="E39" s="66">
        <v>0</v>
      </c>
      <c r="F39" s="66">
        <v>-4.9206500000000002</v>
      </c>
      <c r="G39" s="66">
        <v>0</v>
      </c>
      <c r="H39" s="66">
        <v>14.232699999999999</v>
      </c>
    </row>
    <row r="40" spans="1:8">
      <c r="A40" s="58" t="s">
        <v>337</v>
      </c>
      <c r="B40" s="66">
        <v>2.3328799999999998</v>
      </c>
      <c r="C40" s="66">
        <v>0.33022800000000002</v>
      </c>
      <c r="D40" s="66">
        <v>0.14155400000000001</v>
      </c>
      <c r="E40" s="66">
        <v>0</v>
      </c>
      <c r="F40" s="66">
        <v>1.75271</v>
      </c>
      <c r="G40" s="66">
        <v>0</v>
      </c>
      <c r="H40" s="66">
        <v>3.1067300000000002</v>
      </c>
    </row>
    <row r="41" spans="1:8">
      <c r="A41" s="58" t="s">
        <v>338</v>
      </c>
      <c r="B41" s="66">
        <v>4.7864400000000001E-2</v>
      </c>
      <c r="C41" s="66">
        <v>0.33720699999999998</v>
      </c>
      <c r="D41" s="66">
        <v>7.0450600000000003</v>
      </c>
      <c r="E41" s="66">
        <v>0</v>
      </c>
      <c r="F41" s="66">
        <v>-1</v>
      </c>
      <c r="G41" s="66">
        <v>0</v>
      </c>
      <c r="H41" s="66">
        <v>0.88235300000000005</v>
      </c>
    </row>
    <row r="42" spans="1:8">
      <c r="A42" s="58" t="s">
        <v>339</v>
      </c>
      <c r="B42" s="66">
        <v>0.19176299999999999</v>
      </c>
      <c r="C42" s="66">
        <v>0.151369</v>
      </c>
      <c r="D42" s="66">
        <v>0.78935500000000003</v>
      </c>
      <c r="E42" s="66">
        <v>0</v>
      </c>
      <c r="F42" s="66">
        <v>-0.22995099999999999</v>
      </c>
      <c r="G42" s="66">
        <v>0</v>
      </c>
      <c r="H42" s="66">
        <v>0.43050500000000003</v>
      </c>
    </row>
    <row r="43" spans="1:8">
      <c r="A43" s="58" t="s">
        <v>340</v>
      </c>
      <c r="B43" s="66">
        <v>0.15597800000000001</v>
      </c>
      <c r="C43" s="66">
        <v>5.3133899999999998E-2</v>
      </c>
      <c r="D43" s="66">
        <v>0.34064899999999998</v>
      </c>
      <c r="E43" s="66">
        <v>0</v>
      </c>
      <c r="F43" s="66">
        <v>0.102328</v>
      </c>
      <c r="G43" s="66">
        <v>0</v>
      </c>
      <c r="H43" s="66">
        <v>0.311782</v>
      </c>
    </row>
    <row r="44" spans="1:8">
      <c r="A44" s="58" t="s">
        <v>341</v>
      </c>
      <c r="B44" s="66">
        <v>52.181100000000001</v>
      </c>
      <c r="C44" s="66">
        <v>20.663599999999999</v>
      </c>
      <c r="D44" s="66">
        <v>0.39599699999999999</v>
      </c>
      <c r="E44" s="66">
        <v>0</v>
      </c>
      <c r="F44" s="66">
        <v>-3.7780200000000002</v>
      </c>
      <c r="G44" s="66">
        <v>0</v>
      </c>
      <c r="H44" s="66">
        <v>71.0959</v>
      </c>
    </row>
    <row r="45" spans="1:8">
      <c r="A45" s="58" t="s">
        <v>342</v>
      </c>
      <c r="B45" s="66">
        <v>47.581000000000003</v>
      </c>
      <c r="C45" s="66">
        <v>7.02156</v>
      </c>
      <c r="D45" s="66">
        <v>0.14757100000000001</v>
      </c>
      <c r="E45" s="66">
        <v>0</v>
      </c>
      <c r="F45" s="66">
        <v>34.735100000000003</v>
      </c>
      <c r="G45" s="66">
        <v>0</v>
      </c>
      <c r="H45" s="66">
        <v>69.343900000000005</v>
      </c>
    </row>
    <row r="46" spans="1:8">
      <c r="A46" s="58" t="s">
        <v>343</v>
      </c>
      <c r="B46" s="66">
        <v>28.8307</v>
      </c>
      <c r="C46" s="66">
        <v>6.3096699999999997</v>
      </c>
      <c r="D46" s="66">
        <v>0.21885299999999999</v>
      </c>
      <c r="E46" s="66">
        <v>0</v>
      </c>
      <c r="F46" s="66">
        <v>10.896100000000001</v>
      </c>
      <c r="G46" s="66">
        <v>0</v>
      </c>
      <c r="H46" s="66">
        <v>31.413799999999998</v>
      </c>
    </row>
    <row r="47" spans="1:8">
      <c r="A47" s="58" t="s">
        <v>344</v>
      </c>
      <c r="B47" s="66">
        <v>0.50870800000000005</v>
      </c>
      <c r="C47" s="66">
        <v>0.18160999999999999</v>
      </c>
      <c r="D47" s="66">
        <v>0.35700300000000001</v>
      </c>
      <c r="E47" s="66">
        <v>0</v>
      </c>
      <c r="F47" s="66">
        <v>0.16386899999999999</v>
      </c>
      <c r="G47" s="66">
        <v>0</v>
      </c>
      <c r="H47" s="66">
        <v>1.06247</v>
      </c>
    </row>
    <row r="48" spans="1:8">
      <c r="A48" s="58" t="s">
        <v>345</v>
      </c>
      <c r="B48" s="66">
        <v>0.51787399999999995</v>
      </c>
      <c r="C48" s="66">
        <v>8.48859E-2</v>
      </c>
      <c r="D48" s="66">
        <v>0.163912</v>
      </c>
      <c r="E48" s="66">
        <v>0</v>
      </c>
      <c r="F48" s="66">
        <v>0.44643300000000002</v>
      </c>
      <c r="G48" s="66">
        <v>0</v>
      </c>
      <c r="H48" s="66">
        <v>0.75702100000000005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11.809199999999997</v>
      </c>
      <c r="C5" s="66">
        <f>'M2'!C5-'M1'!C5</f>
        <v>-5.5707700000000004</v>
      </c>
      <c r="D5" s="66">
        <f>'M2'!D5-'M1'!D5</f>
        <v>-26.17604</v>
      </c>
      <c r="E5" s="66">
        <f>'M2'!E5-'M1'!E5</f>
        <v>0</v>
      </c>
      <c r="F5" s="66">
        <f>'M2'!F5-'M1'!F5</f>
        <v>19.538699999999999</v>
      </c>
      <c r="G5" s="66">
        <f>'M2'!G5-'M1'!G5</f>
        <v>0</v>
      </c>
      <c r="H5" s="66">
        <f>'M2'!H5-'M1'!H5</f>
        <v>5.0242000000000004</v>
      </c>
    </row>
    <row r="6" spans="1:8">
      <c r="A6" s="66" t="s">
        <v>244</v>
      </c>
      <c r="B6" s="66">
        <f>'M2'!B6-'M1'!B6</f>
        <v>-0.51790000000000447</v>
      </c>
      <c r="C6" s="66">
        <f>'M2'!C6-'M1'!C6</f>
        <v>0.45147899999999985</v>
      </c>
      <c r="D6" s="66">
        <f>'M2'!D6-'M1'!D6</f>
        <v>1.2502600000000001</v>
      </c>
      <c r="E6" s="66">
        <f>'M2'!E6-'M1'!E6</f>
        <v>0</v>
      </c>
      <c r="F6" s="66">
        <f>'M2'!F6-'M1'!F6</f>
        <v>-0.25730000000000075</v>
      </c>
      <c r="G6" s="66">
        <f>'M2'!G6-'M1'!G6</f>
        <v>0</v>
      </c>
      <c r="H6" s="66">
        <f>'M2'!H6-'M1'!H6</f>
        <v>0.90890000000000271</v>
      </c>
    </row>
    <row r="7" spans="1:8">
      <c r="A7" s="66" t="s">
        <v>245</v>
      </c>
      <c r="B7" s="66">
        <f>'M2'!B7-'M1'!B7</f>
        <v>-1.3082000000000065</v>
      </c>
      <c r="C7" s="66">
        <f>'M2'!C7-'M1'!C7</f>
        <v>5.5200000000000138E-2</v>
      </c>
      <c r="D7" s="66">
        <f>'M2'!D7-'M1'!D7</f>
        <v>0.63100000000000023</v>
      </c>
      <c r="E7" s="66">
        <f>'M2'!E7-'M1'!E7</f>
        <v>0</v>
      </c>
      <c r="F7" s="66">
        <f>'M2'!F7-'M1'!F7</f>
        <v>-0.51000000000000156</v>
      </c>
      <c r="G7" s="66">
        <f>'M2'!G7-'M1'!G7</f>
        <v>0</v>
      </c>
      <c r="H7" s="66">
        <f>'M2'!H7-'M1'!H7</f>
        <v>-4.1735000000000042</v>
      </c>
    </row>
    <row r="8" spans="1:8">
      <c r="A8" s="66" t="s">
        <v>246</v>
      </c>
      <c r="B8" s="66">
        <f>'M2'!B8-'M1'!B8</f>
        <v>4.3814999999999955</v>
      </c>
      <c r="C8" s="66">
        <f>'M2'!C8-'M1'!C8</f>
        <v>-0.2210700000000001</v>
      </c>
      <c r="D8" s="66">
        <f>'M2'!D8-'M1'!D8</f>
        <v>-1.3405800000000001</v>
      </c>
      <c r="E8" s="66">
        <f>'M2'!E8-'M1'!E8</f>
        <v>0</v>
      </c>
      <c r="F8" s="66">
        <f>'M2'!F8-'M1'!F8</f>
        <v>7.0223999999999975</v>
      </c>
      <c r="G8" s="66">
        <f>'M2'!G8-'M1'!G8</f>
        <v>0</v>
      </c>
      <c r="H8" s="66">
        <f>'M2'!H8-'M1'!H8</f>
        <v>3.4042999999999992</v>
      </c>
    </row>
    <row r="9" spans="1:8">
      <c r="A9" s="66" t="s">
        <v>247</v>
      </c>
      <c r="B9" s="66">
        <f>'M2'!B9-'M1'!B9</f>
        <v>0.70980000000000132</v>
      </c>
      <c r="C9" s="66">
        <f>'M2'!C9-'M1'!C9</f>
        <v>-1.54365</v>
      </c>
      <c r="D9" s="66">
        <f>'M2'!D9-'M1'!D9</f>
        <v>-2.2281600000000008</v>
      </c>
      <c r="E9" s="66">
        <f>'M2'!E9-'M1'!E9</f>
        <v>0</v>
      </c>
      <c r="F9" s="66">
        <f>'M2'!F9-'M1'!F9</f>
        <v>2.0853999999999999</v>
      </c>
      <c r="G9" s="66">
        <f>'M2'!G9-'M1'!G9</f>
        <v>0</v>
      </c>
      <c r="H9" s="66">
        <f>'M2'!H9-'M1'!H9</f>
        <v>-0.88450000000000273</v>
      </c>
    </row>
    <row r="10" spans="1:8">
      <c r="A10" s="66" t="s">
        <v>248</v>
      </c>
      <c r="B10" s="66">
        <f>'M2'!B10-'M1'!B10</f>
        <v>11.119799999999998</v>
      </c>
      <c r="C10" s="66">
        <f>'M2'!C10-'M1'!C10</f>
        <v>-3.6817399999999996</v>
      </c>
      <c r="D10" s="66">
        <f>'M2'!D10-'M1'!D10</f>
        <v>-6.8954800000000001</v>
      </c>
      <c r="E10" s="66">
        <f>'M2'!E10-'M1'!E10</f>
        <v>0</v>
      </c>
      <c r="F10" s="66">
        <f>'M2'!F10-'M1'!F10</f>
        <v>11.826800000000006</v>
      </c>
      <c r="G10" s="66">
        <f>'M2'!G10-'M1'!G10</f>
        <v>0</v>
      </c>
      <c r="H10" s="66">
        <f>'M2'!H10-'M1'!H10</f>
        <v>1.6122000000000014</v>
      </c>
    </row>
    <row r="11" spans="1:8">
      <c r="A11" s="66" t="s">
        <v>249</v>
      </c>
      <c r="B11" s="66">
        <f>'M2'!B11-'M1'!B11</f>
        <v>6.5455899999999989</v>
      </c>
      <c r="C11" s="66">
        <f>'M2'!C11-'M1'!C11</f>
        <v>-1.6728699999999999</v>
      </c>
      <c r="D11" s="66">
        <f>'M2'!D11-'M1'!D11</f>
        <v>-23.780479999999997</v>
      </c>
      <c r="E11" s="66">
        <f>'M2'!E11-'M1'!E11</f>
        <v>0</v>
      </c>
      <c r="F11" s="66">
        <f>'M2'!F11-'M1'!F11</f>
        <v>8.7373700000000003</v>
      </c>
      <c r="G11" s="66">
        <f>'M2'!G11-'M1'!G11</f>
        <v>0</v>
      </c>
      <c r="H11" s="66">
        <f>'M2'!H11-'M1'!H11</f>
        <v>2.5820999999999987</v>
      </c>
    </row>
    <row r="12" spans="1:8">
      <c r="A12" s="66" t="s">
        <v>250</v>
      </c>
      <c r="B12" s="66">
        <f>'M2'!B12-'M1'!B12</f>
        <v>6.1569999999999965</v>
      </c>
      <c r="C12" s="66">
        <f>'M2'!C12-'M1'!C12</f>
        <v>0.19551000000000007</v>
      </c>
      <c r="D12" s="66">
        <f>'M2'!D12-'M1'!D12</f>
        <v>-3.0910000000000437E-2</v>
      </c>
      <c r="E12" s="66">
        <f>'M2'!E12-'M1'!E12</f>
        <v>0</v>
      </c>
      <c r="F12" s="66">
        <f>'M2'!F12-'M1'!F12</f>
        <v>6.2618000000000009</v>
      </c>
      <c r="G12" s="66">
        <f>'M2'!G12-'M1'!G12</f>
        <v>0</v>
      </c>
      <c r="H12" s="66">
        <f>'M2'!H12-'M1'!H12</f>
        <v>3.3468000000000018</v>
      </c>
    </row>
    <row r="13" spans="1:8">
      <c r="A13" s="66" t="s">
        <v>251</v>
      </c>
      <c r="B13" s="66">
        <f>'M2'!B13-'M1'!B13</f>
        <v>0.22339999999999982</v>
      </c>
      <c r="C13" s="66">
        <f>'M2'!C13-'M1'!C13</f>
        <v>0.11145300000000002</v>
      </c>
      <c r="D13" s="66">
        <f>'M2'!D13-'M1'!D13</f>
        <v>0.70770999999999962</v>
      </c>
      <c r="E13" s="66">
        <f>'M2'!E13-'M1'!E13</f>
        <v>0</v>
      </c>
      <c r="F13" s="66">
        <f>'M2'!F13-'M1'!F13</f>
        <v>-0.3644999999999996</v>
      </c>
      <c r="G13" s="66">
        <f>'M2'!G13-'M1'!G13</f>
        <v>0</v>
      </c>
      <c r="H13" s="66">
        <f>'M2'!H13-'M1'!H13</f>
        <v>0.15650000000000119</v>
      </c>
    </row>
    <row r="14" spans="1:8">
      <c r="A14" s="66" t="s">
        <v>252</v>
      </c>
      <c r="B14" s="66">
        <f>'M2'!B14-'M1'!B14</f>
        <v>1.1145300000000002</v>
      </c>
      <c r="C14" s="66">
        <f>'M2'!C14-'M1'!C14</f>
        <v>3.5330000000000084E-2</v>
      </c>
      <c r="D14" s="66">
        <f>'M2'!D14-'M1'!D14</f>
        <v>-2.4591999999999992</v>
      </c>
      <c r="E14" s="66">
        <f>'M2'!E14-'M1'!E14</f>
        <v>0</v>
      </c>
      <c r="F14" s="66">
        <f>'M2'!F14-'M1'!F14</f>
        <v>0.53613000000000022</v>
      </c>
      <c r="G14" s="66">
        <f>'M2'!G14-'M1'!G14</f>
        <v>0</v>
      </c>
      <c r="H14" s="66">
        <f>'M2'!H14-'M1'!H14</f>
        <v>4.4469999999999992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0.11809700000000001</v>
      </c>
      <c r="C18" s="66">
        <f>'M2'!C18-'M1'!C18</f>
        <v>3.22116E-2</v>
      </c>
      <c r="D18" s="66">
        <f>'M2'!D18-'M1'!D18</f>
        <v>5.1289599999999998E-2</v>
      </c>
      <c r="E18" s="66">
        <f>'M2'!E18-'M1'!E18</f>
        <v>0</v>
      </c>
      <c r="F18" s="66">
        <f>'M2'!F18-'M1'!F18</f>
        <v>0.59582199999999996</v>
      </c>
      <c r="G18" s="66">
        <f>'M2'!G18-'M1'!G18</f>
        <v>0</v>
      </c>
      <c r="H18" s="66">
        <f>'M2'!H18-'M1'!H18</f>
        <v>0.66024499999999997</v>
      </c>
    </row>
    <row r="19" spans="1:8">
      <c r="A19" s="66" t="s">
        <v>256</v>
      </c>
      <c r="B19" s="66">
        <f>'M2'!B19-'M1'!B19</f>
        <v>0.13102999999999998</v>
      </c>
      <c r="C19" s="66">
        <f>'M2'!C19-'M1'!C19</f>
        <v>3.3329400000000002E-2</v>
      </c>
      <c r="D19" s="66">
        <f>'M2'!D19-'M1'!D19</f>
        <v>4.2978299999999997E-2</v>
      </c>
      <c r="E19" s="66">
        <f>'M2'!E19-'M1'!E19</f>
        <v>0</v>
      </c>
      <c r="F19" s="66">
        <f>'M2'!F19-'M1'!F19</f>
        <v>0.74216499999999996</v>
      </c>
      <c r="G19" s="66">
        <f>'M2'!G19-'M1'!G19</f>
        <v>0</v>
      </c>
      <c r="H19" s="66">
        <f>'M2'!H19-'M1'!H19</f>
        <v>0.80882399999999999</v>
      </c>
    </row>
    <row r="20" spans="1:8">
      <c r="A20" s="66" t="s">
        <v>63</v>
      </c>
      <c r="B20" s="66">
        <f>'M2'!B20-'M1'!B20</f>
        <v>-2.8700000000001294E-5</v>
      </c>
      <c r="C20" s="66">
        <f>'M2'!C20-'M1'!C20</f>
        <v>-3.300899999999999E-4</v>
      </c>
      <c r="D20" s="66">
        <f>'M2'!D20-'M1'!D20</f>
        <v>-2.523000000000003E-2</v>
      </c>
      <c r="E20" s="66">
        <f>'M2'!E20-'M1'!E20</f>
        <v>0</v>
      </c>
      <c r="F20" s="66">
        <f>'M2'!F20-'M1'!F20</f>
        <v>8.9018000000000083E-4</v>
      </c>
      <c r="G20" s="66">
        <f>'M2'!G20-'M1'!G20</f>
        <v>0</v>
      </c>
      <c r="H20" s="66">
        <f>'M2'!H20-'M1'!H20</f>
        <v>-4.0987999999999997E-3</v>
      </c>
    </row>
    <row r="21" spans="1:8">
      <c r="A21" s="66" t="s">
        <v>64</v>
      </c>
      <c r="B21" s="66">
        <f>'M2'!B21-'M1'!B21</f>
        <v>7.7600000000004055E-5</v>
      </c>
      <c r="C21" s="66">
        <f>'M2'!C21-'M1'!C21</f>
        <v>-3.5108999999999974E-3</v>
      </c>
      <c r="D21" s="66">
        <f>'M2'!D21-'M1'!D21</f>
        <v>-7.2711999999999999E-2</v>
      </c>
      <c r="E21" s="66">
        <f>'M2'!E21-'M1'!E21</f>
        <v>0</v>
      </c>
      <c r="F21" s="66">
        <f>'M2'!F21-'M1'!F21</f>
        <v>5.3059999999999913E-4</v>
      </c>
      <c r="G21" s="66">
        <f>'M2'!G21-'M1'!G21</f>
        <v>0</v>
      </c>
      <c r="H21" s="66">
        <f>'M2'!H21-'M1'!H21</f>
        <v>-2.7802000000000021E-2</v>
      </c>
    </row>
    <row r="22" spans="1:8">
      <c r="A22" s="66" t="s">
        <v>65</v>
      </c>
      <c r="B22" s="66">
        <f>'M2'!B22-'M1'!B22</f>
        <v>-4.0900000000000603E-2</v>
      </c>
      <c r="C22" s="66">
        <f>'M2'!C22-'M1'!C22</f>
        <v>0.69371999999999945</v>
      </c>
      <c r="D22" s="66">
        <f>'M2'!D22-'M1'!D22</f>
        <v>3.7793999999999994E-2</v>
      </c>
      <c r="E22" s="66">
        <f>'M2'!E22-'M1'!E22</f>
        <v>0</v>
      </c>
      <c r="F22" s="66">
        <f>'M2'!F22-'M1'!F22</f>
        <v>0.35410000000000075</v>
      </c>
      <c r="G22" s="66">
        <f>'M2'!G22-'M1'!G22</f>
        <v>0</v>
      </c>
      <c r="H22" s="66">
        <f>'M2'!H22-'M1'!H22</f>
        <v>0.9453999999999958</v>
      </c>
    </row>
    <row r="23" spans="1:8">
      <c r="A23" s="66" t="s">
        <v>66</v>
      </c>
      <c r="B23" s="66">
        <f>'M2'!B23-'M1'!B23</f>
        <v>2.0388900000000003</v>
      </c>
      <c r="C23" s="66">
        <f>'M2'!C23-'M1'!C23</f>
        <v>-0.98110299999999995</v>
      </c>
      <c r="D23" s="66">
        <f>'M2'!D23-'M1'!D23</f>
        <v>-0.13756099999999999</v>
      </c>
      <c r="E23" s="66">
        <f>'M2'!E23-'M1'!E23</f>
        <v>0</v>
      </c>
      <c r="F23" s="66">
        <f>'M2'!F23-'M1'!F23</f>
        <v>3.2988100000000005</v>
      </c>
      <c r="G23" s="66">
        <f>'M2'!G23-'M1'!G23</f>
        <v>0</v>
      </c>
      <c r="H23" s="66">
        <f>'M2'!H23-'M1'!H23</f>
        <v>-2.5150000000000006E-2</v>
      </c>
    </row>
    <row r="24" spans="1:8">
      <c r="A24" s="66" t="s">
        <v>67</v>
      </c>
      <c r="B24" s="66">
        <f>'M2'!B24-'M1'!B24</f>
        <v>1.3119999999999972E-4</v>
      </c>
      <c r="C24" s="66">
        <f>'M2'!C24-'M1'!C24</f>
        <v>-3.4434999999999978E-4</v>
      </c>
      <c r="D24" s="66">
        <f>'M2'!D24-'M1'!D24</f>
        <v>-2.8134000000000006E-2</v>
      </c>
      <c r="E24" s="66">
        <f>'M2'!E24-'M1'!E24</f>
        <v>0</v>
      </c>
      <c r="F24" s="66">
        <f>'M2'!F24-'M1'!F24</f>
        <v>2.0899999999999912E-4</v>
      </c>
      <c r="G24" s="66">
        <f>'M2'!G24-'M1'!G24</f>
        <v>0</v>
      </c>
      <c r="H24" s="66">
        <f>'M2'!H24-'M1'!H24</f>
        <v>-2.8783000000000003E-3</v>
      </c>
    </row>
    <row r="25" spans="1:8">
      <c r="A25" s="66" t="s">
        <v>68</v>
      </c>
      <c r="B25" s="66">
        <f>'M2'!B25-'M1'!B25</f>
        <v>-7.3870000000000186E-4</v>
      </c>
      <c r="C25" s="66">
        <f>'M2'!C25-'M1'!C25</f>
        <v>-3.6515999999999996E-3</v>
      </c>
      <c r="D25" s="66">
        <f>'M2'!D25-'M1'!D25</f>
        <v>-6.2486000000000042E-2</v>
      </c>
      <c r="E25" s="66">
        <f>'M2'!E25-'M1'!E25</f>
        <v>0</v>
      </c>
      <c r="F25" s="66">
        <f>'M2'!F25-'M1'!F25</f>
        <v>6.0342E-3</v>
      </c>
      <c r="G25" s="66">
        <f>'M2'!G25-'M1'!G25</f>
        <v>0</v>
      </c>
      <c r="H25" s="66">
        <f>'M2'!H25-'M1'!H25</f>
        <v>-7.5640000000000013E-3</v>
      </c>
    </row>
    <row r="26" spans="1:8">
      <c r="A26" s="66" t="s">
        <v>69</v>
      </c>
      <c r="B26" s="66">
        <f>'M2'!B26-'M1'!B26</f>
        <v>3.2800000000000364E-6</v>
      </c>
      <c r="C26" s="66">
        <f>'M2'!C26-'M1'!C26</f>
        <v>-3.8420000000000001E-5</v>
      </c>
      <c r="D26" s="66">
        <f>'M2'!D26-'M1'!D26</f>
        <v>-1.6487000000000002E-2</v>
      </c>
      <c r="E26" s="66">
        <f>'M2'!E26-'M1'!E26</f>
        <v>0</v>
      </c>
      <c r="F26" s="66">
        <f>'M2'!F26-'M1'!F26</f>
        <v>1.3787000000000001E-4</v>
      </c>
      <c r="G26" s="66">
        <f>'M2'!G26-'M1'!G26</f>
        <v>0</v>
      </c>
      <c r="H26" s="66">
        <f>'M2'!H26-'M1'!H26</f>
        <v>-1.5329599999999999E-3</v>
      </c>
    </row>
    <row r="27" spans="1:8">
      <c r="A27" s="66" t="s">
        <v>70</v>
      </c>
      <c r="B27" s="66">
        <f>'M2'!B27-'M1'!B27</f>
        <v>1.313035E-5</v>
      </c>
      <c r="C27" s="66">
        <f>'M2'!C27-'M1'!C27</f>
        <v>6.8190000000000308E-6</v>
      </c>
      <c r="D27" s="66">
        <f>'M2'!D27-'M1'!D27</f>
        <v>-101.4419</v>
      </c>
      <c r="E27" s="66">
        <f>'M2'!E27-'M1'!E27</f>
        <v>0</v>
      </c>
      <c r="F27" s="66">
        <f>'M2'!F27-'M1'!F27</f>
        <v>3.6435999999999977E-4</v>
      </c>
      <c r="G27" s="66">
        <f>'M2'!G27-'M1'!G27</f>
        <v>0</v>
      </c>
      <c r="H27" s="66">
        <f>'M2'!H27-'M1'!H27</f>
        <v>-1.2472999999999998E-4</v>
      </c>
    </row>
    <row r="28" spans="1:8">
      <c r="A28" s="66" t="s">
        <v>71</v>
      </c>
      <c r="B28" s="66">
        <f>'M2'!B28-'M1'!B28</f>
        <v>6.5920000000000041E-4</v>
      </c>
      <c r="C28" s="66">
        <f>'M2'!C28-'M1'!C28</f>
        <v>-1.666599999999999E-4</v>
      </c>
      <c r="D28" s="66">
        <f>'M2'!D28-'M1'!D28</f>
        <v>-5.4725000000000024E-2</v>
      </c>
      <c r="E28" s="66">
        <f>'M2'!E28-'M1'!E28</f>
        <v>0</v>
      </c>
      <c r="F28" s="66">
        <f>'M2'!F28-'M1'!F28</f>
        <v>1.9530000000000242E-5</v>
      </c>
      <c r="G28" s="66">
        <f>'M2'!G28-'M1'!G28</f>
        <v>0</v>
      </c>
      <c r="H28" s="66">
        <f>'M2'!H28-'M1'!H28</f>
        <v>-1.5918000000000009E-3</v>
      </c>
    </row>
    <row r="29" spans="1:8">
      <c r="A29" s="66" t="s">
        <v>72</v>
      </c>
      <c r="B29" s="66">
        <f>'M2'!B29-'M1'!B29</f>
        <v>-3.251100000000001</v>
      </c>
      <c r="C29" s="66">
        <f>'M2'!C29-'M1'!C29</f>
        <v>-2.6848400000000003</v>
      </c>
      <c r="D29" s="66">
        <f>'M2'!D29-'M1'!D29</f>
        <v>-3.9101999999999998E-2</v>
      </c>
      <c r="E29" s="66">
        <f>'M2'!E29-'M1'!E29</f>
        <v>0</v>
      </c>
      <c r="F29" s="66">
        <f>'M2'!F29-'M1'!F29</f>
        <v>0.70870000000000033</v>
      </c>
      <c r="G29" s="66">
        <f>'M2'!G29-'M1'!G29</f>
        <v>0</v>
      </c>
      <c r="H29" s="66">
        <f>'M2'!H29-'M1'!H29</f>
        <v>-5.1377999999999986</v>
      </c>
    </row>
    <row r="30" spans="1:8">
      <c r="A30" s="66" t="s">
        <v>73</v>
      </c>
      <c r="B30" s="66">
        <f>'M2'!B30-'M1'!B30</f>
        <v>4.159200000000002</v>
      </c>
      <c r="C30" s="66">
        <f>'M2'!C30-'M1'!C30</f>
        <v>-2.3418989999999997</v>
      </c>
      <c r="D30" s="66">
        <f>'M2'!D30-'M1'!D30</f>
        <v>-0.17641419999999999</v>
      </c>
      <c r="E30" s="66">
        <f>'M2'!E30-'M1'!E30</f>
        <v>0</v>
      </c>
      <c r="F30" s="66">
        <f>'M2'!F30-'M1'!F30</f>
        <v>7.4556999999999984</v>
      </c>
      <c r="G30" s="66">
        <f>'M2'!G30-'M1'!G30</f>
        <v>0</v>
      </c>
      <c r="H30" s="66">
        <f>'M2'!H30-'M1'!H30</f>
        <v>-4.509999999999792E-2</v>
      </c>
    </row>
    <row r="31" spans="1:8">
      <c r="A31" s="66" t="s">
        <v>74</v>
      </c>
      <c r="B31" s="66">
        <f>'M2'!B31-'M1'!B31</f>
        <v>34.267899999999997</v>
      </c>
      <c r="C31" s="66">
        <f>'M2'!C31-'M1'!C31</f>
        <v>-16.60754</v>
      </c>
      <c r="D31" s="66">
        <f>'M2'!D31-'M1'!D31</f>
        <v>-0.26299119999999998</v>
      </c>
      <c r="E31" s="66">
        <f>'M2'!E31-'M1'!E31</f>
        <v>0</v>
      </c>
      <c r="F31" s="66">
        <f>'M2'!F31-'M1'!F31</f>
        <v>66.158699999999996</v>
      </c>
      <c r="G31" s="66">
        <f>'M2'!G31-'M1'!G31</f>
        <v>0</v>
      </c>
      <c r="H31" s="66">
        <f>'M2'!H31-'M1'!H31</f>
        <v>2.465999999999994</v>
      </c>
    </row>
    <row r="32" spans="1:8">
      <c r="A32" s="66" t="s">
        <v>75</v>
      </c>
      <c r="B32" s="66">
        <f>'M2'!B32-'M1'!B32</f>
        <v>-1.3081999999999983E-2</v>
      </c>
      <c r="C32" s="66">
        <f>'M2'!C32-'M1'!C32</f>
        <v>5.5199999999999694E-4</v>
      </c>
      <c r="D32" s="66">
        <f>'M2'!D32-'M1'!D32</f>
        <v>6.3099999999999962E-3</v>
      </c>
      <c r="E32" s="66">
        <f>'M2'!E32-'M1'!E32</f>
        <v>0</v>
      </c>
      <c r="F32" s="66">
        <f>'M2'!F32-'M1'!F32</f>
        <v>-5.0999999999999934E-3</v>
      </c>
      <c r="G32" s="66">
        <f>'M2'!G32-'M1'!G32</f>
        <v>0</v>
      </c>
      <c r="H32" s="66">
        <f>'M2'!H32-'M1'!H32</f>
        <v>-4.1735000000000022E-2</v>
      </c>
    </row>
    <row r="33" spans="1:8">
      <c r="A33" s="66" t="s">
        <v>76</v>
      </c>
      <c r="B33" s="66">
        <f>'M2'!B33-'M1'!B33</f>
        <v>8.5148000000000029E-2</v>
      </c>
      <c r="C33" s="66">
        <f>'M2'!C33-'M1'!C33</f>
        <v>2.2145000000000012E-3</v>
      </c>
      <c r="D33" s="66">
        <f>'M2'!D33-'M1'!D33</f>
        <v>-1.3907500000000003E-2</v>
      </c>
      <c r="E33" s="66">
        <f>'M2'!E33-'M1'!E33</f>
        <v>0</v>
      </c>
      <c r="F33" s="66">
        <f>'M2'!F33-'M1'!F33</f>
        <v>6.773499999999999E-2</v>
      </c>
      <c r="G33" s="66">
        <f>'M2'!G33-'M1'!G33</f>
        <v>0</v>
      </c>
      <c r="H33" s="66">
        <f>'M2'!H33-'M1'!H33</f>
        <v>5.6833999999999996E-2</v>
      </c>
    </row>
    <row r="34" spans="1:8">
      <c r="A34" s="66" t="s">
        <v>77</v>
      </c>
      <c r="B34" s="66">
        <f>'M2'!B34-'M1'!B34</f>
        <v>2.233999999999986E-3</v>
      </c>
      <c r="C34" s="66">
        <f>'M2'!C34-'M1'!C34</f>
        <v>1.1145300000000007E-3</v>
      </c>
      <c r="D34" s="66">
        <f>'M2'!D34-'M1'!D34</f>
        <v>7.0771000000000028E-3</v>
      </c>
      <c r="E34" s="66">
        <f>'M2'!E34-'M1'!E34</f>
        <v>0</v>
      </c>
      <c r="F34" s="66">
        <f>'M2'!F34-'M1'!F34</f>
        <v>-3.6450000000000093E-3</v>
      </c>
      <c r="G34" s="66">
        <f>'M2'!G34-'M1'!G34</f>
        <v>0</v>
      </c>
      <c r="H34" s="66">
        <f>'M2'!H34-'M1'!H34</f>
        <v>1.5650000000000108E-3</v>
      </c>
    </row>
    <row r="35" spans="1:8">
      <c r="A35" s="66" t="s">
        <v>78</v>
      </c>
      <c r="B35" s="66">
        <f>'M2'!B35-'M1'!B35</f>
        <v>2.9969999999999997E-3</v>
      </c>
      <c r="C35" s="66">
        <f>'M2'!C35-'M1'!C35</f>
        <v>8.6487300000000003E-3</v>
      </c>
      <c r="D35" s="66">
        <f>'M2'!D35-'M1'!D35</f>
        <v>0.15408799999999997</v>
      </c>
      <c r="E35" s="66">
        <f>'M2'!E35-'M1'!E35</f>
        <v>0</v>
      </c>
      <c r="F35" s="66">
        <f>'M2'!F35-'M1'!F35</f>
        <v>-3.6119999999999902E-4</v>
      </c>
      <c r="G35" s="66">
        <f>'M2'!G35-'M1'!G35</f>
        <v>0</v>
      </c>
      <c r="H35" s="66">
        <f>'M2'!H35-'M1'!H35</f>
        <v>3.8451800000000008E-2</v>
      </c>
    </row>
    <row r="36" spans="1:8">
      <c r="A36" s="66" t="s">
        <v>79</v>
      </c>
      <c r="B36" s="66">
        <f>'M2'!B36-'M1'!B36</f>
        <v>2.6299999999999935E-4</v>
      </c>
      <c r="C36" s="66">
        <f>'M2'!C36-'M1'!C36</f>
        <v>8.5111999999999965E-3</v>
      </c>
      <c r="D36" s="66">
        <f>'M2'!D36-'M1'!D36</f>
        <v>6.7688000000000026E-2</v>
      </c>
      <c r="E36" s="66">
        <f>'M2'!E36-'M1'!E36</f>
        <v>0</v>
      </c>
      <c r="F36" s="66">
        <f>'M2'!F36-'M1'!F36</f>
        <v>1.2742500000000004E-2</v>
      </c>
      <c r="G36" s="66">
        <f>'M2'!G36-'M1'!G36</f>
        <v>0</v>
      </c>
      <c r="H36" s="66">
        <f>'M2'!H36-'M1'!H36</f>
        <v>0.151279</v>
      </c>
    </row>
    <row r="37" spans="1:8">
      <c r="A37" s="66" t="s">
        <v>80</v>
      </c>
      <c r="B37" s="66">
        <f>'M2'!B37-'M1'!B37</f>
        <v>1.1145299999999997E-2</v>
      </c>
      <c r="C37" s="66">
        <f>'M2'!C37-'M1'!C37</f>
        <v>3.5330000000000084E-4</v>
      </c>
      <c r="D37" s="66">
        <f>'M2'!D37-'M1'!D37</f>
        <v>-2.4592000000000003E-2</v>
      </c>
      <c r="E37" s="66">
        <f>'M2'!E37-'M1'!E37</f>
        <v>0</v>
      </c>
      <c r="F37" s="66">
        <f>'M2'!F37-'M1'!F37</f>
        <v>5.3612999999999994E-3</v>
      </c>
      <c r="G37" s="66">
        <f>'M2'!G37-'M1'!G37</f>
        <v>0</v>
      </c>
      <c r="H37" s="66">
        <f>'M2'!H37-'M1'!H37</f>
        <v>4.4469999999999996E-2</v>
      </c>
    </row>
    <row r="38" spans="1:8">
      <c r="A38" s="66" t="s">
        <v>81</v>
      </c>
      <c r="B38" s="66">
        <f>'M2'!B38-'M1'!B38</f>
        <v>-7.0362900000000002</v>
      </c>
      <c r="C38" s="66">
        <f>'M2'!C38-'M1'!C38</f>
        <v>-1.5076999999999998</v>
      </c>
      <c r="D38" s="66">
        <f>'M2'!D38-'M1'!D38</f>
        <v>5.4276700000000009</v>
      </c>
      <c r="E38" s="66">
        <f>'M2'!E38-'M1'!E38</f>
        <v>0</v>
      </c>
      <c r="F38" s="66">
        <f>'M2'!F38-'M1'!F38</f>
        <v>-4.4909999999999997</v>
      </c>
      <c r="G38" s="66">
        <f>'M2'!G38-'M1'!G38</f>
        <v>0</v>
      </c>
      <c r="H38" s="66">
        <f>'M2'!H38-'M1'!H38</f>
        <v>-1.3400000000000034</v>
      </c>
    </row>
    <row r="39" spans="1:8">
      <c r="A39" s="66" t="s">
        <v>82</v>
      </c>
      <c r="B39" s="66">
        <f>'M2'!B39-'M1'!B39</f>
        <v>-2.9281299999999999</v>
      </c>
      <c r="C39" s="66">
        <f>'M2'!C39-'M1'!C39</f>
        <v>2.9269999999999907E-2</v>
      </c>
      <c r="D39" s="66">
        <f>'M2'!D39-'M1'!D39</f>
        <v>0.682724</v>
      </c>
      <c r="E39" s="66">
        <f>'M2'!E39-'M1'!E39</f>
        <v>0</v>
      </c>
      <c r="F39" s="66">
        <f>'M2'!F39-'M1'!F39</f>
        <v>-1.0124400000000002</v>
      </c>
      <c r="G39" s="66">
        <f>'M2'!G39-'M1'!G39</f>
        <v>0</v>
      </c>
      <c r="H39" s="66">
        <f>'M2'!H39-'M1'!H39</f>
        <v>-0.66029999999999944</v>
      </c>
    </row>
    <row r="40" spans="1:8">
      <c r="A40" s="66" t="s">
        <v>83</v>
      </c>
      <c r="B40" s="66">
        <f>'M2'!B40-'M1'!B40</f>
        <v>-0.42681000000000013</v>
      </c>
      <c r="C40" s="66">
        <f>'M2'!C40-'M1'!C40</f>
        <v>-9.5182000000000017E-2</v>
      </c>
      <c r="D40" s="66">
        <f>'M2'!D40-'M1'!D40</f>
        <v>-1.8617999999999996E-2</v>
      </c>
      <c r="E40" s="66">
        <f>'M2'!E40-'M1'!E40</f>
        <v>0</v>
      </c>
      <c r="F40" s="66">
        <f>'M2'!F40-'M1'!F40</f>
        <v>0.10829</v>
      </c>
      <c r="G40" s="66">
        <f>'M2'!G40-'M1'!G40</f>
        <v>0</v>
      </c>
      <c r="H40" s="66">
        <f>'M2'!H40-'M1'!H40</f>
        <v>-0.45413000000000014</v>
      </c>
    </row>
    <row r="41" spans="1:8">
      <c r="A41" s="66" t="s">
        <v>84</v>
      </c>
      <c r="B41" s="66">
        <f>'M2'!B41-'M1'!B41</f>
        <v>-6.4420100000000008E-2</v>
      </c>
      <c r="C41" s="66">
        <f>'M2'!C41-'M1'!C41</f>
        <v>-1.6745999999999983E-2</v>
      </c>
      <c r="D41" s="66">
        <f>'M2'!D41-'M1'!D41</f>
        <v>11.762429999999998</v>
      </c>
      <c r="E41" s="66">
        <f>'M2'!E41-'M1'!E41</f>
        <v>0</v>
      </c>
      <c r="F41" s="66">
        <f>'M2'!F41-'M1'!F41</f>
        <v>8.2192000000000043E-2</v>
      </c>
      <c r="G41" s="66">
        <f>'M2'!G41-'M1'!G41</f>
        <v>0</v>
      </c>
      <c r="H41" s="66">
        <f>'M2'!H41-'M1'!H41</f>
        <v>-0.27150800000000008</v>
      </c>
    </row>
    <row r="42" spans="1:8">
      <c r="A42" s="66" t="s">
        <v>85</v>
      </c>
      <c r="B42" s="66">
        <f>'M2'!B42-'M1'!B42</f>
        <v>-7.6849000000000028E-2</v>
      </c>
      <c r="C42" s="66">
        <f>'M2'!C42-'M1'!C42</f>
        <v>-1.3762999999999997E-2</v>
      </c>
      <c r="D42" s="66">
        <f>'M2'!D42-'M1'!D42</f>
        <v>0.19077899999999992</v>
      </c>
      <c r="E42" s="66">
        <f>'M2'!E42-'M1'!E42</f>
        <v>0</v>
      </c>
      <c r="F42" s="66">
        <f>'M2'!F42-'M1'!F42</f>
        <v>-5.1490999999999981E-2</v>
      </c>
      <c r="G42" s="66">
        <f>'M2'!G42-'M1'!G42</f>
        <v>0</v>
      </c>
      <c r="H42" s="66">
        <f>'M2'!H42-'M1'!H42</f>
        <v>-9.8480000000000234E-3</v>
      </c>
    </row>
    <row r="43" spans="1:8">
      <c r="A43" s="66" t="s">
        <v>86</v>
      </c>
      <c r="B43" s="66">
        <f>'M2'!B43-'M1'!B43</f>
        <v>-5.371999999999999E-2</v>
      </c>
      <c r="C43" s="66">
        <f>'M2'!C43-'M1'!C43</f>
        <v>-3.09947E-2</v>
      </c>
      <c r="D43" s="66">
        <f>'M2'!D43-'M1'!D43</f>
        <v>-0.12482799999999997</v>
      </c>
      <c r="E43" s="66">
        <f>'M2'!E43-'M1'!E43</f>
        <v>0</v>
      </c>
      <c r="F43" s="66">
        <f>'M2'!F43-'M1'!F43</f>
        <v>-3.3578999999999998E-2</v>
      </c>
      <c r="G43" s="66">
        <f>'M2'!G43-'M1'!G43</f>
        <v>0</v>
      </c>
      <c r="H43" s="66">
        <f>'M2'!H43-'M1'!H43</f>
        <v>-0.13531100000000001</v>
      </c>
    </row>
    <row r="44" spans="1:8">
      <c r="A44" s="66" t="s">
        <v>87</v>
      </c>
      <c r="B44" s="66">
        <f>'M2'!B44-'M1'!B44</f>
        <v>20.8307</v>
      </c>
      <c r="C44" s="66">
        <f>'M2'!C44-'M1'!C44</f>
        <v>-16.046140000000001</v>
      </c>
      <c r="D44" s="66">
        <f>'M2'!D44-'M1'!D44</f>
        <v>-0.45627899999999999</v>
      </c>
      <c r="E44" s="66">
        <f>'M2'!E44-'M1'!E44</f>
        <v>0</v>
      </c>
      <c r="F44" s="66">
        <f>'M2'!F44-'M1'!F44</f>
        <v>50.189720000000001</v>
      </c>
      <c r="G44" s="66">
        <f>'M2'!G44-'M1'!G44</f>
        <v>0</v>
      </c>
      <c r="H44" s="66">
        <f>'M2'!H44-'M1'!H44</f>
        <v>-1.964100000000002</v>
      </c>
    </row>
    <row r="45" spans="1:8">
      <c r="A45" s="66" t="s">
        <v>88</v>
      </c>
      <c r="B45" s="66">
        <f>'M2'!B45-'M1'!B45</f>
        <v>-2.0801999999999978</v>
      </c>
      <c r="C45" s="66">
        <f>'M2'!C45-'M1'!C45</f>
        <v>-0.53753999999999991</v>
      </c>
      <c r="D45" s="66">
        <f>'M2'!D45-'M1'!D45</f>
        <v>-4.9490000000000089E-3</v>
      </c>
      <c r="E45" s="66">
        <f>'M2'!E45-'M1'!E45</f>
        <v>0</v>
      </c>
      <c r="F45" s="66">
        <f>'M2'!F45-'M1'!F45</f>
        <v>-3.6586999999999961</v>
      </c>
      <c r="G45" s="66">
        <f>'M2'!G45-'M1'!G45</f>
        <v>0</v>
      </c>
      <c r="H45" s="66">
        <f>'M2'!H45-'M1'!H45</f>
        <v>-5.993700000000004</v>
      </c>
    </row>
    <row r="46" spans="1:8">
      <c r="A46" s="66" t="s">
        <v>89</v>
      </c>
      <c r="B46" s="66">
        <f>'M2'!B46-'M1'!B46</f>
        <v>10.439899999999998</v>
      </c>
      <c r="C46" s="66">
        <f>'M2'!C46-'M1'!C46</f>
        <v>-4.847594</v>
      </c>
      <c r="D46" s="66">
        <f>'M2'!D46-'M1'!D46</f>
        <v>-0.26227490000000003</v>
      </c>
      <c r="E46" s="66">
        <f>'M2'!E46-'M1'!E46</f>
        <v>0</v>
      </c>
      <c r="F46" s="66">
        <f>'M2'!F46-'M1'!F46</f>
        <v>17.467299999999998</v>
      </c>
      <c r="G46" s="66">
        <f>'M2'!G46-'M1'!G46</f>
        <v>0</v>
      </c>
      <c r="H46" s="66">
        <f>'M2'!H46-'M1'!H46</f>
        <v>1.7576999999999998</v>
      </c>
    </row>
    <row r="47" spans="1:8">
      <c r="A47" s="66" t="s">
        <v>90</v>
      </c>
      <c r="B47" s="66">
        <f>'M2'!B47-'M1'!B47</f>
        <v>3.1126000000000043E-2</v>
      </c>
      <c r="C47" s="66">
        <f>'M2'!C47-'M1'!C47</f>
        <v>4.2339999999999989E-2</v>
      </c>
      <c r="D47" s="66">
        <f>'M2'!D47-'M1'!D47</f>
        <v>6.1558000000000002E-2</v>
      </c>
      <c r="E47" s="66">
        <f>'M2'!E47-'M1'!E47</f>
        <v>0</v>
      </c>
      <c r="F47" s="66">
        <f>'M2'!F47-'M1'!F47</f>
        <v>8.0650000000000166E-3</v>
      </c>
      <c r="G47" s="66">
        <f>'M2'!G47-'M1'!G47</f>
        <v>0</v>
      </c>
      <c r="H47" s="66">
        <f>'M2'!H47-'M1'!H47</f>
        <v>2.9290000000000038E-2</v>
      </c>
    </row>
    <row r="48" spans="1:8">
      <c r="A48" s="66" t="s">
        <v>91</v>
      </c>
      <c r="B48" s="66">
        <f>'M2'!B48-'M1'!B48</f>
        <v>4.1850999999999972E-2</v>
      </c>
      <c r="C48" s="66">
        <f>'M2'!C48-'M1'!C48</f>
        <v>3.4198100000000009E-2</v>
      </c>
      <c r="D48" s="66">
        <f>'M2'!D48-'M1'!D48</f>
        <v>5.2985000000000004E-2</v>
      </c>
      <c r="E48" s="66">
        <f>'M2'!E48-'M1'!E48</f>
        <v>0</v>
      </c>
      <c r="F48" s="66">
        <f>'M2'!F48-'M1'!F48</f>
        <v>-2.3729999999999973E-2</v>
      </c>
      <c r="G48" s="66">
        <f>'M2'!G48-'M1'!G48</f>
        <v>0</v>
      </c>
      <c r="H48" s="66">
        <f>'M2'!H48-'M1'!H48</f>
        <v>2.9578000000000104E-2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23.7776</v>
      </c>
      <c r="C5" s="66">
        <v>7.5393800000000004</v>
      </c>
      <c r="D5" s="66">
        <v>31.707899999999999</v>
      </c>
      <c r="E5" s="66">
        <v>20</v>
      </c>
      <c r="F5" s="66">
        <v>11.491</v>
      </c>
      <c r="G5" s="66">
        <v>50</v>
      </c>
      <c r="H5" s="66">
        <v>36.0715</v>
      </c>
    </row>
    <row r="6" spans="1:8">
      <c r="A6" s="66" t="s">
        <v>358</v>
      </c>
      <c r="B6" s="66">
        <v>37.252400000000002</v>
      </c>
      <c r="C6" s="66">
        <v>0.56057100000000004</v>
      </c>
      <c r="D6" s="66">
        <v>1.5047900000000001</v>
      </c>
      <c r="E6" s="66">
        <v>20</v>
      </c>
      <c r="F6" s="66">
        <v>36.070500000000003</v>
      </c>
      <c r="G6" s="66">
        <v>40</v>
      </c>
      <c r="H6" s="66">
        <v>38.1785</v>
      </c>
    </row>
    <row r="7" spans="1:8">
      <c r="A7" s="66" t="s">
        <v>359</v>
      </c>
      <c r="B7" s="66">
        <v>35.495600000000003</v>
      </c>
      <c r="C7" s="66">
        <v>4.3558599999999998</v>
      </c>
      <c r="D7" s="66">
        <v>12.271599999999999</v>
      </c>
      <c r="E7" s="66">
        <v>15</v>
      </c>
      <c r="F7" s="66">
        <v>26.013500000000001</v>
      </c>
      <c r="G7" s="66">
        <v>40</v>
      </c>
      <c r="H7" s="66">
        <v>47.526200000000003</v>
      </c>
    </row>
    <row r="8" spans="1:8">
      <c r="A8" s="66" t="s">
        <v>360</v>
      </c>
      <c r="B8" s="66">
        <v>31.403300000000002</v>
      </c>
      <c r="C8" s="66">
        <v>1.8538300000000001</v>
      </c>
      <c r="D8" s="66">
        <v>5.9032999999999998</v>
      </c>
      <c r="E8" s="66">
        <v>20</v>
      </c>
      <c r="F8" s="66">
        <v>25.7926</v>
      </c>
      <c r="G8" s="66">
        <v>50</v>
      </c>
      <c r="H8" s="66">
        <v>34.3399</v>
      </c>
    </row>
    <row r="9" spans="1:8">
      <c r="A9" s="66" t="s">
        <v>361</v>
      </c>
      <c r="B9" s="66">
        <v>70.710599999999999</v>
      </c>
      <c r="C9" s="66">
        <v>4.7531699999999999</v>
      </c>
      <c r="D9" s="66">
        <v>6.7220000000000004</v>
      </c>
      <c r="E9" s="66">
        <v>50</v>
      </c>
      <c r="F9" s="66">
        <v>60.621200000000002</v>
      </c>
      <c r="G9" s="66">
        <v>100</v>
      </c>
      <c r="H9" s="66">
        <v>77.823300000000003</v>
      </c>
    </row>
    <row r="10" spans="1:8">
      <c r="A10" s="66" t="s">
        <v>362</v>
      </c>
      <c r="B10" s="66">
        <v>60.901499999999999</v>
      </c>
      <c r="C10" s="66">
        <v>7.0347099999999996</v>
      </c>
      <c r="D10" s="66">
        <v>11.551</v>
      </c>
      <c r="E10" s="66">
        <v>40</v>
      </c>
      <c r="F10" s="66">
        <v>50.135399999999997</v>
      </c>
      <c r="G10" s="66">
        <v>100</v>
      </c>
      <c r="H10" s="66">
        <v>72.018100000000004</v>
      </c>
    </row>
    <row r="11" spans="1:8">
      <c r="A11" s="66" t="s">
        <v>363</v>
      </c>
      <c r="B11" s="66">
        <v>9.2267100000000006</v>
      </c>
      <c r="C11" s="66">
        <v>2.9289499999999999</v>
      </c>
      <c r="D11" s="66">
        <v>31.744299999999999</v>
      </c>
      <c r="E11" s="66">
        <v>10</v>
      </c>
      <c r="F11" s="66">
        <v>5.3439300000000003</v>
      </c>
      <c r="G11" s="66">
        <v>50</v>
      </c>
      <c r="H11" s="66">
        <v>15.8028</v>
      </c>
    </row>
    <row r="12" spans="1:8">
      <c r="A12" s="66" t="s">
        <v>364</v>
      </c>
      <c r="B12" s="66">
        <v>65.418400000000005</v>
      </c>
      <c r="C12" s="66">
        <v>2.31237</v>
      </c>
      <c r="D12" s="66">
        <v>3.5347400000000002</v>
      </c>
      <c r="E12" s="66">
        <v>50</v>
      </c>
      <c r="F12" s="66">
        <v>58.598199999999999</v>
      </c>
      <c r="G12" s="66">
        <v>100</v>
      </c>
      <c r="H12" s="66">
        <v>71.422499999999999</v>
      </c>
    </row>
    <row r="13" spans="1:8">
      <c r="A13" s="66" t="s">
        <v>365</v>
      </c>
      <c r="B13" s="66">
        <v>13.1281</v>
      </c>
      <c r="C13" s="66">
        <v>0.99646699999999999</v>
      </c>
      <c r="D13" s="66">
        <v>7.5903400000000003</v>
      </c>
      <c r="E13" s="66">
        <v>10</v>
      </c>
      <c r="F13" s="66">
        <v>11.3711</v>
      </c>
      <c r="G13" s="66">
        <v>25</v>
      </c>
      <c r="H13" s="66">
        <v>15.497199999999999</v>
      </c>
    </row>
    <row r="14" spans="1:8">
      <c r="A14" s="66" t="s">
        <v>366</v>
      </c>
      <c r="B14" s="66">
        <v>9.9646699999999999</v>
      </c>
      <c r="C14" s="66">
        <v>2.7518400000000001</v>
      </c>
      <c r="D14" s="66">
        <v>27.616</v>
      </c>
      <c r="E14" s="66">
        <v>10</v>
      </c>
      <c r="F14" s="66">
        <v>1.4646999999999999</v>
      </c>
      <c r="G14" s="66">
        <v>50</v>
      </c>
      <c r="H14" s="66">
        <v>10.9579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0.50993599999999994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0.64446400000000004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1.2820700000000001E-2</v>
      </c>
      <c r="C20" s="66">
        <v>3.2698200000000001E-3</v>
      </c>
      <c r="D20" s="66">
        <v>0.25504100000000002</v>
      </c>
      <c r="E20" s="66">
        <v>0</v>
      </c>
      <c r="F20" s="66">
        <v>9.0449299999999996E-3</v>
      </c>
      <c r="G20" s="66">
        <v>0</v>
      </c>
      <c r="H20" s="66">
        <v>5.04953E-2</v>
      </c>
    </row>
    <row r="21" spans="1:8">
      <c r="A21" s="66" t="s">
        <v>373</v>
      </c>
      <c r="B21" s="66">
        <v>4.9115399999999997E-2</v>
      </c>
      <c r="C21" s="66">
        <v>4.17632E-2</v>
      </c>
      <c r="D21" s="66">
        <v>0.85030700000000004</v>
      </c>
      <c r="E21" s="66">
        <v>0</v>
      </c>
      <c r="F21" s="66">
        <v>1.2356000000000001E-2</v>
      </c>
      <c r="G21" s="66">
        <v>0</v>
      </c>
      <c r="H21" s="66">
        <v>0.18720700000000001</v>
      </c>
    </row>
    <row r="22" spans="1:8">
      <c r="A22" s="66" t="s">
        <v>374</v>
      </c>
      <c r="B22" s="66">
        <v>18.617100000000001</v>
      </c>
      <c r="C22" s="66">
        <v>3.7991100000000002</v>
      </c>
      <c r="D22" s="66">
        <v>0.204066</v>
      </c>
      <c r="E22" s="66">
        <v>0</v>
      </c>
      <c r="F22" s="66">
        <v>13.7912</v>
      </c>
      <c r="G22" s="66">
        <v>0</v>
      </c>
      <c r="H22" s="66">
        <v>31.328900000000001</v>
      </c>
    </row>
    <row r="23" spans="1:8">
      <c r="A23" s="66" t="s">
        <v>375</v>
      </c>
      <c r="B23" s="66">
        <v>7.31569</v>
      </c>
      <c r="C23" s="66">
        <v>1.0969599999999999</v>
      </c>
      <c r="D23" s="66">
        <v>0.149946</v>
      </c>
      <c r="E23" s="66">
        <v>0</v>
      </c>
      <c r="F23" s="66">
        <v>5.7899500000000002</v>
      </c>
      <c r="G23" s="66">
        <v>0</v>
      </c>
      <c r="H23" s="66">
        <v>9.5793099999999995</v>
      </c>
    </row>
    <row r="24" spans="1:8">
      <c r="A24" s="66" t="s">
        <v>376</v>
      </c>
      <c r="B24" s="66">
        <v>1.2822399999999999E-2</v>
      </c>
      <c r="C24" s="66">
        <v>1.9619199999999998E-3</v>
      </c>
      <c r="D24" s="66">
        <v>0.15300800000000001</v>
      </c>
      <c r="E24" s="66">
        <v>0</v>
      </c>
      <c r="F24" s="66">
        <v>1.1417200000000001E-2</v>
      </c>
      <c r="G24" s="66">
        <v>0</v>
      </c>
      <c r="H24" s="66">
        <v>2.6757699999999999E-2</v>
      </c>
    </row>
    <row r="25" spans="1:8">
      <c r="A25" s="66" t="s">
        <v>377</v>
      </c>
      <c r="B25" s="66">
        <v>5.5405200000000002E-2</v>
      </c>
      <c r="C25" s="66">
        <v>1.76796E-2</v>
      </c>
      <c r="D25" s="66">
        <v>0.31909700000000002</v>
      </c>
      <c r="E25" s="66">
        <v>0</v>
      </c>
      <c r="F25" s="66">
        <v>1.9471599999999999E-2</v>
      </c>
      <c r="G25" s="66">
        <v>0</v>
      </c>
      <c r="H25" s="66">
        <v>8.8633500000000004E-2</v>
      </c>
    </row>
    <row r="26" spans="1:8">
      <c r="A26" s="66" t="s">
        <v>378</v>
      </c>
      <c r="B26" s="66">
        <v>2.36673E-3</v>
      </c>
      <c r="C26" s="66">
        <v>4.71791E-4</v>
      </c>
      <c r="D26" s="66">
        <v>0.19934299999999999</v>
      </c>
      <c r="E26" s="66">
        <v>0</v>
      </c>
      <c r="F26" s="66">
        <v>1.7003700000000001E-3</v>
      </c>
      <c r="G26" s="66">
        <v>0</v>
      </c>
      <c r="H26" s="66">
        <v>6.3648899999999998E-3</v>
      </c>
    </row>
    <row r="27" spans="1:8">
      <c r="A27" s="66" t="s">
        <v>379</v>
      </c>
      <c r="B27" s="196">
        <v>-1.64128E-5</v>
      </c>
      <c r="C27" s="66">
        <v>4.0769599999999998E-4</v>
      </c>
      <c r="D27" s="66">
        <v>-24.8401</v>
      </c>
      <c r="E27" s="66">
        <v>0</v>
      </c>
      <c r="F27" s="66">
        <v>-2.3338999999999999E-3</v>
      </c>
      <c r="G27" s="66">
        <v>0</v>
      </c>
      <c r="H27" s="66">
        <v>2.3732900000000001E-3</v>
      </c>
    </row>
    <row r="28" spans="1:8">
      <c r="A28" s="66" t="s">
        <v>380</v>
      </c>
      <c r="B28" s="66">
        <v>1.07487E-2</v>
      </c>
      <c r="C28" s="66">
        <v>7.4622400000000002E-3</v>
      </c>
      <c r="D28" s="66">
        <v>0.69424600000000003</v>
      </c>
      <c r="E28" s="66">
        <v>0</v>
      </c>
      <c r="F28" s="66">
        <v>2.3046899999999999E-3</v>
      </c>
      <c r="G28" s="66">
        <v>0</v>
      </c>
      <c r="H28" s="66">
        <v>2.9557300000000002E-2</v>
      </c>
    </row>
    <row r="29" spans="1:8">
      <c r="A29" s="66" t="s">
        <v>381</v>
      </c>
      <c r="B29" s="66">
        <v>58.854500000000002</v>
      </c>
      <c r="C29" s="66">
        <v>9.2434700000000003</v>
      </c>
      <c r="D29" s="66">
        <v>0.157056</v>
      </c>
      <c r="E29" s="66">
        <v>0</v>
      </c>
      <c r="F29" s="66">
        <v>43.309199999999997</v>
      </c>
      <c r="G29" s="66">
        <v>0</v>
      </c>
      <c r="H29" s="66">
        <v>78.973100000000002</v>
      </c>
    </row>
    <row r="30" spans="1:8">
      <c r="A30" s="66" t="s">
        <v>382</v>
      </c>
      <c r="B30" s="66">
        <v>13.7136</v>
      </c>
      <c r="C30" s="66">
        <v>2.6743999999999999</v>
      </c>
      <c r="D30" s="66">
        <v>0.195018</v>
      </c>
      <c r="E30" s="66">
        <v>0</v>
      </c>
      <c r="F30" s="66">
        <v>9.5983999999999998</v>
      </c>
      <c r="G30" s="66">
        <v>0</v>
      </c>
      <c r="H30" s="66">
        <v>18.532699999999998</v>
      </c>
    </row>
    <row r="31" spans="1:8">
      <c r="A31" s="66" t="s">
        <v>383</v>
      </c>
      <c r="B31" s="66">
        <v>71.252099999999999</v>
      </c>
      <c r="C31" s="66">
        <v>23.169599999999999</v>
      </c>
      <c r="D31" s="66">
        <v>0.325179</v>
      </c>
      <c r="E31" s="66">
        <v>0</v>
      </c>
      <c r="F31" s="66">
        <v>30.862300000000001</v>
      </c>
      <c r="G31" s="66">
        <v>0</v>
      </c>
      <c r="H31" s="66">
        <v>114.495</v>
      </c>
    </row>
    <row r="32" spans="1:8">
      <c r="A32" s="66" t="s">
        <v>384</v>
      </c>
      <c r="B32" s="66">
        <v>0.35495599999999999</v>
      </c>
      <c r="C32" s="66">
        <v>4.3558600000000003E-2</v>
      </c>
      <c r="D32" s="66">
        <v>0.12271600000000001</v>
      </c>
      <c r="E32" s="66">
        <v>0.15</v>
      </c>
      <c r="F32" s="66">
        <v>0.26013500000000001</v>
      </c>
      <c r="G32" s="66">
        <v>0.4</v>
      </c>
      <c r="H32" s="66">
        <v>0.47526200000000002</v>
      </c>
    </row>
    <row r="33" spans="1:8">
      <c r="A33" s="66" t="s">
        <v>385</v>
      </c>
      <c r="B33" s="66">
        <v>0.238644</v>
      </c>
      <c r="C33" s="66">
        <v>1.88275E-2</v>
      </c>
      <c r="D33" s="66">
        <v>7.8893699999999997E-2</v>
      </c>
      <c r="E33" s="66">
        <v>0</v>
      </c>
      <c r="F33" s="66">
        <v>0.21019399999999999</v>
      </c>
      <c r="G33" s="66">
        <v>0</v>
      </c>
      <c r="H33" s="66">
        <v>0.28994300000000001</v>
      </c>
    </row>
    <row r="34" spans="1:8">
      <c r="A34" s="66" t="s">
        <v>386</v>
      </c>
      <c r="B34" s="66">
        <v>0.13128100000000001</v>
      </c>
      <c r="C34" s="66">
        <v>9.9646700000000001E-3</v>
      </c>
      <c r="D34" s="66">
        <v>7.5903399999999996E-2</v>
      </c>
      <c r="E34" s="66">
        <v>0.1</v>
      </c>
      <c r="F34" s="66">
        <v>0.11371100000000001</v>
      </c>
      <c r="G34" s="66">
        <v>0.25</v>
      </c>
      <c r="H34" s="66">
        <v>0.154972</v>
      </c>
    </row>
    <row r="35" spans="1:8">
      <c r="A35" s="66" t="s">
        <v>387</v>
      </c>
      <c r="B35" s="66">
        <v>5.0209799999999999E-2</v>
      </c>
      <c r="C35" s="66">
        <v>7.54157E-3</v>
      </c>
      <c r="D35" s="66">
        <v>0.150201</v>
      </c>
      <c r="E35" s="66">
        <v>0</v>
      </c>
      <c r="F35" s="66">
        <v>3.5221099999999998E-2</v>
      </c>
      <c r="G35" s="66">
        <v>0</v>
      </c>
      <c r="H35" s="66">
        <v>6.7153199999999996E-2</v>
      </c>
    </row>
    <row r="36" spans="1:8">
      <c r="A36" s="66" t="s">
        <v>388</v>
      </c>
      <c r="B36" s="66">
        <v>0.12382899999999999</v>
      </c>
      <c r="C36" s="66">
        <v>5.2641100000000003E-2</v>
      </c>
      <c r="D36" s="66">
        <v>0.42510999999999999</v>
      </c>
      <c r="E36" s="66">
        <v>0</v>
      </c>
      <c r="F36" s="66">
        <v>3.3232699999999997E-2</v>
      </c>
      <c r="G36" s="66">
        <v>0</v>
      </c>
      <c r="H36" s="66">
        <v>0.26866499999999999</v>
      </c>
    </row>
    <row r="37" spans="1:8">
      <c r="A37" s="66" t="s">
        <v>389</v>
      </c>
      <c r="B37" s="66">
        <v>9.9646700000000005E-2</v>
      </c>
      <c r="C37" s="66">
        <v>2.7518399999999998E-2</v>
      </c>
      <c r="D37" s="66">
        <v>0.27616000000000002</v>
      </c>
      <c r="E37" s="66">
        <v>0.1</v>
      </c>
      <c r="F37" s="66">
        <v>1.4647E-2</v>
      </c>
      <c r="G37" s="66">
        <v>0.5</v>
      </c>
      <c r="H37" s="66">
        <v>0.109579</v>
      </c>
    </row>
    <row r="38" spans="1:8">
      <c r="A38" s="66" t="s">
        <v>390</v>
      </c>
      <c r="B38" s="66">
        <v>11.176</v>
      </c>
      <c r="C38" s="66">
        <v>38.082999999999998</v>
      </c>
      <c r="D38" s="66">
        <v>3.4075700000000002</v>
      </c>
      <c r="E38" s="66">
        <v>0</v>
      </c>
      <c r="F38" s="66">
        <v>-124.371</v>
      </c>
      <c r="G38" s="66">
        <v>0</v>
      </c>
      <c r="H38" s="66">
        <v>120.175</v>
      </c>
    </row>
    <row r="39" spans="1:8">
      <c r="A39" s="66" t="s">
        <v>391</v>
      </c>
      <c r="B39" s="66">
        <v>5.8626199999999997</v>
      </c>
      <c r="C39" s="66">
        <v>3.95261</v>
      </c>
      <c r="D39" s="66">
        <v>0.67420599999999997</v>
      </c>
      <c r="E39" s="66">
        <v>0</v>
      </c>
      <c r="F39" s="66">
        <v>-3.90821</v>
      </c>
      <c r="G39" s="66">
        <v>0</v>
      </c>
      <c r="H39" s="66">
        <v>14.232699999999999</v>
      </c>
    </row>
    <row r="40" spans="1:8">
      <c r="A40" s="66" t="s">
        <v>392</v>
      </c>
      <c r="B40" s="66">
        <v>2.59362</v>
      </c>
      <c r="C40" s="66">
        <v>0.33324700000000002</v>
      </c>
      <c r="D40" s="66">
        <v>0.12848699999999999</v>
      </c>
      <c r="E40" s="66">
        <v>0</v>
      </c>
      <c r="F40" s="66">
        <v>1.75271</v>
      </c>
      <c r="G40" s="66">
        <v>0</v>
      </c>
      <c r="H40" s="66">
        <v>3.1067300000000002</v>
      </c>
    </row>
    <row r="41" spans="1:8">
      <c r="A41" s="66" t="s">
        <v>393</v>
      </c>
      <c r="B41" s="66">
        <v>8.5095000000000004E-2</v>
      </c>
      <c r="C41" s="66">
        <v>0.34335599999999999</v>
      </c>
      <c r="D41" s="66">
        <v>4.0349700000000004</v>
      </c>
      <c r="E41" s="66">
        <v>0</v>
      </c>
      <c r="F41" s="66">
        <v>-1</v>
      </c>
      <c r="G41" s="66">
        <v>0</v>
      </c>
      <c r="H41" s="66">
        <v>0.88235300000000005</v>
      </c>
    </row>
    <row r="42" spans="1:8">
      <c r="A42" s="66" t="s">
        <v>394</v>
      </c>
      <c r="B42" s="66">
        <v>0.25330000000000003</v>
      </c>
      <c r="C42" s="66">
        <v>0.15632099999999999</v>
      </c>
      <c r="D42" s="66">
        <v>0.61713700000000005</v>
      </c>
      <c r="E42" s="66">
        <v>0</v>
      </c>
      <c r="F42" s="66">
        <v>-0.17846000000000001</v>
      </c>
      <c r="G42" s="66">
        <v>0</v>
      </c>
      <c r="H42" s="66">
        <v>0.43050500000000003</v>
      </c>
    </row>
    <row r="43" spans="1:8">
      <c r="A43" s="66" t="s">
        <v>395</v>
      </c>
      <c r="B43" s="66">
        <v>0.180837</v>
      </c>
      <c r="C43" s="66">
        <v>5.0921399999999999E-2</v>
      </c>
      <c r="D43" s="66">
        <v>0.28158699999999998</v>
      </c>
      <c r="E43" s="66">
        <v>0</v>
      </c>
      <c r="F43" s="66">
        <v>0.135907</v>
      </c>
      <c r="G43" s="66">
        <v>0</v>
      </c>
      <c r="H43" s="66">
        <v>0.311782</v>
      </c>
    </row>
    <row r="44" spans="1:8">
      <c r="A44" s="66" t="s">
        <v>396</v>
      </c>
      <c r="B44" s="66">
        <v>39.776899999999998</v>
      </c>
      <c r="C44" s="66">
        <v>22.165400000000002</v>
      </c>
      <c r="D44" s="66">
        <v>0.55724399999999996</v>
      </c>
      <c r="E44" s="66">
        <v>0</v>
      </c>
      <c r="F44" s="66">
        <v>-3.7780200000000002</v>
      </c>
      <c r="G44" s="66">
        <v>0</v>
      </c>
      <c r="H44" s="66">
        <v>71.0959</v>
      </c>
    </row>
    <row r="45" spans="1:8">
      <c r="A45" s="66" t="s">
        <v>397</v>
      </c>
      <c r="B45" s="66">
        <v>48.389899999999997</v>
      </c>
      <c r="C45" s="66">
        <v>7.1732500000000003</v>
      </c>
      <c r="D45" s="66">
        <v>0.14823900000000001</v>
      </c>
      <c r="E45" s="66">
        <v>0</v>
      </c>
      <c r="F45" s="66">
        <v>38.393799999999999</v>
      </c>
      <c r="G45" s="66">
        <v>0</v>
      </c>
      <c r="H45" s="66">
        <v>69.343900000000005</v>
      </c>
    </row>
    <row r="46" spans="1:8">
      <c r="A46" s="66" t="s">
        <v>398</v>
      </c>
      <c r="B46" s="66">
        <v>19.612100000000002</v>
      </c>
      <c r="C46" s="66">
        <v>5.7001400000000002</v>
      </c>
      <c r="D46" s="66">
        <v>0.29064400000000001</v>
      </c>
      <c r="E46" s="66">
        <v>0</v>
      </c>
      <c r="F46" s="66">
        <v>10.896100000000001</v>
      </c>
      <c r="G46" s="66">
        <v>0</v>
      </c>
      <c r="H46" s="66">
        <v>29.656099999999999</v>
      </c>
    </row>
    <row r="47" spans="1:8">
      <c r="A47" s="66" t="s">
        <v>399</v>
      </c>
      <c r="B47" s="66">
        <v>0.49531900000000001</v>
      </c>
      <c r="C47" s="66">
        <v>0.15806400000000001</v>
      </c>
      <c r="D47" s="66">
        <v>0.31911600000000001</v>
      </c>
      <c r="E47" s="66">
        <v>0</v>
      </c>
      <c r="F47" s="66">
        <v>0.16386899999999999</v>
      </c>
      <c r="G47" s="66">
        <v>0</v>
      </c>
      <c r="H47" s="66">
        <v>1.03318</v>
      </c>
    </row>
    <row r="48" spans="1:8">
      <c r="A48" s="66" t="s">
        <v>400</v>
      </c>
      <c r="B48" s="66">
        <v>0.50563400000000003</v>
      </c>
      <c r="C48" s="66">
        <v>6.2700199999999998E-2</v>
      </c>
      <c r="D48" s="66">
        <v>0.124003</v>
      </c>
      <c r="E48" s="66">
        <v>0</v>
      </c>
      <c r="F48" s="66">
        <v>0.470163</v>
      </c>
      <c r="G48" s="66">
        <v>0</v>
      </c>
      <c r="H48" s="66">
        <v>0.72744299999999995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35.586799999999997</v>
      </c>
      <c r="C5" s="66">
        <v>1.96861</v>
      </c>
      <c r="D5" s="66">
        <v>5.53186</v>
      </c>
      <c r="E5" s="66">
        <v>20</v>
      </c>
      <c r="F5" s="66">
        <v>31.029699999999998</v>
      </c>
      <c r="G5" s="66">
        <v>50</v>
      </c>
      <c r="H5" s="66">
        <v>41.095700000000001</v>
      </c>
    </row>
    <row r="6" spans="1:8">
      <c r="A6" s="66" t="s">
        <v>358</v>
      </c>
      <c r="B6" s="66">
        <v>36.734499999999997</v>
      </c>
      <c r="C6" s="66">
        <v>1.0120499999999999</v>
      </c>
      <c r="D6" s="66">
        <v>2.7550500000000002</v>
      </c>
      <c r="E6" s="66">
        <v>20</v>
      </c>
      <c r="F6" s="66">
        <v>35.813200000000002</v>
      </c>
      <c r="G6" s="66">
        <v>40</v>
      </c>
      <c r="H6" s="66">
        <v>39.087400000000002</v>
      </c>
    </row>
    <row r="7" spans="1:8">
      <c r="A7" s="66" t="s">
        <v>359</v>
      </c>
      <c r="B7" s="66">
        <v>34.187399999999997</v>
      </c>
      <c r="C7" s="66">
        <v>4.41106</v>
      </c>
      <c r="D7" s="66">
        <v>12.9026</v>
      </c>
      <c r="E7" s="66">
        <v>15</v>
      </c>
      <c r="F7" s="66">
        <v>25.503499999999999</v>
      </c>
      <c r="G7" s="66">
        <v>40</v>
      </c>
      <c r="H7" s="66">
        <v>43.352699999999999</v>
      </c>
    </row>
    <row r="8" spans="1:8">
      <c r="A8" s="66" t="s">
        <v>360</v>
      </c>
      <c r="B8" s="66">
        <v>35.784799999999997</v>
      </c>
      <c r="C8" s="66">
        <v>1.63276</v>
      </c>
      <c r="D8" s="66">
        <v>4.5627199999999997</v>
      </c>
      <c r="E8" s="66">
        <v>20</v>
      </c>
      <c r="F8" s="66">
        <v>32.814999999999998</v>
      </c>
      <c r="G8" s="66">
        <v>50</v>
      </c>
      <c r="H8" s="66">
        <v>37.744199999999999</v>
      </c>
    </row>
    <row r="9" spans="1:8">
      <c r="A9" s="66" t="s">
        <v>361</v>
      </c>
      <c r="B9" s="66">
        <v>71.420400000000001</v>
      </c>
      <c r="C9" s="66">
        <v>3.2095199999999999</v>
      </c>
      <c r="D9" s="66">
        <v>4.4938399999999996</v>
      </c>
      <c r="E9" s="66">
        <v>50</v>
      </c>
      <c r="F9" s="66">
        <v>62.706600000000002</v>
      </c>
      <c r="G9" s="66">
        <v>100</v>
      </c>
      <c r="H9" s="66">
        <v>76.938800000000001</v>
      </c>
    </row>
    <row r="10" spans="1:8">
      <c r="A10" s="66" t="s">
        <v>362</v>
      </c>
      <c r="B10" s="66">
        <v>72.021299999999997</v>
      </c>
      <c r="C10" s="66">
        <v>3.35297</v>
      </c>
      <c r="D10" s="66">
        <v>4.6555200000000001</v>
      </c>
      <c r="E10" s="66">
        <v>40</v>
      </c>
      <c r="F10" s="66">
        <v>61.962200000000003</v>
      </c>
      <c r="G10" s="66">
        <v>100</v>
      </c>
      <c r="H10" s="66">
        <v>73.630300000000005</v>
      </c>
    </row>
    <row r="11" spans="1:8">
      <c r="A11" s="66" t="s">
        <v>363</v>
      </c>
      <c r="B11" s="66">
        <v>15.7723</v>
      </c>
      <c r="C11" s="66">
        <v>1.2560800000000001</v>
      </c>
      <c r="D11" s="66">
        <v>7.9638200000000001</v>
      </c>
      <c r="E11" s="66">
        <v>10</v>
      </c>
      <c r="F11" s="66">
        <v>14.081300000000001</v>
      </c>
      <c r="G11" s="66">
        <v>50</v>
      </c>
      <c r="H11" s="66">
        <v>18.384899999999998</v>
      </c>
    </row>
    <row r="12" spans="1:8">
      <c r="A12" s="66" t="s">
        <v>364</v>
      </c>
      <c r="B12" s="66">
        <v>71.575400000000002</v>
      </c>
      <c r="C12" s="66">
        <v>2.5078800000000001</v>
      </c>
      <c r="D12" s="66">
        <v>3.5038299999999998</v>
      </c>
      <c r="E12" s="66">
        <v>50</v>
      </c>
      <c r="F12" s="66">
        <v>64.86</v>
      </c>
      <c r="G12" s="66">
        <v>100</v>
      </c>
      <c r="H12" s="66">
        <v>74.769300000000001</v>
      </c>
    </row>
    <row r="13" spans="1:8">
      <c r="A13" s="66" t="s">
        <v>365</v>
      </c>
      <c r="B13" s="66">
        <v>13.3515</v>
      </c>
      <c r="C13" s="66">
        <v>1.10792</v>
      </c>
      <c r="D13" s="66">
        <v>8.2980499999999999</v>
      </c>
      <c r="E13" s="66">
        <v>10</v>
      </c>
      <c r="F13" s="66">
        <v>11.006600000000001</v>
      </c>
      <c r="G13" s="66">
        <v>25</v>
      </c>
      <c r="H13" s="66">
        <v>15.653700000000001</v>
      </c>
    </row>
    <row r="14" spans="1:8">
      <c r="A14" s="66" t="s">
        <v>366</v>
      </c>
      <c r="B14" s="66">
        <v>11.0792</v>
      </c>
      <c r="C14" s="66">
        <v>2.7871700000000001</v>
      </c>
      <c r="D14" s="66">
        <v>25.1568</v>
      </c>
      <c r="E14" s="66">
        <v>10</v>
      </c>
      <c r="F14" s="66">
        <v>2.0008300000000001</v>
      </c>
      <c r="G14" s="66">
        <v>50</v>
      </c>
      <c r="H14" s="66">
        <v>15.4049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0.62803299999999995</v>
      </c>
      <c r="C18" s="66">
        <v>3.22116E-2</v>
      </c>
      <c r="D18" s="66">
        <v>5.1289599999999998E-2</v>
      </c>
      <c r="E18" s="66">
        <v>0</v>
      </c>
      <c r="F18" s="66">
        <v>0.59582199999999996</v>
      </c>
      <c r="G18" s="66">
        <v>0</v>
      </c>
      <c r="H18" s="66">
        <v>0.66024499999999997</v>
      </c>
    </row>
    <row r="19" spans="1:8">
      <c r="A19" s="66" t="s">
        <v>371</v>
      </c>
      <c r="B19" s="66">
        <v>0.77549400000000002</v>
      </c>
      <c r="C19" s="66">
        <v>3.3329400000000002E-2</v>
      </c>
      <c r="D19" s="66">
        <v>4.2978299999999997E-2</v>
      </c>
      <c r="E19" s="66">
        <v>0</v>
      </c>
      <c r="F19" s="66">
        <v>0.74216499999999996</v>
      </c>
      <c r="G19" s="66">
        <v>0</v>
      </c>
      <c r="H19" s="66">
        <v>0.80882399999999999</v>
      </c>
    </row>
    <row r="20" spans="1:8">
      <c r="A20" s="66" t="s">
        <v>401</v>
      </c>
      <c r="B20" s="66">
        <v>1.2792E-2</v>
      </c>
      <c r="C20" s="66">
        <v>2.9397300000000002E-3</v>
      </c>
      <c r="D20" s="66">
        <v>0.22981099999999999</v>
      </c>
      <c r="E20" s="66">
        <v>0</v>
      </c>
      <c r="F20" s="66">
        <v>9.9351100000000005E-3</v>
      </c>
      <c r="G20" s="66">
        <v>0</v>
      </c>
      <c r="H20" s="66">
        <v>4.63965E-2</v>
      </c>
    </row>
    <row r="21" spans="1:8">
      <c r="A21" s="66" t="s">
        <v>373</v>
      </c>
      <c r="B21" s="66">
        <v>4.9193000000000001E-2</v>
      </c>
      <c r="C21" s="66">
        <v>3.8252300000000003E-2</v>
      </c>
      <c r="D21" s="66">
        <v>0.77759500000000004</v>
      </c>
      <c r="E21" s="66">
        <v>0</v>
      </c>
      <c r="F21" s="66">
        <v>1.28866E-2</v>
      </c>
      <c r="G21" s="66">
        <v>0</v>
      </c>
      <c r="H21" s="66">
        <v>0.15940499999999999</v>
      </c>
    </row>
    <row r="22" spans="1:8">
      <c r="A22" s="66" t="s">
        <v>374</v>
      </c>
      <c r="B22" s="66">
        <v>18.5762</v>
      </c>
      <c r="C22" s="66">
        <v>4.4928299999999997</v>
      </c>
      <c r="D22" s="66">
        <v>0.24185999999999999</v>
      </c>
      <c r="E22" s="66">
        <v>0</v>
      </c>
      <c r="F22" s="66">
        <v>14.145300000000001</v>
      </c>
      <c r="G22" s="66">
        <v>0</v>
      </c>
      <c r="H22" s="66">
        <v>32.274299999999997</v>
      </c>
    </row>
    <row r="23" spans="1:8">
      <c r="A23" s="66" t="s">
        <v>375</v>
      </c>
      <c r="B23" s="66">
        <v>9.3545800000000003</v>
      </c>
      <c r="C23" s="66">
        <v>0.115857</v>
      </c>
      <c r="D23" s="66">
        <v>1.2385E-2</v>
      </c>
      <c r="E23" s="66">
        <v>0</v>
      </c>
      <c r="F23" s="66">
        <v>9.0887600000000006</v>
      </c>
      <c r="G23" s="66">
        <v>0</v>
      </c>
      <c r="H23" s="66">
        <v>9.5541599999999995</v>
      </c>
    </row>
    <row r="24" spans="1:8">
      <c r="A24" s="66" t="s">
        <v>402</v>
      </c>
      <c r="B24" s="66">
        <v>1.2953599999999999E-2</v>
      </c>
      <c r="C24" s="66">
        <v>1.61757E-3</v>
      </c>
      <c r="D24" s="66">
        <v>0.124874</v>
      </c>
      <c r="E24" s="66">
        <v>0</v>
      </c>
      <c r="F24" s="66">
        <v>1.16262E-2</v>
      </c>
      <c r="G24" s="66">
        <v>0</v>
      </c>
      <c r="H24" s="66">
        <v>2.3879399999999999E-2</v>
      </c>
    </row>
    <row r="25" spans="1:8">
      <c r="A25" s="66" t="s">
        <v>377</v>
      </c>
      <c r="B25" s="66">
        <v>5.46665E-2</v>
      </c>
      <c r="C25" s="66">
        <v>1.4028000000000001E-2</v>
      </c>
      <c r="D25" s="66">
        <v>0.25661099999999998</v>
      </c>
      <c r="E25" s="66">
        <v>0</v>
      </c>
      <c r="F25" s="66">
        <v>2.5505799999999999E-2</v>
      </c>
      <c r="G25" s="66">
        <v>0</v>
      </c>
      <c r="H25" s="66">
        <v>8.1069500000000003E-2</v>
      </c>
    </row>
    <row r="26" spans="1:8">
      <c r="A26" s="66" t="s">
        <v>378</v>
      </c>
      <c r="B26" s="66">
        <v>2.3700100000000001E-3</v>
      </c>
      <c r="C26" s="66">
        <v>4.3337099999999999E-4</v>
      </c>
      <c r="D26" s="66">
        <v>0.18285599999999999</v>
      </c>
      <c r="E26" s="66">
        <v>0</v>
      </c>
      <c r="F26" s="66">
        <v>1.8382400000000001E-3</v>
      </c>
      <c r="G26" s="66">
        <v>0</v>
      </c>
      <c r="H26" s="66">
        <v>4.8319299999999999E-3</v>
      </c>
    </row>
    <row r="27" spans="1:8">
      <c r="A27" s="66" t="s">
        <v>379</v>
      </c>
      <c r="B27" s="196">
        <v>-3.2824499999999998E-6</v>
      </c>
      <c r="C27" s="66">
        <v>4.1451500000000001E-4</v>
      </c>
      <c r="D27" s="66">
        <v>-126.282</v>
      </c>
      <c r="E27" s="66">
        <v>0</v>
      </c>
      <c r="F27" s="66">
        <v>-1.9695400000000001E-3</v>
      </c>
      <c r="G27" s="66">
        <v>0</v>
      </c>
      <c r="H27" s="66">
        <v>2.2485600000000001E-3</v>
      </c>
    </row>
    <row r="28" spans="1:8">
      <c r="A28" s="66" t="s">
        <v>380</v>
      </c>
      <c r="B28" s="66">
        <v>1.14079E-2</v>
      </c>
      <c r="C28" s="66">
        <v>7.2955800000000003E-3</v>
      </c>
      <c r="D28" s="66">
        <v>0.63952100000000001</v>
      </c>
      <c r="E28" s="66">
        <v>0</v>
      </c>
      <c r="F28" s="66">
        <v>2.3242200000000001E-3</v>
      </c>
      <c r="G28" s="66">
        <v>0</v>
      </c>
      <c r="H28" s="66">
        <v>2.7965500000000001E-2</v>
      </c>
    </row>
    <row r="29" spans="1:8">
      <c r="A29" s="66" t="s">
        <v>381</v>
      </c>
      <c r="B29" s="66">
        <v>55.603400000000001</v>
      </c>
      <c r="C29" s="66">
        <v>6.55863</v>
      </c>
      <c r="D29" s="66">
        <v>0.117954</v>
      </c>
      <c r="E29" s="66">
        <v>0</v>
      </c>
      <c r="F29" s="66">
        <v>44.017899999999997</v>
      </c>
      <c r="G29" s="66">
        <v>0</v>
      </c>
      <c r="H29" s="66">
        <v>73.835300000000004</v>
      </c>
    </row>
    <row r="30" spans="1:8">
      <c r="A30" s="66" t="s">
        <v>382</v>
      </c>
      <c r="B30" s="66">
        <v>17.872800000000002</v>
      </c>
      <c r="C30" s="66">
        <v>0.33250099999999999</v>
      </c>
      <c r="D30" s="66">
        <v>1.86038E-2</v>
      </c>
      <c r="E30" s="66">
        <v>0</v>
      </c>
      <c r="F30" s="66">
        <v>17.054099999999998</v>
      </c>
      <c r="G30" s="66">
        <v>0</v>
      </c>
      <c r="H30" s="66">
        <v>18.4876</v>
      </c>
    </row>
    <row r="31" spans="1:8">
      <c r="A31" s="66" t="s">
        <v>383</v>
      </c>
      <c r="B31" s="66">
        <v>105.52</v>
      </c>
      <c r="C31" s="66">
        <v>6.5620599999999998</v>
      </c>
      <c r="D31" s="66">
        <v>6.2187800000000001E-2</v>
      </c>
      <c r="E31" s="66">
        <v>0</v>
      </c>
      <c r="F31" s="66">
        <v>97.021000000000001</v>
      </c>
      <c r="G31" s="66">
        <v>0</v>
      </c>
      <c r="H31" s="66">
        <v>116.961</v>
      </c>
    </row>
    <row r="32" spans="1:8">
      <c r="A32" s="66" t="s">
        <v>384</v>
      </c>
      <c r="B32" s="66">
        <v>0.34187400000000001</v>
      </c>
      <c r="C32" s="66">
        <v>4.41106E-2</v>
      </c>
      <c r="D32" s="66">
        <v>0.129026</v>
      </c>
      <c r="E32" s="66">
        <v>0.15</v>
      </c>
      <c r="F32" s="66">
        <v>0.25503500000000001</v>
      </c>
      <c r="G32" s="66">
        <v>0.4</v>
      </c>
      <c r="H32" s="66">
        <v>0.433527</v>
      </c>
    </row>
    <row r="33" spans="1:8">
      <c r="A33" s="66" t="s">
        <v>385</v>
      </c>
      <c r="B33" s="66">
        <v>0.32379200000000002</v>
      </c>
      <c r="C33" s="66">
        <v>2.1042000000000002E-2</v>
      </c>
      <c r="D33" s="66">
        <v>6.4986199999999994E-2</v>
      </c>
      <c r="E33" s="66">
        <v>0</v>
      </c>
      <c r="F33" s="66">
        <v>0.27792899999999998</v>
      </c>
      <c r="G33" s="66">
        <v>0</v>
      </c>
      <c r="H33" s="66">
        <v>0.346777</v>
      </c>
    </row>
    <row r="34" spans="1:8">
      <c r="A34" s="66" t="s">
        <v>386</v>
      </c>
      <c r="B34" s="66">
        <v>0.13351499999999999</v>
      </c>
      <c r="C34" s="66">
        <v>1.1079200000000001E-2</v>
      </c>
      <c r="D34" s="66">
        <v>8.2980499999999999E-2</v>
      </c>
      <c r="E34" s="66">
        <v>0.1</v>
      </c>
      <c r="F34" s="66">
        <v>0.110066</v>
      </c>
      <c r="G34" s="66">
        <v>0.25</v>
      </c>
      <c r="H34" s="66">
        <v>0.15653700000000001</v>
      </c>
    </row>
    <row r="35" spans="1:8">
      <c r="A35" s="66" t="s">
        <v>387</v>
      </c>
      <c r="B35" s="66">
        <v>5.3206799999999999E-2</v>
      </c>
      <c r="C35" s="66">
        <v>1.6190300000000001E-2</v>
      </c>
      <c r="D35" s="66">
        <v>0.30428899999999998</v>
      </c>
      <c r="E35" s="66">
        <v>0</v>
      </c>
      <c r="F35" s="66">
        <v>3.4859899999999999E-2</v>
      </c>
      <c r="G35" s="66">
        <v>0</v>
      </c>
      <c r="H35" s="66">
        <v>0.105605</v>
      </c>
    </row>
    <row r="36" spans="1:8">
      <c r="A36" s="66" t="s">
        <v>388</v>
      </c>
      <c r="B36" s="66">
        <v>0.12409199999999999</v>
      </c>
      <c r="C36" s="66">
        <v>6.11523E-2</v>
      </c>
      <c r="D36" s="66">
        <v>0.49279800000000001</v>
      </c>
      <c r="E36" s="66">
        <v>0</v>
      </c>
      <c r="F36" s="66">
        <v>4.5975200000000001E-2</v>
      </c>
      <c r="G36" s="66">
        <v>0</v>
      </c>
      <c r="H36" s="66">
        <v>0.41994399999999998</v>
      </c>
    </row>
    <row r="37" spans="1:8">
      <c r="A37" s="66" t="s">
        <v>389</v>
      </c>
      <c r="B37" s="66">
        <v>0.110792</v>
      </c>
      <c r="C37" s="66">
        <v>2.7871699999999999E-2</v>
      </c>
      <c r="D37" s="66">
        <v>0.25156800000000001</v>
      </c>
      <c r="E37" s="66">
        <v>0.1</v>
      </c>
      <c r="F37" s="66">
        <v>2.00083E-2</v>
      </c>
      <c r="G37" s="66">
        <v>0.5</v>
      </c>
      <c r="H37" s="66">
        <v>0.15404899999999999</v>
      </c>
    </row>
    <row r="38" spans="1:8">
      <c r="A38" s="66" t="s">
        <v>390</v>
      </c>
      <c r="B38" s="66">
        <v>4.13971</v>
      </c>
      <c r="C38" s="66">
        <v>36.575299999999999</v>
      </c>
      <c r="D38" s="66">
        <v>8.8352400000000006</v>
      </c>
      <c r="E38" s="66">
        <v>0</v>
      </c>
      <c r="F38" s="66">
        <v>-128.86199999999999</v>
      </c>
      <c r="G38" s="66">
        <v>0</v>
      </c>
      <c r="H38" s="66">
        <v>118.83499999999999</v>
      </c>
    </row>
    <row r="39" spans="1:8">
      <c r="A39" s="66" t="s">
        <v>391</v>
      </c>
      <c r="B39" s="66">
        <v>2.9344899999999998</v>
      </c>
      <c r="C39" s="66">
        <v>3.9818799999999999</v>
      </c>
      <c r="D39" s="66">
        <v>1.35693</v>
      </c>
      <c r="E39" s="66">
        <v>0</v>
      </c>
      <c r="F39" s="66">
        <v>-4.9206500000000002</v>
      </c>
      <c r="G39" s="66">
        <v>0</v>
      </c>
      <c r="H39" s="66">
        <v>13.5724</v>
      </c>
    </row>
    <row r="40" spans="1:8">
      <c r="A40" s="66" t="s">
        <v>392</v>
      </c>
      <c r="B40" s="66">
        <v>2.1668099999999999</v>
      </c>
      <c r="C40" s="66">
        <v>0.238065</v>
      </c>
      <c r="D40" s="66">
        <v>0.10986899999999999</v>
      </c>
      <c r="E40" s="66">
        <v>0</v>
      </c>
      <c r="F40" s="66">
        <v>1.861</v>
      </c>
      <c r="G40" s="66">
        <v>0</v>
      </c>
      <c r="H40" s="66">
        <v>2.6526000000000001</v>
      </c>
    </row>
    <row r="41" spans="1:8">
      <c r="A41" s="66" t="s">
        <v>393</v>
      </c>
      <c r="B41" s="66">
        <v>2.06749E-2</v>
      </c>
      <c r="C41" s="66">
        <v>0.32661000000000001</v>
      </c>
      <c r="D41" s="66">
        <v>15.7974</v>
      </c>
      <c r="E41" s="66">
        <v>0</v>
      </c>
      <c r="F41" s="66">
        <v>-0.91780799999999996</v>
      </c>
      <c r="G41" s="66">
        <v>0</v>
      </c>
      <c r="H41" s="66">
        <v>0.61084499999999997</v>
      </c>
    </row>
    <row r="42" spans="1:8">
      <c r="A42" s="66" t="s">
        <v>394</v>
      </c>
      <c r="B42" s="66">
        <v>0.176451</v>
      </c>
      <c r="C42" s="66">
        <v>0.14255799999999999</v>
      </c>
      <c r="D42" s="66">
        <v>0.80791599999999997</v>
      </c>
      <c r="E42" s="66">
        <v>0</v>
      </c>
      <c r="F42" s="66">
        <v>-0.22995099999999999</v>
      </c>
      <c r="G42" s="66">
        <v>0</v>
      </c>
      <c r="H42" s="66">
        <v>0.420657</v>
      </c>
    </row>
    <row r="43" spans="1:8">
      <c r="A43" s="66" t="s">
        <v>395</v>
      </c>
      <c r="B43" s="66">
        <v>0.12711700000000001</v>
      </c>
      <c r="C43" s="66">
        <v>1.9926699999999999E-2</v>
      </c>
      <c r="D43" s="66">
        <v>0.15675900000000001</v>
      </c>
      <c r="E43" s="66">
        <v>0</v>
      </c>
      <c r="F43" s="66">
        <v>0.102328</v>
      </c>
      <c r="G43" s="66">
        <v>0</v>
      </c>
      <c r="H43" s="66">
        <v>0.17647099999999999</v>
      </c>
    </row>
    <row r="44" spans="1:8">
      <c r="A44" s="66" t="s">
        <v>396</v>
      </c>
      <c r="B44" s="66">
        <v>60.607599999999998</v>
      </c>
      <c r="C44" s="66">
        <v>6.1192599999999997</v>
      </c>
      <c r="D44" s="66">
        <v>0.100965</v>
      </c>
      <c r="E44" s="66">
        <v>0</v>
      </c>
      <c r="F44" s="66">
        <v>46.411700000000003</v>
      </c>
      <c r="G44" s="66">
        <v>0</v>
      </c>
      <c r="H44" s="66">
        <v>69.131799999999998</v>
      </c>
    </row>
    <row r="45" spans="1:8">
      <c r="A45" s="66" t="s">
        <v>397</v>
      </c>
      <c r="B45" s="66">
        <v>46.309699999999999</v>
      </c>
      <c r="C45" s="66">
        <v>6.6357100000000004</v>
      </c>
      <c r="D45" s="66">
        <v>0.14329</v>
      </c>
      <c r="E45" s="66">
        <v>0</v>
      </c>
      <c r="F45" s="66">
        <v>34.735100000000003</v>
      </c>
      <c r="G45" s="66">
        <v>0</v>
      </c>
      <c r="H45" s="66">
        <v>63.350200000000001</v>
      </c>
    </row>
    <row r="46" spans="1:8">
      <c r="A46" s="66" t="s">
        <v>398</v>
      </c>
      <c r="B46" s="66">
        <v>30.052</v>
      </c>
      <c r="C46" s="66">
        <v>0.85254600000000003</v>
      </c>
      <c r="D46" s="66">
        <v>2.8369100000000001E-2</v>
      </c>
      <c r="E46" s="66">
        <v>0</v>
      </c>
      <c r="F46" s="66">
        <v>28.363399999999999</v>
      </c>
      <c r="G46" s="66">
        <v>0</v>
      </c>
      <c r="H46" s="66">
        <v>31.413799999999998</v>
      </c>
    </row>
    <row r="47" spans="1:8">
      <c r="A47" s="66" t="s">
        <v>399</v>
      </c>
      <c r="B47" s="66">
        <v>0.52644500000000005</v>
      </c>
      <c r="C47" s="66">
        <v>0.200404</v>
      </c>
      <c r="D47" s="66">
        <v>0.38067400000000001</v>
      </c>
      <c r="E47" s="66">
        <v>0</v>
      </c>
      <c r="F47" s="66">
        <v>0.171934</v>
      </c>
      <c r="G47" s="66">
        <v>0</v>
      </c>
      <c r="H47" s="66">
        <v>1.06247</v>
      </c>
    </row>
    <row r="48" spans="1:8">
      <c r="A48" s="66" t="s">
        <v>400</v>
      </c>
      <c r="B48" s="66">
        <v>0.547485</v>
      </c>
      <c r="C48" s="66">
        <v>9.6898300000000007E-2</v>
      </c>
      <c r="D48" s="66">
        <v>0.17698800000000001</v>
      </c>
      <c r="E48" s="66">
        <v>0</v>
      </c>
      <c r="F48" s="66">
        <v>0.44643300000000002</v>
      </c>
      <c r="G48" s="66">
        <v>0</v>
      </c>
      <c r="H48" s="66">
        <v>0.75702100000000005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403</v>
      </c>
      <c r="B1" s="60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61.441129298854911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1.1862740015736284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0.5964328712592144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9905</v>
      </c>
      <c r="B8" s="66">
        <v>9905</v>
      </c>
      <c r="D8">
        <f t="shared" si="0"/>
        <v>0.17576392092841681</v>
      </c>
      <c r="E8">
        <f t="shared" si="0"/>
        <v>0.17576392092841681</v>
      </c>
      <c r="G8">
        <f t="shared" ca="1" si="1"/>
        <v>6</v>
      </c>
      <c r="H8">
        <f t="shared" ca="1" si="2"/>
        <v>1.0545835255705009</v>
      </c>
      <c r="I8">
        <f t="shared" ca="1" si="3"/>
        <v>540.24887127124805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15439</v>
      </c>
      <c r="B10" s="66">
        <v>15439</v>
      </c>
      <c r="D10">
        <f t="shared" si="0"/>
        <v>0.2739645810412748</v>
      </c>
      <c r="E10">
        <f t="shared" si="0"/>
        <v>0.2739645810412748</v>
      </c>
      <c r="G10">
        <f t="shared" ca="1" si="1"/>
        <v>8</v>
      </c>
      <c r="H10">
        <f t="shared" ca="1" si="2"/>
        <v>2.1917166483301984</v>
      </c>
      <c r="I10">
        <f t="shared" ca="1" si="3"/>
        <v>782.43032347441965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21250</v>
      </c>
      <c r="B13" s="66">
        <v>21250</v>
      </c>
      <c r="D13">
        <f t="shared" si="0"/>
        <v>0.37708059765056606</v>
      </c>
      <c r="E13">
        <f t="shared" si="0"/>
        <v>0.37708059765056606</v>
      </c>
      <c r="G13">
        <f t="shared" ca="1" si="1"/>
        <v>11</v>
      </c>
      <c r="H13">
        <f t="shared" ca="1" si="2"/>
        <v>4.1478865741562263</v>
      </c>
      <c r="I13">
        <f t="shared" ca="1" si="3"/>
        <v>959.40900211264034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22232</v>
      </c>
      <c r="B15" s="66">
        <v>22232</v>
      </c>
      <c r="D15">
        <f t="shared" si="0"/>
        <v>0.39450615750434753</v>
      </c>
      <c r="E15">
        <f t="shared" si="0"/>
        <v>0.39450615750434753</v>
      </c>
      <c r="G15">
        <f t="shared" ca="1" si="1"/>
        <v>13</v>
      </c>
      <c r="H15">
        <f t="shared" ca="1" si="2"/>
        <v>5.1285800475565182</v>
      </c>
      <c r="I15">
        <f t="shared" ca="1" si="3"/>
        <v>925.7256654055077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23376</v>
      </c>
      <c r="B18" s="66">
        <v>23376</v>
      </c>
      <c r="D18">
        <f t="shared" si="0"/>
        <v>0.41480640238492389</v>
      </c>
      <c r="E18">
        <f t="shared" si="0"/>
        <v>0.41480640238492389</v>
      </c>
      <c r="G18">
        <f t="shared" ca="1" si="1"/>
        <v>16</v>
      </c>
      <c r="H18">
        <f t="shared" ca="1" si="2"/>
        <v>6.6369024381587822</v>
      </c>
      <c r="I18">
        <f t="shared" ca="1" si="3"/>
        <v>856.53217727554261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27644</v>
      </c>
      <c r="B21" s="66">
        <v>27644</v>
      </c>
      <c r="D21">
        <f t="shared" si="0"/>
        <v>0.49054193136245872</v>
      </c>
      <c r="E21">
        <f t="shared" si="0"/>
        <v>0.49054193136245872</v>
      </c>
      <c r="G21">
        <f t="shared" ca="1" si="1"/>
        <v>19</v>
      </c>
      <c r="H21">
        <f t="shared" ca="1" si="2"/>
        <v>9.3202966958867162</v>
      </c>
      <c r="I21">
        <f t="shared" ca="1" si="3"/>
        <v>883.58838709134511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39043</v>
      </c>
      <c r="B23" s="66">
        <v>39043</v>
      </c>
      <c r="D23">
        <f t="shared" si="0"/>
        <v>0.69281683642687297</v>
      </c>
      <c r="E23">
        <f t="shared" si="0"/>
        <v>0.69281683642687297</v>
      </c>
      <c r="G23">
        <f t="shared" ca="1" si="1"/>
        <v>21</v>
      </c>
      <c r="H23">
        <f t="shared" ca="1" si="2"/>
        <v>14.549153564964332</v>
      </c>
      <c r="I23">
        <f t="shared" ca="1" si="3"/>
        <v>1133.0915014387072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42834</v>
      </c>
      <c r="B26" s="66">
        <v>42834</v>
      </c>
      <c r="D26">
        <f t="shared" si="0"/>
        <v>0.76008801504773393</v>
      </c>
      <c r="E26">
        <f t="shared" si="0"/>
        <v>0.76008801504773393</v>
      </c>
      <c r="G26">
        <f t="shared" ca="1" si="1"/>
        <v>24</v>
      </c>
      <c r="H26">
        <f t="shared" ca="1" si="2"/>
        <v>18.242112361145615</v>
      </c>
      <c r="I26">
        <f t="shared" ca="1" si="3"/>
        <v>1065.5203868647616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42126</v>
      </c>
      <c r="B28" s="66">
        <v>42126</v>
      </c>
      <c r="D28">
        <f t="shared" si="0"/>
        <v>0.74752457678248219</v>
      </c>
      <c r="E28">
        <f t="shared" si="0"/>
        <v>0.74752457678248219</v>
      </c>
      <c r="G28">
        <f t="shared" ca="1" si="1"/>
        <v>26</v>
      </c>
      <c r="H28">
        <f t="shared" ca="1" si="2"/>
        <v>19.435638996344537</v>
      </c>
      <c r="I28">
        <f t="shared" ca="1" si="3"/>
        <v>938.94592061744743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44215</v>
      </c>
      <c r="B31" s="66">
        <v>44215</v>
      </c>
      <c r="D31">
        <f t="shared" si="0"/>
        <v>0.78459381765269542</v>
      </c>
      <c r="E31">
        <f t="shared" si="0"/>
        <v>0.78459381765269542</v>
      </c>
      <c r="G31">
        <f t="shared" ca="1" si="1"/>
        <v>29</v>
      </c>
      <c r="H31">
        <f t="shared" ca="1" si="2"/>
        <v>22.753220711928169</v>
      </c>
      <c r="I31">
        <f t="shared" ca="1" si="3"/>
        <v>825.72761587874459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46056</v>
      </c>
      <c r="B33" s="66">
        <v>46056</v>
      </c>
      <c r="D33">
        <f t="shared" si="0"/>
        <v>0.81726230613621043</v>
      </c>
      <c r="E33">
        <f t="shared" si="0"/>
        <v>0.81726230613621043</v>
      </c>
      <c r="G33">
        <f t="shared" ca="1" si="1"/>
        <v>31</v>
      </c>
      <c r="H33">
        <f t="shared" ca="1" si="2"/>
        <v>25.335131490222523</v>
      </c>
      <c r="I33">
        <f t="shared" ca="1" si="3"/>
        <v>757.32621161388988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50187</v>
      </c>
      <c r="B36" s="66">
        <v>50187</v>
      </c>
      <c r="D36">
        <f t="shared" si="0"/>
        <v>0.89056677431948039</v>
      </c>
      <c r="E36">
        <f t="shared" si="0"/>
        <v>0.89056677431948039</v>
      </c>
      <c r="G36">
        <f t="shared" ca="1" si="1"/>
        <v>34</v>
      </c>
      <c r="H36">
        <f t="shared" ca="1" si="2"/>
        <v>30.279270326862335</v>
      </c>
      <c r="I36">
        <f t="shared" ca="1" si="3"/>
        <v>670.61065359618499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50085</v>
      </c>
      <c r="B39" s="66">
        <v>50085</v>
      </c>
      <c r="D39">
        <f t="shared" si="0"/>
        <v>0.8887567874507577</v>
      </c>
      <c r="E39">
        <f t="shared" si="0"/>
        <v>0.8887567874507577</v>
      </c>
      <c r="G39">
        <f t="shared" ca="1" si="1"/>
        <v>37</v>
      </c>
      <c r="H39">
        <f t="shared" ca="1" si="2"/>
        <v>32.884001135678034</v>
      </c>
      <c r="I39">
        <f t="shared" ca="1" si="3"/>
        <v>530.91557685854559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56354</v>
      </c>
      <c r="B41" s="66">
        <v>56354</v>
      </c>
      <c r="D41">
        <f t="shared" si="0"/>
        <v>1</v>
      </c>
      <c r="E41">
        <f t="shared" si="0"/>
        <v>1</v>
      </c>
      <c r="G41">
        <f t="shared" ca="1" si="1"/>
        <v>39</v>
      </c>
      <c r="H41">
        <f t="shared" ca="1" si="2"/>
        <v>39</v>
      </c>
      <c r="I41">
        <f t="shared" ca="1" si="3"/>
        <v>503.60428420792431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52027</v>
      </c>
      <c r="B44" s="66">
        <v>52027</v>
      </c>
      <c r="D44">
        <f t="shared" si="0"/>
        <v>0.9232175178336941</v>
      </c>
      <c r="E44">
        <f t="shared" si="0"/>
        <v>0.9232175178336941</v>
      </c>
      <c r="G44">
        <f t="shared" ca="1" si="1"/>
        <v>42</v>
      </c>
      <c r="H44">
        <f t="shared" ca="1" si="2"/>
        <v>38.775135749015149</v>
      </c>
      <c r="I44">
        <f t="shared" ca="1" si="3"/>
        <v>348.93699276531447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54338</v>
      </c>
      <c r="B46" s="66">
        <v>54338</v>
      </c>
      <c r="D46">
        <f t="shared" si="0"/>
        <v>0.96422614188877454</v>
      </c>
      <c r="E46">
        <f t="shared" si="0"/>
        <v>0.96422614188877454</v>
      </c>
      <c r="G46">
        <f t="shared" ca="1" si="1"/>
        <v>44</v>
      </c>
      <c r="H46">
        <f t="shared" ca="1" si="2"/>
        <v>42.42595024310608</v>
      </c>
      <c r="I46">
        <f t="shared" ca="1" si="3"/>
        <v>293.31083431306399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56202</v>
      </c>
      <c r="B49" s="66">
        <v>56202</v>
      </c>
      <c r="D49">
        <f t="shared" si="0"/>
        <v>0.99730276466621715</v>
      </c>
      <c r="E49">
        <f t="shared" si="0"/>
        <v>0.99730276466621715</v>
      </c>
      <c r="G49">
        <f t="shared" ca="1" si="1"/>
        <v>47</v>
      </c>
      <c r="H49">
        <f t="shared" ca="1" si="2"/>
        <v>46.873229939312203</v>
      </c>
      <c r="I49">
        <f t="shared" ca="1" si="3"/>
        <v>207.98371720527138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50112</v>
      </c>
      <c r="B51" s="66">
        <v>50112</v>
      </c>
      <c r="D51">
        <f t="shared" si="0"/>
        <v>0.88923590162189015</v>
      </c>
      <c r="E51">
        <f t="shared" si="0"/>
        <v>0.88923590162189015</v>
      </c>
      <c r="G51">
        <f t="shared" ca="1" si="1"/>
        <v>49</v>
      </c>
      <c r="H51">
        <f t="shared" ca="1" si="2"/>
        <v>43.57255917947262</v>
      </c>
      <c r="I51">
        <f t="shared" ca="1" si="3"/>
        <v>137.63744298085595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53249</v>
      </c>
      <c r="B54" s="66">
        <v>53249</v>
      </c>
      <c r="D54">
        <f t="shared" si="0"/>
        <v>0.94490187031976436</v>
      </c>
      <c r="E54">
        <f t="shared" si="0"/>
        <v>0.94490187031976436</v>
      </c>
      <c r="G54">
        <f t="shared" ca="1" si="1"/>
        <v>52</v>
      </c>
      <c r="H54">
        <f t="shared" ca="1" si="2"/>
        <v>49.134897256627745</v>
      </c>
      <c r="I54">
        <f t="shared" ca="1" si="3"/>
        <v>84.223754922186657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52081</v>
      </c>
      <c r="B57" s="66">
        <v>52081</v>
      </c>
      <c r="D57">
        <f t="shared" si="0"/>
        <v>0.9241757461759591</v>
      </c>
      <c r="E57">
        <f t="shared" si="0"/>
        <v>0.9241757461759591</v>
      </c>
      <c r="G57">
        <f t="shared" ca="1" si="1"/>
        <v>55</v>
      </c>
      <c r="H57">
        <f t="shared" ca="1" si="2"/>
        <v>50.829666039677754</v>
      </c>
      <c r="I57">
        <f t="shared" ca="1" si="3"/>
        <v>38.34233888270046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55441</v>
      </c>
      <c r="B59" s="66">
        <v>55441</v>
      </c>
      <c r="D59">
        <f t="shared" si="0"/>
        <v>0.98379884302800158</v>
      </c>
      <c r="E59">
        <f t="shared" si="0"/>
        <v>0.98379884302800158</v>
      </c>
      <c r="G59">
        <f t="shared" ca="1" si="1"/>
        <v>57</v>
      </c>
      <c r="H59">
        <f t="shared" ca="1" si="2"/>
        <v>56.076534052596088</v>
      </c>
      <c r="I59">
        <f t="shared" ca="1" si="3"/>
        <v>19.404083832384341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53961</v>
      </c>
      <c r="B62" s="66">
        <v>53961</v>
      </c>
      <c r="D62">
        <f t="shared" si="0"/>
        <v>0.95753628846222094</v>
      </c>
      <c r="E62">
        <f t="shared" si="0"/>
        <v>0.95753628846222094</v>
      </c>
      <c r="G62">
        <f t="shared" ca="1" si="1"/>
        <v>60</v>
      </c>
      <c r="H62">
        <f t="shared" ca="1" si="2"/>
        <v>57.452177307733258</v>
      </c>
      <c r="I62">
        <f t="shared" ca="1" si="3"/>
        <v>1.9886627414627143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50660</v>
      </c>
      <c r="B64" s="66">
        <v>50660</v>
      </c>
      <c r="D64">
        <f t="shared" si="0"/>
        <v>0.89896014479894948</v>
      </c>
      <c r="E64">
        <f t="shared" si="0"/>
        <v>0.89896014479894948</v>
      </c>
      <c r="G64">
        <f t="shared" ca="1" si="1"/>
        <v>62</v>
      </c>
      <c r="H64">
        <f t="shared" ca="1" si="2"/>
        <v>55.735528977534869</v>
      </c>
      <c r="I64">
        <f t="shared" ca="1" si="3"/>
        <v>0.28077802984553235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51104</v>
      </c>
      <c r="B67" s="66">
        <v>51104</v>
      </c>
      <c r="D67">
        <f t="shared" ref="D67:E130" si="4">IFERROR( A67/MAX(A$2:A$257), 0 )</f>
        <v>0.90683891116868365</v>
      </c>
      <c r="E67">
        <f t="shared" si="4"/>
        <v>0.90683891116868365</v>
      </c>
      <c r="G67">
        <f t="shared" ref="G67:G130" ca="1" si="5">CELL("row",D67)-2</f>
        <v>65</v>
      </c>
      <c r="H67">
        <f t="shared" ref="H67:H130" ca="1" si="6">D67*G67</f>
        <v>58.944529225964438</v>
      </c>
      <c r="I67">
        <f t="shared" ref="I67:I130" ca="1" si="7">D67*((G67-$L$1)^2)</f>
        <v>11.485623245028439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49763</v>
      </c>
      <c r="B69" s="66">
        <v>49763</v>
      </c>
      <c r="D69">
        <f t="shared" si="4"/>
        <v>0.88304290733577029</v>
      </c>
      <c r="E69">
        <f t="shared" si="4"/>
        <v>0.88304290733577029</v>
      </c>
      <c r="G69">
        <f t="shared" ca="1" si="5"/>
        <v>67</v>
      </c>
      <c r="H69">
        <f t="shared" ca="1" si="6"/>
        <v>59.16387479149661</v>
      </c>
      <c r="I69">
        <f t="shared" ca="1" si="7"/>
        <v>27.286947267267436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46175</v>
      </c>
      <c r="B72" s="66">
        <v>46175</v>
      </c>
      <c r="D72">
        <f t="shared" si="4"/>
        <v>0.81937395748305353</v>
      </c>
      <c r="E72">
        <f t="shared" si="4"/>
        <v>0.81937395748305353</v>
      </c>
      <c r="G72">
        <f t="shared" ca="1" si="5"/>
        <v>70</v>
      </c>
      <c r="H72">
        <f t="shared" ca="1" si="6"/>
        <v>57.35617702381375</v>
      </c>
      <c r="I72">
        <f t="shared" ca="1" si="7"/>
        <v>60.022639210599479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41208</v>
      </c>
      <c r="B75" s="66">
        <v>41208</v>
      </c>
      <c r="D75">
        <f t="shared" si="4"/>
        <v>0.73123469496397775</v>
      </c>
      <c r="E75">
        <f t="shared" si="4"/>
        <v>0.73123469496397775</v>
      </c>
      <c r="G75">
        <f t="shared" ca="1" si="5"/>
        <v>73</v>
      </c>
      <c r="H75">
        <f t="shared" ca="1" si="6"/>
        <v>53.380132732370377</v>
      </c>
      <c r="I75">
        <f t="shared" ca="1" si="7"/>
        <v>97.698433574008064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38452</v>
      </c>
      <c r="B77" s="66">
        <v>38452</v>
      </c>
      <c r="D77">
        <f t="shared" si="4"/>
        <v>0.68232955956986197</v>
      </c>
      <c r="E77">
        <f t="shared" si="4"/>
        <v>0.68232955956986197</v>
      </c>
      <c r="G77">
        <f t="shared" ca="1" si="5"/>
        <v>75</v>
      </c>
      <c r="H77">
        <f t="shared" ca="1" si="6"/>
        <v>51.174716967739649</v>
      </c>
      <c r="I77">
        <f t="shared" ca="1" si="7"/>
        <v>125.44149595049394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42078</v>
      </c>
      <c r="B80" s="66">
        <v>42078</v>
      </c>
      <c r="D80">
        <f t="shared" si="4"/>
        <v>0.74667281825602438</v>
      </c>
      <c r="E80">
        <f t="shared" si="4"/>
        <v>0.74667281825602438</v>
      </c>
      <c r="G80">
        <f t="shared" ca="1" si="5"/>
        <v>78</v>
      </c>
      <c r="H80">
        <f t="shared" ca="1" si="6"/>
        <v>58.240479823969899</v>
      </c>
      <c r="I80">
        <f t="shared" ca="1" si="7"/>
        <v>204.73484858569256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38729</v>
      </c>
      <c r="B82" s="66">
        <v>38729</v>
      </c>
      <c r="D82">
        <f t="shared" si="4"/>
        <v>0.68724491606629523</v>
      </c>
      <c r="E82">
        <f t="shared" si="4"/>
        <v>0.68724491606629523</v>
      </c>
      <c r="G82">
        <f t="shared" ca="1" si="5"/>
        <v>80</v>
      </c>
      <c r="H82">
        <f t="shared" ca="1" si="6"/>
        <v>54.979593285303622</v>
      </c>
      <c r="I82">
        <f t="shared" ca="1" si="7"/>
        <v>236.70892218174131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35614</v>
      </c>
      <c r="B85" s="66">
        <v>35614</v>
      </c>
      <c r="D85">
        <f t="shared" si="4"/>
        <v>0.63196933669304756</v>
      </c>
      <c r="E85">
        <f t="shared" si="4"/>
        <v>0.63196933669304756</v>
      </c>
      <c r="G85">
        <f t="shared" ca="1" si="5"/>
        <v>83</v>
      </c>
      <c r="H85">
        <f t="shared" ca="1" si="6"/>
        <v>52.45345494552295</v>
      </c>
      <c r="I85">
        <f t="shared" ca="1" si="7"/>
        <v>293.72980869205674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33777</v>
      </c>
      <c r="B88" s="66">
        <v>33777</v>
      </c>
      <c r="D88">
        <f t="shared" si="4"/>
        <v>0.59937182808673739</v>
      </c>
      <c r="E88">
        <f t="shared" si="4"/>
        <v>0.59937182808673739</v>
      </c>
      <c r="G88">
        <f t="shared" ca="1" si="5"/>
        <v>86</v>
      </c>
      <c r="H88">
        <f t="shared" ca="1" si="6"/>
        <v>51.545977215459416</v>
      </c>
      <c r="I88">
        <f t="shared" ca="1" si="7"/>
        <v>361.50400363618132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31206</v>
      </c>
      <c r="B90" s="66">
        <v>31206</v>
      </c>
      <c r="D90">
        <f t="shared" si="4"/>
        <v>0.55374951201334421</v>
      </c>
      <c r="E90">
        <f t="shared" si="4"/>
        <v>0.55374951201334421</v>
      </c>
      <c r="G90">
        <f t="shared" ca="1" si="5"/>
        <v>88</v>
      </c>
      <c r="H90">
        <f t="shared" ca="1" si="6"/>
        <v>48.729957057174289</v>
      </c>
      <c r="I90">
        <f t="shared" ca="1" si="7"/>
        <v>390.60029394161876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28817</v>
      </c>
      <c r="B93" s="66">
        <v>28817</v>
      </c>
      <c r="D93">
        <f t="shared" si="4"/>
        <v>0.51135678035276999</v>
      </c>
      <c r="E93">
        <f t="shared" si="4"/>
        <v>0.51135678035276999</v>
      </c>
      <c r="G93">
        <f t="shared" ca="1" si="5"/>
        <v>91</v>
      </c>
      <c r="H93">
        <f t="shared" ca="1" si="6"/>
        <v>46.533467012102072</v>
      </c>
      <c r="I93">
        <f t="shared" ca="1" si="7"/>
        <v>446.78614234107874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28388</v>
      </c>
      <c r="B95" s="66">
        <v>28388</v>
      </c>
      <c r="D95">
        <f t="shared" si="4"/>
        <v>0.50374418852255387</v>
      </c>
      <c r="E95">
        <f t="shared" si="4"/>
        <v>0.50374418852255387</v>
      </c>
      <c r="G95">
        <f t="shared" ca="1" si="5"/>
        <v>93</v>
      </c>
      <c r="H95">
        <f t="shared" ca="1" si="6"/>
        <v>46.848209532597508</v>
      </c>
      <c r="I95">
        <f t="shared" ca="1" si="7"/>
        <v>501.71023065298095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24434</v>
      </c>
      <c r="B98" s="66">
        <v>24434</v>
      </c>
      <c r="D98">
        <f t="shared" si="4"/>
        <v>0.43358057990559679</v>
      </c>
      <c r="E98">
        <f t="shared" si="4"/>
        <v>0.43358057990559679</v>
      </c>
      <c r="G98">
        <f t="shared" ca="1" si="5"/>
        <v>96</v>
      </c>
      <c r="H98">
        <f t="shared" ca="1" si="6"/>
        <v>41.623735670937293</v>
      </c>
      <c r="I98">
        <f t="shared" ca="1" si="7"/>
        <v>517.8320262178238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23654</v>
      </c>
      <c r="B100" s="66">
        <v>23654</v>
      </c>
      <c r="D100">
        <f t="shared" si="4"/>
        <v>0.41973950385065834</v>
      </c>
      <c r="E100">
        <f t="shared" si="4"/>
        <v>0.41973950385065834</v>
      </c>
      <c r="G100">
        <f t="shared" ca="1" si="5"/>
        <v>98</v>
      </c>
      <c r="H100">
        <f t="shared" ca="1" si="6"/>
        <v>41.13447137736452</v>
      </c>
      <c r="I100">
        <f t="shared" ca="1" si="7"/>
        <v>561.00326492016154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22918</v>
      </c>
      <c r="B103" s="66">
        <v>22918</v>
      </c>
      <c r="D103">
        <f t="shared" si="4"/>
        <v>0.40667920644497285</v>
      </c>
      <c r="E103">
        <f t="shared" si="4"/>
        <v>0.40667920644497285</v>
      </c>
      <c r="G103">
        <f t="shared" ca="1" si="5"/>
        <v>101</v>
      </c>
      <c r="H103">
        <f t="shared" ca="1" si="6"/>
        <v>41.074599850942256</v>
      </c>
      <c r="I103">
        <f t="shared" ca="1" si="7"/>
        <v>636.41401902001212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20939</v>
      </c>
      <c r="B106" s="66">
        <v>20939</v>
      </c>
      <c r="D106">
        <f t="shared" si="4"/>
        <v>0.37156191219789192</v>
      </c>
      <c r="E106">
        <f t="shared" si="4"/>
        <v>0.37156191219789192</v>
      </c>
      <c r="G106">
        <f t="shared" ca="1" si="5"/>
        <v>104</v>
      </c>
      <c r="H106">
        <f t="shared" ca="1" si="6"/>
        <v>38.642438868580761</v>
      </c>
      <c r="I106">
        <f t="shared" ca="1" si="7"/>
        <v>672.99429102629347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21607</v>
      </c>
      <c r="B108" s="66">
        <v>21607</v>
      </c>
      <c r="D108">
        <f t="shared" si="4"/>
        <v>0.38341555169109559</v>
      </c>
      <c r="E108">
        <f t="shared" si="4"/>
        <v>0.38341555169109559</v>
      </c>
      <c r="G108">
        <f t="shared" ca="1" si="5"/>
        <v>106</v>
      </c>
      <c r="H108">
        <f t="shared" ca="1" si="6"/>
        <v>40.642048479256133</v>
      </c>
      <c r="I108">
        <f t="shared" ca="1" si="7"/>
        <v>761.26887793222556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22133</v>
      </c>
      <c r="B111" s="66">
        <v>22133</v>
      </c>
      <c r="D111">
        <f t="shared" si="4"/>
        <v>0.39274940554352838</v>
      </c>
      <c r="E111">
        <f t="shared" si="4"/>
        <v>0.39274940554352838</v>
      </c>
      <c r="G111">
        <f t="shared" ca="1" si="5"/>
        <v>109</v>
      </c>
      <c r="H111">
        <f t="shared" ca="1" si="6"/>
        <v>42.809685204244595</v>
      </c>
      <c r="I111">
        <f t="shared" ca="1" si="7"/>
        <v>888.33874355602416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19748</v>
      </c>
      <c r="B113" s="66">
        <v>19748</v>
      </c>
      <c r="D113">
        <f t="shared" si="4"/>
        <v>0.350427653760159</v>
      </c>
      <c r="E113">
        <f t="shared" si="4"/>
        <v>0.350427653760159</v>
      </c>
      <c r="G113">
        <f t="shared" ca="1" si="5"/>
        <v>111</v>
      </c>
      <c r="H113">
        <f t="shared" ca="1" si="6"/>
        <v>38.897469567377648</v>
      </c>
      <c r="I113">
        <f t="shared" ca="1" si="7"/>
        <v>860.6789353698548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18124</v>
      </c>
      <c r="B116" s="66">
        <v>18124</v>
      </c>
      <c r="D116">
        <f t="shared" si="4"/>
        <v>0.32160982361500512</v>
      </c>
      <c r="E116">
        <f t="shared" si="4"/>
        <v>0.32160982361500512</v>
      </c>
      <c r="G116">
        <f t="shared" ca="1" si="5"/>
        <v>114</v>
      </c>
      <c r="H116">
        <f t="shared" ca="1" si="6"/>
        <v>36.663519892110585</v>
      </c>
      <c r="I116">
        <f t="shared" ca="1" si="7"/>
        <v>888.4261975213376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14588</v>
      </c>
      <c r="B118" s="66">
        <v>14588</v>
      </c>
      <c r="D118">
        <f t="shared" si="4"/>
        <v>0.25886361216595094</v>
      </c>
      <c r="E118">
        <f t="shared" si="4"/>
        <v>0.25886361216595094</v>
      </c>
      <c r="G118">
        <f t="shared" ca="1" si="5"/>
        <v>116</v>
      </c>
      <c r="H118">
        <f t="shared" ca="1" si="6"/>
        <v>30.028179011250309</v>
      </c>
      <c r="I118">
        <f t="shared" ca="1" si="7"/>
        <v>770.55164477098526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17086</v>
      </c>
      <c r="B121" s="66">
        <v>17086</v>
      </c>
      <c r="D121">
        <f t="shared" si="4"/>
        <v>0.30319054548035634</v>
      </c>
      <c r="E121">
        <f t="shared" si="4"/>
        <v>0.30319054548035634</v>
      </c>
      <c r="G121">
        <f t="shared" ca="1" si="5"/>
        <v>119</v>
      </c>
      <c r="H121">
        <f t="shared" ca="1" si="6"/>
        <v>36.079674912162403</v>
      </c>
      <c r="I121">
        <f t="shared" ca="1" si="7"/>
        <v>1004.4774313791213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13929</v>
      </c>
      <c r="B124" s="66">
        <v>13929</v>
      </c>
      <c r="D124">
        <f t="shared" si="4"/>
        <v>0.24716967739645809</v>
      </c>
      <c r="E124">
        <f t="shared" si="4"/>
        <v>0.24716967739645809</v>
      </c>
      <c r="G124">
        <f t="shared" ca="1" si="5"/>
        <v>122</v>
      </c>
      <c r="H124">
        <f t="shared" ca="1" si="6"/>
        <v>30.154700642367889</v>
      </c>
      <c r="I124">
        <f t="shared" ca="1" si="7"/>
        <v>906.4643456384581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12641</v>
      </c>
      <c r="B126" s="66">
        <v>12641</v>
      </c>
      <c r="D126">
        <f t="shared" si="4"/>
        <v>0.2243141569365085</v>
      </c>
      <c r="E126">
        <f t="shared" si="4"/>
        <v>0.2243141569365085</v>
      </c>
      <c r="G126">
        <f t="shared" ca="1" si="5"/>
        <v>124</v>
      </c>
      <c r="H126">
        <f t="shared" ca="1" si="6"/>
        <v>27.814955460127052</v>
      </c>
      <c r="I126">
        <f t="shared" ca="1" si="7"/>
        <v>877.87864441409897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11366</v>
      </c>
      <c r="B129" s="66">
        <v>11366</v>
      </c>
      <c r="D129">
        <f t="shared" si="4"/>
        <v>0.20168932107747453</v>
      </c>
      <c r="E129">
        <f t="shared" si="4"/>
        <v>0.20168932107747453</v>
      </c>
      <c r="G129">
        <f t="shared" ca="1" si="5"/>
        <v>127</v>
      </c>
      <c r="H129">
        <f t="shared" ca="1" si="6"/>
        <v>25.614543776839266</v>
      </c>
      <c r="I129">
        <f t="shared" ca="1" si="7"/>
        <v>866.85374927794146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9490</v>
      </c>
      <c r="B131" s="66">
        <v>9490</v>
      </c>
      <c r="D131">
        <f t="shared" ref="D131:E194" si="8">IFERROR( A131/MAX(A$2:A$257), 0 )</f>
        <v>0.1683997586684175</v>
      </c>
      <c r="E131">
        <f t="shared" si="8"/>
        <v>0.1683997586684175</v>
      </c>
      <c r="G131">
        <f t="shared" ref="G131:G194" ca="1" si="9">CELL("row",D131)-2</f>
        <v>129</v>
      </c>
      <c r="H131">
        <f t="shared" ref="H131:H194" ca="1" si="10">D131*G131</f>
        <v>21.723568868225858</v>
      </c>
      <c r="I131">
        <f t="shared" ref="I131:I194" ca="1" si="11">D131*((G131-$L$1)^2)</f>
        <v>768.61034866787145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6279</v>
      </c>
      <c r="B134" s="66">
        <v>6279</v>
      </c>
      <c r="D134">
        <f t="shared" si="8"/>
        <v>0.11142066224225432</v>
      </c>
      <c r="E134">
        <f t="shared" si="8"/>
        <v>0.11142066224225432</v>
      </c>
      <c r="G134">
        <f t="shared" ca="1" si="9"/>
        <v>132</v>
      </c>
      <c r="H134">
        <f t="shared" ca="1" si="10"/>
        <v>14.70752741597757</v>
      </c>
      <c r="I134">
        <f t="shared" ca="1" si="11"/>
        <v>554.71380983044128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4599</v>
      </c>
      <c r="B136" s="66">
        <v>4599</v>
      </c>
      <c r="D136">
        <f t="shared" si="8"/>
        <v>8.1609113816233092E-2</v>
      </c>
      <c r="E136">
        <f t="shared" si="8"/>
        <v>8.1609113816233092E-2</v>
      </c>
      <c r="G136">
        <f t="shared" ca="1" si="9"/>
        <v>134</v>
      </c>
      <c r="H136">
        <f t="shared" ca="1" si="10"/>
        <v>10.935621251375235</v>
      </c>
      <c r="I136">
        <f t="shared" ca="1" si="11"/>
        <v>429.6548232679105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4024</v>
      </c>
      <c r="B139" s="66">
        <v>4024</v>
      </c>
      <c r="D139">
        <f t="shared" si="8"/>
        <v>7.1405756468041315E-2</v>
      </c>
      <c r="E139">
        <f t="shared" si="8"/>
        <v>7.1405756468041315E-2</v>
      </c>
      <c r="G139">
        <f t="shared" ca="1" si="9"/>
        <v>137</v>
      </c>
      <c r="H139">
        <f t="shared" ca="1" si="10"/>
        <v>9.7825886361216607</v>
      </c>
      <c r="I139">
        <f t="shared" ca="1" si="11"/>
        <v>407.66567053143734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2972</v>
      </c>
      <c r="B142" s="66">
        <v>2972</v>
      </c>
      <c r="D142">
        <f t="shared" si="8"/>
        <v>5.2738048763175636E-2</v>
      </c>
      <c r="E142">
        <f t="shared" si="8"/>
        <v>5.2738048763175636E-2</v>
      </c>
      <c r="G142">
        <f t="shared" ca="1" si="9"/>
        <v>140</v>
      </c>
      <c r="H142">
        <f t="shared" ca="1" si="10"/>
        <v>7.3833268268445895</v>
      </c>
      <c r="I142">
        <f t="shared" ca="1" si="11"/>
        <v>325.47266573578088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1921</v>
      </c>
      <c r="B144" s="66">
        <v>1921</v>
      </c>
      <c r="D144">
        <f t="shared" si="8"/>
        <v>3.4088086027611174E-2</v>
      </c>
      <c r="E144">
        <f t="shared" si="8"/>
        <v>3.4088086027611174E-2</v>
      </c>
      <c r="G144">
        <f t="shared" ca="1" si="9"/>
        <v>142</v>
      </c>
      <c r="H144">
        <f t="shared" ca="1" si="10"/>
        <v>4.8405082159207868</v>
      </c>
      <c r="I144">
        <f t="shared" ca="1" si="11"/>
        <v>221.22253073508114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1833</v>
      </c>
      <c r="B147" s="66">
        <v>1833</v>
      </c>
      <c r="D147">
        <f t="shared" si="8"/>
        <v>3.2526528729105296E-2</v>
      </c>
      <c r="E147">
        <f t="shared" si="8"/>
        <v>3.2526528729105296E-2</v>
      </c>
      <c r="G147">
        <f t="shared" ca="1" si="9"/>
        <v>145</v>
      </c>
      <c r="H147">
        <f t="shared" ca="1" si="10"/>
        <v>4.7163466657202679</v>
      </c>
      <c r="I147">
        <f t="shared" ca="1" si="11"/>
        <v>227.10298420582919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751</v>
      </c>
      <c r="B149" s="66">
        <v>751</v>
      </c>
      <c r="D149">
        <f t="shared" si="8"/>
        <v>1.3326471945203535E-2</v>
      </c>
      <c r="E149">
        <f t="shared" si="8"/>
        <v>1.3326471945203535E-2</v>
      </c>
      <c r="G149">
        <f t="shared" ca="1" si="9"/>
        <v>147</v>
      </c>
      <c r="H149">
        <f t="shared" ca="1" si="10"/>
        <v>1.9589913759449196</v>
      </c>
      <c r="I149">
        <f t="shared" ca="1" si="11"/>
        <v>97.554043849542211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1143</v>
      </c>
      <c r="B152" s="66">
        <v>1143</v>
      </c>
      <c r="D152">
        <f t="shared" si="8"/>
        <v>2.0282499911275155E-2</v>
      </c>
      <c r="E152">
        <f t="shared" si="8"/>
        <v>2.0282499911275155E-2</v>
      </c>
      <c r="G152">
        <f t="shared" ca="1" si="9"/>
        <v>150</v>
      </c>
      <c r="H152">
        <f t="shared" ca="1" si="10"/>
        <v>3.0423749866912733</v>
      </c>
      <c r="I152">
        <f t="shared" ca="1" si="11"/>
        <v>159.06902618771372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633</v>
      </c>
      <c r="B154" s="66">
        <v>633</v>
      </c>
      <c r="D154">
        <f t="shared" si="8"/>
        <v>1.1232565567661569E-2</v>
      </c>
      <c r="E154">
        <f t="shared" si="8"/>
        <v>1.1232565567661569E-2</v>
      </c>
      <c r="G154">
        <f t="shared" ca="1" si="9"/>
        <v>152</v>
      </c>
      <c r="H154">
        <f t="shared" ca="1" si="10"/>
        <v>1.7073499662845584</v>
      </c>
      <c r="I154">
        <f t="shared" ca="1" si="11"/>
        <v>92.117248760833832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103</v>
      </c>
      <c r="B157" s="66">
        <v>103</v>
      </c>
      <c r="D157">
        <f t="shared" si="8"/>
        <v>1.8277318380239202E-3</v>
      </c>
      <c r="E157">
        <f t="shared" si="8"/>
        <v>1.8277318380239202E-3</v>
      </c>
      <c r="G157">
        <f t="shared" ca="1" si="9"/>
        <v>155</v>
      </c>
      <c r="H157">
        <f t="shared" ca="1" si="10"/>
        <v>0.28329843489370765</v>
      </c>
      <c r="I157">
        <f t="shared" ca="1" si="11"/>
        <v>15.998616168292918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61</v>
      </c>
      <c r="B160" s="66">
        <v>61</v>
      </c>
      <c r="D160">
        <f t="shared" si="8"/>
        <v>1.0824431273733896E-3</v>
      </c>
      <c r="E160">
        <f t="shared" si="8"/>
        <v>1.0824431273733896E-3</v>
      </c>
      <c r="G160">
        <f t="shared" ca="1" si="9"/>
        <v>158</v>
      </c>
      <c r="H160">
        <f t="shared" ca="1" si="10"/>
        <v>0.17102601412499555</v>
      </c>
      <c r="I160">
        <f t="shared" ca="1" si="11"/>
        <v>10.092283532240971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106</v>
      </c>
      <c r="B162" s="66">
        <v>106</v>
      </c>
      <c r="D162">
        <f t="shared" si="8"/>
        <v>1.8809667459275296E-3</v>
      </c>
      <c r="E162">
        <f t="shared" si="8"/>
        <v>1.8809667459275296E-3</v>
      </c>
      <c r="G162">
        <f t="shared" ca="1" si="9"/>
        <v>160</v>
      </c>
      <c r="H162">
        <f t="shared" ca="1" si="10"/>
        <v>0.30095467934840475</v>
      </c>
      <c r="I162">
        <f t="shared" ca="1" si="11"/>
        <v>18.271430694392834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63</v>
      </c>
      <c r="B165" s="66">
        <v>63</v>
      </c>
      <c r="D165">
        <f t="shared" si="8"/>
        <v>1.1179330659757958E-3</v>
      </c>
      <c r="E165">
        <f t="shared" si="8"/>
        <v>1.1179330659757958E-3</v>
      </c>
      <c r="G165">
        <f t="shared" ca="1" si="9"/>
        <v>163</v>
      </c>
      <c r="H165">
        <f t="shared" ca="1" si="10"/>
        <v>0.18222308975405471</v>
      </c>
      <c r="I165">
        <f t="shared" ca="1" si="11"/>
        <v>11.530589944631968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188</v>
      </c>
      <c r="B167" s="66">
        <v>188</v>
      </c>
      <c r="D167">
        <f t="shared" si="8"/>
        <v>3.3360542286261846E-3</v>
      </c>
      <c r="E167">
        <f t="shared" si="8"/>
        <v>3.3360542286261846E-3</v>
      </c>
      <c r="G167">
        <f t="shared" ca="1" si="9"/>
        <v>165</v>
      </c>
      <c r="H167">
        <f t="shared" ca="1" si="10"/>
        <v>0.55044894772332043</v>
      </c>
      <c r="I167">
        <f t="shared" ca="1" si="11"/>
        <v>35.777312413822258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381</v>
      </c>
      <c r="B170" s="66">
        <v>381</v>
      </c>
      <c r="D170">
        <f t="shared" si="8"/>
        <v>6.7608333037583847E-3</v>
      </c>
      <c r="E170">
        <f t="shared" si="8"/>
        <v>6.7608333037583847E-3</v>
      </c>
      <c r="G170">
        <f t="shared" ca="1" si="9"/>
        <v>168</v>
      </c>
      <c r="H170">
        <f t="shared" ca="1" si="10"/>
        <v>1.1358199950314087</v>
      </c>
      <c r="I170">
        <f t="shared" ca="1" si="11"/>
        <v>76.76786216531886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254</v>
      </c>
      <c r="B173" s="66">
        <v>254</v>
      </c>
      <c r="D173">
        <f t="shared" si="8"/>
        <v>4.5072222025055895E-3</v>
      </c>
      <c r="E173">
        <f t="shared" si="8"/>
        <v>4.5072222025055895E-3</v>
      </c>
      <c r="G173">
        <f t="shared" ca="1" si="9"/>
        <v>171</v>
      </c>
      <c r="H173">
        <f t="shared" ca="1" si="10"/>
        <v>0.77073499662845579</v>
      </c>
      <c r="I173">
        <f t="shared" ca="1" si="11"/>
        <v>54.100846824090524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46</v>
      </c>
      <c r="B175" s="66">
        <v>46</v>
      </c>
      <c r="D175">
        <f t="shared" si="8"/>
        <v>8.1626858785534306E-4</v>
      </c>
      <c r="E175">
        <f t="shared" si="8"/>
        <v>8.1626858785534306E-4</v>
      </c>
      <c r="G175">
        <f t="shared" ca="1" si="9"/>
        <v>173</v>
      </c>
      <c r="H175">
        <f t="shared" ca="1" si="10"/>
        <v>0.14121446569897436</v>
      </c>
      <c r="I175">
        <f t="shared" ca="1" si="11"/>
        <v>10.158774090167178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403</v>
      </c>
      <c r="B1" s="66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48.617740612213993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0.93868655022580583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0.51377956736946928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6622</v>
      </c>
      <c r="B8" s="66">
        <v>6622</v>
      </c>
      <c r="D8">
        <f t="shared" si="0"/>
        <v>18.498240125146655</v>
      </c>
      <c r="E8">
        <f t="shared" si="1"/>
        <v>18.498240125146655</v>
      </c>
      <c r="G8">
        <f t="shared" ca="1" si="2"/>
        <v>6</v>
      </c>
      <c r="H8">
        <f t="shared" ca="1" si="3"/>
        <v>110.98944075087994</v>
      </c>
      <c r="I8">
        <f t="shared" ca="1" si="4"/>
        <v>33597.83216437028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9412</v>
      </c>
      <c r="B10" s="66">
        <v>9412</v>
      </c>
      <c r="D10">
        <f t="shared" si="0"/>
        <v>26.291971618526176</v>
      </c>
      <c r="E10">
        <f t="shared" si="1"/>
        <v>26.291971618526176</v>
      </c>
      <c r="G10">
        <f t="shared" ca="1" si="2"/>
        <v>8</v>
      </c>
      <c r="H10">
        <f t="shared" ca="1" si="3"/>
        <v>210.33577294820941</v>
      </c>
      <c r="I10">
        <f t="shared" ca="1" si="4"/>
        <v>43376.51718860164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14528</v>
      </c>
      <c r="B13" s="66">
        <v>14528</v>
      </c>
      <c r="D13">
        <f t="shared" si="0"/>
        <v>40.58327280853679</v>
      </c>
      <c r="E13">
        <f t="shared" si="1"/>
        <v>40.58327280853679</v>
      </c>
      <c r="G13">
        <f t="shared" ca="1" si="2"/>
        <v>11</v>
      </c>
      <c r="H13">
        <f t="shared" ca="1" si="3"/>
        <v>446.41600089390471</v>
      </c>
      <c r="I13">
        <f t="shared" ca="1" si="4"/>
        <v>57429.162440859269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16900</v>
      </c>
      <c r="B15" s="66">
        <v>16900</v>
      </c>
      <c r="D15">
        <f t="shared" si="0"/>
        <v>47.209341303983464</v>
      </c>
      <c r="E15">
        <f t="shared" si="1"/>
        <v>47.209341303983464</v>
      </c>
      <c r="G15">
        <f t="shared" ca="1" si="2"/>
        <v>13</v>
      </c>
      <c r="H15">
        <f t="shared" ca="1" si="3"/>
        <v>613.72143695178499</v>
      </c>
      <c r="I15">
        <f t="shared" ca="1" si="4"/>
        <v>59890.877263507435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18243</v>
      </c>
      <c r="B18" s="66">
        <v>18243</v>
      </c>
      <c r="D18">
        <f t="shared" si="0"/>
        <v>50.960947538968661</v>
      </c>
      <c r="E18">
        <f t="shared" si="1"/>
        <v>50.960947538968661</v>
      </c>
      <c r="G18">
        <f t="shared" ca="1" si="2"/>
        <v>16</v>
      </c>
      <c r="H18">
        <f t="shared" ca="1" si="3"/>
        <v>815.37516062349857</v>
      </c>
      <c r="I18">
        <f t="shared" ca="1" si="4"/>
        <v>54218.218557642977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20185</v>
      </c>
      <c r="B21" s="66">
        <v>20185</v>
      </c>
      <c r="D21">
        <f t="shared" si="0"/>
        <v>56.385831610704507</v>
      </c>
      <c r="E21">
        <f t="shared" si="1"/>
        <v>56.385831610704507</v>
      </c>
      <c r="G21">
        <f t="shared" ca="1" si="2"/>
        <v>19</v>
      </c>
      <c r="H21">
        <f t="shared" ca="1" si="3"/>
        <v>1071.3308006033856</v>
      </c>
      <c r="I21">
        <f t="shared" ca="1" si="4"/>
        <v>49462.246865349167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29779</v>
      </c>
      <c r="B23" s="66">
        <v>29779</v>
      </c>
      <c r="D23">
        <f t="shared" si="0"/>
        <v>83.186211520196665</v>
      </c>
      <c r="E23">
        <f t="shared" si="1"/>
        <v>83.186211520196665</v>
      </c>
      <c r="G23">
        <f t="shared" ca="1" si="2"/>
        <v>21</v>
      </c>
      <c r="H23">
        <f t="shared" ca="1" si="3"/>
        <v>1746.9104419241301</v>
      </c>
      <c r="I23">
        <f t="shared" ca="1" si="4"/>
        <v>63449.417411236172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31446</v>
      </c>
      <c r="B26" s="66">
        <v>31446</v>
      </c>
      <c r="D26">
        <f t="shared" si="0"/>
        <v>87.842896251187213</v>
      </c>
      <c r="E26">
        <f t="shared" si="1"/>
        <v>87.842896251187213</v>
      </c>
      <c r="G26">
        <f t="shared" ca="1" si="2"/>
        <v>24</v>
      </c>
      <c r="H26">
        <f t="shared" ca="1" si="3"/>
        <v>2108.2295100284932</v>
      </c>
      <c r="I26">
        <f t="shared" ca="1" si="4"/>
        <v>53235.70737060441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29691</v>
      </c>
      <c r="B28" s="66">
        <v>29691</v>
      </c>
      <c r="D28">
        <f t="shared" si="0"/>
        <v>82.940387731158168</v>
      </c>
      <c r="E28">
        <f t="shared" si="1"/>
        <v>82.940387731158168</v>
      </c>
      <c r="G28">
        <f t="shared" ca="1" si="2"/>
        <v>26</v>
      </c>
      <c r="H28">
        <f t="shared" ca="1" si="3"/>
        <v>2156.4500810101122</v>
      </c>
      <c r="I28">
        <f t="shared" ca="1" si="4"/>
        <v>42429.166420492198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32235</v>
      </c>
      <c r="B31" s="66">
        <v>32235</v>
      </c>
      <c r="D31">
        <f t="shared" si="0"/>
        <v>90.046929996089162</v>
      </c>
      <c r="E31">
        <f t="shared" si="1"/>
        <v>90.046929996089162</v>
      </c>
      <c r="G31">
        <f t="shared" ca="1" si="2"/>
        <v>29</v>
      </c>
      <c r="H31">
        <f t="shared" ca="1" si="3"/>
        <v>2611.3609698865857</v>
      </c>
      <c r="I31">
        <f t="shared" ca="1" si="4"/>
        <v>34655.078484218764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31628</v>
      </c>
      <c r="B33" s="66">
        <v>31628</v>
      </c>
      <c r="D33">
        <f t="shared" si="0"/>
        <v>88.351304542153187</v>
      </c>
      <c r="E33">
        <f t="shared" si="1"/>
        <v>88.351304542153187</v>
      </c>
      <c r="G33">
        <f t="shared" ca="1" si="2"/>
        <v>31</v>
      </c>
      <c r="H33">
        <f t="shared" ca="1" si="3"/>
        <v>2738.8904408067488</v>
      </c>
      <c r="I33">
        <f t="shared" ca="1" si="4"/>
        <v>27422.900601106918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32809</v>
      </c>
      <c r="B36" s="66">
        <v>32809</v>
      </c>
      <c r="D36">
        <f t="shared" si="0"/>
        <v>91.650371529135711</v>
      </c>
      <c r="E36">
        <f t="shared" si="1"/>
        <v>91.650371529135711</v>
      </c>
      <c r="G36">
        <f t="shared" ca="1" si="2"/>
        <v>34</v>
      </c>
      <c r="H36">
        <f t="shared" ca="1" si="3"/>
        <v>3116.1126319906143</v>
      </c>
      <c r="I36">
        <f t="shared" ca="1" si="4"/>
        <v>19583.699304266385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31913</v>
      </c>
      <c r="B39" s="66">
        <v>31913</v>
      </c>
      <c r="D39">
        <f t="shared" si="0"/>
        <v>89.147438404380139</v>
      </c>
      <c r="E39">
        <f t="shared" si="1"/>
        <v>89.147438404380139</v>
      </c>
      <c r="G39">
        <f t="shared" ca="1" si="2"/>
        <v>37</v>
      </c>
      <c r="H39">
        <f t="shared" ca="1" si="3"/>
        <v>3298.4552209620651</v>
      </c>
      <c r="I39">
        <f t="shared" ca="1" si="4"/>
        <v>12032.398868129001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35798</v>
      </c>
      <c r="B41" s="66">
        <v>35798</v>
      </c>
      <c r="D41">
        <f t="shared" si="0"/>
        <v>100</v>
      </c>
      <c r="E41">
        <f t="shared" si="1"/>
        <v>100</v>
      </c>
      <c r="G41">
        <f t="shared" ca="1" si="2"/>
        <v>39</v>
      </c>
      <c r="H41">
        <f t="shared" ca="1" si="3"/>
        <v>3900</v>
      </c>
      <c r="I41">
        <f t="shared" ca="1" si="4"/>
        <v>9250.0934483830388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30799</v>
      </c>
      <c r="B44" s="66">
        <v>30799</v>
      </c>
      <c r="D44">
        <f t="shared" si="0"/>
        <v>86.035532711324649</v>
      </c>
      <c r="E44">
        <f t="shared" si="1"/>
        <v>86.035532711324649</v>
      </c>
      <c r="G44">
        <f t="shared" ca="1" si="2"/>
        <v>42</v>
      </c>
      <c r="H44">
        <f t="shared" ca="1" si="3"/>
        <v>3613.4923738756352</v>
      </c>
      <c r="I44">
        <f t="shared" ca="1" si="4"/>
        <v>3767.8823467065745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28700</v>
      </c>
      <c r="B46" s="66">
        <v>28700</v>
      </c>
      <c r="D46">
        <f t="shared" si="0"/>
        <v>80.17207665232695</v>
      </c>
      <c r="E46">
        <f t="shared" si="1"/>
        <v>80.17207665232695</v>
      </c>
      <c r="G46">
        <f t="shared" ca="1" si="2"/>
        <v>44</v>
      </c>
      <c r="H46">
        <f t="shared" ca="1" si="3"/>
        <v>3527.5713727023858</v>
      </c>
      <c r="I46">
        <f t="shared" ca="1" si="4"/>
        <v>1709.5515503115153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27857</v>
      </c>
      <c r="B49" s="66">
        <v>27857</v>
      </c>
      <c r="D49">
        <f t="shared" si="0"/>
        <v>77.817196491424099</v>
      </c>
      <c r="E49">
        <f t="shared" si="1"/>
        <v>77.817196491424099</v>
      </c>
      <c r="G49">
        <f t="shared" ca="1" si="2"/>
        <v>47</v>
      </c>
      <c r="H49">
        <f t="shared" ca="1" si="3"/>
        <v>3657.4082350969325</v>
      </c>
      <c r="I49">
        <f t="shared" ca="1" si="4"/>
        <v>203.65419343242633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22992</v>
      </c>
      <c r="B51" s="66">
        <v>22992</v>
      </c>
      <c r="D51">
        <f t="shared" si="0"/>
        <v>64.227051790602829</v>
      </c>
      <c r="E51">
        <f t="shared" si="1"/>
        <v>64.227051790602829</v>
      </c>
      <c r="G51">
        <f t="shared" ca="1" si="2"/>
        <v>49</v>
      </c>
      <c r="H51">
        <f t="shared" ca="1" si="3"/>
        <v>3147.1255377395387</v>
      </c>
      <c r="I51">
        <f t="shared" ca="1" si="4"/>
        <v>9.3850006473709584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25295</v>
      </c>
      <c r="B54" s="66">
        <v>25295</v>
      </c>
      <c r="D54">
        <f t="shared" si="0"/>
        <v>70.660372087826133</v>
      </c>
      <c r="E54">
        <f t="shared" si="1"/>
        <v>70.660372087826133</v>
      </c>
      <c r="G54">
        <f t="shared" ca="1" si="2"/>
        <v>52</v>
      </c>
      <c r="H54">
        <f t="shared" ca="1" si="3"/>
        <v>3674.339348566959</v>
      </c>
      <c r="I54">
        <f t="shared" ca="1" si="4"/>
        <v>808.33194405752556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22420</v>
      </c>
      <c r="B57" s="66">
        <v>22420</v>
      </c>
      <c r="D57">
        <f t="shared" si="0"/>
        <v>62.629197161852616</v>
      </c>
      <c r="E57">
        <f t="shared" si="1"/>
        <v>62.629197161852616</v>
      </c>
      <c r="G57">
        <f t="shared" ca="1" si="2"/>
        <v>55</v>
      </c>
      <c r="H57">
        <f t="shared" ca="1" si="3"/>
        <v>3444.6058439018939</v>
      </c>
      <c r="I57">
        <f t="shared" ca="1" si="4"/>
        <v>2551.0897991526631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23630</v>
      </c>
      <c r="B59" s="66">
        <v>23630</v>
      </c>
      <c r="D59">
        <f t="shared" si="0"/>
        <v>66.009274261131907</v>
      </c>
      <c r="E59">
        <f t="shared" si="1"/>
        <v>66.009274261131907</v>
      </c>
      <c r="G59">
        <f t="shared" ca="1" si="2"/>
        <v>57</v>
      </c>
      <c r="H59">
        <f t="shared" ca="1" si="3"/>
        <v>3762.5286328845186</v>
      </c>
      <c r="I59">
        <f t="shared" ca="1" si="4"/>
        <v>4637.961611974727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20463</v>
      </c>
      <c r="B62" s="66">
        <v>20463</v>
      </c>
      <c r="D62">
        <f t="shared" si="0"/>
        <v>57.162411307894295</v>
      </c>
      <c r="E62">
        <f t="shared" si="1"/>
        <v>57.162411307894295</v>
      </c>
      <c r="G62">
        <f t="shared" ca="1" si="2"/>
        <v>60</v>
      </c>
      <c r="H62">
        <f t="shared" ca="1" si="3"/>
        <v>3429.7446784736576</v>
      </c>
      <c r="I62">
        <f t="shared" ca="1" si="4"/>
        <v>7405.7235715340348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19695</v>
      </c>
      <c r="B64" s="66">
        <v>19695</v>
      </c>
      <c r="D64">
        <f t="shared" si="0"/>
        <v>55.017040058103802</v>
      </c>
      <c r="E64">
        <f t="shared" si="1"/>
        <v>55.017040058103802</v>
      </c>
      <c r="G64">
        <f t="shared" ca="1" si="2"/>
        <v>62</v>
      </c>
      <c r="H64">
        <f t="shared" ca="1" si="3"/>
        <v>3411.0564836024359</v>
      </c>
      <c r="I64">
        <f t="shared" ca="1" si="4"/>
        <v>9852.7192642369082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17695</v>
      </c>
      <c r="B67" s="66">
        <v>17695</v>
      </c>
      <c r="D67">
        <f t="shared" ref="D67:D130" si="5">IFERROR( 100*A67/MAX(A$2:A$257), 0 )</f>
        <v>49.430135761774402</v>
      </c>
      <c r="E67">
        <f t="shared" ref="E67:E130" si="6">IFERROR( 100*B67/MAX(B$2:B$257), 0 )</f>
        <v>49.430135761774402</v>
      </c>
      <c r="G67">
        <f t="shared" ref="G67:G130" ca="1" si="7">CELL("row",D67)-2</f>
        <v>65</v>
      </c>
      <c r="H67">
        <f t="shared" ref="H67:H130" ca="1" si="8">D67*G67</f>
        <v>3212.9588245153359</v>
      </c>
      <c r="I67">
        <f t="shared" ref="I67:I130" ca="1" si="9">D67*((G67-$L$1)^2)</f>
        <v>13265.981867056249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15211</v>
      </c>
      <c r="B69" s="66">
        <v>15211</v>
      </c>
      <c r="D69">
        <f t="shared" si="5"/>
        <v>42.491200625733278</v>
      </c>
      <c r="E69">
        <f t="shared" si="6"/>
        <v>42.491200625733278</v>
      </c>
      <c r="G69">
        <f t="shared" ca="1" si="7"/>
        <v>67</v>
      </c>
      <c r="H69">
        <f t="shared" ca="1" si="8"/>
        <v>2846.9104419241298</v>
      </c>
      <c r="I69">
        <f t="shared" ca="1" si="9"/>
        <v>14358.093684283673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13481</v>
      </c>
      <c r="B72" s="66">
        <v>13481</v>
      </c>
      <c r="D72">
        <f t="shared" si="5"/>
        <v>37.658528409408348</v>
      </c>
      <c r="E72">
        <f t="shared" si="6"/>
        <v>37.658528409408348</v>
      </c>
      <c r="G72">
        <f t="shared" ca="1" si="7"/>
        <v>70</v>
      </c>
      <c r="H72">
        <f t="shared" ca="1" si="8"/>
        <v>2636.0969886585845</v>
      </c>
      <c r="I72">
        <f t="shared" ca="1" si="9"/>
        <v>17217.517469675942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13742</v>
      </c>
      <c r="B75" s="66">
        <v>13742</v>
      </c>
      <c r="D75">
        <f t="shared" si="5"/>
        <v>38.387619420079332</v>
      </c>
      <c r="E75">
        <f t="shared" si="6"/>
        <v>38.387619420079332</v>
      </c>
      <c r="G75">
        <f t="shared" ca="1" si="7"/>
        <v>73</v>
      </c>
      <c r="H75">
        <f t="shared" ca="1" si="8"/>
        <v>2802.2962176657911</v>
      </c>
      <c r="I75">
        <f t="shared" ca="1" si="9"/>
        <v>22821.231409994296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11389</v>
      </c>
      <c r="B77" s="66">
        <v>11389</v>
      </c>
      <c r="D77">
        <f t="shared" si="5"/>
        <v>31.814626515447792</v>
      </c>
      <c r="E77">
        <f t="shared" si="6"/>
        <v>31.814626515447792</v>
      </c>
      <c r="G77">
        <f t="shared" ca="1" si="7"/>
        <v>75</v>
      </c>
      <c r="H77">
        <f t="shared" ca="1" si="8"/>
        <v>2386.0969886585845</v>
      </c>
      <c r="I77">
        <f t="shared" ca="1" si="9"/>
        <v>22143.731210950256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10580</v>
      </c>
      <c r="B80" s="66">
        <v>10580</v>
      </c>
      <c r="D80">
        <f t="shared" si="5"/>
        <v>29.554723727582548</v>
      </c>
      <c r="E80">
        <f t="shared" si="6"/>
        <v>29.554723727582548</v>
      </c>
      <c r="G80">
        <f t="shared" ca="1" si="7"/>
        <v>78</v>
      </c>
      <c r="H80">
        <f t="shared" ca="1" si="8"/>
        <v>2305.2684507514386</v>
      </c>
      <c r="I80">
        <f t="shared" ca="1" si="9"/>
        <v>25515.100352018133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9848</v>
      </c>
      <c r="B82" s="66">
        <v>9848</v>
      </c>
      <c r="D82">
        <f t="shared" si="5"/>
        <v>27.509916755125985</v>
      </c>
      <c r="E82">
        <f t="shared" si="6"/>
        <v>27.509916755125985</v>
      </c>
      <c r="G82">
        <f t="shared" ca="1" si="7"/>
        <v>80</v>
      </c>
      <c r="H82">
        <f t="shared" ca="1" si="8"/>
        <v>2200.7933404100786</v>
      </c>
      <c r="I82">
        <f t="shared" ca="1" si="9"/>
        <v>27093.037096407406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9916</v>
      </c>
      <c r="B85" s="66">
        <v>9916</v>
      </c>
      <c r="D85">
        <f t="shared" si="5"/>
        <v>27.699871501201184</v>
      </c>
      <c r="E85">
        <f t="shared" si="6"/>
        <v>27.699871501201184</v>
      </c>
      <c r="G85">
        <f t="shared" ca="1" si="7"/>
        <v>83</v>
      </c>
      <c r="H85">
        <f t="shared" ca="1" si="8"/>
        <v>2299.0893345996983</v>
      </c>
      <c r="I85">
        <f t="shared" ca="1" si="9"/>
        <v>32745.119465330001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9172</v>
      </c>
      <c r="B88" s="66">
        <v>9172</v>
      </c>
      <c r="D88">
        <f t="shared" si="5"/>
        <v>25.621543102966648</v>
      </c>
      <c r="E88">
        <f t="shared" si="6"/>
        <v>25.621543102966648</v>
      </c>
      <c r="G88">
        <f t="shared" ca="1" si="7"/>
        <v>86</v>
      </c>
      <c r="H88">
        <f t="shared" ca="1" si="8"/>
        <v>2203.4527068551315</v>
      </c>
      <c r="I88">
        <f t="shared" ca="1" si="9"/>
        <v>35804.397963390074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9660</v>
      </c>
      <c r="B90" s="66">
        <v>9660</v>
      </c>
      <c r="D90">
        <f t="shared" si="5"/>
        <v>26.984747751271019</v>
      </c>
      <c r="E90">
        <f t="shared" si="6"/>
        <v>26.984747751271019</v>
      </c>
      <c r="G90">
        <f t="shared" ca="1" si="7"/>
        <v>88</v>
      </c>
      <c r="H90">
        <f t="shared" ca="1" si="8"/>
        <v>2374.6578021118498</v>
      </c>
      <c r="I90">
        <f t="shared" ca="1" si="9"/>
        <v>41852.327907545274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7188</v>
      </c>
      <c r="B93" s="66">
        <v>7188</v>
      </c>
      <c r="D93">
        <f t="shared" si="5"/>
        <v>20.079334041007879</v>
      </c>
      <c r="E93">
        <f t="shared" si="6"/>
        <v>20.079334041007879</v>
      </c>
      <c r="G93">
        <f t="shared" ca="1" si="7"/>
        <v>91</v>
      </c>
      <c r="H93">
        <f t="shared" ca="1" si="8"/>
        <v>1827.219397731717</v>
      </c>
      <c r="I93">
        <f t="shared" ca="1" si="9"/>
        <v>36067.62245636063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7451</v>
      </c>
      <c r="B95" s="66">
        <v>7451</v>
      </c>
      <c r="D95">
        <f t="shared" si="5"/>
        <v>20.814011955975193</v>
      </c>
      <c r="E95">
        <f t="shared" si="6"/>
        <v>20.814011955975193</v>
      </c>
      <c r="G95">
        <f t="shared" ca="1" si="7"/>
        <v>93</v>
      </c>
      <c r="H95">
        <f t="shared" ca="1" si="8"/>
        <v>1935.703111905693</v>
      </c>
      <c r="I95">
        <f t="shared" ca="1" si="9"/>
        <v>40999.12746596324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6104</v>
      </c>
      <c r="B98" s="66">
        <v>6104</v>
      </c>
      <c r="D98">
        <f t="shared" si="5"/>
        <v>17.051231912397341</v>
      </c>
      <c r="E98">
        <f t="shared" si="6"/>
        <v>17.051231912397341</v>
      </c>
      <c r="G98">
        <f t="shared" ca="1" si="7"/>
        <v>96</v>
      </c>
      <c r="H98">
        <f t="shared" ca="1" si="8"/>
        <v>1636.9182635901448</v>
      </c>
      <c r="I98">
        <f t="shared" ca="1" si="9"/>
        <v>38281.354245031907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5463</v>
      </c>
      <c r="B100" s="66">
        <v>5463</v>
      </c>
      <c r="D100">
        <f t="shared" si="5"/>
        <v>15.260629085423767</v>
      </c>
      <c r="E100">
        <f t="shared" si="6"/>
        <v>15.260629085423767</v>
      </c>
      <c r="G100">
        <f t="shared" ca="1" si="7"/>
        <v>98</v>
      </c>
      <c r="H100">
        <f t="shared" ca="1" si="8"/>
        <v>1495.5416503715292</v>
      </c>
      <c r="I100">
        <f t="shared" ca="1" si="9"/>
        <v>37214.685187080875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6214</v>
      </c>
      <c r="B103" s="66">
        <v>6214</v>
      </c>
      <c r="D103">
        <f t="shared" si="5"/>
        <v>17.358511648695458</v>
      </c>
      <c r="E103">
        <f t="shared" si="6"/>
        <v>17.358511648695458</v>
      </c>
      <c r="G103">
        <f t="shared" ca="1" si="7"/>
        <v>101</v>
      </c>
      <c r="H103">
        <f t="shared" ca="1" si="8"/>
        <v>1753.2096765182414</v>
      </c>
      <c r="I103">
        <f t="shared" ca="1" si="9"/>
        <v>47630.039182383378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5264</v>
      </c>
      <c r="B106" s="66">
        <v>5264</v>
      </c>
      <c r="D106">
        <f t="shared" si="5"/>
        <v>14.704732107938991</v>
      </c>
      <c r="E106">
        <f t="shared" si="6"/>
        <v>14.704732107938991</v>
      </c>
      <c r="G106">
        <f t="shared" ca="1" si="7"/>
        <v>104</v>
      </c>
      <c r="H106">
        <f t="shared" ca="1" si="8"/>
        <v>1529.2921392256551</v>
      </c>
      <c r="I106">
        <f t="shared" ca="1" si="9"/>
        <v>45102.275723148232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5195</v>
      </c>
      <c r="B108" s="66">
        <v>5195</v>
      </c>
      <c r="D108">
        <f t="shared" si="5"/>
        <v>14.511983909715626</v>
      </c>
      <c r="E108">
        <f t="shared" si="6"/>
        <v>14.511983909715626</v>
      </c>
      <c r="G108">
        <f t="shared" ca="1" si="7"/>
        <v>106</v>
      </c>
      <c r="H108">
        <f t="shared" ca="1" si="8"/>
        <v>1538.2702944298564</v>
      </c>
      <c r="I108">
        <f t="shared" ca="1" si="9"/>
        <v>47783.953243932541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6247</v>
      </c>
      <c r="B111" s="66">
        <v>6247</v>
      </c>
      <c r="D111">
        <f t="shared" si="5"/>
        <v>17.450695569584894</v>
      </c>
      <c r="E111">
        <f t="shared" si="6"/>
        <v>17.450695569584894</v>
      </c>
      <c r="G111">
        <f t="shared" ca="1" si="7"/>
        <v>109</v>
      </c>
      <c r="H111">
        <f t="shared" ca="1" si="8"/>
        <v>1902.1258170847534</v>
      </c>
      <c r="I111">
        <f t="shared" ca="1" si="9"/>
        <v>63625.537049808307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4296</v>
      </c>
      <c r="B113" s="66">
        <v>4296</v>
      </c>
      <c r="D113">
        <f t="shared" si="5"/>
        <v>12.00067042851556</v>
      </c>
      <c r="E113">
        <f t="shared" si="6"/>
        <v>12.00067042851556</v>
      </c>
      <c r="G113">
        <f t="shared" ca="1" si="7"/>
        <v>111</v>
      </c>
      <c r="H113">
        <f t="shared" ca="1" si="8"/>
        <v>1332.0744175652271</v>
      </c>
      <c r="I113">
        <f t="shared" ca="1" si="9"/>
        <v>46701.164439500164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4123</v>
      </c>
      <c r="B116" s="66">
        <v>4123</v>
      </c>
      <c r="D116">
        <f t="shared" si="5"/>
        <v>11.517403206883067</v>
      </c>
      <c r="E116">
        <f t="shared" si="6"/>
        <v>11.517403206883067</v>
      </c>
      <c r="G116">
        <f t="shared" ca="1" si="7"/>
        <v>114</v>
      </c>
      <c r="H116">
        <f t="shared" ca="1" si="8"/>
        <v>1312.9839655846697</v>
      </c>
      <c r="I116">
        <f t="shared" ca="1" si="9"/>
        <v>49235.054112668557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1872</v>
      </c>
      <c r="B118" s="66">
        <v>1872</v>
      </c>
      <c r="D118">
        <f t="shared" si="5"/>
        <v>5.229342421364322</v>
      </c>
      <c r="E118">
        <f t="shared" si="6"/>
        <v>5.229342421364322</v>
      </c>
      <c r="G118">
        <f t="shared" ca="1" si="7"/>
        <v>116</v>
      </c>
      <c r="H118">
        <f t="shared" ca="1" si="8"/>
        <v>606.60372087826136</v>
      </c>
      <c r="I118">
        <f t="shared" ca="1" si="9"/>
        <v>23743.143593887322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2411</v>
      </c>
      <c r="B121" s="66">
        <v>2411</v>
      </c>
      <c r="D121">
        <f t="shared" si="5"/>
        <v>6.7350131292250968</v>
      </c>
      <c r="E121">
        <f t="shared" si="6"/>
        <v>6.7350131292250968</v>
      </c>
      <c r="G121">
        <f t="shared" ca="1" si="7"/>
        <v>119</v>
      </c>
      <c r="H121">
        <f t="shared" ca="1" si="8"/>
        <v>801.46656237778654</v>
      </c>
      <c r="I121">
        <f t="shared" ca="1" si="9"/>
        <v>33362.981547775977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2248</v>
      </c>
      <c r="B124" s="66">
        <v>2248</v>
      </c>
      <c r="D124">
        <f t="shared" si="5"/>
        <v>6.2796804290742498</v>
      </c>
      <c r="E124">
        <f t="shared" si="6"/>
        <v>6.2796804290742498</v>
      </c>
      <c r="G124">
        <f t="shared" ca="1" si="7"/>
        <v>122</v>
      </c>
      <c r="H124">
        <f t="shared" ca="1" si="8"/>
        <v>766.12101234705847</v>
      </c>
      <c r="I124">
        <f t="shared" ca="1" si="9"/>
        <v>33815.802759765851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2037</v>
      </c>
      <c r="B126" s="66">
        <v>2037</v>
      </c>
      <c r="D126">
        <f t="shared" si="5"/>
        <v>5.6902620258114975</v>
      </c>
      <c r="E126">
        <f t="shared" si="6"/>
        <v>5.6902620258114975</v>
      </c>
      <c r="G126">
        <f t="shared" ca="1" si="7"/>
        <v>124</v>
      </c>
      <c r="H126">
        <f t="shared" ca="1" si="8"/>
        <v>705.59249120062566</v>
      </c>
      <c r="I126">
        <f t="shared" ca="1" si="9"/>
        <v>32334.828780769814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809</v>
      </c>
      <c r="B129" s="66">
        <v>809</v>
      </c>
      <c r="D129">
        <f t="shared" si="5"/>
        <v>2.259902787865244</v>
      </c>
      <c r="E129">
        <f t="shared" si="6"/>
        <v>2.259902787865244</v>
      </c>
      <c r="G129">
        <f t="shared" ca="1" si="7"/>
        <v>127</v>
      </c>
      <c r="H129">
        <f t="shared" ca="1" si="8"/>
        <v>287.00765405888598</v>
      </c>
      <c r="I129">
        <f t="shared" ca="1" si="9"/>
        <v>13884.342356187333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812</v>
      </c>
      <c r="B131" s="66">
        <v>812</v>
      </c>
      <c r="D131">
        <f t="shared" ref="D131:D194" si="10">IFERROR( 100*A131/MAX(A$2:A$257), 0 )</f>
        <v>2.2682831443097378</v>
      </c>
      <c r="E131">
        <f t="shared" ref="E131:E194" si="11">IFERROR( 100*B131/MAX(B$2:B$257), 0 )</f>
        <v>2.2682831443097378</v>
      </c>
      <c r="G131">
        <f t="shared" ref="G131:G194" ca="1" si="12">CELL("row",D131)-2</f>
        <v>129</v>
      </c>
      <c r="H131">
        <f t="shared" ref="H131:H194" ca="1" si="13">D131*G131</f>
        <v>292.60852561595618</v>
      </c>
      <c r="I131">
        <f t="shared" ref="I131:I194" ca="1" si="14">D131*((G131-$L$1)^2)</f>
        <v>14656.075174366368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577</v>
      </c>
      <c r="B134" s="66">
        <v>577</v>
      </c>
      <c r="D134">
        <f t="shared" si="10"/>
        <v>1.611821889491033</v>
      </c>
      <c r="E134">
        <f t="shared" si="11"/>
        <v>1.611821889491033</v>
      </c>
      <c r="G134">
        <f t="shared" ca="1" si="12"/>
        <v>132</v>
      </c>
      <c r="H134">
        <f t="shared" ca="1" si="13"/>
        <v>212.76048941281636</v>
      </c>
      <c r="I134">
        <f t="shared" ca="1" si="14"/>
        <v>11206.354771811666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475</v>
      </c>
      <c r="B136" s="66">
        <v>475</v>
      </c>
      <c r="D136">
        <f t="shared" si="10"/>
        <v>1.3268897703782334</v>
      </c>
      <c r="E136">
        <f t="shared" si="11"/>
        <v>1.3268897703782334</v>
      </c>
      <c r="G136">
        <f t="shared" ca="1" si="12"/>
        <v>134</v>
      </c>
      <c r="H136">
        <f t="shared" ca="1" si="13"/>
        <v>177.80322923068329</v>
      </c>
      <c r="I136">
        <f t="shared" ca="1" si="14"/>
        <v>9673.1992112059525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183</v>
      </c>
      <c r="B139" s="66">
        <v>183</v>
      </c>
      <c r="D139">
        <f t="shared" si="10"/>
        <v>0.51120174311414046</v>
      </c>
      <c r="E139">
        <f t="shared" si="11"/>
        <v>0.51120174311414046</v>
      </c>
      <c r="G139">
        <f t="shared" ca="1" si="12"/>
        <v>137</v>
      </c>
      <c r="H139">
        <f t="shared" ca="1" si="13"/>
        <v>70.034638806637247</v>
      </c>
      <c r="I139">
        <f t="shared" ca="1" si="14"/>
        <v>3993.2134497224688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155</v>
      </c>
      <c r="B142" s="66">
        <v>155</v>
      </c>
      <c r="D142">
        <f t="shared" si="10"/>
        <v>0.43298508296552879</v>
      </c>
      <c r="E142">
        <f t="shared" si="11"/>
        <v>0.43298508296552879</v>
      </c>
      <c r="G142">
        <f t="shared" ca="1" si="12"/>
        <v>140</v>
      </c>
      <c r="H142">
        <f t="shared" ca="1" si="13"/>
        <v>60.61791161517403</v>
      </c>
      <c r="I142">
        <f t="shared" ca="1" si="14"/>
        <v>3615.7360363053062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61</v>
      </c>
      <c r="B144" s="66">
        <v>61</v>
      </c>
      <c r="D144">
        <f t="shared" si="10"/>
        <v>0.17040058103804681</v>
      </c>
      <c r="E144">
        <f t="shared" si="11"/>
        <v>0.17040058103804681</v>
      </c>
      <c r="G144">
        <f t="shared" ca="1" si="12"/>
        <v>142</v>
      </c>
      <c r="H144">
        <f t="shared" ca="1" si="13"/>
        <v>24.196882507402648</v>
      </c>
      <c r="I144">
        <f t="shared" ca="1" si="14"/>
        <v>1485.9350479647817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41</v>
      </c>
      <c r="B147" s="66">
        <v>41</v>
      </c>
      <c r="D147">
        <f t="shared" si="10"/>
        <v>0.11453153807475278</v>
      </c>
      <c r="E147">
        <f t="shared" si="11"/>
        <v>0.11453153807475278</v>
      </c>
      <c r="G147">
        <f t="shared" ca="1" si="12"/>
        <v>145</v>
      </c>
      <c r="H147">
        <f t="shared" ca="1" si="13"/>
        <v>16.607073020839152</v>
      </c>
      <c r="I147">
        <f t="shared" ca="1" si="14"/>
        <v>1063.94529558208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21</v>
      </c>
      <c r="B149" s="66">
        <v>21</v>
      </c>
      <c r="D149">
        <f t="shared" si="10"/>
        <v>5.866249511145874E-2</v>
      </c>
      <c r="E149">
        <f t="shared" si="11"/>
        <v>5.866249511145874E-2</v>
      </c>
      <c r="G149">
        <f t="shared" ca="1" si="12"/>
        <v>147</v>
      </c>
      <c r="H149">
        <f t="shared" ca="1" si="13"/>
        <v>8.6233867813844345</v>
      </c>
      <c r="I149">
        <f t="shared" ca="1" si="14"/>
        <v>567.798335681205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20</v>
      </c>
      <c r="B152" s="66">
        <v>20</v>
      </c>
      <c r="D152">
        <f t="shared" si="10"/>
        <v>5.5869042963294036E-2</v>
      </c>
      <c r="E152">
        <f t="shared" si="11"/>
        <v>5.5869042963294036E-2</v>
      </c>
      <c r="G152">
        <f t="shared" ca="1" si="12"/>
        <v>150</v>
      </c>
      <c r="H152">
        <f t="shared" ca="1" si="13"/>
        <v>8.3803564444941046</v>
      </c>
      <c r="I152">
        <f t="shared" ca="1" si="14"/>
        <v>574.24227714242818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21</v>
      </c>
      <c r="B154" s="66">
        <v>21</v>
      </c>
      <c r="D154">
        <f t="shared" si="10"/>
        <v>5.866249511145874E-2</v>
      </c>
      <c r="E154">
        <f t="shared" si="11"/>
        <v>5.866249511145874E-2</v>
      </c>
      <c r="G154">
        <f t="shared" ca="1" si="12"/>
        <v>152</v>
      </c>
      <c r="H154">
        <f t="shared" ca="1" si="13"/>
        <v>8.9166992569417278</v>
      </c>
      <c r="I154">
        <f t="shared" ca="1" si="14"/>
        <v>626.97838616289414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21</v>
      </c>
      <c r="B157" s="66">
        <v>21</v>
      </c>
      <c r="D157">
        <f t="shared" si="10"/>
        <v>5.866249511145874E-2</v>
      </c>
      <c r="E157">
        <f t="shared" si="11"/>
        <v>5.866249511145874E-2</v>
      </c>
      <c r="G157">
        <f t="shared" ca="1" si="12"/>
        <v>155</v>
      </c>
      <c r="H157">
        <f t="shared" ca="1" si="13"/>
        <v>9.0926867422761042</v>
      </c>
      <c r="I157">
        <f t="shared" ca="1" si="14"/>
        <v>663.89431633458253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21</v>
      </c>
      <c r="B160" s="66">
        <v>21</v>
      </c>
      <c r="D160">
        <f t="shared" si="10"/>
        <v>5.866249511145874E-2</v>
      </c>
      <c r="E160">
        <f t="shared" si="11"/>
        <v>5.866249511145874E-2</v>
      </c>
      <c r="G160">
        <f t="shared" ca="1" si="12"/>
        <v>158</v>
      </c>
      <c r="H160">
        <f t="shared" ca="1" si="13"/>
        <v>9.2686742276104805</v>
      </c>
      <c r="I160">
        <f t="shared" ca="1" si="14"/>
        <v>701.86617141827719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44</v>
      </c>
      <c r="B162" s="66">
        <v>44</v>
      </c>
      <c r="D162">
        <f t="shared" si="10"/>
        <v>0.12291189451924689</v>
      </c>
      <c r="E162">
        <f t="shared" si="11"/>
        <v>0.12291189451924689</v>
      </c>
      <c r="G162">
        <f t="shared" ca="1" si="12"/>
        <v>160</v>
      </c>
      <c r="H162">
        <f t="shared" ca="1" si="13"/>
        <v>19.665903123079502</v>
      </c>
      <c r="I162">
        <f t="shared" ca="1" si="14"/>
        <v>1524.8459106051566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22</v>
      </c>
      <c r="B165" s="66">
        <v>22</v>
      </c>
      <c r="D165">
        <f t="shared" si="10"/>
        <v>6.1455947259623445E-2</v>
      </c>
      <c r="E165">
        <f t="shared" si="11"/>
        <v>6.1455947259623445E-2</v>
      </c>
      <c r="G165">
        <f t="shared" ca="1" si="12"/>
        <v>163</v>
      </c>
      <c r="H165">
        <f t="shared" ca="1" si="13"/>
        <v>10.017319403318622</v>
      </c>
      <c r="I165">
        <f t="shared" ca="1" si="14"/>
        <v>804.04667237947581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67</v>
      </c>
      <c r="B167" s="66">
        <v>67</v>
      </c>
      <c r="D167">
        <f t="shared" si="10"/>
        <v>0.18716129392703504</v>
      </c>
      <c r="E167">
        <f t="shared" si="11"/>
        <v>0.18716129392703504</v>
      </c>
      <c r="G167">
        <f t="shared" ca="1" si="12"/>
        <v>165</v>
      </c>
      <c r="H167">
        <f t="shared" ca="1" si="13"/>
        <v>30.881613497960782</v>
      </c>
      <c r="I167">
        <f t="shared" ca="1" si="14"/>
        <v>2535.0679650086472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69</v>
      </c>
      <c r="B170" s="66">
        <v>69</v>
      </c>
      <c r="D170">
        <f t="shared" si="10"/>
        <v>0.19274819822336445</v>
      </c>
      <c r="E170">
        <f t="shared" si="11"/>
        <v>0.19274819822336445</v>
      </c>
      <c r="G170">
        <f t="shared" ca="1" si="12"/>
        <v>168</v>
      </c>
      <c r="H170">
        <f t="shared" ca="1" si="13"/>
        <v>32.381697301525229</v>
      </c>
      <c r="I170">
        <f t="shared" ca="1" si="14"/>
        <v>2747.0711942028906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403</v>
      </c>
      <c r="B1" s="66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71.43295498572796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1.3791910780638543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0.58408180517754593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3369</v>
      </c>
      <c r="B8" s="66">
        <v>3369</v>
      </c>
      <c r="D8">
        <f t="shared" si="0"/>
        <v>9.2468573310643905</v>
      </c>
      <c r="E8">
        <f t="shared" si="1"/>
        <v>9.2468573310643905</v>
      </c>
      <c r="G8">
        <f t="shared" ca="1" si="2"/>
        <v>6</v>
      </c>
      <c r="H8">
        <f t="shared" ca="1" si="3"/>
        <v>55.481143986386343</v>
      </c>
      <c r="I8">
        <f t="shared" ca="1" si="4"/>
        <v>39590.157035229538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6328</v>
      </c>
      <c r="B10" s="66">
        <v>6328</v>
      </c>
      <c r="D10">
        <f t="shared" si="0"/>
        <v>17.368392161168138</v>
      </c>
      <c r="E10">
        <f t="shared" si="1"/>
        <v>17.368392161168138</v>
      </c>
      <c r="G10">
        <f t="shared" ca="1" si="2"/>
        <v>8</v>
      </c>
      <c r="H10">
        <f t="shared" ca="1" si="3"/>
        <v>138.94713728934511</v>
      </c>
      <c r="I10">
        <f t="shared" ca="1" si="4"/>
        <v>69885.890422640805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7076</v>
      </c>
      <c r="B13" s="66">
        <v>7076</v>
      </c>
      <c r="D13">
        <f t="shared" si="0"/>
        <v>19.421419553164625</v>
      </c>
      <c r="E13">
        <f t="shared" si="1"/>
        <v>19.421419553164625</v>
      </c>
      <c r="G13">
        <f t="shared" ca="1" si="2"/>
        <v>11</v>
      </c>
      <c r="H13">
        <f t="shared" ca="1" si="3"/>
        <v>213.63561508481087</v>
      </c>
      <c r="I13">
        <f t="shared" ca="1" si="4"/>
        <v>70929.7829879247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5647</v>
      </c>
      <c r="B15" s="66">
        <v>5647</v>
      </c>
      <c r="D15">
        <f t="shared" si="0"/>
        <v>15.499258933962782</v>
      </c>
      <c r="E15">
        <f t="shared" si="1"/>
        <v>15.499258933962782</v>
      </c>
      <c r="G15">
        <f t="shared" ca="1" si="2"/>
        <v>13</v>
      </c>
      <c r="H15">
        <f t="shared" ca="1" si="3"/>
        <v>201.49036614151618</v>
      </c>
      <c r="I15">
        <f t="shared" ca="1" si="4"/>
        <v>52920.828236186338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5368</v>
      </c>
      <c r="B18" s="66">
        <v>5368</v>
      </c>
      <c r="D18">
        <f t="shared" si="0"/>
        <v>14.7334906955042</v>
      </c>
      <c r="E18">
        <f t="shared" si="1"/>
        <v>14.7334906955042</v>
      </c>
      <c r="G18">
        <f t="shared" ca="1" si="2"/>
        <v>16</v>
      </c>
      <c r="H18">
        <f t="shared" ca="1" si="3"/>
        <v>235.7358511280672</v>
      </c>
      <c r="I18">
        <f t="shared" ca="1" si="4"/>
        <v>45273.25435493829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7893</v>
      </c>
      <c r="B21" s="66">
        <v>7893</v>
      </c>
      <c r="D21">
        <f t="shared" si="0"/>
        <v>21.663830488005708</v>
      </c>
      <c r="E21">
        <f t="shared" si="1"/>
        <v>21.663830488005708</v>
      </c>
      <c r="G21">
        <f t="shared" ca="1" si="2"/>
        <v>19</v>
      </c>
      <c r="H21">
        <f t="shared" ca="1" si="3"/>
        <v>411.61277927210847</v>
      </c>
      <c r="I21">
        <f t="shared" ca="1" si="4"/>
        <v>59558.522720672197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9744</v>
      </c>
      <c r="B23" s="66">
        <v>9744</v>
      </c>
      <c r="D23">
        <f t="shared" si="0"/>
        <v>26.744249876488993</v>
      </c>
      <c r="E23">
        <f t="shared" si="1"/>
        <v>26.744249876488993</v>
      </c>
      <c r="G23">
        <f t="shared" ca="1" si="2"/>
        <v>21</v>
      </c>
      <c r="H23">
        <f t="shared" ca="1" si="3"/>
        <v>561.62924740626886</v>
      </c>
      <c r="I23">
        <f t="shared" ca="1" si="4"/>
        <v>68023.543533745833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12094</v>
      </c>
      <c r="B26" s="66">
        <v>12094</v>
      </c>
      <c r="D26">
        <f t="shared" si="0"/>
        <v>33.194269089312179</v>
      </c>
      <c r="E26">
        <f t="shared" si="1"/>
        <v>33.194269089312179</v>
      </c>
      <c r="G26">
        <f t="shared" ca="1" si="2"/>
        <v>24</v>
      </c>
      <c r="H26">
        <f t="shared" ca="1" si="3"/>
        <v>796.66245814349236</v>
      </c>
      <c r="I26">
        <f t="shared" ca="1" si="4"/>
        <v>74683.29536886666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13019</v>
      </c>
      <c r="B28" s="66">
        <v>13019</v>
      </c>
      <c r="D28">
        <f t="shared" si="0"/>
        <v>35.733106439040455</v>
      </c>
      <c r="E28">
        <f t="shared" si="1"/>
        <v>35.733106439040455</v>
      </c>
      <c r="G28">
        <f t="shared" ca="1" si="2"/>
        <v>26</v>
      </c>
      <c r="H28">
        <f t="shared" ca="1" si="3"/>
        <v>929.06076741505183</v>
      </c>
      <c r="I28">
        <f t="shared" ca="1" si="4"/>
        <v>73758.613103511409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12584</v>
      </c>
      <c r="B31" s="66">
        <v>12584</v>
      </c>
      <c r="D31">
        <f t="shared" si="0"/>
        <v>34.539166712411486</v>
      </c>
      <c r="E31">
        <f t="shared" si="1"/>
        <v>34.539166712411486</v>
      </c>
      <c r="G31">
        <f t="shared" ca="1" si="2"/>
        <v>29</v>
      </c>
      <c r="H31">
        <f t="shared" ca="1" si="3"/>
        <v>1001.6358346599332</v>
      </c>
      <c r="I31">
        <f t="shared" ca="1" si="4"/>
        <v>62189.692420379703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15274</v>
      </c>
      <c r="B33" s="66">
        <v>15274</v>
      </c>
      <c r="D33">
        <f t="shared" si="0"/>
        <v>41.922380194323985</v>
      </c>
      <c r="E33">
        <f t="shared" si="1"/>
        <v>41.922380194323985</v>
      </c>
      <c r="G33">
        <f t="shared" ca="1" si="2"/>
        <v>31</v>
      </c>
      <c r="H33">
        <f t="shared" ca="1" si="3"/>
        <v>1299.5937860240435</v>
      </c>
      <c r="I33">
        <f t="shared" ca="1" si="4"/>
        <v>68535.706943407524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18704</v>
      </c>
      <c r="B36" s="66">
        <v>18704</v>
      </c>
      <c r="D36">
        <f t="shared" si="0"/>
        <v>51.336663556019104</v>
      </c>
      <c r="E36">
        <f t="shared" si="1"/>
        <v>51.336663556019104</v>
      </c>
      <c r="G36">
        <f t="shared" ca="1" si="2"/>
        <v>34</v>
      </c>
      <c r="H36">
        <f t="shared" ca="1" si="3"/>
        <v>1745.4465609046495</v>
      </c>
      <c r="I36">
        <f t="shared" ca="1" si="4"/>
        <v>71934.273835137443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19189</v>
      </c>
      <c r="B39" s="66">
        <v>19189</v>
      </c>
      <c r="D39">
        <f t="shared" si="0"/>
        <v>52.66783773398474</v>
      </c>
      <c r="E39">
        <f t="shared" si="1"/>
        <v>52.66783773398474</v>
      </c>
      <c r="G39">
        <f t="shared" ca="1" si="2"/>
        <v>37</v>
      </c>
      <c r="H39">
        <f t="shared" ca="1" si="3"/>
        <v>1948.7099961574354</v>
      </c>
      <c r="I39">
        <f t="shared" ca="1" si="4"/>
        <v>62444.483607247304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22532</v>
      </c>
      <c r="B41" s="66">
        <v>22532</v>
      </c>
      <c r="D41">
        <f t="shared" si="0"/>
        <v>61.843333150354063</v>
      </c>
      <c r="E41">
        <f t="shared" si="1"/>
        <v>61.843333150354063</v>
      </c>
      <c r="G41">
        <f t="shared" ca="1" si="2"/>
        <v>39</v>
      </c>
      <c r="H41">
        <f t="shared" ca="1" si="3"/>
        <v>2411.8899928638084</v>
      </c>
      <c r="I41">
        <f t="shared" ca="1" si="4"/>
        <v>65052.789962952629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22770</v>
      </c>
      <c r="B44" s="66">
        <v>22770</v>
      </c>
      <c r="D44">
        <f t="shared" si="0"/>
        <v>62.49656913871658</v>
      </c>
      <c r="E44">
        <f t="shared" si="1"/>
        <v>62.49656913871658</v>
      </c>
      <c r="G44">
        <f t="shared" ca="1" si="2"/>
        <v>42</v>
      </c>
      <c r="H44">
        <f t="shared" ca="1" si="3"/>
        <v>2624.8559038260964</v>
      </c>
      <c r="I44">
        <f t="shared" ca="1" si="4"/>
        <v>54140.705298345769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26931</v>
      </c>
      <c r="B46" s="66">
        <v>26931</v>
      </c>
      <c r="D46">
        <f t="shared" si="0"/>
        <v>73.917220178953727</v>
      </c>
      <c r="E46">
        <f t="shared" si="1"/>
        <v>73.917220178953727</v>
      </c>
      <c r="G46">
        <f t="shared" ca="1" si="2"/>
        <v>44</v>
      </c>
      <c r="H46">
        <f t="shared" ca="1" si="3"/>
        <v>3252.3576878739641</v>
      </c>
      <c r="I46">
        <f t="shared" ca="1" si="4"/>
        <v>55627.662061245508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30081</v>
      </c>
      <c r="B49" s="66">
        <v>30081</v>
      </c>
      <c r="D49">
        <f t="shared" si="0"/>
        <v>82.562990613163535</v>
      </c>
      <c r="E49">
        <f t="shared" si="1"/>
        <v>82.562990613163535</v>
      </c>
      <c r="G49">
        <f t="shared" ca="1" si="2"/>
        <v>47</v>
      </c>
      <c r="H49">
        <f t="shared" ca="1" si="3"/>
        <v>3880.460558818686</v>
      </c>
      <c r="I49">
        <f t="shared" ca="1" si="4"/>
        <v>49287.569831680215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28348</v>
      </c>
      <c r="B51" s="66">
        <v>28348</v>
      </c>
      <c r="D51">
        <f t="shared" si="0"/>
        <v>77.806444529834764</v>
      </c>
      <c r="E51">
        <f t="shared" si="1"/>
        <v>77.806444529834764</v>
      </c>
      <c r="G51">
        <f t="shared" ca="1" si="2"/>
        <v>49</v>
      </c>
      <c r="H51">
        <f t="shared" ca="1" si="3"/>
        <v>3812.5157819619035</v>
      </c>
      <c r="I51">
        <f t="shared" ca="1" si="4"/>
        <v>39155.118247559491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29208</v>
      </c>
      <c r="B54" s="66">
        <v>29208</v>
      </c>
      <c r="D54">
        <f t="shared" si="0"/>
        <v>80.166877092825388</v>
      </c>
      <c r="E54">
        <f t="shared" si="1"/>
        <v>80.166877092825388</v>
      </c>
      <c r="G54">
        <f t="shared" ca="1" si="2"/>
        <v>52</v>
      </c>
      <c r="H54">
        <f t="shared" ca="1" si="3"/>
        <v>4168.6776088269198</v>
      </c>
      <c r="I54">
        <f t="shared" ca="1" si="4"/>
        <v>30274.198580045646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31501</v>
      </c>
      <c r="B57" s="66">
        <v>31501</v>
      </c>
      <c r="D57">
        <f t="shared" si="0"/>
        <v>86.460449031124767</v>
      </c>
      <c r="E57">
        <f t="shared" si="1"/>
        <v>86.460449031124767</v>
      </c>
      <c r="G57">
        <f t="shared" ca="1" si="2"/>
        <v>55</v>
      </c>
      <c r="H57">
        <f t="shared" ca="1" si="3"/>
        <v>4755.3246967118621</v>
      </c>
      <c r="I57">
        <f t="shared" ca="1" si="4"/>
        <v>23347.953404080934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33592</v>
      </c>
      <c r="B59" s="66">
        <v>33592</v>
      </c>
      <c r="D59">
        <f t="shared" si="0"/>
        <v>92.199593786024039</v>
      </c>
      <c r="E59">
        <f t="shared" si="1"/>
        <v>92.199593786024039</v>
      </c>
      <c r="G59">
        <f t="shared" ca="1" si="2"/>
        <v>57</v>
      </c>
      <c r="H59">
        <f t="shared" ca="1" si="3"/>
        <v>5255.3768458033701</v>
      </c>
      <c r="I59">
        <f t="shared" ca="1" si="4"/>
        <v>19206.114864458214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35284</v>
      </c>
      <c r="B62" s="66">
        <v>35284</v>
      </c>
      <c r="D62">
        <f t="shared" si="0"/>
        <v>96.843607619256744</v>
      </c>
      <c r="E62">
        <f t="shared" si="1"/>
        <v>96.843607619256744</v>
      </c>
      <c r="G62">
        <f t="shared" ca="1" si="2"/>
        <v>60</v>
      </c>
      <c r="H62">
        <f t="shared" ca="1" si="3"/>
        <v>5810.6164571554045</v>
      </c>
      <c r="I62">
        <f t="shared" ca="1" si="4"/>
        <v>12658.666158684959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32907</v>
      </c>
      <c r="B64" s="66">
        <v>32907</v>
      </c>
      <c r="D64">
        <f t="shared" si="0"/>
        <v>90.319481802711749</v>
      </c>
      <c r="E64">
        <f t="shared" si="1"/>
        <v>90.319481802711749</v>
      </c>
      <c r="G64">
        <f t="shared" ca="1" si="2"/>
        <v>62</v>
      </c>
      <c r="H64">
        <f t="shared" ca="1" si="3"/>
        <v>5599.8078717681283</v>
      </c>
      <c r="I64">
        <f t="shared" ca="1" si="4"/>
        <v>8036.6852738471525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35822</v>
      </c>
      <c r="B67" s="66">
        <v>35822</v>
      </c>
      <c r="D67">
        <f t="shared" ref="D67:D130" si="5">IFERROR(100*A67/MAX(A$2:A$257), 0 )</f>
        <v>98.320250315639242</v>
      </c>
      <c r="E67">
        <f t="shared" ref="E67:E130" si="6">IFERROR(100*B67/MAX(B$2:B$257), 0 )</f>
        <v>98.320250315639242</v>
      </c>
      <c r="G67">
        <f t="shared" ref="G67:G130" ca="1" si="7">CELL("row",D67)-2</f>
        <v>65</v>
      </c>
      <c r="H67">
        <f t="shared" ref="H67:H130" ca="1" si="8">D67*G67</f>
        <v>6390.8162705165505</v>
      </c>
      <c r="I67">
        <f t="shared" ref="I67:I130" ca="1" si="9">D67*((G67-$L$1)^2)</f>
        <v>4068.7780550844386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36434</v>
      </c>
      <c r="B69" s="66">
        <v>36434</v>
      </c>
      <c r="D69">
        <f t="shared" si="5"/>
        <v>100</v>
      </c>
      <c r="E69">
        <f t="shared" si="6"/>
        <v>100</v>
      </c>
      <c r="G69">
        <f t="shared" ca="1" si="7"/>
        <v>67</v>
      </c>
      <c r="H69">
        <f t="shared" ca="1" si="8"/>
        <v>6700</v>
      </c>
      <c r="I69">
        <f t="shared" ca="1" si="9"/>
        <v>1965.108990549038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34151</v>
      </c>
      <c r="B72" s="66">
        <v>34151</v>
      </c>
      <c r="D72">
        <f t="shared" si="5"/>
        <v>93.733874951967948</v>
      </c>
      <c r="E72">
        <f t="shared" si="6"/>
        <v>93.733874951967948</v>
      </c>
      <c r="G72">
        <f t="shared" ca="1" si="7"/>
        <v>70</v>
      </c>
      <c r="H72">
        <f t="shared" ca="1" si="8"/>
        <v>6561.3712466377565</v>
      </c>
      <c r="I72">
        <f t="shared" ca="1" si="9"/>
        <v>192.46938863926155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28872</v>
      </c>
      <c r="B75" s="66">
        <v>28872</v>
      </c>
      <c r="D75">
        <f t="shared" si="5"/>
        <v>79.244661579842997</v>
      </c>
      <c r="E75">
        <f t="shared" si="6"/>
        <v>79.244661579842997</v>
      </c>
      <c r="G75">
        <f t="shared" ca="1" si="7"/>
        <v>73</v>
      </c>
      <c r="H75">
        <f t="shared" ca="1" si="8"/>
        <v>5784.860295328539</v>
      </c>
      <c r="I75">
        <f t="shared" ca="1" si="9"/>
        <v>194.59557439772254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28368</v>
      </c>
      <c r="B77" s="66">
        <v>28368</v>
      </c>
      <c r="D77">
        <f t="shared" si="5"/>
        <v>77.861338310369433</v>
      </c>
      <c r="E77">
        <f t="shared" si="6"/>
        <v>77.861338310369433</v>
      </c>
      <c r="G77">
        <f t="shared" ca="1" si="7"/>
        <v>75</v>
      </c>
      <c r="H77">
        <f t="shared" ca="1" si="8"/>
        <v>5839.6003732777071</v>
      </c>
      <c r="I77">
        <f t="shared" ca="1" si="9"/>
        <v>990.69288542805816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32951</v>
      </c>
      <c r="B80" s="66">
        <v>32951</v>
      </c>
      <c r="D80">
        <f t="shared" si="5"/>
        <v>90.440248119888011</v>
      </c>
      <c r="E80">
        <f t="shared" si="6"/>
        <v>90.440248119888011</v>
      </c>
      <c r="G80">
        <f t="shared" ca="1" si="7"/>
        <v>78</v>
      </c>
      <c r="H80">
        <f t="shared" ca="1" si="8"/>
        <v>7054.3393533512644</v>
      </c>
      <c r="I80">
        <f t="shared" ca="1" si="9"/>
        <v>3900.3333954875366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30559</v>
      </c>
      <c r="B82" s="66">
        <v>30559</v>
      </c>
      <c r="D82">
        <f t="shared" si="5"/>
        <v>83.874951967942039</v>
      </c>
      <c r="E82">
        <f t="shared" si="6"/>
        <v>83.874951967942039</v>
      </c>
      <c r="G82">
        <f t="shared" ca="1" si="7"/>
        <v>80</v>
      </c>
      <c r="H82">
        <f t="shared" ca="1" si="8"/>
        <v>6709.9961574353629</v>
      </c>
      <c r="I82">
        <f t="shared" ca="1" si="9"/>
        <v>6155.9400554193926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27062</v>
      </c>
      <c r="B85" s="66">
        <v>27062</v>
      </c>
      <c r="D85">
        <f t="shared" si="5"/>
        <v>74.276774441455785</v>
      </c>
      <c r="E85">
        <f t="shared" si="6"/>
        <v>74.276774441455785</v>
      </c>
      <c r="G85">
        <f t="shared" ca="1" si="7"/>
        <v>83</v>
      </c>
      <c r="H85">
        <f t="shared" ca="1" si="8"/>
        <v>6164.9722786408302</v>
      </c>
      <c r="I85">
        <f t="shared" ca="1" si="9"/>
        <v>9937.9747067621975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25611</v>
      </c>
      <c r="B88" s="66">
        <v>25611</v>
      </c>
      <c r="D88">
        <f t="shared" si="5"/>
        <v>70.2942306636658</v>
      </c>
      <c r="E88">
        <f t="shared" si="6"/>
        <v>70.2942306636658</v>
      </c>
      <c r="G88">
        <f t="shared" ca="1" si="7"/>
        <v>86</v>
      </c>
      <c r="H88">
        <f t="shared" ca="1" si="8"/>
        <v>6045.3038370752593</v>
      </c>
      <c r="I88">
        <f t="shared" ca="1" si="9"/>
        <v>14916.351425232804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22944</v>
      </c>
      <c r="B90" s="66">
        <v>22944</v>
      </c>
      <c r="D90">
        <f t="shared" si="5"/>
        <v>62.974145029368174</v>
      </c>
      <c r="E90">
        <f t="shared" si="6"/>
        <v>62.974145029368174</v>
      </c>
      <c r="G90">
        <f t="shared" ca="1" si="7"/>
        <v>88</v>
      </c>
      <c r="H90">
        <f t="shared" ca="1" si="8"/>
        <v>5541.7247625843993</v>
      </c>
      <c r="I90">
        <f t="shared" ca="1" si="9"/>
        <v>17284.323436089348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22466</v>
      </c>
      <c r="B93" s="66">
        <v>22466</v>
      </c>
      <c r="D93">
        <f t="shared" si="5"/>
        <v>61.66218367458967</v>
      </c>
      <c r="E93">
        <f t="shared" si="6"/>
        <v>61.66218367458967</v>
      </c>
      <c r="G93">
        <f t="shared" ca="1" si="7"/>
        <v>91</v>
      </c>
      <c r="H93">
        <f t="shared" ca="1" si="8"/>
        <v>5611.2587143876599</v>
      </c>
      <c r="I93">
        <f t="shared" ca="1" si="9"/>
        <v>23608.554053266889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22169</v>
      </c>
      <c r="B95" s="66">
        <v>22169</v>
      </c>
      <c r="D95">
        <f t="shared" si="5"/>
        <v>60.847011033649885</v>
      </c>
      <c r="E95">
        <f t="shared" si="6"/>
        <v>60.847011033649885</v>
      </c>
      <c r="G95">
        <f t="shared" ca="1" si="7"/>
        <v>93</v>
      </c>
      <c r="H95">
        <f t="shared" ca="1" si="8"/>
        <v>5658.7720261294389</v>
      </c>
      <c r="I95">
        <f t="shared" ca="1" si="9"/>
        <v>28302.222374780293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19250</v>
      </c>
      <c r="B98" s="66">
        <v>19250</v>
      </c>
      <c r="D98">
        <f t="shared" si="5"/>
        <v>52.835263764615469</v>
      </c>
      <c r="E98">
        <f t="shared" si="6"/>
        <v>52.835263764615469</v>
      </c>
      <c r="G98">
        <f t="shared" ca="1" si="7"/>
        <v>96</v>
      </c>
      <c r="H98">
        <f t="shared" ca="1" si="8"/>
        <v>5072.1853214030853</v>
      </c>
      <c r="I98">
        <f t="shared" ca="1" si="9"/>
        <v>31888.179280659333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18810</v>
      </c>
      <c r="B100" s="66">
        <v>18810</v>
      </c>
      <c r="D100">
        <f t="shared" si="5"/>
        <v>51.627600592852829</v>
      </c>
      <c r="E100">
        <f t="shared" si="6"/>
        <v>51.627600592852829</v>
      </c>
      <c r="G100">
        <f t="shared" ca="1" si="7"/>
        <v>98</v>
      </c>
      <c r="H100">
        <f t="shared" ca="1" si="8"/>
        <v>5059.5048580995772</v>
      </c>
      <c r="I100">
        <f t="shared" ca="1" si="9"/>
        <v>36439.167364732428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17484</v>
      </c>
      <c r="B103" s="66">
        <v>17484</v>
      </c>
      <c r="D103">
        <f t="shared" si="5"/>
        <v>47.988142943404512</v>
      </c>
      <c r="E103">
        <f t="shared" si="6"/>
        <v>47.988142943404512</v>
      </c>
      <c r="G103">
        <f t="shared" ca="1" si="7"/>
        <v>101</v>
      </c>
      <c r="H103">
        <f t="shared" ca="1" si="8"/>
        <v>4846.8024372838554</v>
      </c>
      <c r="I103">
        <f t="shared" ca="1" si="9"/>
        <v>41951.721682812189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16636</v>
      </c>
      <c r="B106" s="66">
        <v>16636</v>
      </c>
      <c r="D106">
        <f t="shared" si="5"/>
        <v>45.660646648734698</v>
      </c>
      <c r="E106">
        <f t="shared" si="6"/>
        <v>45.660646648734698</v>
      </c>
      <c r="G106">
        <f t="shared" ca="1" si="7"/>
        <v>104</v>
      </c>
      <c r="H106">
        <f t="shared" ca="1" si="8"/>
        <v>4748.7072514684087</v>
      </c>
      <c r="I106">
        <f t="shared" ca="1" si="9"/>
        <v>48428.248984787657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17717</v>
      </c>
      <c r="B108" s="66">
        <v>17717</v>
      </c>
      <c r="D108">
        <f t="shared" si="5"/>
        <v>48.627655486633365</v>
      </c>
      <c r="E108">
        <f t="shared" si="6"/>
        <v>48.627655486633365</v>
      </c>
      <c r="G108">
        <f t="shared" ca="1" si="7"/>
        <v>106</v>
      </c>
      <c r="H108">
        <f t="shared" ca="1" si="8"/>
        <v>5154.5314815831371</v>
      </c>
      <c r="I108">
        <f t="shared" ca="1" si="9"/>
        <v>58104.24221399922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16948</v>
      </c>
      <c r="B111" s="66">
        <v>16948</v>
      </c>
      <c r="D111">
        <f t="shared" si="5"/>
        <v>46.516989625075482</v>
      </c>
      <c r="E111">
        <f t="shared" si="6"/>
        <v>46.516989625075482</v>
      </c>
      <c r="G111">
        <f t="shared" ca="1" si="7"/>
        <v>109</v>
      </c>
      <c r="H111">
        <f t="shared" ca="1" si="8"/>
        <v>5070.3518691332274</v>
      </c>
      <c r="I111">
        <f t="shared" ca="1" si="9"/>
        <v>65648.630673207401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16502</v>
      </c>
      <c r="B113" s="66">
        <v>16502</v>
      </c>
      <c r="D113">
        <f t="shared" si="5"/>
        <v>45.292858319152437</v>
      </c>
      <c r="E113">
        <f t="shared" si="6"/>
        <v>45.292858319152437</v>
      </c>
      <c r="G113">
        <f t="shared" ca="1" si="7"/>
        <v>111</v>
      </c>
      <c r="H113">
        <f t="shared" ca="1" si="8"/>
        <v>5027.5072734259202</v>
      </c>
      <c r="I113">
        <f t="shared" ca="1" si="9"/>
        <v>70908.281951654804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15060</v>
      </c>
      <c r="B116" s="66">
        <v>15060</v>
      </c>
      <c r="D116">
        <f t="shared" si="5"/>
        <v>41.335016742603067</v>
      </c>
      <c r="E116">
        <f t="shared" si="6"/>
        <v>41.335016742603067</v>
      </c>
      <c r="G116">
        <f t="shared" ca="1" si="7"/>
        <v>114</v>
      </c>
      <c r="H116">
        <f t="shared" ca="1" si="8"/>
        <v>4712.1919086567495</v>
      </c>
      <c r="I116">
        <f t="shared" ca="1" si="9"/>
        <v>74897.120870562547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13284</v>
      </c>
      <c r="B118" s="66">
        <v>13284</v>
      </c>
      <c r="D118">
        <f t="shared" si="5"/>
        <v>36.460449031124774</v>
      </c>
      <c r="E118">
        <f t="shared" si="6"/>
        <v>36.460449031124774</v>
      </c>
      <c r="G118">
        <f t="shared" ca="1" si="7"/>
        <v>116</v>
      </c>
      <c r="H118">
        <f t="shared" ca="1" si="8"/>
        <v>4229.4120876104735</v>
      </c>
      <c r="I118">
        <f t="shared" ca="1" si="9"/>
        <v>72418.527812824104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15387</v>
      </c>
      <c r="B121" s="66">
        <v>15387</v>
      </c>
      <c r="D121">
        <f t="shared" si="5"/>
        <v>42.232530054344842</v>
      </c>
      <c r="E121">
        <f t="shared" si="6"/>
        <v>42.232530054344842</v>
      </c>
      <c r="G121">
        <f t="shared" ca="1" si="7"/>
        <v>119</v>
      </c>
      <c r="H121">
        <f t="shared" ca="1" si="8"/>
        <v>5025.6710764670361</v>
      </c>
      <c r="I121">
        <f t="shared" ca="1" si="9"/>
        <v>95556.326426894069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12246</v>
      </c>
      <c r="B124" s="66">
        <v>12246</v>
      </c>
      <c r="D124">
        <f t="shared" si="5"/>
        <v>33.611461821375642</v>
      </c>
      <c r="E124">
        <f t="shared" si="6"/>
        <v>33.611461821375642</v>
      </c>
      <c r="G124">
        <f t="shared" ca="1" si="7"/>
        <v>122</v>
      </c>
      <c r="H124">
        <f t="shared" ca="1" si="8"/>
        <v>4100.598342207828</v>
      </c>
      <c r="I124">
        <f t="shared" ca="1" si="9"/>
        <v>85945.383169314198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11395</v>
      </c>
      <c r="B126" s="66">
        <v>11395</v>
      </c>
      <c r="D126">
        <f t="shared" si="5"/>
        <v>31.275731459625625</v>
      </c>
      <c r="E126">
        <f t="shared" si="6"/>
        <v>31.275731459625625</v>
      </c>
      <c r="G126">
        <f t="shared" ca="1" si="7"/>
        <v>124</v>
      </c>
      <c r="H126">
        <f t="shared" ca="1" si="8"/>
        <v>3878.1907009935776</v>
      </c>
      <c r="I126">
        <f t="shared" ca="1" si="9"/>
        <v>86424.048016585803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10835</v>
      </c>
      <c r="B129" s="66">
        <v>10835</v>
      </c>
      <c r="D129">
        <f t="shared" si="5"/>
        <v>29.738705604654992</v>
      </c>
      <c r="E129">
        <f t="shared" si="6"/>
        <v>29.738705604654992</v>
      </c>
      <c r="G129">
        <f t="shared" ca="1" si="7"/>
        <v>127</v>
      </c>
      <c r="H129">
        <f t="shared" ca="1" si="8"/>
        <v>3776.815611791184</v>
      </c>
      <c r="I129">
        <f t="shared" ca="1" si="9"/>
        <v>91824.096960757786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8930</v>
      </c>
      <c r="B131" s="66">
        <v>8930</v>
      </c>
      <c r="D131">
        <f t="shared" ref="D131:D194" si="10">IFERROR(100*A131/MAX(A$2:A$257), 0 )</f>
        <v>24.51007300872811</v>
      </c>
      <c r="E131">
        <f t="shared" ref="E131:E194" si="11">IFERROR(100*B131/MAX(B$2:B$257), 0 )</f>
        <v>24.51007300872811</v>
      </c>
      <c r="G131">
        <f t="shared" ref="G131:G194" ca="1" si="12">CELL("row",D131)-2</f>
        <v>129</v>
      </c>
      <c r="H131">
        <f t="shared" ref="H131:H194" ca="1" si="13">D131*G131</f>
        <v>3161.799418125926</v>
      </c>
      <c r="I131">
        <f t="shared" ref="I131:I194" ca="1" si="14">D131*((G131-$L$1)^2)</f>
        <v>81225.516051105398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5841</v>
      </c>
      <c r="B134" s="66">
        <v>5841</v>
      </c>
      <c r="D134">
        <f t="shared" si="10"/>
        <v>16.031728605149038</v>
      </c>
      <c r="E134">
        <f t="shared" si="11"/>
        <v>16.031728605149038</v>
      </c>
      <c r="G134">
        <f t="shared" ca="1" si="12"/>
        <v>132</v>
      </c>
      <c r="H134">
        <f t="shared" ca="1" si="13"/>
        <v>2116.1881758796731</v>
      </c>
      <c r="I134">
        <f t="shared" ca="1" si="14"/>
        <v>58810.263234410602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4478</v>
      </c>
      <c r="B136" s="66">
        <v>4478</v>
      </c>
      <c r="D136">
        <f t="shared" si="10"/>
        <v>12.290717461711589</v>
      </c>
      <c r="E136">
        <f t="shared" si="11"/>
        <v>12.290717461711589</v>
      </c>
      <c r="G136">
        <f t="shared" ca="1" si="12"/>
        <v>134</v>
      </c>
      <c r="H136">
        <f t="shared" ca="1" si="13"/>
        <v>1646.9561398693529</v>
      </c>
      <c r="I136">
        <f t="shared" ca="1" si="14"/>
        <v>48113.674247957279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3972</v>
      </c>
      <c r="B139" s="66">
        <v>3972</v>
      </c>
      <c r="D139">
        <f t="shared" si="10"/>
        <v>10.901904814184553</v>
      </c>
      <c r="E139">
        <f t="shared" si="11"/>
        <v>10.901904814184553</v>
      </c>
      <c r="G139">
        <f t="shared" ca="1" si="12"/>
        <v>137</v>
      </c>
      <c r="H139">
        <f t="shared" ca="1" si="13"/>
        <v>1493.5609595432836</v>
      </c>
      <c r="I139">
        <f t="shared" ca="1" si="14"/>
        <v>46867.696439152991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2933</v>
      </c>
      <c r="B142" s="66">
        <v>2933</v>
      </c>
      <c r="D142">
        <f t="shared" si="10"/>
        <v>8.0501729154086838</v>
      </c>
      <c r="E142">
        <f t="shared" si="11"/>
        <v>8.0501729154086838</v>
      </c>
      <c r="G142">
        <f t="shared" ca="1" si="12"/>
        <v>140</v>
      </c>
      <c r="H142">
        <f t="shared" ca="1" si="13"/>
        <v>1127.0242081572158</v>
      </c>
      <c r="I142">
        <f t="shared" ca="1" si="14"/>
        <v>37847.402230373686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1881</v>
      </c>
      <c r="B144" s="66">
        <v>1881</v>
      </c>
      <c r="D144">
        <f t="shared" si="10"/>
        <v>5.1627600592852829</v>
      </c>
      <c r="E144">
        <f t="shared" si="11"/>
        <v>5.1627600592852829</v>
      </c>
      <c r="G144">
        <f t="shared" ca="1" si="12"/>
        <v>142</v>
      </c>
      <c r="H144">
        <f t="shared" ca="1" si="13"/>
        <v>733.11192841851016</v>
      </c>
      <c r="I144">
        <f t="shared" ca="1" si="14"/>
        <v>25709.036753826327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1813</v>
      </c>
      <c r="B147" s="66">
        <v>1813</v>
      </c>
      <c r="D147">
        <f t="shared" si="10"/>
        <v>4.9761212054674209</v>
      </c>
      <c r="E147">
        <f t="shared" si="11"/>
        <v>4.9761212054674209</v>
      </c>
      <c r="G147">
        <f t="shared" ca="1" si="12"/>
        <v>145</v>
      </c>
      <c r="H147">
        <f t="shared" ca="1" si="13"/>
        <v>721.53757479277601</v>
      </c>
      <c r="I147">
        <f t="shared" ca="1" si="14"/>
        <v>26931.315895304353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730</v>
      </c>
      <c r="B149" s="66">
        <v>730</v>
      </c>
      <c r="D149">
        <f t="shared" si="10"/>
        <v>2.0036229895152879</v>
      </c>
      <c r="E149">
        <f t="shared" si="11"/>
        <v>2.0036229895152879</v>
      </c>
      <c r="G149">
        <f t="shared" ca="1" si="12"/>
        <v>147</v>
      </c>
      <c r="H149">
        <f t="shared" ca="1" si="13"/>
        <v>294.53257945874731</v>
      </c>
      <c r="I149">
        <f t="shared" ca="1" si="14"/>
        <v>11441.445225058962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1123</v>
      </c>
      <c r="B152" s="66">
        <v>1123</v>
      </c>
      <c r="D152">
        <f t="shared" si="10"/>
        <v>3.0822857770214633</v>
      </c>
      <c r="E152">
        <f t="shared" si="11"/>
        <v>3.0822857770214633</v>
      </c>
      <c r="G152">
        <f t="shared" ca="1" si="12"/>
        <v>150</v>
      </c>
      <c r="H152">
        <f t="shared" ca="1" si="13"/>
        <v>462.34286655321949</v>
      </c>
      <c r="I152">
        <f t="shared" ca="1" si="14"/>
        <v>19026.273731773701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612</v>
      </c>
      <c r="B154" s="66">
        <v>612</v>
      </c>
      <c r="D154">
        <f t="shared" si="10"/>
        <v>1.679749684360762</v>
      </c>
      <c r="E154">
        <f t="shared" si="11"/>
        <v>1.679749684360762</v>
      </c>
      <c r="G154">
        <f t="shared" ca="1" si="12"/>
        <v>152</v>
      </c>
      <c r="H154">
        <f t="shared" ca="1" si="13"/>
        <v>255.32195202283583</v>
      </c>
      <c r="I154">
        <f t="shared" ca="1" si="14"/>
        <v>10903.337076102056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82</v>
      </c>
      <c r="B157" s="66">
        <v>82</v>
      </c>
      <c r="D157">
        <f t="shared" si="10"/>
        <v>0.22506450019212823</v>
      </c>
      <c r="E157">
        <f t="shared" si="11"/>
        <v>0.22506450019212823</v>
      </c>
      <c r="G157">
        <f t="shared" ca="1" si="12"/>
        <v>155</v>
      </c>
      <c r="H157">
        <f t="shared" ca="1" si="13"/>
        <v>34.884997529779874</v>
      </c>
      <c r="I157">
        <f t="shared" ca="1" si="14"/>
        <v>1571.726911725927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40</v>
      </c>
      <c r="B160" s="66">
        <v>40</v>
      </c>
      <c r="D160">
        <f t="shared" si="10"/>
        <v>0.10978756106933084</v>
      </c>
      <c r="E160">
        <f t="shared" si="11"/>
        <v>0.10978756106933084</v>
      </c>
      <c r="G160">
        <f t="shared" ca="1" si="12"/>
        <v>158</v>
      </c>
      <c r="H160">
        <f t="shared" ca="1" si="13"/>
        <v>17.346434648954272</v>
      </c>
      <c r="I160">
        <f t="shared" ca="1" si="14"/>
        <v>822.7318748974036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62</v>
      </c>
      <c r="B162" s="66">
        <v>62</v>
      </c>
      <c r="D162">
        <f t="shared" si="10"/>
        <v>0.1701707196574628</v>
      </c>
      <c r="E162">
        <f t="shared" si="11"/>
        <v>0.1701707196574628</v>
      </c>
      <c r="G162">
        <f t="shared" ca="1" si="12"/>
        <v>160</v>
      </c>
      <c r="H162">
        <f t="shared" ca="1" si="13"/>
        <v>27.227315145194048</v>
      </c>
      <c r="I162">
        <f t="shared" ca="1" si="14"/>
        <v>1334.8397943644002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41</v>
      </c>
      <c r="B165" s="66">
        <v>41</v>
      </c>
      <c r="D165">
        <f t="shared" si="10"/>
        <v>0.11253225009606412</v>
      </c>
      <c r="E165">
        <f t="shared" si="11"/>
        <v>0.11253225009606412</v>
      </c>
      <c r="G165">
        <f t="shared" ca="1" si="12"/>
        <v>163</v>
      </c>
      <c r="H165">
        <f t="shared" ca="1" si="13"/>
        <v>18.34275676565845</v>
      </c>
      <c r="I165">
        <f t="shared" ca="1" si="14"/>
        <v>943.52932161847343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166</v>
      </c>
      <c r="B167" s="66">
        <v>166</v>
      </c>
      <c r="D167">
        <f t="shared" si="10"/>
        <v>0.45561837843772302</v>
      </c>
      <c r="E167">
        <f t="shared" si="11"/>
        <v>0.45561837843772302</v>
      </c>
      <c r="G167">
        <f t="shared" ca="1" si="12"/>
        <v>165</v>
      </c>
      <c r="H167">
        <f t="shared" ca="1" si="13"/>
        <v>75.177032442224302</v>
      </c>
      <c r="I167">
        <f t="shared" ca="1" si="14"/>
        <v>3988.844094825346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358</v>
      </c>
      <c r="B170" s="66">
        <v>358</v>
      </c>
      <c r="D170">
        <f t="shared" si="10"/>
        <v>0.98259867157051106</v>
      </c>
      <c r="E170">
        <f t="shared" si="11"/>
        <v>0.98259867157051106</v>
      </c>
      <c r="G170">
        <f t="shared" ca="1" si="12"/>
        <v>168</v>
      </c>
      <c r="H170">
        <f t="shared" ca="1" si="13"/>
        <v>165.07657682384587</v>
      </c>
      <c r="I170">
        <f t="shared" ca="1" si="14"/>
        <v>9162.9234161449804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254</v>
      </c>
      <c r="B173" s="66">
        <v>254</v>
      </c>
      <c r="D173">
        <f t="shared" si="10"/>
        <v>0.69715101279025082</v>
      </c>
      <c r="E173">
        <f t="shared" si="11"/>
        <v>0.69715101279025082</v>
      </c>
      <c r="G173">
        <f t="shared" ca="1" si="12"/>
        <v>171</v>
      </c>
      <c r="H173">
        <f t="shared" ca="1" si="13"/>
        <v>119.2128231871329</v>
      </c>
      <c r="I173">
        <f t="shared" ca="1" si="14"/>
        <v>6911.2738075149991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46</v>
      </c>
      <c r="B175" s="66">
        <v>46</v>
      </c>
      <c r="D175">
        <f t="shared" si="10"/>
        <v>0.12625569522973046</v>
      </c>
      <c r="E175">
        <f t="shared" si="11"/>
        <v>0.12625569522973046</v>
      </c>
      <c r="G175">
        <f t="shared" ca="1" si="12"/>
        <v>173</v>
      </c>
      <c r="H175">
        <f t="shared" ca="1" si="13"/>
        <v>21.84223527474337</v>
      </c>
      <c r="I175">
        <f t="shared" ca="1" si="14"/>
        <v>1302.4366611265123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405</v>
      </c>
      <c r="B1" s="68" t="s">
        <v>406</v>
      </c>
      <c r="C1" s="32" t="s">
        <v>407</v>
      </c>
      <c r="D1" s="32" t="s">
        <v>408</v>
      </c>
      <c r="E1" s="32" t="s">
        <v>409</v>
      </c>
    </row>
    <row r="2" spans="1:5">
      <c r="A2" s="68">
        <v>0.14541599999999999</v>
      </c>
      <c r="B2" s="68">
        <v>0.63572700000000004</v>
      </c>
      <c r="C2" s="68">
        <v>0</v>
      </c>
      <c r="D2" s="68">
        <v>1</v>
      </c>
      <c r="E2" s="68" t="s">
        <v>410</v>
      </c>
    </row>
    <row r="3" spans="1:5">
      <c r="A3" s="68">
        <v>0.14993899999999999</v>
      </c>
      <c r="B3" s="68">
        <v>0.62356500000000004</v>
      </c>
      <c r="C3" s="68">
        <v>0.41134199999999999</v>
      </c>
      <c r="D3" s="89">
        <v>1</v>
      </c>
      <c r="E3" s="68" t="s">
        <v>411</v>
      </c>
    </row>
    <row r="4" spans="1:5">
      <c r="A4" s="68">
        <v>0.15453</v>
      </c>
      <c r="B4" s="68">
        <v>0.61190199999999995</v>
      </c>
      <c r="C4" s="68">
        <v>0.81456499999999998</v>
      </c>
      <c r="D4" s="89">
        <v>1</v>
      </c>
      <c r="E4" s="68" t="s">
        <v>412</v>
      </c>
    </row>
    <row r="5" spans="1:5">
      <c r="A5" s="89">
        <v>0.15886900000000001</v>
      </c>
      <c r="B5" s="89">
        <v>0.60070400000000002</v>
      </c>
      <c r="C5" s="89">
        <v>1.2204299999999999</v>
      </c>
      <c r="D5" s="89">
        <v>1</v>
      </c>
      <c r="E5" s="68" t="s">
        <v>413</v>
      </c>
    </row>
    <row r="6" spans="1:5">
      <c r="A6" s="68">
        <v>0.163017</v>
      </c>
      <c r="B6" s="68">
        <v>0.59062700000000001</v>
      </c>
      <c r="C6" s="68">
        <v>1.629</v>
      </c>
      <c r="D6" s="68">
        <v>1</v>
      </c>
      <c r="E6" s="68" t="s">
        <v>414</v>
      </c>
    </row>
    <row r="7" spans="1:5">
      <c r="A7" s="68">
        <v>0.16731499999999999</v>
      </c>
      <c r="B7" s="68">
        <v>0.58038999999999996</v>
      </c>
      <c r="C7" s="68">
        <v>2.0364100000000001</v>
      </c>
      <c r="D7" s="68">
        <v>1</v>
      </c>
      <c r="E7" s="68" t="s">
        <v>415</v>
      </c>
    </row>
    <row r="8" spans="1:5">
      <c r="A8" s="68">
        <v>0.17207500000000001</v>
      </c>
      <c r="B8" s="68">
        <v>0.56824200000000002</v>
      </c>
      <c r="C8" s="68">
        <v>2.4422700000000002</v>
      </c>
      <c r="D8" s="68">
        <v>1</v>
      </c>
      <c r="E8" s="68" t="s">
        <v>416</v>
      </c>
    </row>
    <row r="9" spans="1:5">
      <c r="A9" s="68">
        <v>0.17708699999999999</v>
      </c>
      <c r="B9" s="68">
        <v>0.55597300000000005</v>
      </c>
      <c r="C9" s="68">
        <v>2.8469000000000002</v>
      </c>
      <c r="D9" s="68">
        <v>1</v>
      </c>
      <c r="E9" s="68" t="s">
        <v>417</v>
      </c>
    </row>
    <row r="10" spans="1:5">
      <c r="A10" s="68">
        <v>0.18229200000000001</v>
      </c>
      <c r="B10" s="68">
        <v>0.54442699999999999</v>
      </c>
      <c r="C10" s="68">
        <v>3.2522099999999998</v>
      </c>
      <c r="D10" s="68">
        <v>1</v>
      </c>
      <c r="E10" s="68" t="s">
        <v>418</v>
      </c>
    </row>
    <row r="11" spans="1:5">
      <c r="A11" s="68">
        <v>0.187748</v>
      </c>
      <c r="B11" s="68">
        <v>0.53073000000000004</v>
      </c>
      <c r="C11" s="68">
        <v>3.6595499999999999</v>
      </c>
      <c r="D11" s="68">
        <v>1</v>
      </c>
      <c r="E11" s="68" t="s">
        <v>419</v>
      </c>
    </row>
    <row r="12" spans="1:5">
      <c r="A12" s="68">
        <v>0.19333700000000001</v>
      </c>
      <c r="B12" s="68">
        <v>0.51649900000000004</v>
      </c>
      <c r="C12" s="68">
        <v>4.0654899999999996</v>
      </c>
      <c r="D12" s="68">
        <v>1</v>
      </c>
      <c r="E12" s="68" t="s">
        <v>420</v>
      </c>
    </row>
    <row r="13" spans="1:5">
      <c r="A13" s="68">
        <v>0.19906599999999999</v>
      </c>
      <c r="B13" s="68">
        <v>0.50262300000000004</v>
      </c>
      <c r="C13" s="68">
        <v>4.4738199999999999</v>
      </c>
      <c r="D13" s="68">
        <v>1</v>
      </c>
      <c r="E13" s="68" t="s">
        <v>421</v>
      </c>
    </row>
    <row r="14" spans="1:5">
      <c r="A14" s="68">
        <v>0.204511</v>
      </c>
      <c r="B14" s="68">
        <v>0.490365</v>
      </c>
      <c r="C14" s="68">
        <v>4.8839699999999997</v>
      </c>
      <c r="D14" s="68">
        <v>1</v>
      </c>
      <c r="E14" s="68" t="s">
        <v>422</v>
      </c>
    </row>
    <row r="15" spans="1:5">
      <c r="A15" s="68">
        <v>0.20982100000000001</v>
      </c>
      <c r="B15" s="68">
        <v>0.479458</v>
      </c>
      <c r="C15" s="68">
        <v>5.2850999999999999</v>
      </c>
      <c r="D15" s="68">
        <v>1</v>
      </c>
      <c r="E15" s="68" t="s">
        <v>423</v>
      </c>
    </row>
    <row r="16" spans="1:5">
      <c r="A16" s="68">
        <v>0.215221</v>
      </c>
      <c r="B16" s="68">
        <v>0.46892899999999998</v>
      </c>
      <c r="C16" s="68">
        <v>5.6881399999999998</v>
      </c>
      <c r="D16" s="68">
        <v>1</v>
      </c>
      <c r="E16" s="68" t="s">
        <v>424</v>
      </c>
    </row>
    <row r="17" spans="1:5">
      <c r="A17" s="68">
        <v>0.22035399999999999</v>
      </c>
      <c r="B17" s="68">
        <v>0.45957500000000001</v>
      </c>
      <c r="C17" s="68">
        <v>6.0982599999999998</v>
      </c>
      <c r="D17" s="68">
        <v>1</v>
      </c>
      <c r="E17" s="68" t="s">
        <v>425</v>
      </c>
    </row>
    <row r="18" spans="1:5">
      <c r="A18" s="68">
        <v>0.22507099999999999</v>
      </c>
      <c r="B18" s="68">
        <v>0.45314300000000002</v>
      </c>
      <c r="C18" s="68">
        <v>6.5017899999999997</v>
      </c>
      <c r="D18" s="68">
        <v>1</v>
      </c>
      <c r="E18" s="68" t="s">
        <v>426</v>
      </c>
    </row>
    <row r="19" spans="1:5">
      <c r="A19" s="68">
        <v>0.229573</v>
      </c>
      <c r="B19" s="68">
        <v>0.44739499999999999</v>
      </c>
      <c r="C19" s="68">
        <v>6.90937</v>
      </c>
      <c r="D19" s="68">
        <v>1</v>
      </c>
      <c r="E19" s="68" t="s">
        <v>427</v>
      </c>
    </row>
    <row r="20" spans="1:5">
      <c r="A20" s="68">
        <v>0.23393700000000001</v>
      </c>
      <c r="B20" s="68">
        <v>0.44172600000000001</v>
      </c>
      <c r="C20" s="68">
        <v>7.31454</v>
      </c>
      <c r="D20" s="68">
        <v>1</v>
      </c>
      <c r="E20" s="68" t="s">
        <v>428</v>
      </c>
    </row>
    <row r="21" spans="1:5">
      <c r="A21" s="68">
        <v>0.23779800000000001</v>
      </c>
      <c r="B21" s="68">
        <v>0.43782700000000002</v>
      </c>
      <c r="C21" s="68">
        <v>7.7199299999999997</v>
      </c>
      <c r="D21" s="68">
        <v>1</v>
      </c>
      <c r="E21" s="68" t="s">
        <v>429</v>
      </c>
    </row>
    <row r="22" spans="1:5">
      <c r="A22" s="68">
        <v>0.24096999999999999</v>
      </c>
      <c r="B22" s="68">
        <v>0.43564399999999998</v>
      </c>
      <c r="C22" s="68">
        <v>8.1300299999999996</v>
      </c>
      <c r="D22" s="68">
        <v>1</v>
      </c>
      <c r="E22" s="68" t="s">
        <v>430</v>
      </c>
    </row>
    <row r="23" spans="1:5">
      <c r="A23" s="68">
        <v>0.243726</v>
      </c>
      <c r="B23" s="68">
        <v>0.43396099999999999</v>
      </c>
      <c r="C23" s="68">
        <v>8.5326000000000004</v>
      </c>
      <c r="D23" s="68">
        <v>1</v>
      </c>
      <c r="E23" s="68" t="s">
        <v>431</v>
      </c>
    </row>
    <row r="24" spans="1:5">
      <c r="A24" s="68">
        <v>0.24628700000000001</v>
      </c>
      <c r="B24" s="68">
        <v>0.43262800000000001</v>
      </c>
      <c r="C24" s="68">
        <v>8.9426699999999997</v>
      </c>
      <c r="D24" s="68">
        <v>1</v>
      </c>
      <c r="E24" s="68" t="s">
        <v>432</v>
      </c>
    </row>
    <row r="25" spans="1:5">
      <c r="A25" s="68">
        <v>0.24882099999999999</v>
      </c>
      <c r="B25" s="68">
        <v>0.43154399999999998</v>
      </c>
      <c r="C25" s="68">
        <v>9.3456299999999999</v>
      </c>
      <c r="D25" s="68">
        <v>1</v>
      </c>
      <c r="E25" s="68" t="s">
        <v>433</v>
      </c>
    </row>
    <row r="26" spans="1:5">
      <c r="A26" s="68">
        <v>0.25150499999999998</v>
      </c>
      <c r="B26" s="68">
        <v>0.429456</v>
      </c>
      <c r="C26" s="68">
        <v>9.7521000000000004</v>
      </c>
      <c r="D26" s="68">
        <v>1</v>
      </c>
      <c r="E26" s="68" t="s">
        <v>434</v>
      </c>
    </row>
    <row r="27" spans="1:5">
      <c r="A27" s="68">
        <v>0.25425799999999998</v>
      </c>
      <c r="B27" s="68">
        <v>0.425983</v>
      </c>
      <c r="C27" s="68">
        <v>10.1577</v>
      </c>
      <c r="D27" s="68">
        <v>1</v>
      </c>
      <c r="E27" s="68" t="s">
        <v>435</v>
      </c>
    </row>
    <row r="28" spans="1:5">
      <c r="A28" s="68">
        <v>0.25703599999999999</v>
      </c>
      <c r="B28" s="68">
        <v>0.42263200000000001</v>
      </c>
      <c r="C28" s="68">
        <v>10.5669</v>
      </c>
      <c r="D28" s="68">
        <v>1</v>
      </c>
      <c r="E28" s="68" t="s">
        <v>436</v>
      </c>
    </row>
    <row r="29" spans="1:5">
      <c r="A29" s="68">
        <v>0.25980300000000001</v>
      </c>
      <c r="B29" s="68">
        <v>0.41928799999999999</v>
      </c>
      <c r="C29" s="68">
        <v>10.9756</v>
      </c>
      <c r="D29" s="68">
        <v>1</v>
      </c>
      <c r="E29" s="68" t="s">
        <v>437</v>
      </c>
    </row>
    <row r="30" spans="1:5">
      <c r="A30" s="68">
        <v>0.26224999999999998</v>
      </c>
      <c r="B30" s="68">
        <v>0.41666599999999998</v>
      </c>
      <c r="C30" s="68">
        <v>11.3787</v>
      </c>
      <c r="D30" s="68">
        <v>1</v>
      </c>
      <c r="E30" s="68" t="s">
        <v>438</v>
      </c>
    </row>
    <row r="31" spans="1:5">
      <c r="A31" s="68">
        <v>0.26461600000000002</v>
      </c>
      <c r="B31" s="68">
        <v>0.41489599999999999</v>
      </c>
      <c r="C31" s="68">
        <v>11.782500000000001</v>
      </c>
      <c r="D31" s="68">
        <v>1</v>
      </c>
      <c r="E31" s="68" t="s">
        <v>439</v>
      </c>
    </row>
    <row r="32" spans="1:5">
      <c r="A32" s="68">
        <v>0.266374</v>
      </c>
      <c r="B32" s="68">
        <v>0.41380400000000001</v>
      </c>
      <c r="C32" s="68">
        <v>12.189</v>
      </c>
      <c r="D32" s="68">
        <v>1</v>
      </c>
      <c r="E32" s="68" t="s">
        <v>440</v>
      </c>
    </row>
    <row r="33" spans="1:5">
      <c r="A33" s="68">
        <v>0.26764900000000003</v>
      </c>
      <c r="B33" s="68">
        <v>0.41347699999999998</v>
      </c>
      <c r="C33" s="68">
        <v>12.5976</v>
      </c>
      <c r="D33" s="68">
        <v>1</v>
      </c>
      <c r="E33" s="68" t="s">
        <v>441</v>
      </c>
    </row>
    <row r="34" spans="1:5">
      <c r="A34" s="68">
        <v>0.26843299999999998</v>
      </c>
      <c r="B34" s="68">
        <v>0.41379199999999999</v>
      </c>
      <c r="C34" s="68">
        <v>13.0055</v>
      </c>
      <c r="D34" s="68">
        <v>1</v>
      </c>
      <c r="E34" s="68" t="s">
        <v>442</v>
      </c>
    </row>
    <row r="35" spans="1:5">
      <c r="A35" s="68">
        <v>0.26902900000000002</v>
      </c>
      <c r="B35" s="68">
        <v>0.41315299999999999</v>
      </c>
      <c r="C35" s="68">
        <v>13.407999999999999</v>
      </c>
      <c r="D35" s="68">
        <v>1</v>
      </c>
      <c r="E35" s="68" t="s">
        <v>443</v>
      </c>
    </row>
    <row r="36" spans="1:5">
      <c r="A36" s="68">
        <v>0.26972000000000002</v>
      </c>
      <c r="B36" s="68">
        <v>0.41141800000000001</v>
      </c>
      <c r="C36" s="68">
        <v>13.813800000000001</v>
      </c>
      <c r="D36" s="68">
        <v>1</v>
      </c>
      <c r="E36" s="68" t="s">
        <v>444</v>
      </c>
    </row>
    <row r="37" spans="1:5">
      <c r="A37" s="68">
        <v>0.270455</v>
      </c>
      <c r="B37" s="68">
        <v>0.40922399999999998</v>
      </c>
      <c r="C37" s="68">
        <v>14.221399999999999</v>
      </c>
      <c r="D37" s="68">
        <v>1</v>
      </c>
      <c r="E37" s="68" t="s">
        <v>445</v>
      </c>
    </row>
    <row r="38" spans="1:5">
      <c r="A38" s="68">
        <v>0.271094</v>
      </c>
      <c r="B38" s="68">
        <v>0.40700500000000001</v>
      </c>
      <c r="C38" s="68">
        <v>14.629300000000001</v>
      </c>
      <c r="D38" s="68">
        <v>1</v>
      </c>
      <c r="E38" s="68" t="s">
        <v>446</v>
      </c>
    </row>
    <row r="39" spans="1:5">
      <c r="A39" s="68">
        <v>0.27164899999999997</v>
      </c>
      <c r="B39" s="68">
        <v>0.40564299999999998</v>
      </c>
      <c r="C39" s="68">
        <v>15.032999999999999</v>
      </c>
      <c r="D39" s="68">
        <v>2</v>
      </c>
      <c r="E39" s="68" t="s">
        <v>447</v>
      </c>
    </row>
    <row r="40" spans="1:5">
      <c r="A40" s="68">
        <v>0.27240199999999998</v>
      </c>
      <c r="B40" s="68">
        <v>0.404312</v>
      </c>
      <c r="C40" s="68">
        <v>15.437799999999999</v>
      </c>
      <c r="D40" s="68">
        <v>2</v>
      </c>
      <c r="E40" s="68" t="s">
        <v>448</v>
      </c>
    </row>
    <row r="41" spans="1:5">
      <c r="A41" s="68">
        <v>0.27313100000000001</v>
      </c>
      <c r="B41" s="68">
        <v>0.40317700000000001</v>
      </c>
      <c r="C41" s="68">
        <v>15.8467</v>
      </c>
      <c r="D41" s="68">
        <v>2</v>
      </c>
      <c r="E41" s="68" t="s">
        <v>449</v>
      </c>
    </row>
    <row r="42" spans="1:5">
      <c r="A42" s="68">
        <v>0.273478</v>
      </c>
      <c r="B42" s="68">
        <v>0.403833</v>
      </c>
      <c r="C42" s="68">
        <v>16.252800000000001</v>
      </c>
      <c r="D42" s="68">
        <v>2</v>
      </c>
      <c r="E42" s="68" t="s">
        <v>450</v>
      </c>
    </row>
    <row r="43" spans="1:5">
      <c r="A43" s="68">
        <v>0.27406799999999998</v>
      </c>
      <c r="B43" s="68">
        <v>0.40432400000000002</v>
      </c>
      <c r="C43" s="68">
        <v>16.6572</v>
      </c>
      <c r="D43" s="68">
        <v>2</v>
      </c>
      <c r="E43" s="68" t="s">
        <v>451</v>
      </c>
    </row>
    <row r="44" spans="1:5">
      <c r="A44" s="68">
        <v>0.275036</v>
      </c>
      <c r="B44" s="68">
        <v>0.40375100000000003</v>
      </c>
      <c r="C44" s="68">
        <v>17.065899999999999</v>
      </c>
      <c r="D44" s="68">
        <v>2</v>
      </c>
      <c r="E44" s="68" t="s">
        <v>452</v>
      </c>
    </row>
    <row r="45" spans="1:5">
      <c r="A45" s="68">
        <v>0.27654899999999999</v>
      </c>
      <c r="B45" s="68">
        <v>0.402424</v>
      </c>
      <c r="C45" s="68">
        <v>17.4693</v>
      </c>
      <c r="D45" s="68">
        <v>2</v>
      </c>
      <c r="E45" s="68" t="s">
        <v>453</v>
      </c>
    </row>
    <row r="46" spans="1:5">
      <c r="A46" s="68">
        <v>0.27841900000000003</v>
      </c>
      <c r="B46" s="68">
        <v>0.400364</v>
      </c>
      <c r="C46" s="68">
        <v>17.8796</v>
      </c>
      <c r="D46" s="68">
        <v>2</v>
      </c>
      <c r="E46" s="68" t="s">
        <v>454</v>
      </c>
    </row>
    <row r="47" spans="1:5">
      <c r="A47" s="68">
        <v>0.28055099999999999</v>
      </c>
      <c r="B47" s="68">
        <v>0.39843099999999998</v>
      </c>
      <c r="C47" s="68">
        <v>18.2881</v>
      </c>
      <c r="D47" s="68">
        <v>2</v>
      </c>
      <c r="E47" s="68" t="s">
        <v>455</v>
      </c>
    </row>
    <row r="48" spans="1:5">
      <c r="A48" s="68">
        <v>0.28231800000000001</v>
      </c>
      <c r="B48" s="68">
        <v>0.39758500000000002</v>
      </c>
      <c r="C48" s="68">
        <v>18.6891</v>
      </c>
      <c r="D48" s="68">
        <v>2</v>
      </c>
      <c r="E48" s="68" t="s">
        <v>456</v>
      </c>
    </row>
    <row r="49" spans="1:5">
      <c r="A49" s="68">
        <v>0.28347099999999997</v>
      </c>
      <c r="B49" s="68">
        <v>0.39891599999999999</v>
      </c>
      <c r="C49" s="68">
        <v>19.0946</v>
      </c>
      <c r="D49" s="68">
        <v>2</v>
      </c>
      <c r="E49" s="68" t="s">
        <v>457</v>
      </c>
    </row>
    <row r="50" spans="1:5">
      <c r="A50" s="68">
        <v>0.28451500000000002</v>
      </c>
      <c r="B50" s="68">
        <v>0.40084199999999998</v>
      </c>
      <c r="C50" s="68">
        <v>19.501799999999999</v>
      </c>
      <c r="D50" s="68">
        <v>2</v>
      </c>
      <c r="E50" s="68" t="s">
        <v>458</v>
      </c>
    </row>
    <row r="51" spans="1:5">
      <c r="A51" s="68">
        <v>0.28562100000000001</v>
      </c>
      <c r="B51" s="68">
        <v>0.40221400000000002</v>
      </c>
      <c r="C51" s="68">
        <v>19.9072</v>
      </c>
      <c r="D51" s="68">
        <v>2</v>
      </c>
      <c r="E51" s="68" t="s">
        <v>459</v>
      </c>
    </row>
    <row r="52" spans="1:5">
      <c r="A52" s="68">
        <v>0.28659400000000002</v>
      </c>
      <c r="B52" s="68">
        <v>0.40385300000000002</v>
      </c>
      <c r="C52" s="68">
        <v>20.3188</v>
      </c>
      <c r="D52" s="68">
        <v>2</v>
      </c>
      <c r="E52" s="68" t="s">
        <v>460</v>
      </c>
    </row>
    <row r="53" spans="1:5">
      <c r="A53" s="68">
        <v>0.28728799999999999</v>
      </c>
      <c r="B53" s="68">
        <v>0.40509299999999998</v>
      </c>
      <c r="C53" s="68">
        <v>20.720300000000002</v>
      </c>
      <c r="D53" s="68">
        <v>2</v>
      </c>
      <c r="E53" s="68" t="s">
        <v>461</v>
      </c>
    </row>
    <row r="54" spans="1:5">
      <c r="A54" s="68">
        <v>0.287887</v>
      </c>
      <c r="B54" s="68">
        <v>0.40512799999999999</v>
      </c>
      <c r="C54" s="68">
        <v>21.127700000000001</v>
      </c>
      <c r="D54" s="68">
        <v>2</v>
      </c>
      <c r="E54" s="68" t="s">
        <v>462</v>
      </c>
    </row>
    <row r="55" spans="1:5">
      <c r="A55" s="68">
        <v>0.28857300000000002</v>
      </c>
      <c r="B55" s="68">
        <v>0.40472200000000003</v>
      </c>
      <c r="C55" s="68">
        <v>21.536000000000001</v>
      </c>
      <c r="D55" s="68">
        <v>2</v>
      </c>
      <c r="E55" s="68" t="s">
        <v>463</v>
      </c>
    </row>
    <row r="56" spans="1:5">
      <c r="A56" s="68">
        <v>0.28947099999999998</v>
      </c>
      <c r="B56" s="68">
        <v>0.40410600000000002</v>
      </c>
      <c r="C56" s="68">
        <v>21.942799999999998</v>
      </c>
      <c r="D56" s="68">
        <v>2</v>
      </c>
      <c r="E56" s="68" t="s">
        <v>464</v>
      </c>
    </row>
    <row r="57" spans="1:5">
      <c r="A57" s="68">
        <v>0.290302</v>
      </c>
      <c r="B57" s="68">
        <v>0.40382499999999999</v>
      </c>
      <c r="C57" s="68">
        <v>22.348700000000001</v>
      </c>
      <c r="D57" s="68">
        <v>2</v>
      </c>
      <c r="E57" s="68" t="s">
        <v>465</v>
      </c>
    </row>
    <row r="58" spans="1:5">
      <c r="A58" s="68">
        <v>0.29105700000000001</v>
      </c>
      <c r="B58" s="68">
        <v>0.40448600000000001</v>
      </c>
      <c r="C58" s="68">
        <v>22.7531</v>
      </c>
      <c r="D58" s="68">
        <v>2</v>
      </c>
      <c r="E58" s="68" t="s">
        <v>466</v>
      </c>
    </row>
    <row r="59" spans="1:5">
      <c r="A59" s="68">
        <v>0.29164600000000002</v>
      </c>
      <c r="B59" s="68">
        <v>0.40597</v>
      </c>
      <c r="C59" s="68">
        <v>23.1586</v>
      </c>
      <c r="D59" s="68">
        <v>2</v>
      </c>
      <c r="E59" s="68" t="s">
        <v>467</v>
      </c>
    </row>
    <row r="60" spans="1:5">
      <c r="A60" s="68">
        <v>0.29208800000000001</v>
      </c>
      <c r="B60" s="68">
        <v>0.40781600000000001</v>
      </c>
      <c r="C60" s="68">
        <v>23.563300000000002</v>
      </c>
      <c r="D60" s="68">
        <v>2</v>
      </c>
      <c r="E60" s="68" t="s">
        <v>468</v>
      </c>
    </row>
    <row r="61" spans="1:5">
      <c r="A61" s="68">
        <v>0.29248600000000002</v>
      </c>
      <c r="B61" s="68">
        <v>0.40959600000000002</v>
      </c>
      <c r="C61" s="68">
        <v>23.972000000000001</v>
      </c>
      <c r="D61" s="68">
        <v>2</v>
      </c>
      <c r="E61" s="68" t="s">
        <v>469</v>
      </c>
    </row>
    <row r="62" spans="1:5">
      <c r="A62" s="68">
        <v>0.29272300000000001</v>
      </c>
      <c r="B62" s="68">
        <v>0.41041699999999998</v>
      </c>
      <c r="C62" s="68">
        <v>24.3797</v>
      </c>
      <c r="D62" s="68">
        <v>2</v>
      </c>
      <c r="E62" s="68" t="s">
        <v>470</v>
      </c>
    </row>
    <row r="63" spans="1:5">
      <c r="A63" s="68">
        <v>0.29323100000000002</v>
      </c>
      <c r="B63" s="68">
        <v>0.41140900000000002</v>
      </c>
      <c r="C63" s="68">
        <v>24.7864</v>
      </c>
      <c r="D63" s="68">
        <v>2</v>
      </c>
      <c r="E63" s="68" t="s">
        <v>471</v>
      </c>
    </row>
    <row r="64" spans="1:5">
      <c r="A64" s="68">
        <v>0.29430400000000001</v>
      </c>
      <c r="B64" s="68">
        <v>0.41115000000000002</v>
      </c>
      <c r="C64" s="68">
        <v>25.1906</v>
      </c>
      <c r="D64" s="68">
        <v>2</v>
      </c>
      <c r="E64" s="68" t="s">
        <v>472</v>
      </c>
    </row>
    <row r="65" spans="1:5">
      <c r="A65" s="68">
        <v>0.29566300000000001</v>
      </c>
      <c r="B65" s="68">
        <v>0.41030100000000003</v>
      </c>
      <c r="C65" s="68">
        <v>25.596299999999999</v>
      </c>
      <c r="D65" s="68">
        <v>2</v>
      </c>
      <c r="E65" s="68" t="s">
        <v>473</v>
      </c>
    </row>
    <row r="66" spans="1:5">
      <c r="A66" s="68">
        <v>0.29694999999999999</v>
      </c>
      <c r="B66" s="68">
        <v>0.41038200000000002</v>
      </c>
      <c r="C66" s="68">
        <v>26.003900000000002</v>
      </c>
      <c r="D66" s="68">
        <v>2</v>
      </c>
      <c r="E66" s="68" t="s">
        <v>474</v>
      </c>
    </row>
    <row r="67" spans="1:5">
      <c r="A67" s="68">
        <v>0.29819299999999999</v>
      </c>
      <c r="B67" s="68">
        <v>0.41072199999999998</v>
      </c>
      <c r="C67" s="68">
        <v>26.411999999999999</v>
      </c>
      <c r="D67" s="68">
        <v>2</v>
      </c>
      <c r="E67" s="68" t="s">
        <v>475</v>
      </c>
    </row>
    <row r="68" spans="1:5">
      <c r="A68" s="68">
        <v>0.29868499999999998</v>
      </c>
      <c r="B68" s="68">
        <v>0.41303099999999998</v>
      </c>
      <c r="C68" s="68">
        <v>26.817699999999999</v>
      </c>
      <c r="D68" s="68">
        <v>2</v>
      </c>
      <c r="E68" s="68" t="s">
        <v>476</v>
      </c>
    </row>
    <row r="69" spans="1:5">
      <c r="A69" s="68">
        <v>0.29858800000000002</v>
      </c>
      <c r="B69" s="68">
        <v>0.41681499999999999</v>
      </c>
      <c r="C69" s="68">
        <v>27.221699999999998</v>
      </c>
      <c r="D69" s="68">
        <v>2</v>
      </c>
      <c r="E69" s="68" t="s">
        <v>477</v>
      </c>
    </row>
    <row r="70" spans="1:5">
      <c r="A70" s="68">
        <v>0.29783300000000001</v>
      </c>
      <c r="B70" s="68">
        <v>0.420122</v>
      </c>
      <c r="C70" s="68">
        <v>27.628</v>
      </c>
      <c r="D70" s="68">
        <v>2</v>
      </c>
      <c r="E70" s="68" t="s">
        <v>478</v>
      </c>
    </row>
    <row r="71" spans="1:5">
      <c r="A71" s="68">
        <v>0.297649</v>
      </c>
      <c r="B71" s="68">
        <v>0.42028900000000002</v>
      </c>
      <c r="C71" s="68">
        <v>28.035599999999999</v>
      </c>
      <c r="D71" s="68">
        <v>2</v>
      </c>
      <c r="E71" s="68" t="s">
        <v>479</v>
      </c>
    </row>
    <row r="72" spans="1:5">
      <c r="A72" s="68">
        <v>0.29821399999999998</v>
      </c>
      <c r="B72" s="68">
        <v>0.41742499999999999</v>
      </c>
      <c r="C72" s="68">
        <v>28.443000000000001</v>
      </c>
      <c r="D72" s="68">
        <v>2</v>
      </c>
      <c r="E72" s="68" t="s">
        <v>480</v>
      </c>
    </row>
    <row r="73" spans="1:5">
      <c r="A73" s="68">
        <v>0.298209</v>
      </c>
      <c r="B73" s="68">
        <v>0.41708299999999998</v>
      </c>
      <c r="C73" s="68">
        <v>28.848099999999999</v>
      </c>
      <c r="D73" s="68">
        <v>2</v>
      </c>
      <c r="E73" s="68" t="s">
        <v>481</v>
      </c>
    </row>
    <row r="74" spans="1:5">
      <c r="A74" s="68">
        <v>0.29807600000000001</v>
      </c>
      <c r="B74" s="68">
        <v>0.41931200000000002</v>
      </c>
      <c r="C74" s="68">
        <v>29.253399999999999</v>
      </c>
      <c r="D74" s="68">
        <v>2</v>
      </c>
      <c r="E74" s="68" t="s">
        <v>482</v>
      </c>
    </row>
    <row r="75" spans="1:5">
      <c r="A75" s="68">
        <v>0.29852899999999999</v>
      </c>
      <c r="B75" s="68">
        <v>0.41908400000000001</v>
      </c>
      <c r="C75" s="68">
        <v>29.658100000000001</v>
      </c>
      <c r="D75" s="68">
        <v>2</v>
      </c>
      <c r="E75" s="68" t="s">
        <v>483</v>
      </c>
    </row>
    <row r="76" spans="1:5">
      <c r="A76" s="68"/>
      <c r="B76" s="68"/>
      <c r="C76" s="68"/>
      <c r="D76" s="68"/>
      <c r="E76" s="68"/>
    </row>
    <row r="77" spans="1:5">
      <c r="A77" s="68"/>
      <c r="B77" s="68"/>
      <c r="C77" s="68"/>
      <c r="D77" s="68"/>
      <c r="E77" s="68"/>
    </row>
    <row r="78" spans="1:5">
      <c r="A78" s="68"/>
      <c r="B78" s="68"/>
      <c r="C78" s="68"/>
      <c r="D78" s="68"/>
      <c r="E78" s="68"/>
    </row>
    <row r="79" spans="1:5">
      <c r="A79" s="68"/>
      <c r="B79" s="68"/>
      <c r="C79" s="68"/>
      <c r="D79" s="68"/>
      <c r="E79" s="68"/>
    </row>
    <row r="80" spans="1:5">
      <c r="A80" s="68"/>
      <c r="B80" s="68"/>
      <c r="C80" s="68"/>
      <c r="D80" s="68"/>
      <c r="E80" s="68"/>
    </row>
    <row r="81" spans="1:5">
      <c r="A81" s="68"/>
      <c r="B81" s="68"/>
      <c r="C81" s="68"/>
      <c r="D81" s="68"/>
      <c r="E81" s="68"/>
    </row>
    <row r="82" spans="1:5">
      <c r="A82" s="68"/>
      <c r="B82" s="68"/>
      <c r="C82" s="68"/>
      <c r="D82" s="68"/>
      <c r="E82" s="68"/>
    </row>
    <row r="83" spans="1:5">
      <c r="A83" s="68"/>
      <c r="B83" s="68"/>
      <c r="C83" s="68"/>
      <c r="D83" s="68"/>
      <c r="E83" s="68"/>
    </row>
    <row r="84" spans="1:5">
      <c r="A84" s="68"/>
      <c r="B84" s="68"/>
      <c r="C84" s="68"/>
      <c r="D84" s="68"/>
      <c r="E84" s="68"/>
    </row>
    <row r="85" spans="1:5">
      <c r="A85" s="68"/>
      <c r="B85" s="68"/>
      <c r="C85" s="68"/>
      <c r="D85" s="68"/>
      <c r="E85" s="68"/>
    </row>
    <row r="86" spans="1:5">
      <c r="A86" s="68"/>
      <c r="B86" s="68"/>
      <c r="C86" s="68"/>
      <c r="D86" s="68"/>
      <c r="E86" s="68"/>
    </row>
    <row r="87" spans="1:5">
      <c r="A87" s="68"/>
      <c r="B87" s="68"/>
      <c r="C87" s="68"/>
      <c r="D87" s="68"/>
      <c r="E87" s="68"/>
    </row>
    <row r="88" spans="1:5">
      <c r="A88" s="68"/>
      <c r="B88" s="68"/>
      <c r="C88" s="68"/>
      <c r="D88" s="68"/>
      <c r="E88" s="68"/>
    </row>
    <row r="89" spans="1:5">
      <c r="A89" s="68"/>
      <c r="B89" s="68"/>
      <c r="C89" s="68"/>
      <c r="D89" s="68"/>
      <c r="E89" s="68"/>
    </row>
    <row r="90" spans="1:5">
      <c r="A90" s="68"/>
      <c r="B90" s="68"/>
      <c r="C90" s="68"/>
      <c r="D90" s="68"/>
      <c r="E90" s="68"/>
    </row>
    <row r="91" spans="1:5">
      <c r="A91" s="68"/>
      <c r="B91" s="68"/>
      <c r="C91" s="68"/>
      <c r="D91" s="68"/>
      <c r="E91" s="68"/>
    </row>
    <row r="92" spans="1:5">
      <c r="A92" s="68"/>
      <c r="B92" s="68"/>
      <c r="C92" s="68"/>
      <c r="D92" s="68"/>
      <c r="E92" s="68"/>
    </row>
    <row r="93" spans="1:5">
      <c r="A93" s="68"/>
      <c r="B93" s="68"/>
      <c r="C93" s="68"/>
      <c r="D93" s="68"/>
      <c r="E93" s="68"/>
    </row>
    <row r="94" spans="1:5">
      <c r="A94" s="68"/>
      <c r="B94" s="68"/>
      <c r="C94" s="68"/>
      <c r="D94" s="68"/>
      <c r="E94" s="68"/>
    </row>
    <row r="95" spans="1:5">
      <c r="A95" s="68"/>
      <c r="B95" s="68"/>
      <c r="C95" s="68"/>
      <c r="D95" s="68"/>
      <c r="E95" s="68"/>
    </row>
    <row r="96" spans="1:5">
      <c r="A96" s="68"/>
      <c r="B96" s="68"/>
      <c r="C96" s="68"/>
      <c r="D96" s="68"/>
      <c r="E96" s="68"/>
    </row>
    <row r="97" spans="1:5">
      <c r="A97" s="68"/>
      <c r="B97" s="68"/>
      <c r="C97" s="68"/>
      <c r="D97" s="68"/>
      <c r="E97" s="68"/>
    </row>
    <row r="98" spans="1:5">
      <c r="A98" s="68"/>
      <c r="B98" s="68"/>
      <c r="C98" s="68"/>
      <c r="D98" s="68"/>
      <c r="E98" s="68"/>
    </row>
    <row r="99" spans="1:5">
      <c r="A99" s="68"/>
      <c r="B99" s="68"/>
      <c r="C99" s="68"/>
      <c r="D99" s="68"/>
      <c r="E99" s="68"/>
    </row>
    <row r="100" spans="1:5">
      <c r="A100" s="68"/>
      <c r="B100" s="68"/>
      <c r="C100" s="68"/>
      <c r="D100" s="68"/>
      <c r="E100" s="68"/>
    </row>
    <row r="101" spans="1:5">
      <c r="A101" s="68"/>
      <c r="B101" s="68"/>
      <c r="C101" s="68"/>
      <c r="D101" s="68"/>
      <c r="E101" s="68"/>
    </row>
    <row r="102" spans="1:5">
      <c r="A102" s="68"/>
      <c r="B102" s="68"/>
      <c r="C102" s="68"/>
      <c r="D102" s="68"/>
      <c r="E102" s="68"/>
    </row>
    <row r="103" spans="1:5">
      <c r="A103" s="68"/>
      <c r="B103" s="68"/>
      <c r="C103" s="68"/>
      <c r="D103" s="68"/>
      <c r="E103" s="68"/>
    </row>
    <row r="104" spans="1:5">
      <c r="A104" s="68"/>
      <c r="B104" s="68"/>
      <c r="C104" s="68"/>
      <c r="D104" s="68"/>
      <c r="E104" s="68"/>
    </row>
    <row r="105" spans="1:5">
      <c r="A105" s="68"/>
      <c r="B105" s="68"/>
      <c r="C105" s="68"/>
      <c r="D105" s="68"/>
      <c r="E105" s="68"/>
    </row>
    <row r="106" spans="1:5">
      <c r="A106" s="68"/>
      <c r="B106" s="68"/>
      <c r="C106" s="68"/>
      <c r="D106" s="68"/>
      <c r="E106" s="68"/>
    </row>
    <row r="107" spans="1:5">
      <c r="A107" s="68"/>
      <c r="B107" s="68"/>
      <c r="C107" s="68"/>
      <c r="D107" s="68"/>
      <c r="E107" s="68"/>
    </row>
    <row r="108" spans="1:5">
      <c r="A108" s="68"/>
      <c r="B108" s="68"/>
      <c r="C108" s="68"/>
      <c r="D108" s="68"/>
      <c r="E108" s="68"/>
    </row>
    <row r="109" spans="1:5">
      <c r="A109" s="68"/>
      <c r="B109" s="68"/>
      <c r="C109" s="68"/>
      <c r="D109" s="68"/>
      <c r="E109" s="68"/>
    </row>
    <row r="110" spans="1:5">
      <c r="A110" s="68"/>
      <c r="B110" s="68"/>
      <c r="C110" s="68"/>
      <c r="D110" s="68"/>
      <c r="E110" s="68"/>
    </row>
    <row r="111" spans="1:5">
      <c r="A111" s="68"/>
      <c r="B111" s="68"/>
      <c r="C111" s="68"/>
      <c r="D111" s="68"/>
      <c r="E111" s="68"/>
    </row>
    <row r="112" spans="1:5">
      <c r="A112" s="68"/>
      <c r="B112" s="68"/>
      <c r="C112" s="68"/>
      <c r="D112" s="68"/>
      <c r="E112" s="68"/>
    </row>
    <row r="113" spans="1:5">
      <c r="A113" s="68"/>
      <c r="B113" s="68"/>
      <c r="C113" s="68"/>
      <c r="D113" s="68"/>
      <c r="E113" s="68"/>
    </row>
    <row r="114" spans="1:5">
      <c r="A114" s="68"/>
      <c r="B114" s="68"/>
      <c r="C114" s="68"/>
      <c r="D114" s="68"/>
      <c r="E114" s="68"/>
    </row>
    <row r="115" spans="1:5">
      <c r="A115" s="68"/>
      <c r="B115" s="68"/>
      <c r="C115" s="68"/>
      <c r="D115" s="68"/>
      <c r="E115" s="68"/>
    </row>
    <row r="116" spans="1:5">
      <c r="A116" s="68"/>
      <c r="B116" s="68"/>
      <c r="C116" s="68"/>
      <c r="D116" s="68"/>
      <c r="E116" s="68"/>
    </row>
    <row r="117" spans="1:5">
      <c r="A117" s="68"/>
      <c r="B117" s="68"/>
      <c r="C117" s="68"/>
      <c r="D117" s="68"/>
      <c r="E117" s="68"/>
    </row>
    <row r="118" spans="1:5">
      <c r="A118" s="68"/>
      <c r="B118" s="68"/>
      <c r="C118" s="68"/>
      <c r="D118" s="68"/>
      <c r="E118" s="68"/>
    </row>
    <row r="119" spans="1:5">
      <c r="A119" s="68"/>
      <c r="B119" s="68"/>
      <c r="C119" s="68"/>
      <c r="D119" s="68"/>
      <c r="E119" s="68"/>
    </row>
    <row r="120" spans="1:5">
      <c r="A120" s="68"/>
      <c r="B120" s="68"/>
      <c r="C120" s="68"/>
      <c r="D120" s="68"/>
      <c r="E120" s="68"/>
    </row>
    <row r="121" spans="1:5">
      <c r="A121" s="68"/>
      <c r="B121" s="68"/>
      <c r="C121" s="68"/>
      <c r="D121" s="68"/>
      <c r="E121" s="68"/>
    </row>
    <row r="122" spans="1:5">
      <c r="A122" s="68"/>
      <c r="B122" s="68"/>
      <c r="C122" s="68"/>
      <c r="D122" s="68"/>
      <c r="E122" s="68"/>
    </row>
    <row r="123" spans="1:5">
      <c r="A123" s="68"/>
      <c r="B123" s="68"/>
      <c r="C123" s="68"/>
      <c r="D123" s="68"/>
      <c r="E123" s="68"/>
    </row>
    <row r="124" spans="1:5">
      <c r="A124" s="68"/>
      <c r="B124" s="68"/>
      <c r="C124" s="68"/>
      <c r="D124" s="68"/>
      <c r="E124" s="68"/>
    </row>
    <row r="125" spans="1:5">
      <c r="A125" s="68"/>
      <c r="B125" s="68"/>
      <c r="C125" s="68"/>
      <c r="D125" s="68"/>
      <c r="E125" s="68"/>
    </row>
    <row r="126" spans="1:5">
      <c r="A126" s="68"/>
      <c r="B126" s="68"/>
      <c r="C126" s="68"/>
      <c r="D126" s="68"/>
      <c r="E126" s="68"/>
    </row>
    <row r="127" spans="1:5">
      <c r="A127" s="68"/>
      <c r="B127" s="68"/>
      <c r="C127" s="68"/>
      <c r="D127" s="68"/>
      <c r="E127" s="68"/>
    </row>
    <row r="128" spans="1:5">
      <c r="A128" s="68"/>
      <c r="B128" s="68"/>
      <c r="C128" s="68"/>
      <c r="D128" s="68"/>
      <c r="E128" s="68"/>
    </row>
    <row r="129" spans="1:5">
      <c r="A129" s="68"/>
      <c r="B129" s="68"/>
      <c r="C129" s="68"/>
      <c r="D129" s="68"/>
      <c r="E129" s="68"/>
    </row>
    <row r="130" spans="1:5">
      <c r="A130" s="68"/>
      <c r="B130" s="68"/>
      <c r="C130" s="68"/>
      <c r="D130" s="68"/>
      <c r="E130" s="68"/>
    </row>
    <row r="131" spans="1:5">
      <c r="A131" s="68"/>
      <c r="B131" s="68"/>
      <c r="C131" s="68"/>
      <c r="D131" s="68"/>
      <c r="E131" s="68"/>
    </row>
    <row r="132" spans="1:5">
      <c r="A132" s="68"/>
      <c r="B132" s="68"/>
      <c r="C132" s="68"/>
      <c r="D132" s="68"/>
      <c r="E132" s="68"/>
    </row>
    <row r="133" spans="1:5">
      <c r="A133" s="68"/>
      <c r="B133" s="68"/>
      <c r="C133" s="68"/>
      <c r="D133" s="68"/>
      <c r="E133" s="68"/>
    </row>
    <row r="134" spans="1:5">
      <c r="A134" s="68"/>
      <c r="B134" s="68"/>
      <c r="C134" s="68"/>
      <c r="D134" s="68"/>
      <c r="E134" s="68"/>
    </row>
    <row r="135" spans="1:5">
      <c r="A135" s="68"/>
      <c r="B135" s="68"/>
      <c r="C135" s="68"/>
      <c r="D135" s="68"/>
      <c r="E135" s="68"/>
    </row>
    <row r="136" spans="1:5">
      <c r="A136" s="68"/>
      <c r="B136" s="68"/>
      <c r="C136" s="68"/>
      <c r="D136" s="68"/>
      <c r="E136" s="68"/>
    </row>
    <row r="137" spans="1:5">
      <c r="A137" s="68"/>
      <c r="B137" s="68"/>
      <c r="C137" s="68"/>
      <c r="D137" s="68"/>
      <c r="E137" s="68"/>
    </row>
    <row r="138" spans="1:5">
      <c r="A138" s="68"/>
      <c r="B138" s="68"/>
      <c r="C138" s="68"/>
      <c r="D138" s="68"/>
      <c r="E138" s="68"/>
    </row>
    <row r="139" spans="1:5">
      <c r="A139" s="68"/>
      <c r="B139" s="68"/>
      <c r="C139" s="68"/>
      <c r="D139" s="68"/>
      <c r="E139" s="68"/>
    </row>
    <row r="140" spans="1:5">
      <c r="A140" s="68"/>
      <c r="B140" s="68"/>
      <c r="C140" s="68"/>
      <c r="D140" s="68"/>
      <c r="E140" s="68"/>
    </row>
    <row r="141" spans="1:5">
      <c r="A141" s="68"/>
      <c r="B141" s="68"/>
      <c r="C141" s="68"/>
      <c r="D141" s="68"/>
      <c r="E141" s="68"/>
    </row>
    <row r="142" spans="1:5">
      <c r="A142" s="68"/>
      <c r="B142" s="68"/>
      <c r="C142" s="68"/>
      <c r="D142" s="68"/>
      <c r="E142" s="68"/>
    </row>
    <row r="143" spans="1:5">
      <c r="A143" s="68"/>
      <c r="B143" s="68"/>
      <c r="C143" s="68"/>
      <c r="D143" s="68"/>
      <c r="E143" s="68"/>
    </row>
    <row r="144" spans="1:5">
      <c r="A144" s="68"/>
      <c r="B144" s="68"/>
      <c r="C144" s="68"/>
      <c r="D144" s="68"/>
      <c r="E144" s="68"/>
    </row>
    <row r="145" spans="1:5">
      <c r="A145" s="68"/>
      <c r="B145" s="68"/>
      <c r="C145" s="68"/>
      <c r="D145" s="68"/>
      <c r="E145" s="68"/>
    </row>
    <row r="146" spans="1:5">
      <c r="A146" s="68"/>
      <c r="B146" s="68"/>
      <c r="C146" s="68"/>
      <c r="D146" s="68"/>
      <c r="E146" s="68"/>
    </row>
    <row r="147" spans="1:5">
      <c r="A147" s="68"/>
      <c r="B147" s="68"/>
      <c r="C147" s="68"/>
      <c r="D147" s="68"/>
      <c r="E147" s="68"/>
    </row>
    <row r="148" spans="1:5">
      <c r="A148" s="68"/>
      <c r="B148" s="68"/>
      <c r="C148" s="68"/>
      <c r="D148" s="68"/>
      <c r="E148" s="68"/>
    </row>
    <row r="149" spans="1:5">
      <c r="A149" s="68"/>
      <c r="B149" s="68"/>
      <c r="C149" s="68"/>
      <c r="D149" s="68"/>
      <c r="E149" s="68"/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407</v>
      </c>
      <c r="B1" s="66" t="s">
        <v>484</v>
      </c>
      <c r="C1" s="66" t="s">
        <v>486</v>
      </c>
      <c r="D1" s="66" t="s">
        <v>487</v>
      </c>
      <c r="E1" s="66" t="s">
        <v>488</v>
      </c>
      <c r="F1" s="66" t="s">
        <v>348</v>
      </c>
      <c r="G1" s="66" t="s">
        <v>349</v>
      </c>
      <c r="H1" s="66" t="s">
        <v>489</v>
      </c>
      <c r="I1" s="66" t="s">
        <v>490</v>
      </c>
      <c r="J1" s="66" t="s">
        <v>491</v>
      </c>
      <c r="K1" s="66" t="s">
        <v>492</v>
      </c>
      <c r="L1" s="66" t="s">
        <v>493</v>
      </c>
      <c r="M1" s="66" t="s">
        <v>494</v>
      </c>
      <c r="N1" s="66"/>
    </row>
    <row r="2" spans="1:14">
      <c r="A2" s="75">
        <v>43615.653865740744</v>
      </c>
      <c r="B2" s="66" t="s">
        <v>485</v>
      </c>
      <c r="C2" s="66"/>
      <c r="D2" s="66"/>
      <c r="E2" s="66">
        <v>4.9234099999999996</v>
      </c>
      <c r="F2" s="66">
        <v>1.37791</v>
      </c>
      <c r="G2" s="66">
        <v>0.58524799999999999</v>
      </c>
      <c r="H2" s="66">
        <v>0</v>
      </c>
      <c r="I2" s="66">
        <v>36434</v>
      </c>
      <c r="J2" s="66">
        <v>67</v>
      </c>
      <c r="K2" s="66">
        <v>67</v>
      </c>
      <c r="L2" s="66">
        <v>0</v>
      </c>
      <c r="M2" s="66" t="s">
        <v>495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2019-05-30T07:42:11Z</cp:lastPrinted>
  <dcterms:created xsi:type="dcterms:W3CDTF">2010-10-29T12:53:05Z</dcterms:created>
  <dcterms:modified xsi:type="dcterms:W3CDTF">2019-05-30T07:42:19Z</dcterms:modified>
</cp:coreProperties>
</file>