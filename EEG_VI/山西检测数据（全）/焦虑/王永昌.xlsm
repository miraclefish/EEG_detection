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<sst xmlns="http://schemas.openxmlformats.org/spreadsheetml/2006/main" count="701" uniqueCount="573">
  <si>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</si>
  <si>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</si>
  <si>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</si>
  <si>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</si>
  <si>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</si>
  <si>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</si>
  <si>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</si>
  <si>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</si>
  <si>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</si>
  <si>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</si>
  <si>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</si>
  <si>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</si>
  <si>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</si>
  <si>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</si>
  <si>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</si>
  <si>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</si>
  <si>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</si>
  <si>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</si>
  <si>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</si>
  <si>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</si>
  <si>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</si>
  <si>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</si>
  <si>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</si>
  <si>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</si>
  <si>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</si>
  <si>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</si>
  <si>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</si>
  <si>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</si>
  <si>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</si>
  <si>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</si>
  <si>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</si>
  <si>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</si>
  <si>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</si>
  <si>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</si>
  <si>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</si>
  <si>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</si>
  <si>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</si>
  <si>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</si>
  <si>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</si>
  <si>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</si>
  <si>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</si>
  <si>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</si>
  <si>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</si>
  <si>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</si>
  <si>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</si>
  <si>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</si>
  <si>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</si>
  <si>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</si>
  <si>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</si>
  <si>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</si>
  <si>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</si>
  <si>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</si>
  <si>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</si>
  <si>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</si>
  <si>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</si>
  <si>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</si>
  <si>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</si>
  <si>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</si>
  <si>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</si>
  <si>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</si>
  <si>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</si>
  <si>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</si>
  <si>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</si>
  <si>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</si>
  <si>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</si>
  <si>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</si>
  <si>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</si>
  <si>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</si>
  <si>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</si>
  <si>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</si>
  <si>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</si>
  <si>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</si>
  <si>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</si>
  <si>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</si>
  <si>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</si>
  <si>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</si>
  <si>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</si>
  <si>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</si>
  <si>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</si>
  <si>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</si>
  <si>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</si>
  <si>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</si>
  <si>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</si>
  <si>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</si>
  <si>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</si>
  <si>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</si>
  <si>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</si>
  <si>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</si>
  <si>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</si>
  <si>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</si>
  <si>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</si>
  <si>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</si>
  <si>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</si>
  <si>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</si>
  <si>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</si>
  <si>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</si>
  <si>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</si>
  <si>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</si>
  <si>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</si>
  <si>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</si>
  <si>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</si>
  <si>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</si>
  <si>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</si>
  <si>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</si>
  <si>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</si>
  <si>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</si>
  <si>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</si>
  <si>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</si>
  <si>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</si>
  <si>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</si>
  <si>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</si>
  <si>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</si>
  <si>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</si>
  <si>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</si>
  <si>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</si>
  <si>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</si>
  <si>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</si>
  <si>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</si>
  <si>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</si>
  <si>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</si>
  <si>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</si>
  <si>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</si>
  <si>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</si>
  <si>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</si>
  <si>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</si>
  <si>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</si>
  <si>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</si>
  <si>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</si>
  <si>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</si>
  <si>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</si>
  <si>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</si>
  <si>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</si>
  <si>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</si>
  <si>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</si>
  <si>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</si>
  <si>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</si>
  <si>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</si>
  <si>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</si>
  <si>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</si>
  <si>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</si>
  <si>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</si>
  <si>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</si>
  <si>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</si>
  <si>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</si>
  <si>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</si>
  <si>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</si>
  <si>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</si>
  <si>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</si>
  <si>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</si>
  <si>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</si>
  <si>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</si>
  <si>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</si>
  <si>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</si>
  <si>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</si>
  <si>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</si>
  <si>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</si>
  <si>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</si>
  <si>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</si>
  <si>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</si>
  <si>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</si>
  <si>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</si>
  <si>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</si>
  <si>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</si>
  <si>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</si>
  <si>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</si>
  <si>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</si>
  <si>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</si>
  <si>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</si>
  <si>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</si>
  <si>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</si>
  <si>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</si>
  <si>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</si>
  <si>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</si>
  <si>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</si>
  <si>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</si>
  <si>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</si>
  <si>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</si>
  <si>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</si>
  <si>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</si>
  <si>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</si>
  <si>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</si>
  <si>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</si>
  <si>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</si>
  <si>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</si>
  <si>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</si>
  <si>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</si>
  <si>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</si>
  <si>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</si>
  <si>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</si>
  <si>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</si>
  <si>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</si>
  <si>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</si>
  <si>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</si>
  <si>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</si>
  <si>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</si>
  <si>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</si>
  <si>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</si>
  <si>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</si>
  <si>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</si>
  <si>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</si>
  <si>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</si>
  <si>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</si>
  <si>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</si>
  <si>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</si>
  <si>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</si>
  <si>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</si>
  <si>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</si>
  <si>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</si>
  <si>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</si>
  <si>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</si>
  <si>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</si>
  <si>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</si>
  <si>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</si>
  <si>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</si>
  <si>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</si>
  <si>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</si>
  <si>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</si>
  <si>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</si>
  <si>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</si>
  <si>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</si>
  <si>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</si>
  <si>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</si>
  <si>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</si>
  <si>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</si>
  <si>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</si>
  <si>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</si>
  <si>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</si>
  <si>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</si>
  <si>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</si>
  <si>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</si>
  <si>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</si>
  <si>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</si>
  <si>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</si>
  <si>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</si>
  <si>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</si>
  <si>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</si>
  <si>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</si>
  <si>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</si>
  <si>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</si>
  <si>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</si>
  <si>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</si>
  <si>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</si>
  <si>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</si>
  <si>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</si>
  <si>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</si>
  <si>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</si>
  <si>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</si>
  <si>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</si>
  <si>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</si>
  <si>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</si>
  <si>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</si>
  <si>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</si>
  <si>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</si>
  <si>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</si>
  <si>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</si>
  <si>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</si>
  <si>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</si>
  <si>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</si>
  <si>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</si>
  <si>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</si>
  <si>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</si>
  <si>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</si>
  <si>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</si>
  <si>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</si>
  <si>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</si>
  <si>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</si>
  <si>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</si>
  <si>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</si>
  <si>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</si>
  <si>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</si>
  <si>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</si>
  <si>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</si>
  <si>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</si>
  <si>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</si>
  <si>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</si>
  <si>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</si>
  <si>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</si>
  <si>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</si>
  <si>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</si>
  <si>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</si>
  <si>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</si>
  <si>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</si>
  <si>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</si>
  <si>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</si>
  <si>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</si>
  <si>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</si>
  <si>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</si>
  <si>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</si>
  <si>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</si>
  <si>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</si>
  <si>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</si>
  <si>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</si>
  <si>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</si>
  <si>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</si>
  <si>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</si>
  <si>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</si>
  <si>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</si>
  <si>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</si>
  <si>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</si>
  <si>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</si>
  <si>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</si>
  <si>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</si>
  <si>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</si>
  <si>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</si>
  <si>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</si>
  <si>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</si>
  <si>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</si>
  <si>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</si>
  <si>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</si>
  <si>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</si>
  <si>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</si>
  <si>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</si>
  <si>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</si>
  <si>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</si>
  <si>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</si>
  <si>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</si>
  <si>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</si>
  <si>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</si>
  <si>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</si>
  <si>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</si>
  <si>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</si>
  <si>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</si>
  <si>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</si>
  <si>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</si>
  <si>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</si>
  <si>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</si>
  <si>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</si>
  <si>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</si>
  <si>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</si>
  <si>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</si>
  <si>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</si>
  <si>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</si>
  <si>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</si>
  <si>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</si>
  <si>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</si>
  <si>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</si>
  <si>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</si>
  <si>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</si>
  <si>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</si>
  <si>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</si>
  <si>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</si>
  <si>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</si>
  <si>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</si>
  <si>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</si>
  <si>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</si>
  <si>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</si>
  <si>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</si>
  <si>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</si>
  <si>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</si>
  <si>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</si>
  <si>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</si>
  <si>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</si>
  <si>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</si>
  <si>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</si>
  <si>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</si>
  <si>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</si>
  <si>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</si>
  <si>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</si>
  <si>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</si>
  <si>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</si>
  <si>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</si>
  <si>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</si>
  <si>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</si>
  <si>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</si>
  <si>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</si>
  <si>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</si>
  <si>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</si>
  <si>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</si>
  <si>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</si>
  <si>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</si>
  <si>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</si>
  <si>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</si>
  <si>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</si>
  <si>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</si>
  <si>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</si>
  <si>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</si>
  <si>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</si>
  <si>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</si>
  <si>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</si>
  <si>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</si>
  <si>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</si>
  <si>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</si>
  <si>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</si>
  <si>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</si>
  <si>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</si>
  <si>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</si>
  <si>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</si>
  <si>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</si>
  <si>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</si>
  <si>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</si>
  <si>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</si>
  <si>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</si>
  <si>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</si>
  <si>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</si>
  <si>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</si>
  <si>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</si>
  <si>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</si>
  <si>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</si>
  <si>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</si>
  <si>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</si>
  <si>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</si>
  <si>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</si>
  <si>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</si>
  <si>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</si>
  <si>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</si>
  <si>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</si>
  <si>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</si>
  <si>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</si>
  <si>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</si>
  <si>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</si>
  <si>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</si>
  <si>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</si>
  <si>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[0.406903]</t>
  </si>
  <si>
    <t>1 [0.812017]</t>
  </si>
  <si>
    <t>1 [1.221795]</t>
  </si>
  <si>
    <t>1 [1.625566]</t>
  </si>
  <si>
    <t>1 [2.031512]</t>
  </si>
  <si>
    <t>1 [2.436741]</t>
  </si>
  <si>
    <t>1 [2.843065]</t>
  </si>
  <si>
    <t>1 [3.252292]</t>
  </si>
  <si>
    <t>1 [3.657119]</t>
  </si>
  <si>
    <t>1 [4.062153]</t>
  </si>
  <si>
    <t>1 [4.468035]</t>
  </si>
  <si>
    <t>1 [4.875207]</t>
  </si>
  <si>
    <t>1 [5.280820]</t>
  </si>
  <si>
    <t>1 [5.689718]</t>
  </si>
  <si>
    <t>1 [6.093640]</t>
  </si>
  <si>
    <t>1 [6.497555]</t>
  </si>
  <si>
    <t>1 [6.907232]</t>
  </si>
  <si>
    <t>1 [7.313422]</t>
  </si>
  <si>
    <t>1 [7.719268]</t>
  </si>
  <si>
    <t>1 [8.126218]</t>
  </si>
  <si>
    <t>1 [8.532147]</t>
  </si>
  <si>
    <t>1 [8.936510]</t>
  </si>
  <si>
    <t>1 [9.343932]</t>
  </si>
  <si>
    <t>1 [9.747815]</t>
  </si>
  <si>
    <t>1 [10.156790]</t>
  </si>
  <si>
    <t>1 [10.562710]</t>
  </si>
  <si>
    <t>1 [10.970083]</t>
  </si>
  <si>
    <t>1 [11.375492]</t>
  </si>
  <si>
    <t>1 [11.782513]</t>
  </si>
  <si>
    <t>1 [12.190406]</t>
  </si>
  <si>
    <t>1 [12.593295]</t>
  </si>
  <si>
    <t>1 [12.998127]</t>
  </si>
  <si>
    <t>1 [13.405367]</t>
  </si>
  <si>
    <t>1 [13.813987]</t>
  </si>
  <si>
    <t>1 [14.220191]</t>
  </si>
  <si>
    <t>1 [14.622809]</t>
  </si>
  <si>
    <t>1 [15.028766]</t>
  </si>
  <si>
    <t>1 [15.435780]</t>
  </si>
  <si>
    <t>1 [15.844545]</t>
  </si>
  <si>
    <t>1 [16.251457]</t>
  </si>
  <si>
    <t>1 [16.655400]</t>
  </si>
  <si>
    <t>1 [17.063357]</t>
  </si>
  <si>
    <t>1 [17.470448]</t>
  </si>
  <si>
    <t>1 [17.877096]</t>
  </si>
  <si>
    <t>1 [18.284096]</t>
  </si>
  <si>
    <t>1 [18.690022]</t>
  </si>
  <si>
    <t>1 [19.094951]</t>
  </si>
  <si>
    <t>1 [19.496410]</t>
  </si>
  <si>
    <t>1 [19.910692]</t>
  </si>
  <si>
    <t>1 [20.314664]</t>
  </si>
  <si>
    <t>1 [20.718647]</t>
  </si>
  <si>
    <t>1 [21.124516]</t>
  </si>
  <si>
    <t>1 [21.529597]</t>
  </si>
  <si>
    <t>1 [21.934295]</t>
  </si>
  <si>
    <t>1 [22.345201]</t>
  </si>
  <si>
    <t>1 [22.750096]</t>
  </si>
  <si>
    <t>1 [23.154172]</t>
  </si>
  <si>
    <t>1 [23.557914]</t>
  </si>
  <si>
    <t>1 [23.967873]</t>
  </si>
  <si>
    <t>1 [24.370853]</t>
  </si>
  <si>
    <t>1 [24.779759]</t>
  </si>
  <si>
    <t>1 [25.184917]</t>
  </si>
  <si>
    <t>1 [25.595462]</t>
  </si>
  <si>
    <t>1 [25.999377]</t>
  </si>
  <si>
    <t>1 [26.404352]</t>
  </si>
  <si>
    <t>1 [26.811346]</t>
  </si>
  <si>
    <t>1 [27.217171]</t>
  </si>
  <si>
    <t>1 [27.626097]</t>
  </si>
  <si>
    <t>1 [28.028985]</t>
  </si>
  <si>
    <t>1 [28.438565]</t>
  </si>
  <si>
    <t>1 [28.843227]</t>
  </si>
  <si>
    <t>1 [29.251839]</t>
  </si>
  <si>
    <t>1 [29.656720]</t>
  </si>
  <si>
    <t>2 [30.064665]</t>
  </si>
  <si>
    <t>2 [30.528324]</t>
  </si>
  <si>
    <t>2 [30.936574]</t>
  </si>
  <si>
    <t>2 [31.328105]</t>
  </si>
  <si>
    <t>2 [31.733050]</t>
  </si>
  <si>
    <t>2 [32.140167]</t>
  </si>
  <si>
    <t>2 [32.546968]</t>
  </si>
  <si>
    <t>2 [32.953891]</t>
  </si>
  <si>
    <t>2 [33.356742]</t>
  </si>
  <si>
    <t>2 [33.764597]</t>
  </si>
  <si>
    <t>2 [34.171280]</t>
  </si>
  <si>
    <t>2 [34.575508]</t>
  </si>
  <si>
    <t>2 [34.986683]</t>
  </si>
  <si>
    <t>2 [35.390379]</t>
  </si>
  <si>
    <t>2 [35.795196]</t>
  </si>
  <si>
    <t>2 [36.203734]</t>
  </si>
  <si>
    <t>2 [36.608031]</t>
  </si>
  <si>
    <t>2 [37.017976]</t>
  </si>
  <si>
    <t>2 [37.420165]</t>
  </si>
  <si>
    <t>2 [37.826812]</t>
  </si>
  <si>
    <t>2 [38.233967]</t>
  </si>
  <si>
    <t>2 [38.642644]</t>
  </si>
  <si>
    <t>2 [39.047602]</t>
  </si>
  <si>
    <t>2 [39.455630]</t>
  </si>
  <si>
    <t>2 [39.857328]</t>
  </si>
  <si>
    <t>2 [40.263228]</t>
  </si>
  <si>
    <t>2 [40.668208]</t>
  </si>
  <si>
    <t>2 [41.075145]</t>
  </si>
  <si>
    <t>2 [41.482173]</t>
  </si>
  <si>
    <t>2 [41.890991]</t>
  </si>
  <si>
    <t>2 [42.294813]</t>
  </si>
  <si>
    <t>2 [42.702917]</t>
  </si>
  <si>
    <t>2 [43.109719]</t>
  </si>
  <si>
    <t>2 [43.516680]</t>
  </si>
  <si>
    <t>2 [43.921499]</t>
  </si>
  <si>
    <t>2 [44.326504]</t>
  </si>
  <si>
    <t>2 [44.737453]</t>
  </si>
  <si>
    <t>2 [45.141319]</t>
  </si>
  <si>
    <t>2 [45.547136]</t>
  </si>
  <si>
    <t>2 [45.953424]</t>
  </si>
  <si>
    <t>2 [46.358090]</t>
  </si>
  <si>
    <t>2 [46.764951]</t>
  </si>
  <si>
    <t>2 [47.170863]</t>
  </si>
  <si>
    <t>2 [47.573770]</t>
  </si>
  <si>
    <t>2 [47.985686]</t>
  </si>
  <si>
    <t>2 [48.390597]</t>
  </si>
  <si>
    <t>2 [48.796455]</t>
  </si>
  <si>
    <t>2 [49.201405]</t>
  </si>
  <si>
    <t>2 [49.606369]</t>
  </si>
  <si>
    <t>2 [50.013233]</t>
  </si>
  <si>
    <t>2 [50.423169]</t>
  </si>
  <si>
    <t>2 [50.829090]</t>
  </si>
  <si>
    <t>2 [51.233979]</t>
  </si>
  <si>
    <t>2 [51.640243]</t>
  </si>
  <si>
    <t>2 [52.048831]</t>
  </si>
  <si>
    <t>2 [52.449683]</t>
  </si>
  <si>
    <t>2 [52.859605]</t>
  </si>
  <si>
    <t>2 [53.266024]</t>
  </si>
  <si>
    <t>2 [53.670567]</t>
  </si>
  <si>
    <t>2 [54.079342]</t>
  </si>
  <si>
    <t>2 [54.482354]</t>
  </si>
  <si>
    <t>2 [54.887388]</t>
  </si>
  <si>
    <t>2 [55.298066]</t>
  </si>
  <si>
    <t>2 [55.702168]</t>
  </si>
  <si>
    <t>2 [56.109013]</t>
  </si>
  <si>
    <t>2 [56.514769]</t>
  </si>
  <si>
    <t>2 [56.923748]</t>
  </si>
  <si>
    <t>2 [57.327709]</t>
  </si>
  <si>
    <t>2 [57.731619]</t>
  </si>
  <si>
    <t>2 [58.137624]</t>
  </si>
  <si>
    <t>2 [58.552494]</t>
  </si>
  <si>
    <t>2 [58.955373]</t>
  </si>
  <si>
    <t>2 [59.359291]</t>
  </si>
  <si>
    <t>2 [59.764223]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</si>
  <si>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</si>
  <si>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</si>
  <si>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</si>
  <si>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</si>
  <si>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</si>
  <si>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</si>
  <si>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</si>
  <si>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</si>
  <si>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</si>
  <si>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</si>
  <si>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</si>
  <si>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</si>
  <si>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</si>
  <si>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王永昌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</si>
</sst>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31.6172</c:v>
                </c:pt>
                <c:pt idx="1">
                  <c:v>28.6539</c:v>
                </c:pt>
                <c:pt idx="2">
                  <c:v>27.183499999999999</c:v>
                </c:pt>
                <c:pt idx="3">
                  <c:v>30.1586</c:v>
                </c:pt>
                <c:pt idx="4">
                  <c:v>71.894099999999995</c:v>
                </c:pt>
                <c:pt idx="5">
                  <c:v>82.235900000000001</c:v>
                </c:pt>
                <c:pt idx="6">
                  <c:v>13.4916</c:v>
                </c:pt>
                <c:pt idx="7">
                  <c:v>76.324100000000001</c:v>
                </c:pt>
                <c:pt idx="8">
                  <c:v>18.250599999999999</c:v>
                </c:pt>
                <c:pt idx="9">
                  <c:v>38.6937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0.51308651323227061</c:v>
                </c:pt>
                <c:pt idx="1">
                  <c:v>0.24737368479169627</c:v>
                </c:pt>
                <c:pt idx="2">
                  <c:v>0.23953980197603311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7102</c:v>
                </c:pt>
                <c:pt idx="7">
                  <c:v>0</c:v>
                </c:pt>
                <c:pt idx="8">
                  <c:v>14536</c:v>
                </c:pt>
                <c:pt idx="9">
                  <c:v>0</c:v>
                </c:pt>
                <c:pt idx="10">
                  <c:v>0</c:v>
                </c:pt>
                <c:pt idx="11">
                  <c:v>19583</c:v>
                </c:pt>
                <c:pt idx="12">
                  <c:v>0</c:v>
                </c:pt>
                <c:pt idx="13">
                  <c:v>35803</c:v>
                </c:pt>
                <c:pt idx="14">
                  <c:v>0</c:v>
                </c:pt>
                <c:pt idx="15">
                  <c:v>0</c:v>
                </c:pt>
                <c:pt idx="16">
                  <c:v>47614</c:v>
                </c:pt>
                <c:pt idx="17">
                  <c:v>0</c:v>
                </c:pt>
                <c:pt idx="18">
                  <c:v>0</c:v>
                </c:pt>
                <c:pt idx="19">
                  <c:v>51393</c:v>
                </c:pt>
                <c:pt idx="20">
                  <c:v>0</c:v>
                </c:pt>
                <c:pt idx="21">
                  <c:v>59580</c:v>
                </c:pt>
                <c:pt idx="22">
                  <c:v>0</c:v>
                </c:pt>
                <c:pt idx="23">
                  <c:v>0</c:v>
                </c:pt>
                <c:pt idx="24">
                  <c:v>67807</c:v>
                </c:pt>
                <c:pt idx="25">
                  <c:v>0</c:v>
                </c:pt>
                <c:pt idx="26">
                  <c:v>82201</c:v>
                </c:pt>
                <c:pt idx="27">
                  <c:v>0</c:v>
                </c:pt>
                <c:pt idx="28">
                  <c:v>0</c:v>
                </c:pt>
                <c:pt idx="29">
                  <c:v>96447</c:v>
                </c:pt>
                <c:pt idx="30">
                  <c:v>0</c:v>
                </c:pt>
                <c:pt idx="31">
                  <c:v>89559</c:v>
                </c:pt>
                <c:pt idx="32">
                  <c:v>0</c:v>
                </c:pt>
                <c:pt idx="33">
                  <c:v>0</c:v>
                </c:pt>
                <c:pt idx="34">
                  <c:v>106295</c:v>
                </c:pt>
                <c:pt idx="35">
                  <c:v>0</c:v>
                </c:pt>
                <c:pt idx="36">
                  <c:v>0</c:v>
                </c:pt>
                <c:pt idx="37">
                  <c:v>106600</c:v>
                </c:pt>
                <c:pt idx="38">
                  <c:v>0</c:v>
                </c:pt>
                <c:pt idx="39">
                  <c:v>105234</c:v>
                </c:pt>
                <c:pt idx="40">
                  <c:v>0</c:v>
                </c:pt>
                <c:pt idx="41">
                  <c:v>0</c:v>
                </c:pt>
                <c:pt idx="42">
                  <c:v>107468</c:v>
                </c:pt>
                <c:pt idx="43">
                  <c:v>0</c:v>
                </c:pt>
                <c:pt idx="44">
                  <c:v>122519</c:v>
                </c:pt>
                <c:pt idx="45">
                  <c:v>0</c:v>
                </c:pt>
                <c:pt idx="46">
                  <c:v>0</c:v>
                </c:pt>
                <c:pt idx="47">
                  <c:v>125132</c:v>
                </c:pt>
                <c:pt idx="48">
                  <c:v>0</c:v>
                </c:pt>
                <c:pt idx="49">
                  <c:v>123039</c:v>
                </c:pt>
                <c:pt idx="50">
                  <c:v>0</c:v>
                </c:pt>
                <c:pt idx="51">
                  <c:v>0</c:v>
                </c:pt>
                <c:pt idx="52">
                  <c:v>120159</c:v>
                </c:pt>
                <c:pt idx="53">
                  <c:v>0</c:v>
                </c:pt>
                <c:pt idx="54">
                  <c:v>0</c:v>
                </c:pt>
                <c:pt idx="55">
                  <c:v>124192</c:v>
                </c:pt>
                <c:pt idx="56">
                  <c:v>0</c:v>
                </c:pt>
                <c:pt idx="57">
                  <c:v>123928</c:v>
                </c:pt>
                <c:pt idx="58">
                  <c:v>0</c:v>
                </c:pt>
                <c:pt idx="59">
                  <c:v>0</c:v>
                </c:pt>
                <c:pt idx="60">
                  <c:v>126279</c:v>
                </c:pt>
                <c:pt idx="61">
                  <c:v>0</c:v>
                </c:pt>
                <c:pt idx="62">
                  <c:v>131194</c:v>
                </c:pt>
                <c:pt idx="63">
                  <c:v>0</c:v>
                </c:pt>
                <c:pt idx="64">
                  <c:v>0</c:v>
                </c:pt>
                <c:pt idx="65">
                  <c:v>133428</c:v>
                </c:pt>
                <c:pt idx="66">
                  <c:v>0</c:v>
                </c:pt>
                <c:pt idx="67">
                  <c:v>126287</c:v>
                </c:pt>
                <c:pt idx="68">
                  <c:v>0</c:v>
                </c:pt>
                <c:pt idx="69">
                  <c:v>0</c:v>
                </c:pt>
                <c:pt idx="70">
                  <c:v>124190</c:v>
                </c:pt>
                <c:pt idx="71">
                  <c:v>0</c:v>
                </c:pt>
                <c:pt idx="72">
                  <c:v>0</c:v>
                </c:pt>
                <c:pt idx="73">
                  <c:v>123026</c:v>
                </c:pt>
                <c:pt idx="74">
                  <c:v>0</c:v>
                </c:pt>
                <c:pt idx="75">
                  <c:v>120094</c:v>
                </c:pt>
                <c:pt idx="76">
                  <c:v>0</c:v>
                </c:pt>
                <c:pt idx="77">
                  <c:v>0</c:v>
                </c:pt>
                <c:pt idx="78">
                  <c:v>111321</c:v>
                </c:pt>
                <c:pt idx="79">
                  <c:v>0</c:v>
                </c:pt>
                <c:pt idx="80">
                  <c:v>106294</c:v>
                </c:pt>
                <c:pt idx="81">
                  <c:v>0</c:v>
                </c:pt>
                <c:pt idx="82">
                  <c:v>0</c:v>
                </c:pt>
                <c:pt idx="83">
                  <c:v>91949</c:v>
                </c:pt>
                <c:pt idx="84">
                  <c:v>0</c:v>
                </c:pt>
                <c:pt idx="85">
                  <c:v>0</c:v>
                </c:pt>
                <c:pt idx="86">
                  <c:v>89191</c:v>
                </c:pt>
                <c:pt idx="87">
                  <c:v>0</c:v>
                </c:pt>
                <c:pt idx="88">
                  <c:v>78393</c:v>
                </c:pt>
                <c:pt idx="89">
                  <c:v>0</c:v>
                </c:pt>
                <c:pt idx="90">
                  <c:v>0</c:v>
                </c:pt>
                <c:pt idx="91">
                  <c:v>64089</c:v>
                </c:pt>
                <c:pt idx="92">
                  <c:v>0</c:v>
                </c:pt>
                <c:pt idx="93">
                  <c:v>56734</c:v>
                </c:pt>
                <c:pt idx="94">
                  <c:v>0</c:v>
                </c:pt>
                <c:pt idx="95">
                  <c:v>0</c:v>
                </c:pt>
                <c:pt idx="96">
                  <c:v>46491</c:v>
                </c:pt>
                <c:pt idx="97">
                  <c:v>0</c:v>
                </c:pt>
                <c:pt idx="98">
                  <c:v>41289</c:v>
                </c:pt>
                <c:pt idx="99">
                  <c:v>0</c:v>
                </c:pt>
                <c:pt idx="100">
                  <c:v>0</c:v>
                </c:pt>
                <c:pt idx="101">
                  <c:v>35888</c:v>
                </c:pt>
                <c:pt idx="102">
                  <c:v>0</c:v>
                </c:pt>
                <c:pt idx="103">
                  <c:v>0</c:v>
                </c:pt>
                <c:pt idx="104">
                  <c:v>31494</c:v>
                </c:pt>
                <c:pt idx="105">
                  <c:v>0</c:v>
                </c:pt>
                <c:pt idx="106">
                  <c:v>26332</c:v>
                </c:pt>
                <c:pt idx="107">
                  <c:v>0</c:v>
                </c:pt>
                <c:pt idx="108">
                  <c:v>0</c:v>
                </c:pt>
                <c:pt idx="109">
                  <c:v>20941</c:v>
                </c:pt>
                <c:pt idx="110">
                  <c:v>0</c:v>
                </c:pt>
                <c:pt idx="111">
                  <c:v>20421</c:v>
                </c:pt>
                <c:pt idx="112">
                  <c:v>0</c:v>
                </c:pt>
                <c:pt idx="113">
                  <c:v>0</c:v>
                </c:pt>
                <c:pt idx="114">
                  <c:v>16483</c:v>
                </c:pt>
                <c:pt idx="115">
                  <c:v>0</c:v>
                </c:pt>
                <c:pt idx="116">
                  <c:v>15841</c:v>
                </c:pt>
                <c:pt idx="117">
                  <c:v>0</c:v>
                </c:pt>
                <c:pt idx="118">
                  <c:v>0</c:v>
                </c:pt>
                <c:pt idx="119">
                  <c:v>14741</c:v>
                </c:pt>
                <c:pt idx="120">
                  <c:v>0</c:v>
                </c:pt>
                <c:pt idx="121">
                  <c:v>0</c:v>
                </c:pt>
                <c:pt idx="122">
                  <c:v>12405</c:v>
                </c:pt>
                <c:pt idx="123">
                  <c:v>0</c:v>
                </c:pt>
                <c:pt idx="124">
                  <c:v>15512</c:v>
                </c:pt>
                <c:pt idx="125">
                  <c:v>0</c:v>
                </c:pt>
                <c:pt idx="126">
                  <c:v>0</c:v>
                </c:pt>
                <c:pt idx="127">
                  <c:v>12635</c:v>
                </c:pt>
                <c:pt idx="128">
                  <c:v>0</c:v>
                </c:pt>
                <c:pt idx="129">
                  <c:v>12476</c:v>
                </c:pt>
                <c:pt idx="130">
                  <c:v>0</c:v>
                </c:pt>
                <c:pt idx="131">
                  <c:v>0</c:v>
                </c:pt>
                <c:pt idx="132">
                  <c:v>9711</c:v>
                </c:pt>
                <c:pt idx="133">
                  <c:v>0</c:v>
                </c:pt>
                <c:pt idx="134">
                  <c:v>6772</c:v>
                </c:pt>
                <c:pt idx="135">
                  <c:v>0</c:v>
                </c:pt>
                <c:pt idx="136">
                  <c:v>0</c:v>
                </c:pt>
                <c:pt idx="137">
                  <c:v>3886</c:v>
                </c:pt>
                <c:pt idx="138">
                  <c:v>0</c:v>
                </c:pt>
                <c:pt idx="139">
                  <c:v>0</c:v>
                </c:pt>
                <c:pt idx="140">
                  <c:v>3233</c:v>
                </c:pt>
                <c:pt idx="141">
                  <c:v>0</c:v>
                </c:pt>
                <c:pt idx="142">
                  <c:v>1537</c:v>
                </c:pt>
                <c:pt idx="143">
                  <c:v>0</c:v>
                </c:pt>
                <c:pt idx="144">
                  <c:v>0</c:v>
                </c:pt>
                <c:pt idx="145">
                  <c:v>1122</c:v>
                </c:pt>
                <c:pt idx="146">
                  <c:v>0</c:v>
                </c:pt>
                <c:pt idx="147">
                  <c:v>758</c:v>
                </c:pt>
                <c:pt idx="148">
                  <c:v>0</c:v>
                </c:pt>
                <c:pt idx="149">
                  <c:v>0</c:v>
                </c:pt>
                <c:pt idx="150">
                  <c:v>163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  <c:pt idx="74">
                  <c:v>2.36435</c:v>
                </c:pt>
                <c:pt idx="75">
                  <c:v>2.3553699999999997</c:v>
                </c:pt>
                <c:pt idx="76">
                  <c:v>2.34938</c:v>
                </c:pt>
                <c:pt idx="77">
                  <c:v>2.34402</c:v>
                </c:pt>
                <c:pt idx="78">
                  <c:v>2.3398099999999999</c:v>
                </c:pt>
                <c:pt idx="79">
                  <c:v>2.3359999999999999</c:v>
                </c:pt>
                <c:pt idx="80">
                  <c:v>2.33039</c:v>
                </c:pt>
                <c:pt idx="81">
                  <c:v>2.32497</c:v>
                </c:pt>
                <c:pt idx="82">
                  <c:v>2.3180899999999998</c:v>
                </c:pt>
                <c:pt idx="83">
                  <c:v>2.3117399999999999</c:v>
                </c:pt>
                <c:pt idx="84">
                  <c:v>2.3066999999999998</c:v>
                </c:pt>
                <c:pt idx="85">
                  <c:v>2.3025899999999999</c:v>
                </c:pt>
                <c:pt idx="86">
                  <c:v>2.2995199999999998</c:v>
                </c:pt>
                <c:pt idx="87">
                  <c:v>2.29894</c:v>
                </c:pt>
                <c:pt idx="88">
                  <c:v>2.2986200000000001</c:v>
                </c:pt>
                <c:pt idx="89">
                  <c:v>2.2959399999999999</c:v>
                </c:pt>
                <c:pt idx="90">
                  <c:v>2.2932100000000002</c:v>
                </c:pt>
                <c:pt idx="91">
                  <c:v>2.2925400000000002</c:v>
                </c:pt>
                <c:pt idx="92">
                  <c:v>2.2933700000000004</c:v>
                </c:pt>
                <c:pt idx="93">
                  <c:v>2.2929599999999999</c:v>
                </c:pt>
                <c:pt idx="94">
                  <c:v>2.28851</c:v>
                </c:pt>
                <c:pt idx="95">
                  <c:v>2.28172</c:v>
                </c:pt>
                <c:pt idx="96">
                  <c:v>2.2711000000000001</c:v>
                </c:pt>
                <c:pt idx="97">
                  <c:v>2.2600700000000002</c:v>
                </c:pt>
                <c:pt idx="98">
                  <c:v>2.2505000000000002</c:v>
                </c:pt>
                <c:pt idx="99">
                  <c:v>2.2400000000000002</c:v>
                </c:pt>
                <c:pt idx="100">
                  <c:v>2.22777</c:v>
                </c:pt>
                <c:pt idx="101">
                  <c:v>2.2170799999999997</c:v>
                </c:pt>
                <c:pt idx="102">
                  <c:v>2.2087000000000003</c:v>
                </c:pt>
                <c:pt idx="103">
                  <c:v>2.19869</c:v>
                </c:pt>
                <c:pt idx="104">
                  <c:v>2.1854</c:v>
                </c:pt>
                <c:pt idx="105">
                  <c:v>2.1740699999999999</c:v>
                </c:pt>
                <c:pt idx="106">
                  <c:v>2.1635399999999998</c:v>
                </c:pt>
                <c:pt idx="107">
                  <c:v>2.1550199999999999</c:v>
                </c:pt>
                <c:pt idx="108">
                  <c:v>2.1463199999999998</c:v>
                </c:pt>
                <c:pt idx="109">
                  <c:v>2.1364900000000002</c:v>
                </c:pt>
                <c:pt idx="110">
                  <c:v>2.1245799999999999</c:v>
                </c:pt>
                <c:pt idx="111">
                  <c:v>2.1109200000000001</c:v>
                </c:pt>
                <c:pt idx="112">
                  <c:v>2.0927599999999997</c:v>
                </c:pt>
                <c:pt idx="113">
                  <c:v>2.0740799999999999</c:v>
                </c:pt>
                <c:pt idx="114">
                  <c:v>2.0563199999999999</c:v>
                </c:pt>
                <c:pt idx="115">
                  <c:v>2.0410699999999999</c:v>
                </c:pt>
                <c:pt idx="116">
                  <c:v>2.02596</c:v>
                </c:pt>
                <c:pt idx="117">
                  <c:v>2.0121899999999999</c:v>
                </c:pt>
                <c:pt idx="118">
                  <c:v>1.9986200000000001</c:v>
                </c:pt>
                <c:pt idx="119">
                  <c:v>1.9892699999999999</c:v>
                </c:pt>
                <c:pt idx="120">
                  <c:v>1.9826600000000001</c:v>
                </c:pt>
                <c:pt idx="121">
                  <c:v>1.9808700000000001</c:v>
                </c:pt>
                <c:pt idx="122">
                  <c:v>1.9830700000000001</c:v>
                </c:pt>
                <c:pt idx="123">
                  <c:v>1.98759</c:v>
                </c:pt>
                <c:pt idx="124">
                  <c:v>1.98638</c:v>
                </c:pt>
                <c:pt idx="125">
                  <c:v>1.9858600000000002</c:v>
                </c:pt>
                <c:pt idx="126">
                  <c:v>1.98688</c:v>
                </c:pt>
                <c:pt idx="127">
                  <c:v>1.98671</c:v>
                </c:pt>
                <c:pt idx="128">
                  <c:v>1.9889999999999999</c:v>
                </c:pt>
                <c:pt idx="129">
                  <c:v>1.99441</c:v>
                </c:pt>
                <c:pt idx="130">
                  <c:v>1.99929</c:v>
                </c:pt>
                <c:pt idx="131">
                  <c:v>2.004</c:v>
                </c:pt>
                <c:pt idx="132">
                  <c:v>2.0102099999999998</c:v>
                </c:pt>
                <c:pt idx="133">
                  <c:v>2.0163800000000003</c:v>
                </c:pt>
                <c:pt idx="134">
                  <c:v>2.0218400000000001</c:v>
                </c:pt>
                <c:pt idx="135">
                  <c:v>2.0271400000000002</c:v>
                </c:pt>
                <c:pt idx="136">
                  <c:v>2.03234</c:v>
                </c:pt>
                <c:pt idx="137">
                  <c:v>2.04013</c:v>
                </c:pt>
                <c:pt idx="138">
                  <c:v>2.0492699999999999</c:v>
                </c:pt>
                <c:pt idx="139">
                  <c:v>2.0609199999999999</c:v>
                </c:pt>
                <c:pt idx="140">
                  <c:v>2.0720100000000001</c:v>
                </c:pt>
                <c:pt idx="141">
                  <c:v>2.0851299999999999</c:v>
                </c:pt>
                <c:pt idx="142">
                  <c:v>2.0976600000000003</c:v>
                </c:pt>
                <c:pt idx="143">
                  <c:v>2.1149999999999998</c:v>
                </c:pt>
                <c:pt idx="144">
                  <c:v>2.12371</c:v>
                </c:pt>
                <c:pt idx="145">
                  <c:v>2.1319699999999999</c:v>
                </c:pt>
                <c:pt idx="146">
                  <c:v>2.14039</c:v>
                </c:pt>
                <c:pt idx="147">
                  <c:v>2.1454300000000002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  <c:pt idx="74">
                  <c:v>49.415999999999997</c:v>
                </c:pt>
                <c:pt idx="75">
                  <c:v>49.473199999999999</c:v>
                </c:pt>
                <c:pt idx="76">
                  <c:v>49.474299999999999</c:v>
                </c:pt>
                <c:pt idx="77">
                  <c:v>49.435200000000002</c:v>
                </c:pt>
                <c:pt idx="78">
                  <c:v>49.385400000000004</c:v>
                </c:pt>
                <c:pt idx="79">
                  <c:v>49.317100000000003</c:v>
                </c:pt>
                <c:pt idx="80">
                  <c:v>49.229500000000002</c:v>
                </c:pt>
                <c:pt idx="81">
                  <c:v>49.133700000000005</c:v>
                </c:pt>
                <c:pt idx="82">
                  <c:v>49.060500000000005</c:v>
                </c:pt>
                <c:pt idx="83">
                  <c:v>49.013199999999998</c:v>
                </c:pt>
                <c:pt idx="84">
                  <c:v>48.989600000000003</c:v>
                </c:pt>
                <c:pt idx="85">
                  <c:v>49.006799999999998</c:v>
                </c:pt>
                <c:pt idx="86">
                  <c:v>49.033900000000003</c:v>
                </c:pt>
                <c:pt idx="87">
                  <c:v>49.076500000000003</c:v>
                </c:pt>
                <c:pt idx="88">
                  <c:v>49.168199999999999</c:v>
                </c:pt>
                <c:pt idx="89">
                  <c:v>49.318600000000004</c:v>
                </c:pt>
                <c:pt idx="90">
                  <c:v>49.459199999999996</c:v>
                </c:pt>
                <c:pt idx="91">
                  <c:v>49.553899999999999</c:v>
                </c:pt>
                <c:pt idx="92">
                  <c:v>49.599299999999999</c:v>
                </c:pt>
                <c:pt idx="93">
                  <c:v>49.693300000000001</c:v>
                </c:pt>
                <c:pt idx="94">
                  <c:v>49.876799999999996</c:v>
                </c:pt>
                <c:pt idx="95">
                  <c:v>50.064799999999998</c:v>
                </c:pt>
                <c:pt idx="96">
                  <c:v>50.260599999999997</c:v>
                </c:pt>
                <c:pt idx="97">
                  <c:v>50.457700000000003</c:v>
                </c:pt>
                <c:pt idx="98">
                  <c:v>50.621000000000002</c:v>
                </c:pt>
                <c:pt idx="99">
                  <c:v>50.805999999999997</c:v>
                </c:pt>
                <c:pt idx="100">
                  <c:v>51.060300000000005</c:v>
                </c:pt>
                <c:pt idx="101">
                  <c:v>51.202099999999994</c:v>
                </c:pt>
                <c:pt idx="102">
                  <c:v>51.313299999999998</c:v>
                </c:pt>
                <c:pt idx="103">
                  <c:v>51.405699999999996</c:v>
                </c:pt>
                <c:pt idx="104">
                  <c:v>51.5456</c:v>
                </c:pt>
                <c:pt idx="105">
                  <c:v>51.7151</c:v>
                </c:pt>
                <c:pt idx="106">
                  <c:v>51.909300000000002</c:v>
                </c:pt>
                <c:pt idx="107">
                  <c:v>52.030100000000004</c:v>
                </c:pt>
                <c:pt idx="108">
                  <c:v>52.177599999999998</c:v>
                </c:pt>
                <c:pt idx="109">
                  <c:v>52.386699999999998</c:v>
                </c:pt>
                <c:pt idx="110">
                  <c:v>52.634899999999995</c:v>
                </c:pt>
                <c:pt idx="111">
                  <c:v>52.937800000000003</c:v>
                </c:pt>
                <c:pt idx="112">
                  <c:v>53.341999999999999</c:v>
                </c:pt>
                <c:pt idx="113">
                  <c:v>53.776599999999995</c:v>
                </c:pt>
                <c:pt idx="114">
                  <c:v>54.207799999999992</c:v>
                </c:pt>
                <c:pt idx="115">
                  <c:v>54.602499999999999</c:v>
                </c:pt>
                <c:pt idx="116">
                  <c:v>55.037899999999993</c:v>
                </c:pt>
                <c:pt idx="117">
                  <c:v>55.483800000000002</c:v>
                </c:pt>
                <c:pt idx="118">
                  <c:v>55.9373</c:v>
                </c:pt>
                <c:pt idx="119">
                  <c:v>56.3078</c:v>
                </c:pt>
                <c:pt idx="120">
                  <c:v>56.595500000000001</c:v>
                </c:pt>
                <c:pt idx="121">
                  <c:v>56.748200000000004</c:v>
                </c:pt>
                <c:pt idx="122">
                  <c:v>56.781999999999996</c:v>
                </c:pt>
                <c:pt idx="123">
                  <c:v>56.792099999999998</c:v>
                </c:pt>
                <c:pt idx="124">
                  <c:v>56.797200000000004</c:v>
                </c:pt>
                <c:pt idx="125">
                  <c:v>56.758800000000001</c:v>
                </c:pt>
                <c:pt idx="126">
                  <c:v>56.825000000000003</c:v>
                </c:pt>
                <c:pt idx="127">
                  <c:v>56.989699999999999</c:v>
                </c:pt>
                <c:pt idx="128">
                  <c:v>57.154400000000003</c:v>
                </c:pt>
                <c:pt idx="129">
                  <c:v>57.268300000000004</c:v>
                </c:pt>
                <c:pt idx="130">
                  <c:v>57.398200000000003</c:v>
                </c:pt>
                <c:pt idx="131">
                  <c:v>57.530499999999996</c:v>
                </c:pt>
                <c:pt idx="132">
                  <c:v>57.665700000000001</c:v>
                </c:pt>
                <c:pt idx="133">
                  <c:v>57.783999999999999</c:v>
                </c:pt>
                <c:pt idx="134">
                  <c:v>57.853600000000007</c:v>
                </c:pt>
                <c:pt idx="135">
                  <c:v>57.911999999999999</c:v>
                </c:pt>
                <c:pt idx="136">
                  <c:v>57.943399999999997</c:v>
                </c:pt>
                <c:pt idx="137">
                  <c:v>57.908899999999996</c:v>
                </c:pt>
                <c:pt idx="138">
                  <c:v>57.845999999999997</c:v>
                </c:pt>
                <c:pt idx="139">
                  <c:v>57.744599999999998</c:v>
                </c:pt>
                <c:pt idx="140">
                  <c:v>57.651399999999995</c:v>
                </c:pt>
                <c:pt idx="141">
                  <c:v>57.541399999999996</c:v>
                </c:pt>
                <c:pt idx="142">
                  <c:v>57.422700000000006</c:v>
                </c:pt>
                <c:pt idx="143">
                  <c:v>57.180200000000006</c:v>
                </c:pt>
                <c:pt idx="144">
                  <c:v>56.9739</c:v>
                </c:pt>
                <c:pt idx="145">
                  <c:v>56.782400000000003</c:v>
                </c:pt>
                <c:pt idx="146">
                  <c:v>56.565299999999993</c:v>
                </c:pt>
                <c:pt idx="147">
                  <c:v>56.4221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2.37717</c:v>
                </c:pt>
                <c:pt idx="1">
                  <c:v>2.36435</c:v>
                </c:pt>
                <c:pt idx="2">
                  <c:v>2.3553699999999997</c:v>
                </c:pt>
                <c:pt idx="3">
                  <c:v>2.34938</c:v>
                </c:pt>
                <c:pt idx="4">
                  <c:v>2.34402</c:v>
                </c:pt>
                <c:pt idx="5">
                  <c:v>2.3398099999999999</c:v>
                </c:pt>
                <c:pt idx="6">
                  <c:v>2.3359999999999999</c:v>
                </c:pt>
                <c:pt idx="7">
                  <c:v>2.33039</c:v>
                </c:pt>
                <c:pt idx="8">
                  <c:v>2.32497</c:v>
                </c:pt>
                <c:pt idx="9">
                  <c:v>2.3180899999999998</c:v>
                </c:pt>
                <c:pt idx="10">
                  <c:v>2.3117399999999999</c:v>
                </c:pt>
                <c:pt idx="11">
                  <c:v>2.3066999999999998</c:v>
                </c:pt>
                <c:pt idx="12">
                  <c:v>2.3025899999999999</c:v>
                </c:pt>
                <c:pt idx="13">
                  <c:v>2.2995199999999998</c:v>
                </c:pt>
                <c:pt idx="14">
                  <c:v>2.29894</c:v>
                </c:pt>
                <c:pt idx="15">
                  <c:v>2.2986200000000001</c:v>
                </c:pt>
                <c:pt idx="16">
                  <c:v>2.2959399999999999</c:v>
                </c:pt>
                <c:pt idx="17">
                  <c:v>2.2932100000000002</c:v>
                </c:pt>
                <c:pt idx="18">
                  <c:v>2.2925400000000002</c:v>
                </c:pt>
                <c:pt idx="19">
                  <c:v>2.2933700000000004</c:v>
                </c:pt>
                <c:pt idx="20">
                  <c:v>2.2929599999999999</c:v>
                </c:pt>
                <c:pt idx="21">
                  <c:v>2.28851</c:v>
                </c:pt>
                <c:pt idx="22">
                  <c:v>2.28172</c:v>
                </c:pt>
                <c:pt idx="23">
                  <c:v>2.2711000000000001</c:v>
                </c:pt>
                <c:pt idx="24">
                  <c:v>2.2600700000000002</c:v>
                </c:pt>
                <c:pt idx="25">
                  <c:v>2.2505000000000002</c:v>
                </c:pt>
                <c:pt idx="26">
                  <c:v>2.2400000000000002</c:v>
                </c:pt>
                <c:pt idx="27">
                  <c:v>2.22777</c:v>
                </c:pt>
                <c:pt idx="28">
                  <c:v>2.2170799999999997</c:v>
                </c:pt>
                <c:pt idx="29">
                  <c:v>2.2087000000000003</c:v>
                </c:pt>
                <c:pt idx="30">
                  <c:v>2.19869</c:v>
                </c:pt>
                <c:pt idx="31">
                  <c:v>2.1854</c:v>
                </c:pt>
                <c:pt idx="32">
                  <c:v>2.1740699999999999</c:v>
                </c:pt>
                <c:pt idx="33">
                  <c:v>2.1635399999999998</c:v>
                </c:pt>
                <c:pt idx="34">
                  <c:v>2.1550199999999999</c:v>
                </c:pt>
                <c:pt idx="35">
                  <c:v>2.1463199999999998</c:v>
                </c:pt>
                <c:pt idx="36">
                  <c:v>2.1364900000000002</c:v>
                </c:pt>
                <c:pt idx="37">
                  <c:v>2.1245799999999999</c:v>
                </c:pt>
                <c:pt idx="38">
                  <c:v>2.1109200000000001</c:v>
                </c:pt>
                <c:pt idx="39">
                  <c:v>2.0927599999999997</c:v>
                </c:pt>
                <c:pt idx="40">
                  <c:v>2.0740799999999999</c:v>
                </c:pt>
                <c:pt idx="41">
                  <c:v>2.0563199999999999</c:v>
                </c:pt>
                <c:pt idx="42">
                  <c:v>2.0410699999999999</c:v>
                </c:pt>
                <c:pt idx="43">
                  <c:v>2.02596</c:v>
                </c:pt>
                <c:pt idx="44">
                  <c:v>2.0121899999999999</c:v>
                </c:pt>
                <c:pt idx="45">
                  <c:v>1.9986200000000001</c:v>
                </c:pt>
                <c:pt idx="46">
                  <c:v>1.9892699999999999</c:v>
                </c:pt>
                <c:pt idx="47">
                  <c:v>1.9826600000000001</c:v>
                </c:pt>
                <c:pt idx="48">
                  <c:v>1.9808700000000001</c:v>
                </c:pt>
                <c:pt idx="49">
                  <c:v>1.9830700000000001</c:v>
                </c:pt>
                <c:pt idx="50">
                  <c:v>1.98759</c:v>
                </c:pt>
                <c:pt idx="51">
                  <c:v>1.98638</c:v>
                </c:pt>
                <c:pt idx="52">
                  <c:v>1.9858600000000002</c:v>
                </c:pt>
                <c:pt idx="53">
                  <c:v>1.98688</c:v>
                </c:pt>
                <c:pt idx="54">
                  <c:v>1.98671</c:v>
                </c:pt>
                <c:pt idx="55">
                  <c:v>1.9889999999999999</c:v>
                </c:pt>
                <c:pt idx="56">
                  <c:v>1.99441</c:v>
                </c:pt>
                <c:pt idx="57">
                  <c:v>1.99929</c:v>
                </c:pt>
                <c:pt idx="58">
                  <c:v>2.004</c:v>
                </c:pt>
                <c:pt idx="59">
                  <c:v>2.0102099999999998</c:v>
                </c:pt>
                <c:pt idx="60">
                  <c:v>2.0163800000000003</c:v>
                </c:pt>
                <c:pt idx="61">
                  <c:v>2.0218400000000001</c:v>
                </c:pt>
                <c:pt idx="62">
                  <c:v>2.0271400000000002</c:v>
                </c:pt>
                <c:pt idx="63">
                  <c:v>2.03234</c:v>
                </c:pt>
                <c:pt idx="64">
                  <c:v>2.04013</c:v>
                </c:pt>
                <c:pt idx="65">
                  <c:v>2.0492699999999999</c:v>
                </c:pt>
                <c:pt idx="66">
                  <c:v>2.0609199999999999</c:v>
                </c:pt>
                <c:pt idx="67">
                  <c:v>2.0720100000000001</c:v>
                </c:pt>
                <c:pt idx="68">
                  <c:v>2.0851299999999999</c:v>
                </c:pt>
                <c:pt idx="69">
                  <c:v>2.0976600000000003</c:v>
                </c:pt>
                <c:pt idx="70">
                  <c:v>2.1149999999999998</c:v>
                </c:pt>
                <c:pt idx="71">
                  <c:v>2.12371</c:v>
                </c:pt>
                <c:pt idx="72">
                  <c:v>2.1319699999999999</c:v>
                </c:pt>
                <c:pt idx="73">
                  <c:v>2.14039</c:v>
                </c:pt>
                <c:pt idx="74">
                  <c:v>2.1454300000000002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49.313800000000001</c:v>
                </c:pt>
                <c:pt idx="1">
                  <c:v>49.415999999999997</c:v>
                </c:pt>
                <c:pt idx="2">
                  <c:v>49.473199999999999</c:v>
                </c:pt>
                <c:pt idx="3">
                  <c:v>49.474299999999999</c:v>
                </c:pt>
                <c:pt idx="4">
                  <c:v>49.435200000000002</c:v>
                </c:pt>
                <c:pt idx="5">
                  <c:v>49.385400000000004</c:v>
                </c:pt>
                <c:pt idx="6">
                  <c:v>49.317100000000003</c:v>
                </c:pt>
                <c:pt idx="7">
                  <c:v>49.229500000000002</c:v>
                </c:pt>
                <c:pt idx="8">
                  <c:v>49.133700000000005</c:v>
                </c:pt>
                <c:pt idx="9">
                  <c:v>49.060500000000005</c:v>
                </c:pt>
                <c:pt idx="10">
                  <c:v>49.013199999999998</c:v>
                </c:pt>
                <c:pt idx="11">
                  <c:v>48.989600000000003</c:v>
                </c:pt>
                <c:pt idx="12">
                  <c:v>49.006799999999998</c:v>
                </c:pt>
                <c:pt idx="13">
                  <c:v>49.033900000000003</c:v>
                </c:pt>
                <c:pt idx="14">
                  <c:v>49.076500000000003</c:v>
                </c:pt>
                <c:pt idx="15">
                  <c:v>49.168199999999999</c:v>
                </c:pt>
                <c:pt idx="16">
                  <c:v>49.318600000000004</c:v>
                </c:pt>
                <c:pt idx="17">
                  <c:v>49.459199999999996</c:v>
                </c:pt>
                <c:pt idx="18">
                  <c:v>49.553899999999999</c:v>
                </c:pt>
                <c:pt idx="19">
                  <c:v>49.599299999999999</c:v>
                </c:pt>
                <c:pt idx="20">
                  <c:v>49.693300000000001</c:v>
                </c:pt>
                <c:pt idx="21">
                  <c:v>49.876799999999996</c:v>
                </c:pt>
                <c:pt idx="22">
                  <c:v>50.064799999999998</c:v>
                </c:pt>
                <c:pt idx="23">
                  <c:v>50.260599999999997</c:v>
                </c:pt>
                <c:pt idx="24">
                  <c:v>50.457700000000003</c:v>
                </c:pt>
                <c:pt idx="25">
                  <c:v>50.621000000000002</c:v>
                </c:pt>
                <c:pt idx="26">
                  <c:v>50.805999999999997</c:v>
                </c:pt>
                <c:pt idx="27">
                  <c:v>51.060300000000005</c:v>
                </c:pt>
                <c:pt idx="28">
                  <c:v>51.202099999999994</c:v>
                </c:pt>
                <c:pt idx="29">
                  <c:v>51.313299999999998</c:v>
                </c:pt>
                <c:pt idx="30">
                  <c:v>51.405699999999996</c:v>
                </c:pt>
                <c:pt idx="31">
                  <c:v>51.5456</c:v>
                </c:pt>
                <c:pt idx="32">
                  <c:v>51.7151</c:v>
                </c:pt>
                <c:pt idx="33">
                  <c:v>51.909300000000002</c:v>
                </c:pt>
                <c:pt idx="34">
                  <c:v>52.030100000000004</c:v>
                </c:pt>
                <c:pt idx="35">
                  <c:v>52.177599999999998</c:v>
                </c:pt>
                <c:pt idx="36">
                  <c:v>52.386699999999998</c:v>
                </c:pt>
                <c:pt idx="37">
                  <c:v>52.634899999999995</c:v>
                </c:pt>
                <c:pt idx="38">
                  <c:v>52.937800000000003</c:v>
                </c:pt>
                <c:pt idx="39">
                  <c:v>53.341999999999999</c:v>
                </c:pt>
                <c:pt idx="40">
                  <c:v>53.776599999999995</c:v>
                </c:pt>
                <c:pt idx="41">
                  <c:v>54.207799999999992</c:v>
                </c:pt>
                <c:pt idx="42">
                  <c:v>54.602499999999999</c:v>
                </c:pt>
                <c:pt idx="43">
                  <c:v>55.037899999999993</c:v>
                </c:pt>
                <c:pt idx="44">
                  <c:v>55.483800000000002</c:v>
                </c:pt>
                <c:pt idx="45">
                  <c:v>55.9373</c:v>
                </c:pt>
                <c:pt idx="46">
                  <c:v>56.3078</c:v>
                </c:pt>
                <c:pt idx="47">
                  <c:v>56.595500000000001</c:v>
                </c:pt>
                <c:pt idx="48">
                  <c:v>56.748200000000004</c:v>
                </c:pt>
                <c:pt idx="49">
                  <c:v>56.781999999999996</c:v>
                </c:pt>
                <c:pt idx="50">
                  <c:v>56.792099999999998</c:v>
                </c:pt>
                <c:pt idx="51">
                  <c:v>56.797200000000004</c:v>
                </c:pt>
                <c:pt idx="52">
                  <c:v>56.758800000000001</c:v>
                </c:pt>
                <c:pt idx="53">
                  <c:v>56.825000000000003</c:v>
                </c:pt>
                <c:pt idx="54">
                  <c:v>56.989699999999999</c:v>
                </c:pt>
                <c:pt idx="55">
                  <c:v>57.154400000000003</c:v>
                </c:pt>
                <c:pt idx="56">
                  <c:v>57.268300000000004</c:v>
                </c:pt>
                <c:pt idx="57">
                  <c:v>57.398200000000003</c:v>
                </c:pt>
                <c:pt idx="58">
                  <c:v>57.530499999999996</c:v>
                </c:pt>
                <c:pt idx="59">
                  <c:v>57.665700000000001</c:v>
                </c:pt>
                <c:pt idx="60">
                  <c:v>57.783999999999999</c:v>
                </c:pt>
                <c:pt idx="61">
                  <c:v>57.853600000000007</c:v>
                </c:pt>
                <c:pt idx="62">
                  <c:v>57.911999999999999</c:v>
                </c:pt>
                <c:pt idx="63">
                  <c:v>57.943399999999997</c:v>
                </c:pt>
                <c:pt idx="64">
                  <c:v>57.908899999999996</c:v>
                </c:pt>
                <c:pt idx="65">
                  <c:v>57.845999999999997</c:v>
                </c:pt>
                <c:pt idx="66">
                  <c:v>57.744599999999998</c:v>
                </c:pt>
                <c:pt idx="67">
                  <c:v>57.651399999999995</c:v>
                </c:pt>
                <c:pt idx="68">
                  <c:v>57.541399999999996</c:v>
                </c:pt>
                <c:pt idx="69">
                  <c:v>57.422700000000006</c:v>
                </c:pt>
                <c:pt idx="70">
                  <c:v>57.180200000000006</c:v>
                </c:pt>
                <c:pt idx="71">
                  <c:v>56.9739</c:v>
                </c:pt>
                <c:pt idx="72">
                  <c:v>56.782400000000003</c:v>
                </c:pt>
                <c:pt idx="73">
                  <c:v>56.565299999999993</c:v>
                </c:pt>
                <c:pt idx="74">
                  <c:v>56.4221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2.5818674324324324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47.977428378378384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2.1529122972972967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53.402378378378401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2.1529122972972967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53.402378378378401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0.1424651869910355</c:v>
                </c:pt>
                <c:pt idx="1">
                  <c:v>0.42445905972406389</c:v>
                </c:pt>
                <c:pt idx="2">
                  <c:v>0.43307575328490061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  <c:pt idx="74">
                  <c:v>30.064699999999998</c:v>
                </c:pt>
                <c:pt idx="75">
                  <c:v>30.528300000000002</c:v>
                </c:pt>
                <c:pt idx="76">
                  <c:v>30.936599999999999</c:v>
                </c:pt>
                <c:pt idx="77">
                  <c:v>31.328099999999999</c:v>
                </c:pt>
                <c:pt idx="78">
                  <c:v>31.7331</c:v>
                </c:pt>
                <c:pt idx="79">
                  <c:v>32.1402</c:v>
                </c:pt>
                <c:pt idx="80">
                  <c:v>32.546999999999997</c:v>
                </c:pt>
                <c:pt idx="81">
                  <c:v>32.953899999999997</c:v>
                </c:pt>
                <c:pt idx="82">
                  <c:v>33.356699999999996</c:v>
                </c:pt>
                <c:pt idx="83">
                  <c:v>33.764600000000002</c:v>
                </c:pt>
                <c:pt idx="84">
                  <c:v>34.171300000000002</c:v>
                </c:pt>
                <c:pt idx="85">
                  <c:v>34.575499999999998</c:v>
                </c:pt>
                <c:pt idx="86">
                  <c:v>34.986699999999999</c:v>
                </c:pt>
                <c:pt idx="87">
                  <c:v>35.3904</c:v>
                </c:pt>
                <c:pt idx="88">
                  <c:v>35.795200000000001</c:v>
                </c:pt>
                <c:pt idx="89">
                  <c:v>36.203699999999998</c:v>
                </c:pt>
                <c:pt idx="90">
                  <c:v>36.607999999999997</c:v>
                </c:pt>
                <c:pt idx="91">
                  <c:v>37.018000000000001</c:v>
                </c:pt>
                <c:pt idx="92">
                  <c:v>37.420200000000001</c:v>
                </c:pt>
                <c:pt idx="93">
                  <c:v>37.826799999999999</c:v>
                </c:pt>
                <c:pt idx="94">
                  <c:v>38.234000000000002</c:v>
                </c:pt>
                <c:pt idx="95">
                  <c:v>38.642600000000002</c:v>
                </c:pt>
                <c:pt idx="96">
                  <c:v>39.047600000000003</c:v>
                </c:pt>
                <c:pt idx="97">
                  <c:v>39.455599999999997</c:v>
                </c:pt>
                <c:pt idx="98">
                  <c:v>39.857300000000002</c:v>
                </c:pt>
                <c:pt idx="99">
                  <c:v>40.263199999999998</c:v>
                </c:pt>
                <c:pt idx="100">
                  <c:v>40.668199999999999</c:v>
                </c:pt>
                <c:pt idx="101">
                  <c:v>41.075099999999999</c:v>
                </c:pt>
                <c:pt idx="102">
                  <c:v>41.482199999999999</c:v>
                </c:pt>
                <c:pt idx="103">
                  <c:v>41.890999999999998</c:v>
                </c:pt>
                <c:pt idx="104">
                  <c:v>42.294800000000002</c:v>
                </c:pt>
                <c:pt idx="105">
                  <c:v>42.7029</c:v>
                </c:pt>
                <c:pt idx="106">
                  <c:v>43.109699999999997</c:v>
                </c:pt>
                <c:pt idx="107">
                  <c:v>43.5167</c:v>
                </c:pt>
                <c:pt idx="108">
                  <c:v>43.921500000000002</c:v>
                </c:pt>
                <c:pt idx="109">
                  <c:v>44.326500000000003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45.5471</c:v>
                </c:pt>
                <c:pt idx="113">
                  <c:v>45.953400000000002</c:v>
                </c:pt>
                <c:pt idx="114">
                  <c:v>46.3581</c:v>
                </c:pt>
                <c:pt idx="115">
                  <c:v>46.765000000000001</c:v>
                </c:pt>
                <c:pt idx="116">
                  <c:v>47.170900000000003</c:v>
                </c:pt>
                <c:pt idx="117">
                  <c:v>47.573799999999999</c:v>
                </c:pt>
                <c:pt idx="118">
                  <c:v>47.985700000000001</c:v>
                </c:pt>
                <c:pt idx="119">
                  <c:v>48.390599999999999</c:v>
                </c:pt>
                <c:pt idx="120">
                  <c:v>48.796500000000002</c:v>
                </c:pt>
                <c:pt idx="121">
                  <c:v>49.2014</c:v>
                </c:pt>
                <c:pt idx="122">
                  <c:v>49.606400000000001</c:v>
                </c:pt>
                <c:pt idx="123">
                  <c:v>50.013199999999998</c:v>
                </c:pt>
                <c:pt idx="124">
                  <c:v>50.423200000000001</c:v>
                </c:pt>
                <c:pt idx="125">
                  <c:v>50.829099999999997</c:v>
                </c:pt>
                <c:pt idx="126">
                  <c:v>51.234000000000002</c:v>
                </c:pt>
                <c:pt idx="127">
                  <c:v>51.6402</c:v>
                </c:pt>
                <c:pt idx="128">
                  <c:v>52.0488</c:v>
                </c:pt>
                <c:pt idx="129">
                  <c:v>52.4497</c:v>
                </c:pt>
                <c:pt idx="130">
                  <c:v>52.8596</c:v>
                </c:pt>
                <c:pt idx="131">
                  <c:v>53.265999999999998</c:v>
                </c:pt>
                <c:pt idx="132">
                  <c:v>53.6706</c:v>
                </c:pt>
                <c:pt idx="133">
                  <c:v>54.079300000000003</c:v>
                </c:pt>
                <c:pt idx="134">
                  <c:v>54.482399999999998</c:v>
                </c:pt>
                <c:pt idx="135">
                  <c:v>54.8874</c:v>
                </c:pt>
                <c:pt idx="136">
                  <c:v>55.298099999999998</c:v>
                </c:pt>
                <c:pt idx="137">
                  <c:v>55.702199999999998</c:v>
                </c:pt>
                <c:pt idx="138">
                  <c:v>56.109000000000002</c:v>
                </c:pt>
                <c:pt idx="139">
                  <c:v>56.514800000000001</c:v>
                </c:pt>
                <c:pt idx="140">
                  <c:v>56.923699999999997</c:v>
                </c:pt>
                <c:pt idx="141">
                  <c:v>57.3277</c:v>
                </c:pt>
                <c:pt idx="142">
                  <c:v>57.7316</c:v>
                </c:pt>
                <c:pt idx="143">
                  <c:v>58.137599999999999</c:v>
                </c:pt>
                <c:pt idx="144">
                  <c:v>58.552500000000002</c:v>
                </c:pt>
                <c:pt idx="145">
                  <c:v>58.955399999999997</c:v>
                </c:pt>
                <c:pt idx="146">
                  <c:v>59.359299999999998</c:v>
                </c:pt>
                <c:pt idx="147">
                  <c:v>59.764200000000002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  <c:pt idx="74">
                  <c:v>2.36435</c:v>
                </c:pt>
                <c:pt idx="75">
                  <c:v>2.3553699999999997</c:v>
                </c:pt>
                <c:pt idx="76">
                  <c:v>2.34938</c:v>
                </c:pt>
                <c:pt idx="77">
                  <c:v>2.34402</c:v>
                </c:pt>
                <c:pt idx="78">
                  <c:v>2.3398099999999999</c:v>
                </c:pt>
                <c:pt idx="79">
                  <c:v>2.3359999999999999</c:v>
                </c:pt>
                <c:pt idx="80">
                  <c:v>2.33039</c:v>
                </c:pt>
                <c:pt idx="81">
                  <c:v>2.32497</c:v>
                </c:pt>
                <c:pt idx="82">
                  <c:v>2.3180899999999998</c:v>
                </c:pt>
                <c:pt idx="83">
                  <c:v>2.3117399999999999</c:v>
                </c:pt>
                <c:pt idx="84">
                  <c:v>2.3066999999999998</c:v>
                </c:pt>
                <c:pt idx="85">
                  <c:v>2.3025899999999999</c:v>
                </c:pt>
                <c:pt idx="86">
                  <c:v>2.2995199999999998</c:v>
                </c:pt>
                <c:pt idx="87">
                  <c:v>2.29894</c:v>
                </c:pt>
                <c:pt idx="88">
                  <c:v>2.2986200000000001</c:v>
                </c:pt>
                <c:pt idx="89">
                  <c:v>2.2959399999999999</c:v>
                </c:pt>
                <c:pt idx="90">
                  <c:v>2.2932100000000002</c:v>
                </c:pt>
                <c:pt idx="91">
                  <c:v>2.2925400000000002</c:v>
                </c:pt>
                <c:pt idx="92">
                  <c:v>2.2933700000000004</c:v>
                </c:pt>
                <c:pt idx="93">
                  <c:v>2.2929599999999999</c:v>
                </c:pt>
                <c:pt idx="94">
                  <c:v>2.28851</c:v>
                </c:pt>
                <c:pt idx="95">
                  <c:v>2.28172</c:v>
                </c:pt>
                <c:pt idx="96">
                  <c:v>2.2711000000000001</c:v>
                </c:pt>
                <c:pt idx="97">
                  <c:v>2.2600700000000002</c:v>
                </c:pt>
                <c:pt idx="98">
                  <c:v>2.2505000000000002</c:v>
                </c:pt>
                <c:pt idx="99">
                  <c:v>2.2400000000000002</c:v>
                </c:pt>
                <c:pt idx="100">
                  <c:v>2.22777</c:v>
                </c:pt>
                <c:pt idx="101">
                  <c:v>2.2170799999999997</c:v>
                </c:pt>
                <c:pt idx="102">
                  <c:v>2.2087000000000003</c:v>
                </c:pt>
                <c:pt idx="103">
                  <c:v>2.19869</c:v>
                </c:pt>
                <c:pt idx="104">
                  <c:v>2.1854</c:v>
                </c:pt>
                <c:pt idx="105">
                  <c:v>2.1740699999999999</c:v>
                </c:pt>
                <c:pt idx="106">
                  <c:v>2.1635399999999998</c:v>
                </c:pt>
                <c:pt idx="107">
                  <c:v>2.1550199999999999</c:v>
                </c:pt>
                <c:pt idx="108">
                  <c:v>2.1463199999999998</c:v>
                </c:pt>
                <c:pt idx="109">
                  <c:v>2.1364900000000002</c:v>
                </c:pt>
                <c:pt idx="110">
                  <c:v>2.1245799999999999</c:v>
                </c:pt>
                <c:pt idx="111">
                  <c:v>2.1109200000000001</c:v>
                </c:pt>
                <c:pt idx="112">
                  <c:v>2.0927599999999997</c:v>
                </c:pt>
                <c:pt idx="113">
                  <c:v>2.0740799999999999</c:v>
                </c:pt>
                <c:pt idx="114">
                  <c:v>2.0563199999999999</c:v>
                </c:pt>
                <c:pt idx="115">
                  <c:v>2.0410699999999999</c:v>
                </c:pt>
                <c:pt idx="116">
                  <c:v>2.02596</c:v>
                </c:pt>
                <c:pt idx="117">
                  <c:v>2.0121899999999999</c:v>
                </c:pt>
                <c:pt idx="118">
                  <c:v>1.9986200000000001</c:v>
                </c:pt>
                <c:pt idx="119">
                  <c:v>1.9892699999999999</c:v>
                </c:pt>
                <c:pt idx="120">
                  <c:v>1.9826600000000001</c:v>
                </c:pt>
                <c:pt idx="121">
                  <c:v>1.9808700000000001</c:v>
                </c:pt>
                <c:pt idx="122">
                  <c:v>1.9830700000000001</c:v>
                </c:pt>
                <c:pt idx="123">
                  <c:v>1.98759</c:v>
                </c:pt>
                <c:pt idx="124">
                  <c:v>1.98638</c:v>
                </c:pt>
                <c:pt idx="125">
                  <c:v>1.9858600000000002</c:v>
                </c:pt>
                <c:pt idx="126">
                  <c:v>1.98688</c:v>
                </c:pt>
                <c:pt idx="127">
                  <c:v>1.98671</c:v>
                </c:pt>
                <c:pt idx="128">
                  <c:v>1.9889999999999999</c:v>
                </c:pt>
                <c:pt idx="129">
                  <c:v>1.99441</c:v>
                </c:pt>
                <c:pt idx="130">
                  <c:v>1.99929</c:v>
                </c:pt>
                <c:pt idx="131">
                  <c:v>2.004</c:v>
                </c:pt>
                <c:pt idx="132">
                  <c:v>2.0102099999999998</c:v>
                </c:pt>
                <c:pt idx="133">
                  <c:v>2.0163800000000003</c:v>
                </c:pt>
                <c:pt idx="134">
                  <c:v>2.0218400000000001</c:v>
                </c:pt>
                <c:pt idx="135">
                  <c:v>2.0271400000000002</c:v>
                </c:pt>
                <c:pt idx="136">
                  <c:v>2.03234</c:v>
                </c:pt>
                <c:pt idx="137">
                  <c:v>2.04013</c:v>
                </c:pt>
                <c:pt idx="138">
                  <c:v>2.0492699999999999</c:v>
                </c:pt>
                <c:pt idx="139">
                  <c:v>2.0609199999999999</c:v>
                </c:pt>
                <c:pt idx="140">
                  <c:v>2.0720100000000001</c:v>
                </c:pt>
                <c:pt idx="141">
                  <c:v>2.0851299999999999</c:v>
                </c:pt>
                <c:pt idx="142">
                  <c:v>2.0976600000000003</c:v>
                </c:pt>
                <c:pt idx="143">
                  <c:v>2.1149999999999998</c:v>
                </c:pt>
                <c:pt idx="144">
                  <c:v>2.12371</c:v>
                </c:pt>
                <c:pt idx="145">
                  <c:v>2.1319699999999999</c:v>
                </c:pt>
                <c:pt idx="146">
                  <c:v>2.14039</c:v>
                </c:pt>
                <c:pt idx="147">
                  <c:v>2.1454300000000002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29.656700000000001</c:v>
                </c:pt>
                <c:pt idx="1">
                  <c:v>30.064699999999998</c:v>
                </c:pt>
                <c:pt idx="2">
                  <c:v>30.528300000000002</c:v>
                </c:pt>
                <c:pt idx="3">
                  <c:v>30.936599999999999</c:v>
                </c:pt>
                <c:pt idx="4">
                  <c:v>31.328099999999999</c:v>
                </c:pt>
                <c:pt idx="5">
                  <c:v>31.7331</c:v>
                </c:pt>
                <c:pt idx="6">
                  <c:v>32.1402</c:v>
                </c:pt>
                <c:pt idx="7">
                  <c:v>32.546999999999997</c:v>
                </c:pt>
                <c:pt idx="8">
                  <c:v>32.953899999999997</c:v>
                </c:pt>
                <c:pt idx="9">
                  <c:v>33.356699999999996</c:v>
                </c:pt>
                <c:pt idx="10">
                  <c:v>33.764600000000002</c:v>
                </c:pt>
                <c:pt idx="11">
                  <c:v>34.171300000000002</c:v>
                </c:pt>
                <c:pt idx="12">
                  <c:v>34.575499999999998</c:v>
                </c:pt>
                <c:pt idx="13">
                  <c:v>34.986699999999999</c:v>
                </c:pt>
                <c:pt idx="14">
                  <c:v>35.3904</c:v>
                </c:pt>
                <c:pt idx="15">
                  <c:v>35.795200000000001</c:v>
                </c:pt>
                <c:pt idx="16">
                  <c:v>36.203699999999998</c:v>
                </c:pt>
                <c:pt idx="17">
                  <c:v>36.607999999999997</c:v>
                </c:pt>
                <c:pt idx="18">
                  <c:v>37.018000000000001</c:v>
                </c:pt>
                <c:pt idx="19">
                  <c:v>37.420200000000001</c:v>
                </c:pt>
                <c:pt idx="20">
                  <c:v>37.826799999999999</c:v>
                </c:pt>
                <c:pt idx="21">
                  <c:v>38.234000000000002</c:v>
                </c:pt>
                <c:pt idx="22">
                  <c:v>38.642600000000002</c:v>
                </c:pt>
                <c:pt idx="23">
                  <c:v>39.047600000000003</c:v>
                </c:pt>
                <c:pt idx="24">
                  <c:v>39.455599999999997</c:v>
                </c:pt>
                <c:pt idx="25">
                  <c:v>39.857300000000002</c:v>
                </c:pt>
                <c:pt idx="26">
                  <c:v>40.263199999999998</c:v>
                </c:pt>
                <c:pt idx="27">
                  <c:v>40.668199999999999</c:v>
                </c:pt>
                <c:pt idx="28">
                  <c:v>41.075099999999999</c:v>
                </c:pt>
                <c:pt idx="29">
                  <c:v>41.482199999999999</c:v>
                </c:pt>
                <c:pt idx="30">
                  <c:v>41.890999999999998</c:v>
                </c:pt>
                <c:pt idx="31">
                  <c:v>42.294800000000002</c:v>
                </c:pt>
                <c:pt idx="32">
                  <c:v>42.7029</c:v>
                </c:pt>
                <c:pt idx="33">
                  <c:v>43.109699999999997</c:v>
                </c:pt>
                <c:pt idx="34">
                  <c:v>43.5167</c:v>
                </c:pt>
                <c:pt idx="35">
                  <c:v>43.921500000000002</c:v>
                </c:pt>
                <c:pt idx="36">
                  <c:v>44.326500000000003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45.5471</c:v>
                </c:pt>
                <c:pt idx="40">
                  <c:v>45.953400000000002</c:v>
                </c:pt>
                <c:pt idx="41">
                  <c:v>46.3581</c:v>
                </c:pt>
                <c:pt idx="42">
                  <c:v>46.765000000000001</c:v>
                </c:pt>
                <c:pt idx="43">
                  <c:v>47.170900000000003</c:v>
                </c:pt>
                <c:pt idx="44">
                  <c:v>47.573799999999999</c:v>
                </c:pt>
                <c:pt idx="45">
                  <c:v>47.985700000000001</c:v>
                </c:pt>
                <c:pt idx="46">
                  <c:v>48.390599999999999</c:v>
                </c:pt>
                <c:pt idx="47">
                  <c:v>48.796500000000002</c:v>
                </c:pt>
                <c:pt idx="48">
                  <c:v>49.2014</c:v>
                </c:pt>
                <c:pt idx="49">
                  <c:v>49.606400000000001</c:v>
                </c:pt>
                <c:pt idx="50">
                  <c:v>50.013199999999998</c:v>
                </c:pt>
                <c:pt idx="51">
                  <c:v>50.423200000000001</c:v>
                </c:pt>
                <c:pt idx="52">
                  <c:v>50.829099999999997</c:v>
                </c:pt>
                <c:pt idx="53">
                  <c:v>51.234000000000002</c:v>
                </c:pt>
                <c:pt idx="54">
                  <c:v>51.6402</c:v>
                </c:pt>
                <c:pt idx="55">
                  <c:v>52.0488</c:v>
                </c:pt>
                <c:pt idx="56">
                  <c:v>52.4497</c:v>
                </c:pt>
                <c:pt idx="57">
                  <c:v>52.8596</c:v>
                </c:pt>
                <c:pt idx="58">
                  <c:v>53.265999999999998</c:v>
                </c:pt>
                <c:pt idx="59">
                  <c:v>53.6706</c:v>
                </c:pt>
                <c:pt idx="60">
                  <c:v>54.079300000000003</c:v>
                </c:pt>
                <c:pt idx="61">
                  <c:v>54.482399999999998</c:v>
                </c:pt>
                <c:pt idx="62">
                  <c:v>54.8874</c:v>
                </c:pt>
                <c:pt idx="63">
                  <c:v>55.298099999999998</c:v>
                </c:pt>
                <c:pt idx="64">
                  <c:v>55.702199999999998</c:v>
                </c:pt>
                <c:pt idx="65">
                  <c:v>56.109000000000002</c:v>
                </c:pt>
                <c:pt idx="66">
                  <c:v>56.514800000000001</c:v>
                </c:pt>
                <c:pt idx="67">
                  <c:v>56.923699999999997</c:v>
                </c:pt>
                <c:pt idx="68">
                  <c:v>57.3277</c:v>
                </c:pt>
                <c:pt idx="69">
                  <c:v>57.7316</c:v>
                </c:pt>
                <c:pt idx="70">
                  <c:v>58.137599999999999</c:v>
                </c:pt>
                <c:pt idx="71">
                  <c:v>58.552500000000002</c:v>
                </c:pt>
                <c:pt idx="72">
                  <c:v>58.955399999999997</c:v>
                </c:pt>
                <c:pt idx="73">
                  <c:v>59.359299999999998</c:v>
                </c:pt>
                <c:pt idx="74">
                  <c:v>59.764200000000002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2.37717</c:v>
                </c:pt>
                <c:pt idx="1">
                  <c:v>2.36435</c:v>
                </c:pt>
                <c:pt idx="2">
                  <c:v>2.3553699999999997</c:v>
                </c:pt>
                <c:pt idx="3">
                  <c:v>2.34938</c:v>
                </c:pt>
                <c:pt idx="4">
                  <c:v>2.34402</c:v>
                </c:pt>
                <c:pt idx="5">
                  <c:v>2.3398099999999999</c:v>
                </c:pt>
                <c:pt idx="6">
                  <c:v>2.3359999999999999</c:v>
                </c:pt>
                <c:pt idx="7">
                  <c:v>2.33039</c:v>
                </c:pt>
                <c:pt idx="8">
                  <c:v>2.32497</c:v>
                </c:pt>
                <c:pt idx="9">
                  <c:v>2.3180899999999998</c:v>
                </c:pt>
                <c:pt idx="10">
                  <c:v>2.3117399999999999</c:v>
                </c:pt>
                <c:pt idx="11">
                  <c:v>2.3066999999999998</c:v>
                </c:pt>
                <c:pt idx="12">
                  <c:v>2.3025899999999999</c:v>
                </c:pt>
                <c:pt idx="13">
                  <c:v>2.2995199999999998</c:v>
                </c:pt>
                <c:pt idx="14">
                  <c:v>2.29894</c:v>
                </c:pt>
                <c:pt idx="15">
                  <c:v>2.2986200000000001</c:v>
                </c:pt>
                <c:pt idx="16">
                  <c:v>2.2959399999999999</c:v>
                </c:pt>
                <c:pt idx="17">
                  <c:v>2.2932100000000002</c:v>
                </c:pt>
                <c:pt idx="18">
                  <c:v>2.2925400000000002</c:v>
                </c:pt>
                <c:pt idx="19">
                  <c:v>2.2933700000000004</c:v>
                </c:pt>
                <c:pt idx="20">
                  <c:v>2.2929599999999999</c:v>
                </c:pt>
                <c:pt idx="21">
                  <c:v>2.28851</c:v>
                </c:pt>
                <c:pt idx="22">
                  <c:v>2.28172</c:v>
                </c:pt>
                <c:pt idx="23">
                  <c:v>2.2711000000000001</c:v>
                </c:pt>
                <c:pt idx="24">
                  <c:v>2.2600700000000002</c:v>
                </c:pt>
                <c:pt idx="25">
                  <c:v>2.2505000000000002</c:v>
                </c:pt>
                <c:pt idx="26">
                  <c:v>2.2400000000000002</c:v>
                </c:pt>
                <c:pt idx="27">
                  <c:v>2.22777</c:v>
                </c:pt>
                <c:pt idx="28">
                  <c:v>2.2170799999999997</c:v>
                </c:pt>
                <c:pt idx="29">
                  <c:v>2.2087000000000003</c:v>
                </c:pt>
                <c:pt idx="30">
                  <c:v>2.19869</c:v>
                </c:pt>
                <c:pt idx="31">
                  <c:v>2.1854</c:v>
                </c:pt>
                <c:pt idx="32">
                  <c:v>2.1740699999999999</c:v>
                </c:pt>
                <c:pt idx="33">
                  <c:v>2.1635399999999998</c:v>
                </c:pt>
                <c:pt idx="34">
                  <c:v>2.1550199999999999</c:v>
                </c:pt>
                <c:pt idx="35">
                  <c:v>2.1463199999999998</c:v>
                </c:pt>
                <c:pt idx="36">
                  <c:v>2.1364900000000002</c:v>
                </c:pt>
                <c:pt idx="37">
                  <c:v>2.1245799999999999</c:v>
                </c:pt>
                <c:pt idx="38">
                  <c:v>2.1109200000000001</c:v>
                </c:pt>
                <c:pt idx="39">
                  <c:v>2.0927599999999997</c:v>
                </c:pt>
                <c:pt idx="40">
                  <c:v>2.0740799999999999</c:v>
                </c:pt>
                <c:pt idx="41">
                  <c:v>2.0563199999999999</c:v>
                </c:pt>
                <c:pt idx="42">
                  <c:v>2.0410699999999999</c:v>
                </c:pt>
                <c:pt idx="43">
                  <c:v>2.02596</c:v>
                </c:pt>
                <c:pt idx="44">
                  <c:v>2.0121899999999999</c:v>
                </c:pt>
                <c:pt idx="45">
                  <c:v>1.9986200000000001</c:v>
                </c:pt>
                <c:pt idx="46">
                  <c:v>1.9892699999999999</c:v>
                </c:pt>
                <c:pt idx="47">
                  <c:v>1.9826600000000001</c:v>
                </c:pt>
                <c:pt idx="48">
                  <c:v>1.9808700000000001</c:v>
                </c:pt>
                <c:pt idx="49">
                  <c:v>1.9830700000000001</c:v>
                </c:pt>
                <c:pt idx="50">
                  <c:v>1.98759</c:v>
                </c:pt>
                <c:pt idx="51">
                  <c:v>1.98638</c:v>
                </c:pt>
                <c:pt idx="52">
                  <c:v>1.9858600000000002</c:v>
                </c:pt>
                <c:pt idx="53">
                  <c:v>1.98688</c:v>
                </c:pt>
                <c:pt idx="54">
                  <c:v>1.98671</c:v>
                </c:pt>
                <c:pt idx="55">
                  <c:v>1.9889999999999999</c:v>
                </c:pt>
                <c:pt idx="56">
                  <c:v>1.99441</c:v>
                </c:pt>
                <c:pt idx="57">
                  <c:v>1.99929</c:v>
                </c:pt>
                <c:pt idx="58">
                  <c:v>2.004</c:v>
                </c:pt>
                <c:pt idx="59">
                  <c:v>2.0102099999999998</c:v>
                </c:pt>
                <c:pt idx="60">
                  <c:v>2.0163800000000003</c:v>
                </c:pt>
                <c:pt idx="61">
                  <c:v>2.0218400000000001</c:v>
                </c:pt>
                <c:pt idx="62">
                  <c:v>2.0271400000000002</c:v>
                </c:pt>
                <c:pt idx="63">
                  <c:v>2.03234</c:v>
                </c:pt>
                <c:pt idx="64">
                  <c:v>2.04013</c:v>
                </c:pt>
                <c:pt idx="65">
                  <c:v>2.0492699999999999</c:v>
                </c:pt>
                <c:pt idx="66">
                  <c:v>2.0609199999999999</c:v>
                </c:pt>
                <c:pt idx="67">
                  <c:v>2.0720100000000001</c:v>
                </c:pt>
                <c:pt idx="68">
                  <c:v>2.0851299999999999</c:v>
                </c:pt>
                <c:pt idx="69">
                  <c:v>2.0976600000000003</c:v>
                </c:pt>
                <c:pt idx="70">
                  <c:v>2.1149999999999998</c:v>
                </c:pt>
                <c:pt idx="71">
                  <c:v>2.12371</c:v>
                </c:pt>
                <c:pt idx="72">
                  <c:v>2.1319699999999999</c:v>
                </c:pt>
                <c:pt idx="73">
                  <c:v>2.14039</c:v>
                </c:pt>
                <c:pt idx="74">
                  <c:v>2.1454300000000002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14.941050000000001</c:v>
                </c:pt>
                <c:pt idx="1">
                  <c:v>44.823149999999998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2.5818674324324324</c:v>
                </c:pt>
                <c:pt idx="1">
                  <c:v>2.1529122972972967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  <c:pt idx="74">
                  <c:v>30.064699999999998</c:v>
                </c:pt>
                <c:pt idx="75">
                  <c:v>30.528300000000002</c:v>
                </c:pt>
                <c:pt idx="76">
                  <c:v>30.936599999999999</c:v>
                </c:pt>
                <c:pt idx="77">
                  <c:v>31.328099999999999</c:v>
                </c:pt>
                <c:pt idx="78">
                  <c:v>31.7331</c:v>
                </c:pt>
                <c:pt idx="79">
                  <c:v>32.1402</c:v>
                </c:pt>
                <c:pt idx="80">
                  <c:v>32.546999999999997</c:v>
                </c:pt>
                <c:pt idx="81">
                  <c:v>32.953899999999997</c:v>
                </c:pt>
                <c:pt idx="82">
                  <c:v>33.356699999999996</c:v>
                </c:pt>
                <c:pt idx="83">
                  <c:v>33.764600000000002</c:v>
                </c:pt>
                <c:pt idx="84">
                  <c:v>34.171300000000002</c:v>
                </c:pt>
                <c:pt idx="85">
                  <c:v>34.575499999999998</c:v>
                </c:pt>
                <c:pt idx="86">
                  <c:v>34.986699999999999</c:v>
                </c:pt>
                <c:pt idx="87">
                  <c:v>35.3904</c:v>
                </c:pt>
                <c:pt idx="88">
                  <c:v>35.795200000000001</c:v>
                </c:pt>
                <c:pt idx="89">
                  <c:v>36.203699999999998</c:v>
                </c:pt>
                <c:pt idx="90">
                  <c:v>36.607999999999997</c:v>
                </c:pt>
                <c:pt idx="91">
                  <c:v>37.018000000000001</c:v>
                </c:pt>
                <c:pt idx="92">
                  <c:v>37.420200000000001</c:v>
                </c:pt>
                <c:pt idx="93">
                  <c:v>37.826799999999999</c:v>
                </c:pt>
                <c:pt idx="94">
                  <c:v>38.234000000000002</c:v>
                </c:pt>
                <c:pt idx="95">
                  <c:v>38.642600000000002</c:v>
                </c:pt>
                <c:pt idx="96">
                  <c:v>39.047600000000003</c:v>
                </c:pt>
                <c:pt idx="97">
                  <c:v>39.455599999999997</c:v>
                </c:pt>
                <c:pt idx="98">
                  <c:v>39.857300000000002</c:v>
                </c:pt>
                <c:pt idx="99">
                  <c:v>40.263199999999998</c:v>
                </c:pt>
                <c:pt idx="100">
                  <c:v>40.668199999999999</c:v>
                </c:pt>
                <c:pt idx="101">
                  <c:v>41.075099999999999</c:v>
                </c:pt>
                <c:pt idx="102">
                  <c:v>41.482199999999999</c:v>
                </c:pt>
                <c:pt idx="103">
                  <c:v>41.890999999999998</c:v>
                </c:pt>
                <c:pt idx="104">
                  <c:v>42.294800000000002</c:v>
                </c:pt>
                <c:pt idx="105">
                  <c:v>42.7029</c:v>
                </c:pt>
                <c:pt idx="106">
                  <c:v>43.109699999999997</c:v>
                </c:pt>
                <c:pt idx="107">
                  <c:v>43.5167</c:v>
                </c:pt>
                <c:pt idx="108">
                  <c:v>43.921500000000002</c:v>
                </c:pt>
                <c:pt idx="109">
                  <c:v>44.326500000000003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45.5471</c:v>
                </c:pt>
                <c:pt idx="113">
                  <c:v>45.953400000000002</c:v>
                </c:pt>
                <c:pt idx="114">
                  <c:v>46.3581</c:v>
                </c:pt>
                <c:pt idx="115">
                  <c:v>46.765000000000001</c:v>
                </c:pt>
                <c:pt idx="116">
                  <c:v>47.170900000000003</c:v>
                </c:pt>
                <c:pt idx="117">
                  <c:v>47.573799999999999</c:v>
                </c:pt>
                <c:pt idx="118">
                  <c:v>47.985700000000001</c:v>
                </c:pt>
                <c:pt idx="119">
                  <c:v>48.390599999999999</c:v>
                </c:pt>
                <c:pt idx="120">
                  <c:v>48.796500000000002</c:v>
                </c:pt>
                <c:pt idx="121">
                  <c:v>49.2014</c:v>
                </c:pt>
                <c:pt idx="122">
                  <c:v>49.606400000000001</c:v>
                </c:pt>
                <c:pt idx="123">
                  <c:v>50.013199999999998</c:v>
                </c:pt>
                <c:pt idx="124">
                  <c:v>50.423200000000001</c:v>
                </c:pt>
                <c:pt idx="125">
                  <c:v>50.829099999999997</c:v>
                </c:pt>
                <c:pt idx="126">
                  <c:v>51.234000000000002</c:v>
                </c:pt>
                <c:pt idx="127">
                  <c:v>51.6402</c:v>
                </c:pt>
                <c:pt idx="128">
                  <c:v>52.0488</c:v>
                </c:pt>
                <c:pt idx="129">
                  <c:v>52.4497</c:v>
                </c:pt>
                <c:pt idx="130">
                  <c:v>52.8596</c:v>
                </c:pt>
                <c:pt idx="131">
                  <c:v>53.265999999999998</c:v>
                </c:pt>
                <c:pt idx="132">
                  <c:v>53.6706</c:v>
                </c:pt>
                <c:pt idx="133">
                  <c:v>54.079300000000003</c:v>
                </c:pt>
                <c:pt idx="134">
                  <c:v>54.482399999999998</c:v>
                </c:pt>
                <c:pt idx="135">
                  <c:v>54.8874</c:v>
                </c:pt>
                <c:pt idx="136">
                  <c:v>55.298099999999998</c:v>
                </c:pt>
                <c:pt idx="137">
                  <c:v>55.702199999999998</c:v>
                </c:pt>
                <c:pt idx="138">
                  <c:v>56.109000000000002</c:v>
                </c:pt>
                <c:pt idx="139">
                  <c:v>56.514800000000001</c:v>
                </c:pt>
                <c:pt idx="140">
                  <c:v>56.923699999999997</c:v>
                </c:pt>
                <c:pt idx="141">
                  <c:v>57.3277</c:v>
                </c:pt>
                <c:pt idx="142">
                  <c:v>57.7316</c:v>
                </c:pt>
                <c:pt idx="143">
                  <c:v>58.137599999999999</c:v>
                </c:pt>
                <c:pt idx="144">
                  <c:v>58.552500000000002</c:v>
                </c:pt>
                <c:pt idx="145">
                  <c:v>58.955399999999997</c:v>
                </c:pt>
                <c:pt idx="146">
                  <c:v>59.359299999999998</c:v>
                </c:pt>
                <c:pt idx="147">
                  <c:v>59.764200000000002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  <c:pt idx="74">
                  <c:v>49.415999999999997</c:v>
                </c:pt>
                <c:pt idx="75">
                  <c:v>49.473199999999999</c:v>
                </c:pt>
                <c:pt idx="76">
                  <c:v>49.474299999999999</c:v>
                </c:pt>
                <c:pt idx="77">
                  <c:v>49.435200000000002</c:v>
                </c:pt>
                <c:pt idx="78">
                  <c:v>49.385400000000004</c:v>
                </c:pt>
                <c:pt idx="79">
                  <c:v>49.317100000000003</c:v>
                </c:pt>
                <c:pt idx="80">
                  <c:v>49.229500000000002</c:v>
                </c:pt>
                <c:pt idx="81">
                  <c:v>49.133700000000005</c:v>
                </c:pt>
                <c:pt idx="82">
                  <c:v>49.060500000000005</c:v>
                </c:pt>
                <c:pt idx="83">
                  <c:v>49.013199999999998</c:v>
                </c:pt>
                <c:pt idx="84">
                  <c:v>48.989600000000003</c:v>
                </c:pt>
                <c:pt idx="85">
                  <c:v>49.006799999999998</c:v>
                </c:pt>
                <c:pt idx="86">
                  <c:v>49.033900000000003</c:v>
                </c:pt>
                <c:pt idx="87">
                  <c:v>49.076500000000003</c:v>
                </c:pt>
                <c:pt idx="88">
                  <c:v>49.168199999999999</c:v>
                </c:pt>
                <c:pt idx="89">
                  <c:v>49.318600000000004</c:v>
                </c:pt>
                <c:pt idx="90">
                  <c:v>49.459199999999996</c:v>
                </c:pt>
                <c:pt idx="91">
                  <c:v>49.553899999999999</c:v>
                </c:pt>
                <c:pt idx="92">
                  <c:v>49.599299999999999</c:v>
                </c:pt>
                <c:pt idx="93">
                  <c:v>49.693300000000001</c:v>
                </c:pt>
                <c:pt idx="94">
                  <c:v>49.876799999999996</c:v>
                </c:pt>
                <c:pt idx="95">
                  <c:v>50.064799999999998</c:v>
                </c:pt>
                <c:pt idx="96">
                  <c:v>50.260599999999997</c:v>
                </c:pt>
                <c:pt idx="97">
                  <c:v>50.457700000000003</c:v>
                </c:pt>
                <c:pt idx="98">
                  <c:v>50.621000000000002</c:v>
                </c:pt>
                <c:pt idx="99">
                  <c:v>50.805999999999997</c:v>
                </c:pt>
                <c:pt idx="100">
                  <c:v>51.060300000000005</c:v>
                </c:pt>
                <c:pt idx="101">
                  <c:v>51.202099999999994</c:v>
                </c:pt>
                <c:pt idx="102">
                  <c:v>51.313299999999998</c:v>
                </c:pt>
                <c:pt idx="103">
                  <c:v>51.405699999999996</c:v>
                </c:pt>
                <c:pt idx="104">
                  <c:v>51.5456</c:v>
                </c:pt>
                <c:pt idx="105">
                  <c:v>51.7151</c:v>
                </c:pt>
                <c:pt idx="106">
                  <c:v>51.909300000000002</c:v>
                </c:pt>
                <c:pt idx="107">
                  <c:v>52.030100000000004</c:v>
                </c:pt>
                <c:pt idx="108">
                  <c:v>52.177599999999998</c:v>
                </c:pt>
                <c:pt idx="109">
                  <c:v>52.386699999999998</c:v>
                </c:pt>
                <c:pt idx="110">
                  <c:v>52.634899999999995</c:v>
                </c:pt>
                <c:pt idx="111">
                  <c:v>52.937800000000003</c:v>
                </c:pt>
                <c:pt idx="112">
                  <c:v>53.341999999999999</c:v>
                </c:pt>
                <c:pt idx="113">
                  <c:v>53.776599999999995</c:v>
                </c:pt>
                <c:pt idx="114">
                  <c:v>54.207799999999992</c:v>
                </c:pt>
                <c:pt idx="115">
                  <c:v>54.602499999999999</c:v>
                </c:pt>
                <c:pt idx="116">
                  <c:v>55.037899999999993</c:v>
                </c:pt>
                <c:pt idx="117">
                  <c:v>55.483800000000002</c:v>
                </c:pt>
                <c:pt idx="118">
                  <c:v>55.9373</c:v>
                </c:pt>
                <c:pt idx="119">
                  <c:v>56.3078</c:v>
                </c:pt>
                <c:pt idx="120">
                  <c:v>56.595500000000001</c:v>
                </c:pt>
                <c:pt idx="121">
                  <c:v>56.748200000000004</c:v>
                </c:pt>
                <c:pt idx="122">
                  <c:v>56.781999999999996</c:v>
                </c:pt>
                <c:pt idx="123">
                  <c:v>56.792099999999998</c:v>
                </c:pt>
                <c:pt idx="124">
                  <c:v>56.797200000000004</c:v>
                </c:pt>
                <c:pt idx="125">
                  <c:v>56.758800000000001</c:v>
                </c:pt>
                <c:pt idx="126">
                  <c:v>56.825000000000003</c:v>
                </c:pt>
                <c:pt idx="127">
                  <c:v>56.989699999999999</c:v>
                </c:pt>
                <c:pt idx="128">
                  <c:v>57.154400000000003</c:v>
                </c:pt>
                <c:pt idx="129">
                  <c:v>57.268300000000004</c:v>
                </c:pt>
                <c:pt idx="130">
                  <c:v>57.398200000000003</c:v>
                </c:pt>
                <c:pt idx="131">
                  <c:v>57.530499999999996</c:v>
                </c:pt>
                <c:pt idx="132">
                  <c:v>57.665700000000001</c:v>
                </c:pt>
                <c:pt idx="133">
                  <c:v>57.783999999999999</c:v>
                </c:pt>
                <c:pt idx="134">
                  <c:v>57.853600000000007</c:v>
                </c:pt>
                <c:pt idx="135">
                  <c:v>57.911999999999999</c:v>
                </c:pt>
                <c:pt idx="136">
                  <c:v>57.943399999999997</c:v>
                </c:pt>
                <c:pt idx="137">
                  <c:v>57.908899999999996</c:v>
                </c:pt>
                <c:pt idx="138">
                  <c:v>57.845999999999997</c:v>
                </c:pt>
                <c:pt idx="139">
                  <c:v>57.744599999999998</c:v>
                </c:pt>
                <c:pt idx="140">
                  <c:v>57.651399999999995</c:v>
                </c:pt>
                <c:pt idx="141">
                  <c:v>57.541399999999996</c:v>
                </c:pt>
                <c:pt idx="142">
                  <c:v>57.422700000000006</c:v>
                </c:pt>
                <c:pt idx="143">
                  <c:v>57.180200000000006</c:v>
                </c:pt>
                <c:pt idx="144">
                  <c:v>56.9739</c:v>
                </c:pt>
                <c:pt idx="145">
                  <c:v>56.782400000000003</c:v>
                </c:pt>
                <c:pt idx="146">
                  <c:v>56.565299999999993</c:v>
                </c:pt>
                <c:pt idx="147">
                  <c:v>56.4221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29.656700000000001</c:v>
                </c:pt>
                <c:pt idx="1">
                  <c:v>30.064699999999998</c:v>
                </c:pt>
                <c:pt idx="2">
                  <c:v>30.528300000000002</c:v>
                </c:pt>
                <c:pt idx="3">
                  <c:v>30.936599999999999</c:v>
                </c:pt>
                <c:pt idx="4">
                  <c:v>31.328099999999999</c:v>
                </c:pt>
                <c:pt idx="5">
                  <c:v>31.7331</c:v>
                </c:pt>
                <c:pt idx="6">
                  <c:v>32.1402</c:v>
                </c:pt>
                <c:pt idx="7">
                  <c:v>32.546999999999997</c:v>
                </c:pt>
                <c:pt idx="8">
                  <c:v>32.953899999999997</c:v>
                </c:pt>
                <c:pt idx="9">
                  <c:v>33.356699999999996</c:v>
                </c:pt>
                <c:pt idx="10">
                  <c:v>33.764600000000002</c:v>
                </c:pt>
                <c:pt idx="11">
                  <c:v>34.171300000000002</c:v>
                </c:pt>
                <c:pt idx="12">
                  <c:v>34.575499999999998</c:v>
                </c:pt>
                <c:pt idx="13">
                  <c:v>34.986699999999999</c:v>
                </c:pt>
                <c:pt idx="14">
                  <c:v>35.3904</c:v>
                </c:pt>
                <c:pt idx="15">
                  <c:v>35.795200000000001</c:v>
                </c:pt>
                <c:pt idx="16">
                  <c:v>36.203699999999998</c:v>
                </c:pt>
                <c:pt idx="17">
                  <c:v>36.607999999999997</c:v>
                </c:pt>
                <c:pt idx="18">
                  <c:v>37.018000000000001</c:v>
                </c:pt>
                <c:pt idx="19">
                  <c:v>37.420200000000001</c:v>
                </c:pt>
                <c:pt idx="20">
                  <c:v>37.826799999999999</c:v>
                </c:pt>
                <c:pt idx="21">
                  <c:v>38.234000000000002</c:v>
                </c:pt>
                <c:pt idx="22">
                  <c:v>38.642600000000002</c:v>
                </c:pt>
                <c:pt idx="23">
                  <c:v>39.047600000000003</c:v>
                </c:pt>
                <c:pt idx="24">
                  <c:v>39.455599999999997</c:v>
                </c:pt>
                <c:pt idx="25">
                  <c:v>39.857300000000002</c:v>
                </c:pt>
                <c:pt idx="26">
                  <c:v>40.263199999999998</c:v>
                </c:pt>
                <c:pt idx="27">
                  <c:v>40.668199999999999</c:v>
                </c:pt>
                <c:pt idx="28">
                  <c:v>41.075099999999999</c:v>
                </c:pt>
                <c:pt idx="29">
                  <c:v>41.482199999999999</c:v>
                </c:pt>
                <c:pt idx="30">
                  <c:v>41.890999999999998</c:v>
                </c:pt>
                <c:pt idx="31">
                  <c:v>42.294800000000002</c:v>
                </c:pt>
                <c:pt idx="32">
                  <c:v>42.7029</c:v>
                </c:pt>
                <c:pt idx="33">
                  <c:v>43.109699999999997</c:v>
                </c:pt>
                <c:pt idx="34">
                  <c:v>43.5167</c:v>
                </c:pt>
                <c:pt idx="35">
                  <c:v>43.921500000000002</c:v>
                </c:pt>
                <c:pt idx="36">
                  <c:v>44.326500000000003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45.5471</c:v>
                </c:pt>
                <c:pt idx="40">
                  <c:v>45.953400000000002</c:v>
                </c:pt>
                <c:pt idx="41">
                  <c:v>46.3581</c:v>
                </c:pt>
                <c:pt idx="42">
                  <c:v>46.765000000000001</c:v>
                </c:pt>
                <c:pt idx="43">
                  <c:v>47.170900000000003</c:v>
                </c:pt>
                <c:pt idx="44">
                  <c:v>47.573799999999999</c:v>
                </c:pt>
                <c:pt idx="45">
                  <c:v>47.985700000000001</c:v>
                </c:pt>
                <c:pt idx="46">
                  <c:v>48.390599999999999</c:v>
                </c:pt>
                <c:pt idx="47">
                  <c:v>48.796500000000002</c:v>
                </c:pt>
                <c:pt idx="48">
                  <c:v>49.2014</c:v>
                </c:pt>
                <c:pt idx="49">
                  <c:v>49.606400000000001</c:v>
                </c:pt>
                <c:pt idx="50">
                  <c:v>50.013199999999998</c:v>
                </c:pt>
                <c:pt idx="51">
                  <c:v>50.423200000000001</c:v>
                </c:pt>
                <c:pt idx="52">
                  <c:v>50.829099999999997</c:v>
                </c:pt>
                <c:pt idx="53">
                  <c:v>51.234000000000002</c:v>
                </c:pt>
                <c:pt idx="54">
                  <c:v>51.6402</c:v>
                </c:pt>
                <c:pt idx="55">
                  <c:v>52.0488</c:v>
                </c:pt>
                <c:pt idx="56">
                  <c:v>52.4497</c:v>
                </c:pt>
                <c:pt idx="57">
                  <c:v>52.8596</c:v>
                </c:pt>
                <c:pt idx="58">
                  <c:v>53.265999999999998</c:v>
                </c:pt>
                <c:pt idx="59">
                  <c:v>53.6706</c:v>
                </c:pt>
                <c:pt idx="60">
                  <c:v>54.079300000000003</c:v>
                </c:pt>
                <c:pt idx="61">
                  <c:v>54.482399999999998</c:v>
                </c:pt>
                <c:pt idx="62">
                  <c:v>54.8874</c:v>
                </c:pt>
                <c:pt idx="63">
                  <c:v>55.298099999999998</c:v>
                </c:pt>
                <c:pt idx="64">
                  <c:v>55.702199999999998</c:v>
                </c:pt>
                <c:pt idx="65">
                  <c:v>56.109000000000002</c:v>
                </c:pt>
                <c:pt idx="66">
                  <c:v>56.514800000000001</c:v>
                </c:pt>
                <c:pt idx="67">
                  <c:v>56.923699999999997</c:v>
                </c:pt>
                <c:pt idx="68">
                  <c:v>57.3277</c:v>
                </c:pt>
                <c:pt idx="69">
                  <c:v>57.7316</c:v>
                </c:pt>
                <c:pt idx="70">
                  <c:v>58.137599999999999</c:v>
                </c:pt>
                <c:pt idx="71">
                  <c:v>58.552500000000002</c:v>
                </c:pt>
                <c:pt idx="72">
                  <c:v>58.955399999999997</c:v>
                </c:pt>
                <c:pt idx="73">
                  <c:v>59.359299999999998</c:v>
                </c:pt>
                <c:pt idx="74">
                  <c:v>59.764200000000002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49.313800000000001</c:v>
                </c:pt>
                <c:pt idx="1">
                  <c:v>49.415999999999997</c:v>
                </c:pt>
                <c:pt idx="2">
                  <c:v>49.473199999999999</c:v>
                </c:pt>
                <c:pt idx="3">
                  <c:v>49.474299999999999</c:v>
                </c:pt>
                <c:pt idx="4">
                  <c:v>49.435200000000002</c:v>
                </c:pt>
                <c:pt idx="5">
                  <c:v>49.385400000000004</c:v>
                </c:pt>
                <c:pt idx="6">
                  <c:v>49.317100000000003</c:v>
                </c:pt>
                <c:pt idx="7">
                  <c:v>49.229500000000002</c:v>
                </c:pt>
                <c:pt idx="8">
                  <c:v>49.133700000000005</c:v>
                </c:pt>
                <c:pt idx="9">
                  <c:v>49.060500000000005</c:v>
                </c:pt>
                <c:pt idx="10">
                  <c:v>49.013199999999998</c:v>
                </c:pt>
                <c:pt idx="11">
                  <c:v>48.989600000000003</c:v>
                </c:pt>
                <c:pt idx="12">
                  <c:v>49.006799999999998</c:v>
                </c:pt>
                <c:pt idx="13">
                  <c:v>49.033900000000003</c:v>
                </c:pt>
                <c:pt idx="14">
                  <c:v>49.076500000000003</c:v>
                </c:pt>
                <c:pt idx="15">
                  <c:v>49.168199999999999</c:v>
                </c:pt>
                <c:pt idx="16">
                  <c:v>49.318600000000004</c:v>
                </c:pt>
                <c:pt idx="17">
                  <c:v>49.459199999999996</c:v>
                </c:pt>
                <c:pt idx="18">
                  <c:v>49.553899999999999</c:v>
                </c:pt>
                <c:pt idx="19">
                  <c:v>49.599299999999999</c:v>
                </c:pt>
                <c:pt idx="20">
                  <c:v>49.693300000000001</c:v>
                </c:pt>
                <c:pt idx="21">
                  <c:v>49.876799999999996</c:v>
                </c:pt>
                <c:pt idx="22">
                  <c:v>50.064799999999998</c:v>
                </c:pt>
                <c:pt idx="23">
                  <c:v>50.260599999999997</c:v>
                </c:pt>
                <c:pt idx="24">
                  <c:v>50.457700000000003</c:v>
                </c:pt>
                <c:pt idx="25">
                  <c:v>50.621000000000002</c:v>
                </c:pt>
                <c:pt idx="26">
                  <c:v>50.805999999999997</c:v>
                </c:pt>
                <c:pt idx="27">
                  <c:v>51.060300000000005</c:v>
                </c:pt>
                <c:pt idx="28">
                  <c:v>51.202099999999994</c:v>
                </c:pt>
                <c:pt idx="29">
                  <c:v>51.313299999999998</c:v>
                </c:pt>
                <c:pt idx="30">
                  <c:v>51.405699999999996</c:v>
                </c:pt>
                <c:pt idx="31">
                  <c:v>51.5456</c:v>
                </c:pt>
                <c:pt idx="32">
                  <c:v>51.7151</c:v>
                </c:pt>
                <c:pt idx="33">
                  <c:v>51.909300000000002</c:v>
                </c:pt>
                <c:pt idx="34">
                  <c:v>52.030100000000004</c:v>
                </c:pt>
                <c:pt idx="35">
                  <c:v>52.177599999999998</c:v>
                </c:pt>
                <c:pt idx="36">
                  <c:v>52.386699999999998</c:v>
                </c:pt>
                <c:pt idx="37">
                  <c:v>52.634899999999995</c:v>
                </c:pt>
                <c:pt idx="38">
                  <c:v>52.937800000000003</c:v>
                </c:pt>
                <c:pt idx="39">
                  <c:v>53.341999999999999</c:v>
                </c:pt>
                <c:pt idx="40">
                  <c:v>53.776599999999995</c:v>
                </c:pt>
                <c:pt idx="41">
                  <c:v>54.207799999999992</c:v>
                </c:pt>
                <c:pt idx="42">
                  <c:v>54.602499999999999</c:v>
                </c:pt>
                <c:pt idx="43">
                  <c:v>55.037899999999993</c:v>
                </c:pt>
                <c:pt idx="44">
                  <c:v>55.483800000000002</c:v>
                </c:pt>
                <c:pt idx="45">
                  <c:v>55.9373</c:v>
                </c:pt>
                <c:pt idx="46">
                  <c:v>56.3078</c:v>
                </c:pt>
                <c:pt idx="47">
                  <c:v>56.595500000000001</c:v>
                </c:pt>
                <c:pt idx="48">
                  <c:v>56.748200000000004</c:v>
                </c:pt>
                <c:pt idx="49">
                  <c:v>56.781999999999996</c:v>
                </c:pt>
                <c:pt idx="50">
                  <c:v>56.792099999999998</c:v>
                </c:pt>
                <c:pt idx="51">
                  <c:v>56.797200000000004</c:v>
                </c:pt>
                <c:pt idx="52">
                  <c:v>56.758800000000001</c:v>
                </c:pt>
                <c:pt idx="53">
                  <c:v>56.825000000000003</c:v>
                </c:pt>
                <c:pt idx="54">
                  <c:v>56.989699999999999</c:v>
                </c:pt>
                <c:pt idx="55">
                  <c:v>57.154400000000003</c:v>
                </c:pt>
                <c:pt idx="56">
                  <c:v>57.268300000000004</c:v>
                </c:pt>
                <c:pt idx="57">
                  <c:v>57.398200000000003</c:v>
                </c:pt>
                <c:pt idx="58">
                  <c:v>57.530499999999996</c:v>
                </c:pt>
                <c:pt idx="59">
                  <c:v>57.665700000000001</c:v>
                </c:pt>
                <c:pt idx="60">
                  <c:v>57.783999999999999</c:v>
                </c:pt>
                <c:pt idx="61">
                  <c:v>57.853600000000007</c:v>
                </c:pt>
                <c:pt idx="62">
                  <c:v>57.911999999999999</c:v>
                </c:pt>
                <c:pt idx="63">
                  <c:v>57.943399999999997</c:v>
                </c:pt>
                <c:pt idx="64">
                  <c:v>57.908899999999996</c:v>
                </c:pt>
                <c:pt idx="65">
                  <c:v>57.845999999999997</c:v>
                </c:pt>
                <c:pt idx="66">
                  <c:v>57.744599999999998</c:v>
                </c:pt>
                <c:pt idx="67">
                  <c:v>57.651399999999995</c:v>
                </c:pt>
                <c:pt idx="68">
                  <c:v>57.541399999999996</c:v>
                </c:pt>
                <c:pt idx="69">
                  <c:v>57.422700000000006</c:v>
                </c:pt>
                <c:pt idx="70">
                  <c:v>57.180200000000006</c:v>
                </c:pt>
                <c:pt idx="71">
                  <c:v>56.9739</c:v>
                </c:pt>
                <c:pt idx="72">
                  <c:v>56.782400000000003</c:v>
                </c:pt>
                <c:pt idx="73">
                  <c:v>56.565299999999993</c:v>
                </c:pt>
                <c:pt idx="74">
                  <c:v>56.4221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14.941050000000001</c:v>
                </c:pt>
                <c:pt idx="1">
                  <c:v>44.823149999999998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47.977428378378384</c:v>
                </c:pt>
                <c:pt idx="1">
                  <c:v>53.402378378378401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34.768500000000003</c:v>
                </c:pt>
                <c:pt idx="1">
                  <c:v>28.184200000000001</c:v>
                </c:pt>
                <c:pt idx="2">
                  <c:v>27.4072</c:v>
                </c:pt>
                <c:pt idx="3">
                  <c:v>30.224799999999998</c:v>
                </c:pt>
                <c:pt idx="4">
                  <c:v>71.353700000000003</c:v>
                </c:pt>
                <c:pt idx="5">
                  <c:v>82.247900000000001</c:v>
                </c:pt>
                <c:pt idx="6">
                  <c:v>15.853999999999999</c:v>
                </c:pt>
                <c:pt idx="7">
                  <c:v>76.707700000000003</c:v>
                </c:pt>
                <c:pt idx="8">
                  <c:v>19.707999999999998</c:v>
                </c:pt>
                <c:pt idx="9">
                  <c:v>25.961099999999998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29.7804</c:v>
                </c:pt>
                <c:pt idx="1">
                  <c:v>30.3247</c:v>
                </c:pt>
                <c:pt idx="2">
                  <c:v>25.930199999999999</c:v>
                </c:pt>
                <c:pt idx="3">
                  <c:v>28.0458</c:v>
                </c:pt>
                <c:pt idx="4">
                  <c:v>72.252300000000005</c:v>
                </c:pt>
                <c:pt idx="5">
                  <c:v>82.008899999999997</c:v>
                </c:pt>
                <c:pt idx="6">
                  <c:v>12.616099999999999</c:v>
                </c:pt>
                <c:pt idx="7">
                  <c:v>75.303399999999996</c:v>
                </c:pt>
                <c:pt idx="8">
                  <c:v>16.0761</c:v>
                </c:pt>
                <c:pt idx="9">
                  <c:v>42.5809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0.53737331532798849</c:v>
                </c:pt>
                <c:pt idx="1">
                  <c:v>0.26323582766736919</c:v>
                </c:pt>
                <c:pt idx="2">
                  <c:v>0.19939085700464237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2139</c:v>
                </c:pt>
                <c:pt idx="7">
                  <c:v>0</c:v>
                </c:pt>
                <c:pt idx="8">
                  <c:v>4893</c:v>
                </c:pt>
                <c:pt idx="9">
                  <c:v>0</c:v>
                </c:pt>
                <c:pt idx="10">
                  <c:v>0</c:v>
                </c:pt>
                <c:pt idx="11">
                  <c:v>6904</c:v>
                </c:pt>
                <c:pt idx="12">
                  <c:v>0</c:v>
                </c:pt>
                <c:pt idx="13">
                  <c:v>13044</c:v>
                </c:pt>
                <c:pt idx="14">
                  <c:v>0</c:v>
                </c:pt>
                <c:pt idx="15">
                  <c:v>0</c:v>
                </c:pt>
                <c:pt idx="16">
                  <c:v>20812</c:v>
                </c:pt>
                <c:pt idx="17">
                  <c:v>0</c:v>
                </c:pt>
                <c:pt idx="18">
                  <c:v>0</c:v>
                </c:pt>
                <c:pt idx="19">
                  <c:v>22443</c:v>
                </c:pt>
                <c:pt idx="20">
                  <c:v>0</c:v>
                </c:pt>
                <c:pt idx="21">
                  <c:v>26111</c:v>
                </c:pt>
                <c:pt idx="22">
                  <c:v>0</c:v>
                </c:pt>
                <c:pt idx="23">
                  <c:v>0</c:v>
                </c:pt>
                <c:pt idx="24">
                  <c:v>30585</c:v>
                </c:pt>
                <c:pt idx="25">
                  <c:v>0</c:v>
                </c:pt>
                <c:pt idx="26">
                  <c:v>36889</c:v>
                </c:pt>
                <c:pt idx="27">
                  <c:v>0</c:v>
                </c:pt>
                <c:pt idx="28">
                  <c:v>0</c:v>
                </c:pt>
                <c:pt idx="29">
                  <c:v>42504</c:v>
                </c:pt>
                <c:pt idx="30">
                  <c:v>0</c:v>
                </c:pt>
                <c:pt idx="31">
                  <c:v>37233</c:v>
                </c:pt>
                <c:pt idx="32">
                  <c:v>0</c:v>
                </c:pt>
                <c:pt idx="33">
                  <c:v>0</c:v>
                </c:pt>
                <c:pt idx="34">
                  <c:v>52770</c:v>
                </c:pt>
                <c:pt idx="35">
                  <c:v>0</c:v>
                </c:pt>
                <c:pt idx="36">
                  <c:v>0</c:v>
                </c:pt>
                <c:pt idx="37">
                  <c:v>53639</c:v>
                </c:pt>
                <c:pt idx="38">
                  <c:v>0</c:v>
                </c:pt>
                <c:pt idx="39">
                  <c:v>51381</c:v>
                </c:pt>
                <c:pt idx="40">
                  <c:v>0</c:v>
                </c:pt>
                <c:pt idx="41">
                  <c:v>0</c:v>
                </c:pt>
                <c:pt idx="42">
                  <c:v>52636</c:v>
                </c:pt>
                <c:pt idx="43">
                  <c:v>0</c:v>
                </c:pt>
                <c:pt idx="44">
                  <c:v>57285</c:v>
                </c:pt>
                <c:pt idx="45">
                  <c:v>0</c:v>
                </c:pt>
                <c:pt idx="46">
                  <c:v>0</c:v>
                </c:pt>
                <c:pt idx="47">
                  <c:v>60045</c:v>
                </c:pt>
                <c:pt idx="48">
                  <c:v>0</c:v>
                </c:pt>
                <c:pt idx="49">
                  <c:v>60553</c:v>
                </c:pt>
                <c:pt idx="50">
                  <c:v>0</c:v>
                </c:pt>
                <c:pt idx="51">
                  <c:v>0</c:v>
                </c:pt>
                <c:pt idx="52">
                  <c:v>54429</c:v>
                </c:pt>
                <c:pt idx="53">
                  <c:v>0</c:v>
                </c:pt>
                <c:pt idx="54">
                  <c:v>0</c:v>
                </c:pt>
                <c:pt idx="55">
                  <c:v>55784</c:v>
                </c:pt>
                <c:pt idx="56">
                  <c:v>0</c:v>
                </c:pt>
                <c:pt idx="57">
                  <c:v>55325</c:v>
                </c:pt>
                <c:pt idx="58">
                  <c:v>0</c:v>
                </c:pt>
                <c:pt idx="59">
                  <c:v>0</c:v>
                </c:pt>
                <c:pt idx="60">
                  <c:v>58957</c:v>
                </c:pt>
                <c:pt idx="61">
                  <c:v>0</c:v>
                </c:pt>
                <c:pt idx="62">
                  <c:v>65310</c:v>
                </c:pt>
                <c:pt idx="63">
                  <c:v>0</c:v>
                </c:pt>
                <c:pt idx="64">
                  <c:v>0</c:v>
                </c:pt>
                <c:pt idx="65">
                  <c:v>66430</c:v>
                </c:pt>
                <c:pt idx="66">
                  <c:v>0</c:v>
                </c:pt>
                <c:pt idx="67">
                  <c:v>65720</c:v>
                </c:pt>
                <c:pt idx="68">
                  <c:v>0</c:v>
                </c:pt>
                <c:pt idx="69">
                  <c:v>0</c:v>
                </c:pt>
                <c:pt idx="70">
                  <c:v>66371</c:v>
                </c:pt>
                <c:pt idx="71">
                  <c:v>0</c:v>
                </c:pt>
                <c:pt idx="72">
                  <c:v>0</c:v>
                </c:pt>
                <c:pt idx="73">
                  <c:v>69373</c:v>
                </c:pt>
                <c:pt idx="74">
                  <c:v>0</c:v>
                </c:pt>
                <c:pt idx="75">
                  <c:v>65026</c:v>
                </c:pt>
                <c:pt idx="76">
                  <c:v>0</c:v>
                </c:pt>
                <c:pt idx="77">
                  <c:v>0</c:v>
                </c:pt>
                <c:pt idx="78">
                  <c:v>61553</c:v>
                </c:pt>
                <c:pt idx="79">
                  <c:v>0</c:v>
                </c:pt>
                <c:pt idx="80">
                  <c:v>59832</c:v>
                </c:pt>
                <c:pt idx="81">
                  <c:v>0</c:v>
                </c:pt>
                <c:pt idx="82">
                  <c:v>0</c:v>
                </c:pt>
                <c:pt idx="83">
                  <c:v>53379</c:v>
                </c:pt>
                <c:pt idx="84">
                  <c:v>0</c:v>
                </c:pt>
                <c:pt idx="85">
                  <c:v>0</c:v>
                </c:pt>
                <c:pt idx="86">
                  <c:v>55427</c:v>
                </c:pt>
                <c:pt idx="87">
                  <c:v>0</c:v>
                </c:pt>
                <c:pt idx="88">
                  <c:v>47220</c:v>
                </c:pt>
                <c:pt idx="89">
                  <c:v>0</c:v>
                </c:pt>
                <c:pt idx="90">
                  <c:v>0</c:v>
                </c:pt>
                <c:pt idx="91">
                  <c:v>40955</c:v>
                </c:pt>
                <c:pt idx="92">
                  <c:v>0</c:v>
                </c:pt>
                <c:pt idx="93">
                  <c:v>35695</c:v>
                </c:pt>
                <c:pt idx="94">
                  <c:v>0</c:v>
                </c:pt>
                <c:pt idx="95">
                  <c:v>0</c:v>
                </c:pt>
                <c:pt idx="96">
                  <c:v>29830</c:v>
                </c:pt>
                <c:pt idx="97">
                  <c:v>0</c:v>
                </c:pt>
                <c:pt idx="98">
                  <c:v>27235</c:v>
                </c:pt>
                <c:pt idx="99">
                  <c:v>0</c:v>
                </c:pt>
                <c:pt idx="100">
                  <c:v>0</c:v>
                </c:pt>
                <c:pt idx="101">
                  <c:v>24248</c:v>
                </c:pt>
                <c:pt idx="102">
                  <c:v>0</c:v>
                </c:pt>
                <c:pt idx="103">
                  <c:v>0</c:v>
                </c:pt>
                <c:pt idx="104">
                  <c:v>20455</c:v>
                </c:pt>
                <c:pt idx="105">
                  <c:v>0</c:v>
                </c:pt>
                <c:pt idx="106">
                  <c:v>18926</c:v>
                </c:pt>
                <c:pt idx="107">
                  <c:v>0</c:v>
                </c:pt>
                <c:pt idx="108">
                  <c:v>0</c:v>
                </c:pt>
                <c:pt idx="109">
                  <c:v>14610</c:v>
                </c:pt>
                <c:pt idx="110">
                  <c:v>0</c:v>
                </c:pt>
                <c:pt idx="111">
                  <c:v>12915</c:v>
                </c:pt>
                <c:pt idx="112">
                  <c:v>0</c:v>
                </c:pt>
                <c:pt idx="113">
                  <c:v>0</c:v>
                </c:pt>
                <c:pt idx="114">
                  <c:v>9556</c:v>
                </c:pt>
                <c:pt idx="115">
                  <c:v>0</c:v>
                </c:pt>
                <c:pt idx="116">
                  <c:v>9925</c:v>
                </c:pt>
                <c:pt idx="117">
                  <c:v>0</c:v>
                </c:pt>
                <c:pt idx="118">
                  <c:v>0</c:v>
                </c:pt>
                <c:pt idx="119">
                  <c:v>9213</c:v>
                </c:pt>
                <c:pt idx="120">
                  <c:v>0</c:v>
                </c:pt>
                <c:pt idx="121">
                  <c:v>0</c:v>
                </c:pt>
                <c:pt idx="122">
                  <c:v>8290</c:v>
                </c:pt>
                <c:pt idx="123">
                  <c:v>0</c:v>
                </c:pt>
                <c:pt idx="124">
                  <c:v>11840</c:v>
                </c:pt>
                <c:pt idx="125">
                  <c:v>0</c:v>
                </c:pt>
                <c:pt idx="126">
                  <c:v>0</c:v>
                </c:pt>
                <c:pt idx="127">
                  <c:v>9621</c:v>
                </c:pt>
                <c:pt idx="128">
                  <c:v>0</c:v>
                </c:pt>
                <c:pt idx="129">
                  <c:v>9165</c:v>
                </c:pt>
                <c:pt idx="130">
                  <c:v>0</c:v>
                </c:pt>
                <c:pt idx="131">
                  <c:v>0</c:v>
                </c:pt>
                <c:pt idx="132">
                  <c:v>7864</c:v>
                </c:pt>
                <c:pt idx="133">
                  <c:v>0</c:v>
                </c:pt>
                <c:pt idx="134">
                  <c:v>5099</c:v>
                </c:pt>
                <c:pt idx="135">
                  <c:v>0</c:v>
                </c:pt>
                <c:pt idx="136">
                  <c:v>0</c:v>
                </c:pt>
                <c:pt idx="137">
                  <c:v>3092</c:v>
                </c:pt>
                <c:pt idx="138">
                  <c:v>0</c:v>
                </c:pt>
                <c:pt idx="139">
                  <c:v>0</c:v>
                </c:pt>
                <c:pt idx="140">
                  <c:v>2827</c:v>
                </c:pt>
                <c:pt idx="141">
                  <c:v>0</c:v>
                </c:pt>
                <c:pt idx="142">
                  <c:v>1437</c:v>
                </c:pt>
                <c:pt idx="143">
                  <c:v>0</c:v>
                </c:pt>
                <c:pt idx="144">
                  <c:v>0</c:v>
                </c:pt>
                <c:pt idx="145">
                  <c:v>988</c:v>
                </c:pt>
                <c:pt idx="146">
                  <c:v>0</c:v>
                </c:pt>
                <c:pt idx="147">
                  <c:v>724</c:v>
                </c:pt>
                <c:pt idx="148">
                  <c:v>0</c:v>
                </c:pt>
                <c:pt idx="149">
                  <c:v>0</c:v>
                </c:pt>
                <c:pt idx="150">
                  <c:v>163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4963</c:v>
                </c:pt>
                <c:pt idx="7">
                  <c:v>0</c:v>
                </c:pt>
                <c:pt idx="8">
                  <c:v>9688</c:v>
                </c:pt>
                <c:pt idx="9">
                  <c:v>0</c:v>
                </c:pt>
                <c:pt idx="10">
                  <c:v>0</c:v>
                </c:pt>
                <c:pt idx="11">
                  <c:v>12703</c:v>
                </c:pt>
                <c:pt idx="12">
                  <c:v>0</c:v>
                </c:pt>
                <c:pt idx="13">
                  <c:v>23109</c:v>
                </c:pt>
                <c:pt idx="14">
                  <c:v>0</c:v>
                </c:pt>
                <c:pt idx="15">
                  <c:v>0</c:v>
                </c:pt>
                <c:pt idx="16">
                  <c:v>27228</c:v>
                </c:pt>
                <c:pt idx="17">
                  <c:v>0</c:v>
                </c:pt>
                <c:pt idx="18">
                  <c:v>0</c:v>
                </c:pt>
                <c:pt idx="19">
                  <c:v>29415</c:v>
                </c:pt>
                <c:pt idx="20">
                  <c:v>0</c:v>
                </c:pt>
                <c:pt idx="21">
                  <c:v>33981</c:v>
                </c:pt>
                <c:pt idx="22">
                  <c:v>0</c:v>
                </c:pt>
                <c:pt idx="23">
                  <c:v>0</c:v>
                </c:pt>
                <c:pt idx="24">
                  <c:v>37826</c:v>
                </c:pt>
                <c:pt idx="25">
                  <c:v>0</c:v>
                </c:pt>
                <c:pt idx="26">
                  <c:v>45877</c:v>
                </c:pt>
                <c:pt idx="27">
                  <c:v>0</c:v>
                </c:pt>
                <c:pt idx="28">
                  <c:v>0</c:v>
                </c:pt>
                <c:pt idx="29">
                  <c:v>54801</c:v>
                </c:pt>
                <c:pt idx="30">
                  <c:v>0</c:v>
                </c:pt>
                <c:pt idx="31">
                  <c:v>53160</c:v>
                </c:pt>
                <c:pt idx="32">
                  <c:v>0</c:v>
                </c:pt>
                <c:pt idx="33">
                  <c:v>0</c:v>
                </c:pt>
                <c:pt idx="34">
                  <c:v>54585</c:v>
                </c:pt>
                <c:pt idx="35">
                  <c:v>0</c:v>
                </c:pt>
                <c:pt idx="36">
                  <c:v>0</c:v>
                </c:pt>
                <c:pt idx="37">
                  <c:v>53758</c:v>
                </c:pt>
                <c:pt idx="38">
                  <c:v>0</c:v>
                </c:pt>
                <c:pt idx="39">
                  <c:v>54695</c:v>
                </c:pt>
                <c:pt idx="40">
                  <c:v>0</c:v>
                </c:pt>
                <c:pt idx="41">
                  <c:v>0</c:v>
                </c:pt>
                <c:pt idx="42">
                  <c:v>55759</c:v>
                </c:pt>
                <c:pt idx="43">
                  <c:v>0</c:v>
                </c:pt>
                <c:pt idx="44">
                  <c:v>66594</c:v>
                </c:pt>
                <c:pt idx="45">
                  <c:v>0</c:v>
                </c:pt>
                <c:pt idx="46">
                  <c:v>0</c:v>
                </c:pt>
                <c:pt idx="47">
                  <c:v>66998</c:v>
                </c:pt>
                <c:pt idx="48">
                  <c:v>0</c:v>
                </c:pt>
                <c:pt idx="49">
                  <c:v>64040</c:v>
                </c:pt>
                <c:pt idx="50">
                  <c:v>0</c:v>
                </c:pt>
                <c:pt idx="51">
                  <c:v>0</c:v>
                </c:pt>
                <c:pt idx="52">
                  <c:v>67048</c:v>
                </c:pt>
                <c:pt idx="53">
                  <c:v>0</c:v>
                </c:pt>
                <c:pt idx="54">
                  <c:v>0</c:v>
                </c:pt>
                <c:pt idx="55">
                  <c:v>70108</c:v>
                </c:pt>
                <c:pt idx="56">
                  <c:v>0</c:v>
                </c:pt>
                <c:pt idx="57">
                  <c:v>69941</c:v>
                </c:pt>
                <c:pt idx="58">
                  <c:v>0</c:v>
                </c:pt>
                <c:pt idx="59">
                  <c:v>0</c:v>
                </c:pt>
                <c:pt idx="60">
                  <c:v>68524</c:v>
                </c:pt>
                <c:pt idx="61">
                  <c:v>0</c:v>
                </c:pt>
                <c:pt idx="62">
                  <c:v>67094</c:v>
                </c:pt>
                <c:pt idx="63">
                  <c:v>0</c:v>
                </c:pt>
                <c:pt idx="64">
                  <c:v>0</c:v>
                </c:pt>
                <c:pt idx="65">
                  <c:v>68647</c:v>
                </c:pt>
                <c:pt idx="66">
                  <c:v>0</c:v>
                </c:pt>
                <c:pt idx="67">
                  <c:v>62090</c:v>
                </c:pt>
                <c:pt idx="68">
                  <c:v>0</c:v>
                </c:pt>
                <c:pt idx="69">
                  <c:v>0</c:v>
                </c:pt>
                <c:pt idx="70">
                  <c:v>59127</c:v>
                </c:pt>
                <c:pt idx="71">
                  <c:v>0</c:v>
                </c:pt>
                <c:pt idx="72">
                  <c:v>0</c:v>
                </c:pt>
                <c:pt idx="73">
                  <c:v>54883</c:v>
                </c:pt>
                <c:pt idx="74">
                  <c:v>0</c:v>
                </c:pt>
                <c:pt idx="75">
                  <c:v>56050</c:v>
                </c:pt>
                <c:pt idx="76">
                  <c:v>0</c:v>
                </c:pt>
                <c:pt idx="77">
                  <c:v>0</c:v>
                </c:pt>
                <c:pt idx="78">
                  <c:v>51071</c:v>
                </c:pt>
                <c:pt idx="79">
                  <c:v>0</c:v>
                </c:pt>
                <c:pt idx="80">
                  <c:v>47491</c:v>
                </c:pt>
                <c:pt idx="81">
                  <c:v>0</c:v>
                </c:pt>
                <c:pt idx="82">
                  <c:v>0</c:v>
                </c:pt>
                <c:pt idx="83">
                  <c:v>39694</c:v>
                </c:pt>
                <c:pt idx="84">
                  <c:v>0</c:v>
                </c:pt>
                <c:pt idx="85">
                  <c:v>0</c:v>
                </c:pt>
                <c:pt idx="86">
                  <c:v>34872</c:v>
                </c:pt>
                <c:pt idx="87">
                  <c:v>0</c:v>
                </c:pt>
                <c:pt idx="88">
                  <c:v>32896</c:v>
                </c:pt>
                <c:pt idx="89">
                  <c:v>0</c:v>
                </c:pt>
                <c:pt idx="90">
                  <c:v>0</c:v>
                </c:pt>
                <c:pt idx="91">
                  <c:v>24347</c:v>
                </c:pt>
                <c:pt idx="92">
                  <c:v>0</c:v>
                </c:pt>
                <c:pt idx="93">
                  <c:v>21944</c:v>
                </c:pt>
                <c:pt idx="94">
                  <c:v>0</c:v>
                </c:pt>
                <c:pt idx="95">
                  <c:v>0</c:v>
                </c:pt>
                <c:pt idx="96">
                  <c:v>17103</c:v>
                </c:pt>
                <c:pt idx="97">
                  <c:v>0</c:v>
                </c:pt>
                <c:pt idx="98">
                  <c:v>14319</c:v>
                </c:pt>
                <c:pt idx="99">
                  <c:v>0</c:v>
                </c:pt>
                <c:pt idx="100">
                  <c:v>0</c:v>
                </c:pt>
                <c:pt idx="101">
                  <c:v>12225</c:v>
                </c:pt>
                <c:pt idx="102">
                  <c:v>0</c:v>
                </c:pt>
                <c:pt idx="103">
                  <c:v>0</c:v>
                </c:pt>
                <c:pt idx="104">
                  <c:v>11362</c:v>
                </c:pt>
                <c:pt idx="105">
                  <c:v>0</c:v>
                </c:pt>
                <c:pt idx="106">
                  <c:v>7701</c:v>
                </c:pt>
                <c:pt idx="107">
                  <c:v>0</c:v>
                </c:pt>
                <c:pt idx="108">
                  <c:v>0</c:v>
                </c:pt>
                <c:pt idx="109">
                  <c:v>6559</c:v>
                </c:pt>
                <c:pt idx="110">
                  <c:v>0</c:v>
                </c:pt>
                <c:pt idx="111">
                  <c:v>7927</c:v>
                </c:pt>
                <c:pt idx="112">
                  <c:v>0</c:v>
                </c:pt>
                <c:pt idx="113">
                  <c:v>0</c:v>
                </c:pt>
                <c:pt idx="114">
                  <c:v>7103</c:v>
                </c:pt>
                <c:pt idx="115">
                  <c:v>0</c:v>
                </c:pt>
                <c:pt idx="116">
                  <c:v>6205</c:v>
                </c:pt>
                <c:pt idx="117">
                  <c:v>0</c:v>
                </c:pt>
                <c:pt idx="118">
                  <c:v>0</c:v>
                </c:pt>
                <c:pt idx="119">
                  <c:v>5567</c:v>
                </c:pt>
                <c:pt idx="120">
                  <c:v>0</c:v>
                </c:pt>
                <c:pt idx="121">
                  <c:v>0</c:v>
                </c:pt>
                <c:pt idx="122">
                  <c:v>4370</c:v>
                </c:pt>
                <c:pt idx="123">
                  <c:v>0</c:v>
                </c:pt>
                <c:pt idx="124">
                  <c:v>3819</c:v>
                </c:pt>
                <c:pt idx="125">
                  <c:v>0</c:v>
                </c:pt>
                <c:pt idx="126">
                  <c:v>0</c:v>
                </c:pt>
                <c:pt idx="127">
                  <c:v>3161</c:v>
                </c:pt>
                <c:pt idx="128">
                  <c:v>0</c:v>
                </c:pt>
                <c:pt idx="129">
                  <c:v>3572</c:v>
                </c:pt>
                <c:pt idx="130">
                  <c:v>0</c:v>
                </c:pt>
                <c:pt idx="131">
                  <c:v>0</c:v>
                </c:pt>
                <c:pt idx="132">
                  <c:v>2004</c:v>
                </c:pt>
                <c:pt idx="133">
                  <c:v>0</c:v>
                </c:pt>
                <c:pt idx="134">
                  <c:v>1792</c:v>
                </c:pt>
                <c:pt idx="135">
                  <c:v>0</c:v>
                </c:pt>
                <c:pt idx="136">
                  <c:v>0</c:v>
                </c:pt>
                <c:pt idx="137">
                  <c:v>932</c:v>
                </c:pt>
                <c:pt idx="138">
                  <c:v>0</c:v>
                </c:pt>
                <c:pt idx="139">
                  <c:v>0</c:v>
                </c:pt>
                <c:pt idx="140">
                  <c:v>406</c:v>
                </c:pt>
                <c:pt idx="141">
                  <c:v>0</c:v>
                </c:pt>
                <c:pt idx="142">
                  <c:v>100</c:v>
                </c:pt>
                <c:pt idx="143">
                  <c:v>0</c:v>
                </c:pt>
                <c:pt idx="144">
                  <c:v>0</c:v>
                </c:pt>
                <c:pt idx="145">
                  <c:v>134</c:v>
                </c:pt>
                <c:pt idx="146">
                  <c:v>0</c:v>
                </c:pt>
                <c:pt idx="147">
                  <c:v>34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0.13761070294737582</c:v>
                </c:pt>
                <c:pt idx="1">
                  <c:v>0.45707277630190857</c:v>
                </c:pt>
                <c:pt idx="2">
                  <c:v>0.40531652075071561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0.51138740619769851</c:v>
                </c:pt>
                <c:pt idx="1">
                  <c:v>0.24089301015803599</c:v>
                </c:pt>
                <c:pt idx="2">
                  <c:v>0.24771958364426561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6.6145624999999999</c:v>
                </c:pt>
                <c:pt idx="1">
                  <c:v>24.379337500000002</c:v>
                </c:pt>
                <c:pt idx="2">
                  <c:v>29.157150000000001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  <c:pt idx="74">
                  <c:v>30.064699999999998</c:v>
                </c:pt>
                <c:pt idx="75">
                  <c:v>30.528300000000002</c:v>
                </c:pt>
                <c:pt idx="76">
                  <c:v>30.936599999999999</c:v>
                </c:pt>
                <c:pt idx="77">
                  <c:v>31.328099999999999</c:v>
                </c:pt>
                <c:pt idx="78">
                  <c:v>31.7331</c:v>
                </c:pt>
                <c:pt idx="79">
                  <c:v>32.1402</c:v>
                </c:pt>
                <c:pt idx="80">
                  <c:v>32.546999999999997</c:v>
                </c:pt>
                <c:pt idx="81">
                  <c:v>32.953899999999997</c:v>
                </c:pt>
                <c:pt idx="82">
                  <c:v>33.356699999999996</c:v>
                </c:pt>
                <c:pt idx="83">
                  <c:v>33.764600000000002</c:v>
                </c:pt>
                <c:pt idx="84">
                  <c:v>34.171300000000002</c:v>
                </c:pt>
                <c:pt idx="85">
                  <c:v>34.575499999999998</c:v>
                </c:pt>
                <c:pt idx="86">
                  <c:v>34.986699999999999</c:v>
                </c:pt>
                <c:pt idx="87">
                  <c:v>35.3904</c:v>
                </c:pt>
                <c:pt idx="88">
                  <c:v>35.795200000000001</c:v>
                </c:pt>
                <c:pt idx="89">
                  <c:v>36.203699999999998</c:v>
                </c:pt>
                <c:pt idx="90">
                  <c:v>36.607999999999997</c:v>
                </c:pt>
                <c:pt idx="91">
                  <c:v>37.018000000000001</c:v>
                </c:pt>
                <c:pt idx="92">
                  <c:v>37.420200000000001</c:v>
                </c:pt>
                <c:pt idx="93">
                  <c:v>37.826799999999999</c:v>
                </c:pt>
                <c:pt idx="94">
                  <c:v>38.234000000000002</c:v>
                </c:pt>
                <c:pt idx="95">
                  <c:v>38.642600000000002</c:v>
                </c:pt>
                <c:pt idx="96">
                  <c:v>39.047600000000003</c:v>
                </c:pt>
                <c:pt idx="97">
                  <c:v>39.455599999999997</c:v>
                </c:pt>
                <c:pt idx="98">
                  <c:v>39.857300000000002</c:v>
                </c:pt>
                <c:pt idx="99">
                  <c:v>40.263199999999998</c:v>
                </c:pt>
                <c:pt idx="100">
                  <c:v>40.668199999999999</c:v>
                </c:pt>
                <c:pt idx="101">
                  <c:v>41.075099999999999</c:v>
                </c:pt>
                <c:pt idx="102">
                  <c:v>41.482199999999999</c:v>
                </c:pt>
                <c:pt idx="103">
                  <c:v>41.890999999999998</c:v>
                </c:pt>
                <c:pt idx="104">
                  <c:v>42.294800000000002</c:v>
                </c:pt>
                <c:pt idx="105">
                  <c:v>42.7029</c:v>
                </c:pt>
                <c:pt idx="106">
                  <c:v>43.109699999999997</c:v>
                </c:pt>
                <c:pt idx="107">
                  <c:v>43.5167</c:v>
                </c:pt>
                <c:pt idx="108">
                  <c:v>43.921500000000002</c:v>
                </c:pt>
                <c:pt idx="109">
                  <c:v>44.326500000000003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45.5471</c:v>
                </c:pt>
                <c:pt idx="113">
                  <c:v>45.953400000000002</c:v>
                </c:pt>
                <c:pt idx="114">
                  <c:v>46.3581</c:v>
                </c:pt>
                <c:pt idx="115">
                  <c:v>46.765000000000001</c:v>
                </c:pt>
                <c:pt idx="116">
                  <c:v>47.170900000000003</c:v>
                </c:pt>
                <c:pt idx="117">
                  <c:v>47.573799999999999</c:v>
                </c:pt>
                <c:pt idx="118">
                  <c:v>47.985700000000001</c:v>
                </c:pt>
                <c:pt idx="119">
                  <c:v>48.390599999999999</c:v>
                </c:pt>
                <c:pt idx="120">
                  <c:v>48.796500000000002</c:v>
                </c:pt>
                <c:pt idx="121">
                  <c:v>49.2014</c:v>
                </c:pt>
                <c:pt idx="122">
                  <c:v>49.606400000000001</c:v>
                </c:pt>
                <c:pt idx="123">
                  <c:v>50.013199999999998</c:v>
                </c:pt>
                <c:pt idx="124">
                  <c:v>50.423200000000001</c:v>
                </c:pt>
                <c:pt idx="125">
                  <c:v>50.829099999999997</c:v>
                </c:pt>
                <c:pt idx="126">
                  <c:v>51.234000000000002</c:v>
                </c:pt>
                <c:pt idx="127">
                  <c:v>51.6402</c:v>
                </c:pt>
                <c:pt idx="128">
                  <c:v>52.0488</c:v>
                </c:pt>
                <c:pt idx="129">
                  <c:v>52.4497</c:v>
                </c:pt>
                <c:pt idx="130">
                  <c:v>52.8596</c:v>
                </c:pt>
                <c:pt idx="131">
                  <c:v>53.265999999999998</c:v>
                </c:pt>
                <c:pt idx="132">
                  <c:v>53.6706</c:v>
                </c:pt>
                <c:pt idx="133">
                  <c:v>54.079300000000003</c:v>
                </c:pt>
                <c:pt idx="134">
                  <c:v>54.482399999999998</c:v>
                </c:pt>
                <c:pt idx="135">
                  <c:v>54.8874</c:v>
                </c:pt>
                <c:pt idx="136">
                  <c:v>55.298099999999998</c:v>
                </c:pt>
                <c:pt idx="137">
                  <c:v>55.702199999999998</c:v>
                </c:pt>
                <c:pt idx="138">
                  <c:v>56.109000000000002</c:v>
                </c:pt>
                <c:pt idx="139">
                  <c:v>56.514800000000001</c:v>
                </c:pt>
                <c:pt idx="140">
                  <c:v>56.923699999999997</c:v>
                </c:pt>
                <c:pt idx="141">
                  <c:v>57.3277</c:v>
                </c:pt>
                <c:pt idx="142">
                  <c:v>57.7316</c:v>
                </c:pt>
                <c:pt idx="143">
                  <c:v>58.137599999999999</c:v>
                </c:pt>
                <c:pt idx="144">
                  <c:v>58.552500000000002</c:v>
                </c:pt>
                <c:pt idx="145">
                  <c:v>58.955399999999997</c:v>
                </c:pt>
                <c:pt idx="146">
                  <c:v>59.359299999999998</c:v>
                </c:pt>
                <c:pt idx="147">
                  <c:v>59.764200000000002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  <c:pt idx="74">
                  <c:v>2.36435</c:v>
                </c:pt>
                <c:pt idx="75">
                  <c:v>2.3553699999999997</c:v>
                </c:pt>
                <c:pt idx="76">
                  <c:v>2.34938</c:v>
                </c:pt>
                <c:pt idx="77">
                  <c:v>2.34402</c:v>
                </c:pt>
                <c:pt idx="78">
                  <c:v>2.3398099999999999</c:v>
                </c:pt>
                <c:pt idx="79">
                  <c:v>2.3359999999999999</c:v>
                </c:pt>
                <c:pt idx="80">
                  <c:v>2.33039</c:v>
                </c:pt>
                <c:pt idx="81">
                  <c:v>2.32497</c:v>
                </c:pt>
                <c:pt idx="82">
                  <c:v>2.3180899999999998</c:v>
                </c:pt>
                <c:pt idx="83">
                  <c:v>2.3117399999999999</c:v>
                </c:pt>
                <c:pt idx="84">
                  <c:v>2.3066999999999998</c:v>
                </c:pt>
                <c:pt idx="85">
                  <c:v>2.3025899999999999</c:v>
                </c:pt>
                <c:pt idx="86">
                  <c:v>2.2995199999999998</c:v>
                </c:pt>
                <c:pt idx="87">
                  <c:v>2.29894</c:v>
                </c:pt>
                <c:pt idx="88">
                  <c:v>2.2986200000000001</c:v>
                </c:pt>
                <c:pt idx="89">
                  <c:v>2.2959399999999999</c:v>
                </c:pt>
                <c:pt idx="90">
                  <c:v>2.2932100000000002</c:v>
                </c:pt>
                <c:pt idx="91">
                  <c:v>2.2925400000000002</c:v>
                </c:pt>
                <c:pt idx="92">
                  <c:v>2.2933700000000004</c:v>
                </c:pt>
                <c:pt idx="93">
                  <c:v>2.2929599999999999</c:v>
                </c:pt>
                <c:pt idx="94">
                  <c:v>2.28851</c:v>
                </c:pt>
                <c:pt idx="95">
                  <c:v>2.28172</c:v>
                </c:pt>
                <c:pt idx="96">
                  <c:v>2.2711000000000001</c:v>
                </c:pt>
                <c:pt idx="97">
                  <c:v>2.2600700000000002</c:v>
                </c:pt>
                <c:pt idx="98">
                  <c:v>2.2505000000000002</c:v>
                </c:pt>
                <c:pt idx="99">
                  <c:v>2.2400000000000002</c:v>
                </c:pt>
                <c:pt idx="100">
                  <c:v>2.22777</c:v>
                </c:pt>
                <c:pt idx="101">
                  <c:v>2.2170799999999997</c:v>
                </c:pt>
                <c:pt idx="102">
                  <c:v>2.2087000000000003</c:v>
                </c:pt>
                <c:pt idx="103">
                  <c:v>2.19869</c:v>
                </c:pt>
                <c:pt idx="104">
                  <c:v>2.1854</c:v>
                </c:pt>
                <c:pt idx="105">
                  <c:v>2.1740699999999999</c:v>
                </c:pt>
                <c:pt idx="106">
                  <c:v>2.1635399999999998</c:v>
                </c:pt>
                <c:pt idx="107">
                  <c:v>2.1550199999999999</c:v>
                </c:pt>
                <c:pt idx="108">
                  <c:v>2.1463199999999998</c:v>
                </c:pt>
                <c:pt idx="109">
                  <c:v>2.1364900000000002</c:v>
                </c:pt>
                <c:pt idx="110">
                  <c:v>2.1245799999999999</c:v>
                </c:pt>
                <c:pt idx="111">
                  <c:v>2.1109200000000001</c:v>
                </c:pt>
                <c:pt idx="112">
                  <c:v>2.0927599999999997</c:v>
                </c:pt>
                <c:pt idx="113">
                  <c:v>2.0740799999999999</c:v>
                </c:pt>
                <c:pt idx="114">
                  <c:v>2.0563199999999999</c:v>
                </c:pt>
                <c:pt idx="115">
                  <c:v>2.0410699999999999</c:v>
                </c:pt>
                <c:pt idx="116">
                  <c:v>2.02596</c:v>
                </c:pt>
                <c:pt idx="117">
                  <c:v>2.0121899999999999</c:v>
                </c:pt>
                <c:pt idx="118">
                  <c:v>1.9986200000000001</c:v>
                </c:pt>
                <c:pt idx="119">
                  <c:v>1.9892699999999999</c:v>
                </c:pt>
                <c:pt idx="120">
                  <c:v>1.9826600000000001</c:v>
                </c:pt>
                <c:pt idx="121">
                  <c:v>1.9808700000000001</c:v>
                </c:pt>
                <c:pt idx="122">
                  <c:v>1.9830700000000001</c:v>
                </c:pt>
                <c:pt idx="123">
                  <c:v>1.98759</c:v>
                </c:pt>
                <c:pt idx="124">
                  <c:v>1.98638</c:v>
                </c:pt>
                <c:pt idx="125">
                  <c:v>1.9858600000000002</c:v>
                </c:pt>
                <c:pt idx="126">
                  <c:v>1.98688</c:v>
                </c:pt>
                <c:pt idx="127">
                  <c:v>1.98671</c:v>
                </c:pt>
                <c:pt idx="128">
                  <c:v>1.9889999999999999</c:v>
                </c:pt>
                <c:pt idx="129">
                  <c:v>1.99441</c:v>
                </c:pt>
                <c:pt idx="130">
                  <c:v>1.99929</c:v>
                </c:pt>
                <c:pt idx="131">
                  <c:v>2.004</c:v>
                </c:pt>
                <c:pt idx="132">
                  <c:v>2.0102099999999998</c:v>
                </c:pt>
                <c:pt idx="133">
                  <c:v>2.0163800000000003</c:v>
                </c:pt>
                <c:pt idx="134">
                  <c:v>2.0218400000000001</c:v>
                </c:pt>
                <c:pt idx="135">
                  <c:v>2.0271400000000002</c:v>
                </c:pt>
                <c:pt idx="136">
                  <c:v>2.03234</c:v>
                </c:pt>
                <c:pt idx="137">
                  <c:v>2.04013</c:v>
                </c:pt>
                <c:pt idx="138">
                  <c:v>2.0492699999999999</c:v>
                </c:pt>
                <c:pt idx="139">
                  <c:v>2.0609199999999999</c:v>
                </c:pt>
                <c:pt idx="140">
                  <c:v>2.0720100000000001</c:v>
                </c:pt>
                <c:pt idx="141">
                  <c:v>2.0851299999999999</c:v>
                </c:pt>
                <c:pt idx="142">
                  <c:v>2.0976600000000003</c:v>
                </c:pt>
                <c:pt idx="143">
                  <c:v>2.1149999999999998</c:v>
                </c:pt>
                <c:pt idx="144">
                  <c:v>2.12371</c:v>
                </c:pt>
                <c:pt idx="145">
                  <c:v>2.1319699999999999</c:v>
                </c:pt>
                <c:pt idx="146">
                  <c:v>2.14039</c:v>
                </c:pt>
                <c:pt idx="147">
                  <c:v>2.1454300000000002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29.656700000000001</c:v>
                </c:pt>
                <c:pt idx="1">
                  <c:v>30.064699999999998</c:v>
                </c:pt>
                <c:pt idx="2">
                  <c:v>30.528300000000002</c:v>
                </c:pt>
                <c:pt idx="3">
                  <c:v>30.936599999999999</c:v>
                </c:pt>
                <c:pt idx="4">
                  <c:v>31.328099999999999</c:v>
                </c:pt>
                <c:pt idx="5">
                  <c:v>31.7331</c:v>
                </c:pt>
                <c:pt idx="6">
                  <c:v>32.1402</c:v>
                </c:pt>
                <c:pt idx="7">
                  <c:v>32.546999999999997</c:v>
                </c:pt>
                <c:pt idx="8">
                  <c:v>32.953899999999997</c:v>
                </c:pt>
                <c:pt idx="9">
                  <c:v>33.356699999999996</c:v>
                </c:pt>
                <c:pt idx="10">
                  <c:v>33.764600000000002</c:v>
                </c:pt>
                <c:pt idx="11">
                  <c:v>34.171300000000002</c:v>
                </c:pt>
                <c:pt idx="12">
                  <c:v>34.575499999999998</c:v>
                </c:pt>
                <c:pt idx="13">
                  <c:v>34.986699999999999</c:v>
                </c:pt>
                <c:pt idx="14">
                  <c:v>35.3904</c:v>
                </c:pt>
                <c:pt idx="15">
                  <c:v>35.795200000000001</c:v>
                </c:pt>
                <c:pt idx="16">
                  <c:v>36.203699999999998</c:v>
                </c:pt>
                <c:pt idx="17">
                  <c:v>36.607999999999997</c:v>
                </c:pt>
                <c:pt idx="18">
                  <c:v>37.018000000000001</c:v>
                </c:pt>
                <c:pt idx="19">
                  <c:v>37.420200000000001</c:v>
                </c:pt>
                <c:pt idx="20">
                  <c:v>37.826799999999999</c:v>
                </c:pt>
                <c:pt idx="21">
                  <c:v>38.234000000000002</c:v>
                </c:pt>
                <c:pt idx="22">
                  <c:v>38.642600000000002</c:v>
                </c:pt>
                <c:pt idx="23">
                  <c:v>39.047600000000003</c:v>
                </c:pt>
                <c:pt idx="24">
                  <c:v>39.455599999999997</c:v>
                </c:pt>
                <c:pt idx="25">
                  <c:v>39.857300000000002</c:v>
                </c:pt>
                <c:pt idx="26">
                  <c:v>40.263199999999998</c:v>
                </c:pt>
                <c:pt idx="27">
                  <c:v>40.668199999999999</c:v>
                </c:pt>
                <c:pt idx="28">
                  <c:v>41.075099999999999</c:v>
                </c:pt>
                <c:pt idx="29">
                  <c:v>41.482199999999999</c:v>
                </c:pt>
                <c:pt idx="30">
                  <c:v>41.890999999999998</c:v>
                </c:pt>
                <c:pt idx="31">
                  <c:v>42.294800000000002</c:v>
                </c:pt>
                <c:pt idx="32">
                  <c:v>42.7029</c:v>
                </c:pt>
                <c:pt idx="33">
                  <c:v>43.109699999999997</c:v>
                </c:pt>
                <c:pt idx="34">
                  <c:v>43.5167</c:v>
                </c:pt>
                <c:pt idx="35">
                  <c:v>43.921500000000002</c:v>
                </c:pt>
                <c:pt idx="36">
                  <c:v>44.326500000000003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45.5471</c:v>
                </c:pt>
                <c:pt idx="40">
                  <c:v>45.953400000000002</c:v>
                </c:pt>
                <c:pt idx="41">
                  <c:v>46.3581</c:v>
                </c:pt>
                <c:pt idx="42">
                  <c:v>46.765000000000001</c:v>
                </c:pt>
                <c:pt idx="43">
                  <c:v>47.170900000000003</c:v>
                </c:pt>
                <c:pt idx="44">
                  <c:v>47.573799999999999</c:v>
                </c:pt>
                <c:pt idx="45">
                  <c:v>47.985700000000001</c:v>
                </c:pt>
                <c:pt idx="46">
                  <c:v>48.390599999999999</c:v>
                </c:pt>
                <c:pt idx="47">
                  <c:v>48.796500000000002</c:v>
                </c:pt>
                <c:pt idx="48">
                  <c:v>49.2014</c:v>
                </c:pt>
                <c:pt idx="49">
                  <c:v>49.606400000000001</c:v>
                </c:pt>
                <c:pt idx="50">
                  <c:v>50.013199999999998</c:v>
                </c:pt>
                <c:pt idx="51">
                  <c:v>50.423200000000001</c:v>
                </c:pt>
                <c:pt idx="52">
                  <c:v>50.829099999999997</c:v>
                </c:pt>
                <c:pt idx="53">
                  <c:v>51.234000000000002</c:v>
                </c:pt>
                <c:pt idx="54">
                  <c:v>51.6402</c:v>
                </c:pt>
                <c:pt idx="55">
                  <c:v>52.0488</c:v>
                </c:pt>
                <c:pt idx="56">
                  <c:v>52.4497</c:v>
                </c:pt>
                <c:pt idx="57">
                  <c:v>52.8596</c:v>
                </c:pt>
                <c:pt idx="58">
                  <c:v>53.265999999999998</c:v>
                </c:pt>
                <c:pt idx="59">
                  <c:v>53.6706</c:v>
                </c:pt>
                <c:pt idx="60">
                  <c:v>54.079300000000003</c:v>
                </c:pt>
                <c:pt idx="61">
                  <c:v>54.482399999999998</c:v>
                </c:pt>
                <c:pt idx="62">
                  <c:v>54.8874</c:v>
                </c:pt>
                <c:pt idx="63">
                  <c:v>55.298099999999998</c:v>
                </c:pt>
                <c:pt idx="64">
                  <c:v>55.702199999999998</c:v>
                </c:pt>
                <c:pt idx="65">
                  <c:v>56.109000000000002</c:v>
                </c:pt>
                <c:pt idx="66">
                  <c:v>56.514800000000001</c:v>
                </c:pt>
                <c:pt idx="67">
                  <c:v>56.923699999999997</c:v>
                </c:pt>
                <c:pt idx="68">
                  <c:v>57.3277</c:v>
                </c:pt>
                <c:pt idx="69">
                  <c:v>57.7316</c:v>
                </c:pt>
                <c:pt idx="70">
                  <c:v>58.137599999999999</c:v>
                </c:pt>
                <c:pt idx="71">
                  <c:v>58.552500000000002</c:v>
                </c:pt>
                <c:pt idx="72">
                  <c:v>58.955399999999997</c:v>
                </c:pt>
                <c:pt idx="73">
                  <c:v>59.359299999999998</c:v>
                </c:pt>
                <c:pt idx="74">
                  <c:v>59.764200000000002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2.37717</c:v>
                </c:pt>
                <c:pt idx="1">
                  <c:v>2.36435</c:v>
                </c:pt>
                <c:pt idx="2">
                  <c:v>2.3553699999999997</c:v>
                </c:pt>
                <c:pt idx="3">
                  <c:v>2.34938</c:v>
                </c:pt>
                <c:pt idx="4">
                  <c:v>2.34402</c:v>
                </c:pt>
                <c:pt idx="5">
                  <c:v>2.3398099999999999</c:v>
                </c:pt>
                <c:pt idx="6">
                  <c:v>2.3359999999999999</c:v>
                </c:pt>
                <c:pt idx="7">
                  <c:v>2.33039</c:v>
                </c:pt>
                <c:pt idx="8">
                  <c:v>2.32497</c:v>
                </c:pt>
                <c:pt idx="9">
                  <c:v>2.3180899999999998</c:v>
                </c:pt>
                <c:pt idx="10">
                  <c:v>2.3117399999999999</c:v>
                </c:pt>
                <c:pt idx="11">
                  <c:v>2.3066999999999998</c:v>
                </c:pt>
                <c:pt idx="12">
                  <c:v>2.3025899999999999</c:v>
                </c:pt>
                <c:pt idx="13">
                  <c:v>2.2995199999999998</c:v>
                </c:pt>
                <c:pt idx="14">
                  <c:v>2.29894</c:v>
                </c:pt>
                <c:pt idx="15">
                  <c:v>2.2986200000000001</c:v>
                </c:pt>
                <c:pt idx="16">
                  <c:v>2.2959399999999999</c:v>
                </c:pt>
                <c:pt idx="17">
                  <c:v>2.2932100000000002</c:v>
                </c:pt>
                <c:pt idx="18">
                  <c:v>2.2925400000000002</c:v>
                </c:pt>
                <c:pt idx="19">
                  <c:v>2.2933700000000004</c:v>
                </c:pt>
                <c:pt idx="20">
                  <c:v>2.2929599999999999</c:v>
                </c:pt>
                <c:pt idx="21">
                  <c:v>2.28851</c:v>
                </c:pt>
                <c:pt idx="22">
                  <c:v>2.28172</c:v>
                </c:pt>
                <c:pt idx="23">
                  <c:v>2.2711000000000001</c:v>
                </c:pt>
                <c:pt idx="24">
                  <c:v>2.2600700000000002</c:v>
                </c:pt>
                <c:pt idx="25">
                  <c:v>2.2505000000000002</c:v>
                </c:pt>
                <c:pt idx="26">
                  <c:v>2.2400000000000002</c:v>
                </c:pt>
                <c:pt idx="27">
                  <c:v>2.22777</c:v>
                </c:pt>
                <c:pt idx="28">
                  <c:v>2.2170799999999997</c:v>
                </c:pt>
                <c:pt idx="29">
                  <c:v>2.2087000000000003</c:v>
                </c:pt>
                <c:pt idx="30">
                  <c:v>2.19869</c:v>
                </c:pt>
                <c:pt idx="31">
                  <c:v>2.1854</c:v>
                </c:pt>
                <c:pt idx="32">
                  <c:v>2.1740699999999999</c:v>
                </c:pt>
                <c:pt idx="33">
                  <c:v>2.1635399999999998</c:v>
                </c:pt>
                <c:pt idx="34">
                  <c:v>2.1550199999999999</c:v>
                </c:pt>
                <c:pt idx="35">
                  <c:v>2.1463199999999998</c:v>
                </c:pt>
                <c:pt idx="36">
                  <c:v>2.1364900000000002</c:v>
                </c:pt>
                <c:pt idx="37">
                  <c:v>2.1245799999999999</c:v>
                </c:pt>
                <c:pt idx="38">
                  <c:v>2.1109200000000001</c:v>
                </c:pt>
                <c:pt idx="39">
                  <c:v>2.0927599999999997</c:v>
                </c:pt>
                <c:pt idx="40">
                  <c:v>2.0740799999999999</c:v>
                </c:pt>
                <c:pt idx="41">
                  <c:v>2.0563199999999999</c:v>
                </c:pt>
                <c:pt idx="42">
                  <c:v>2.0410699999999999</c:v>
                </c:pt>
                <c:pt idx="43">
                  <c:v>2.02596</c:v>
                </c:pt>
                <c:pt idx="44">
                  <c:v>2.0121899999999999</c:v>
                </c:pt>
                <c:pt idx="45">
                  <c:v>1.9986200000000001</c:v>
                </c:pt>
                <c:pt idx="46">
                  <c:v>1.9892699999999999</c:v>
                </c:pt>
                <c:pt idx="47">
                  <c:v>1.9826600000000001</c:v>
                </c:pt>
                <c:pt idx="48">
                  <c:v>1.9808700000000001</c:v>
                </c:pt>
                <c:pt idx="49">
                  <c:v>1.9830700000000001</c:v>
                </c:pt>
                <c:pt idx="50">
                  <c:v>1.98759</c:v>
                </c:pt>
                <c:pt idx="51">
                  <c:v>1.98638</c:v>
                </c:pt>
                <c:pt idx="52">
                  <c:v>1.9858600000000002</c:v>
                </c:pt>
                <c:pt idx="53">
                  <c:v>1.98688</c:v>
                </c:pt>
                <c:pt idx="54">
                  <c:v>1.98671</c:v>
                </c:pt>
                <c:pt idx="55">
                  <c:v>1.9889999999999999</c:v>
                </c:pt>
                <c:pt idx="56">
                  <c:v>1.99441</c:v>
                </c:pt>
                <c:pt idx="57">
                  <c:v>1.99929</c:v>
                </c:pt>
                <c:pt idx="58">
                  <c:v>2.004</c:v>
                </c:pt>
                <c:pt idx="59">
                  <c:v>2.0102099999999998</c:v>
                </c:pt>
                <c:pt idx="60">
                  <c:v>2.0163800000000003</c:v>
                </c:pt>
                <c:pt idx="61">
                  <c:v>2.0218400000000001</c:v>
                </c:pt>
                <c:pt idx="62">
                  <c:v>2.0271400000000002</c:v>
                </c:pt>
                <c:pt idx="63">
                  <c:v>2.03234</c:v>
                </c:pt>
                <c:pt idx="64">
                  <c:v>2.04013</c:v>
                </c:pt>
                <c:pt idx="65">
                  <c:v>2.0492699999999999</c:v>
                </c:pt>
                <c:pt idx="66">
                  <c:v>2.0609199999999999</c:v>
                </c:pt>
                <c:pt idx="67">
                  <c:v>2.0720100000000001</c:v>
                </c:pt>
                <c:pt idx="68">
                  <c:v>2.0851299999999999</c:v>
                </c:pt>
                <c:pt idx="69">
                  <c:v>2.0976600000000003</c:v>
                </c:pt>
                <c:pt idx="70">
                  <c:v>2.1149999999999998</c:v>
                </c:pt>
                <c:pt idx="71">
                  <c:v>2.12371</c:v>
                </c:pt>
                <c:pt idx="72">
                  <c:v>2.1319699999999999</c:v>
                </c:pt>
                <c:pt idx="73">
                  <c:v>2.14039</c:v>
                </c:pt>
                <c:pt idx="74">
                  <c:v>2.1454300000000002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14.941050000000001</c:v>
                </c:pt>
                <c:pt idx="1">
                  <c:v>44.823149999999998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2.5818674324324324</c:v>
                </c:pt>
                <c:pt idx="1">
                  <c:v>2.1529122972972967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  <c:pt idx="74">
                  <c:v>30.064699999999998</c:v>
                </c:pt>
                <c:pt idx="75">
                  <c:v>30.528300000000002</c:v>
                </c:pt>
                <c:pt idx="76">
                  <c:v>30.936599999999999</c:v>
                </c:pt>
                <c:pt idx="77">
                  <c:v>31.328099999999999</c:v>
                </c:pt>
                <c:pt idx="78">
                  <c:v>31.7331</c:v>
                </c:pt>
                <c:pt idx="79">
                  <c:v>32.1402</c:v>
                </c:pt>
                <c:pt idx="80">
                  <c:v>32.546999999999997</c:v>
                </c:pt>
                <c:pt idx="81">
                  <c:v>32.953899999999997</c:v>
                </c:pt>
                <c:pt idx="82">
                  <c:v>33.356699999999996</c:v>
                </c:pt>
                <c:pt idx="83">
                  <c:v>33.764600000000002</c:v>
                </c:pt>
                <c:pt idx="84">
                  <c:v>34.171300000000002</c:v>
                </c:pt>
                <c:pt idx="85">
                  <c:v>34.575499999999998</c:v>
                </c:pt>
                <c:pt idx="86">
                  <c:v>34.986699999999999</c:v>
                </c:pt>
                <c:pt idx="87">
                  <c:v>35.3904</c:v>
                </c:pt>
                <c:pt idx="88">
                  <c:v>35.795200000000001</c:v>
                </c:pt>
                <c:pt idx="89">
                  <c:v>36.203699999999998</c:v>
                </c:pt>
                <c:pt idx="90">
                  <c:v>36.607999999999997</c:v>
                </c:pt>
                <c:pt idx="91">
                  <c:v>37.018000000000001</c:v>
                </c:pt>
                <c:pt idx="92">
                  <c:v>37.420200000000001</c:v>
                </c:pt>
                <c:pt idx="93">
                  <c:v>37.826799999999999</c:v>
                </c:pt>
                <c:pt idx="94">
                  <c:v>38.234000000000002</c:v>
                </c:pt>
                <c:pt idx="95">
                  <c:v>38.642600000000002</c:v>
                </c:pt>
                <c:pt idx="96">
                  <c:v>39.047600000000003</c:v>
                </c:pt>
                <c:pt idx="97">
                  <c:v>39.455599999999997</c:v>
                </c:pt>
                <c:pt idx="98">
                  <c:v>39.857300000000002</c:v>
                </c:pt>
                <c:pt idx="99">
                  <c:v>40.263199999999998</c:v>
                </c:pt>
                <c:pt idx="100">
                  <c:v>40.668199999999999</c:v>
                </c:pt>
                <c:pt idx="101">
                  <c:v>41.075099999999999</c:v>
                </c:pt>
                <c:pt idx="102">
                  <c:v>41.482199999999999</c:v>
                </c:pt>
                <c:pt idx="103">
                  <c:v>41.890999999999998</c:v>
                </c:pt>
                <c:pt idx="104">
                  <c:v>42.294800000000002</c:v>
                </c:pt>
                <c:pt idx="105">
                  <c:v>42.7029</c:v>
                </c:pt>
                <c:pt idx="106">
                  <c:v>43.109699999999997</c:v>
                </c:pt>
                <c:pt idx="107">
                  <c:v>43.5167</c:v>
                </c:pt>
                <c:pt idx="108">
                  <c:v>43.921500000000002</c:v>
                </c:pt>
                <c:pt idx="109">
                  <c:v>44.326500000000003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45.5471</c:v>
                </c:pt>
                <c:pt idx="113">
                  <c:v>45.953400000000002</c:v>
                </c:pt>
                <c:pt idx="114">
                  <c:v>46.3581</c:v>
                </c:pt>
                <c:pt idx="115">
                  <c:v>46.765000000000001</c:v>
                </c:pt>
                <c:pt idx="116">
                  <c:v>47.170900000000003</c:v>
                </c:pt>
                <c:pt idx="117">
                  <c:v>47.573799999999999</c:v>
                </c:pt>
                <c:pt idx="118">
                  <c:v>47.985700000000001</c:v>
                </c:pt>
                <c:pt idx="119">
                  <c:v>48.390599999999999</c:v>
                </c:pt>
                <c:pt idx="120">
                  <c:v>48.796500000000002</c:v>
                </c:pt>
                <c:pt idx="121">
                  <c:v>49.2014</c:v>
                </c:pt>
                <c:pt idx="122">
                  <c:v>49.606400000000001</c:v>
                </c:pt>
                <c:pt idx="123">
                  <c:v>50.013199999999998</c:v>
                </c:pt>
                <c:pt idx="124">
                  <c:v>50.423200000000001</c:v>
                </c:pt>
                <c:pt idx="125">
                  <c:v>50.829099999999997</c:v>
                </c:pt>
                <c:pt idx="126">
                  <c:v>51.234000000000002</c:v>
                </c:pt>
                <c:pt idx="127">
                  <c:v>51.6402</c:v>
                </c:pt>
                <c:pt idx="128">
                  <c:v>52.0488</c:v>
                </c:pt>
                <c:pt idx="129">
                  <c:v>52.4497</c:v>
                </c:pt>
                <c:pt idx="130">
                  <c:v>52.8596</c:v>
                </c:pt>
                <c:pt idx="131">
                  <c:v>53.265999999999998</c:v>
                </c:pt>
                <c:pt idx="132">
                  <c:v>53.6706</c:v>
                </c:pt>
                <c:pt idx="133">
                  <c:v>54.079300000000003</c:v>
                </c:pt>
                <c:pt idx="134">
                  <c:v>54.482399999999998</c:v>
                </c:pt>
                <c:pt idx="135">
                  <c:v>54.8874</c:v>
                </c:pt>
                <c:pt idx="136">
                  <c:v>55.298099999999998</c:v>
                </c:pt>
                <c:pt idx="137">
                  <c:v>55.702199999999998</c:v>
                </c:pt>
                <c:pt idx="138">
                  <c:v>56.109000000000002</c:v>
                </c:pt>
                <c:pt idx="139">
                  <c:v>56.514800000000001</c:v>
                </c:pt>
                <c:pt idx="140">
                  <c:v>56.923699999999997</c:v>
                </c:pt>
                <c:pt idx="141">
                  <c:v>57.3277</c:v>
                </c:pt>
                <c:pt idx="142">
                  <c:v>57.7316</c:v>
                </c:pt>
                <c:pt idx="143">
                  <c:v>58.137599999999999</c:v>
                </c:pt>
                <c:pt idx="144">
                  <c:v>58.552500000000002</c:v>
                </c:pt>
                <c:pt idx="145">
                  <c:v>58.955399999999997</c:v>
                </c:pt>
                <c:pt idx="146">
                  <c:v>59.359299999999998</c:v>
                </c:pt>
                <c:pt idx="147">
                  <c:v>59.764200000000002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  <c:pt idx="74">
                  <c:v>49.415999999999997</c:v>
                </c:pt>
                <c:pt idx="75">
                  <c:v>49.473199999999999</c:v>
                </c:pt>
                <c:pt idx="76">
                  <c:v>49.474299999999999</c:v>
                </c:pt>
                <c:pt idx="77">
                  <c:v>49.435200000000002</c:v>
                </c:pt>
                <c:pt idx="78">
                  <c:v>49.385400000000004</c:v>
                </c:pt>
                <c:pt idx="79">
                  <c:v>49.317100000000003</c:v>
                </c:pt>
                <c:pt idx="80">
                  <c:v>49.229500000000002</c:v>
                </c:pt>
                <c:pt idx="81">
                  <c:v>49.133700000000005</c:v>
                </c:pt>
                <c:pt idx="82">
                  <c:v>49.060500000000005</c:v>
                </c:pt>
                <c:pt idx="83">
                  <c:v>49.013199999999998</c:v>
                </c:pt>
                <c:pt idx="84">
                  <c:v>48.989600000000003</c:v>
                </c:pt>
                <c:pt idx="85">
                  <c:v>49.006799999999998</c:v>
                </c:pt>
                <c:pt idx="86">
                  <c:v>49.033900000000003</c:v>
                </c:pt>
                <c:pt idx="87">
                  <c:v>49.076500000000003</c:v>
                </c:pt>
                <c:pt idx="88">
                  <c:v>49.168199999999999</c:v>
                </c:pt>
                <c:pt idx="89">
                  <c:v>49.318600000000004</c:v>
                </c:pt>
                <c:pt idx="90">
                  <c:v>49.459199999999996</c:v>
                </c:pt>
                <c:pt idx="91">
                  <c:v>49.553899999999999</c:v>
                </c:pt>
                <c:pt idx="92">
                  <c:v>49.599299999999999</c:v>
                </c:pt>
                <c:pt idx="93">
                  <c:v>49.693300000000001</c:v>
                </c:pt>
                <c:pt idx="94">
                  <c:v>49.876799999999996</c:v>
                </c:pt>
                <c:pt idx="95">
                  <c:v>50.064799999999998</c:v>
                </c:pt>
                <c:pt idx="96">
                  <c:v>50.260599999999997</c:v>
                </c:pt>
                <c:pt idx="97">
                  <c:v>50.457700000000003</c:v>
                </c:pt>
                <c:pt idx="98">
                  <c:v>50.621000000000002</c:v>
                </c:pt>
                <c:pt idx="99">
                  <c:v>50.805999999999997</c:v>
                </c:pt>
                <c:pt idx="100">
                  <c:v>51.060300000000005</c:v>
                </c:pt>
                <c:pt idx="101">
                  <c:v>51.202099999999994</c:v>
                </c:pt>
                <c:pt idx="102">
                  <c:v>51.313299999999998</c:v>
                </c:pt>
                <c:pt idx="103">
                  <c:v>51.405699999999996</c:v>
                </c:pt>
                <c:pt idx="104">
                  <c:v>51.5456</c:v>
                </c:pt>
                <c:pt idx="105">
                  <c:v>51.7151</c:v>
                </c:pt>
                <c:pt idx="106">
                  <c:v>51.909300000000002</c:v>
                </c:pt>
                <c:pt idx="107">
                  <c:v>52.030100000000004</c:v>
                </c:pt>
                <c:pt idx="108">
                  <c:v>52.177599999999998</c:v>
                </c:pt>
                <c:pt idx="109">
                  <c:v>52.386699999999998</c:v>
                </c:pt>
                <c:pt idx="110">
                  <c:v>52.634899999999995</c:v>
                </c:pt>
                <c:pt idx="111">
                  <c:v>52.937800000000003</c:v>
                </c:pt>
                <c:pt idx="112">
                  <c:v>53.341999999999999</c:v>
                </c:pt>
                <c:pt idx="113">
                  <c:v>53.776599999999995</c:v>
                </c:pt>
                <c:pt idx="114">
                  <c:v>54.207799999999992</c:v>
                </c:pt>
                <c:pt idx="115">
                  <c:v>54.602499999999999</c:v>
                </c:pt>
                <c:pt idx="116">
                  <c:v>55.037899999999993</c:v>
                </c:pt>
                <c:pt idx="117">
                  <c:v>55.483800000000002</c:v>
                </c:pt>
                <c:pt idx="118">
                  <c:v>55.9373</c:v>
                </c:pt>
                <c:pt idx="119">
                  <c:v>56.3078</c:v>
                </c:pt>
                <c:pt idx="120">
                  <c:v>56.595500000000001</c:v>
                </c:pt>
                <c:pt idx="121">
                  <c:v>56.748200000000004</c:v>
                </c:pt>
                <c:pt idx="122">
                  <c:v>56.781999999999996</c:v>
                </c:pt>
                <c:pt idx="123">
                  <c:v>56.792099999999998</c:v>
                </c:pt>
                <c:pt idx="124">
                  <c:v>56.797200000000004</c:v>
                </c:pt>
                <c:pt idx="125">
                  <c:v>56.758800000000001</c:v>
                </c:pt>
                <c:pt idx="126">
                  <c:v>56.825000000000003</c:v>
                </c:pt>
                <c:pt idx="127">
                  <c:v>56.989699999999999</c:v>
                </c:pt>
                <c:pt idx="128">
                  <c:v>57.154400000000003</c:v>
                </c:pt>
                <c:pt idx="129">
                  <c:v>57.268300000000004</c:v>
                </c:pt>
                <c:pt idx="130">
                  <c:v>57.398200000000003</c:v>
                </c:pt>
                <c:pt idx="131">
                  <c:v>57.530499999999996</c:v>
                </c:pt>
                <c:pt idx="132">
                  <c:v>57.665700000000001</c:v>
                </c:pt>
                <c:pt idx="133">
                  <c:v>57.783999999999999</c:v>
                </c:pt>
                <c:pt idx="134">
                  <c:v>57.853600000000007</c:v>
                </c:pt>
                <c:pt idx="135">
                  <c:v>57.911999999999999</c:v>
                </c:pt>
                <c:pt idx="136">
                  <c:v>57.943399999999997</c:v>
                </c:pt>
                <c:pt idx="137">
                  <c:v>57.908899999999996</c:v>
                </c:pt>
                <c:pt idx="138">
                  <c:v>57.845999999999997</c:v>
                </c:pt>
                <c:pt idx="139">
                  <c:v>57.744599999999998</c:v>
                </c:pt>
                <c:pt idx="140">
                  <c:v>57.651399999999995</c:v>
                </c:pt>
                <c:pt idx="141">
                  <c:v>57.541399999999996</c:v>
                </c:pt>
                <c:pt idx="142">
                  <c:v>57.422700000000006</c:v>
                </c:pt>
                <c:pt idx="143">
                  <c:v>57.180200000000006</c:v>
                </c:pt>
                <c:pt idx="144">
                  <c:v>56.9739</c:v>
                </c:pt>
                <c:pt idx="145">
                  <c:v>56.782400000000003</c:v>
                </c:pt>
                <c:pt idx="146">
                  <c:v>56.565299999999993</c:v>
                </c:pt>
                <c:pt idx="147">
                  <c:v>56.4221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0.40690300000000001</c:v>
                </c:pt>
                <c:pt idx="2">
                  <c:v>0.81201699999999999</c:v>
                </c:pt>
                <c:pt idx="3">
                  <c:v>1.2218</c:v>
                </c:pt>
                <c:pt idx="4">
                  <c:v>1.62557</c:v>
                </c:pt>
                <c:pt idx="5">
                  <c:v>2.0315099999999999</c:v>
                </c:pt>
                <c:pt idx="6">
                  <c:v>2.4367399999999999</c:v>
                </c:pt>
                <c:pt idx="7">
                  <c:v>2.8430599999999999</c:v>
                </c:pt>
                <c:pt idx="8">
                  <c:v>3.2522899999999999</c:v>
                </c:pt>
                <c:pt idx="9">
                  <c:v>3.6571199999999999</c:v>
                </c:pt>
                <c:pt idx="10">
                  <c:v>4.0621499999999999</c:v>
                </c:pt>
                <c:pt idx="11">
                  <c:v>4.4680400000000002</c:v>
                </c:pt>
                <c:pt idx="12">
                  <c:v>4.87521</c:v>
                </c:pt>
                <c:pt idx="13">
                  <c:v>5.2808200000000003</c:v>
                </c:pt>
                <c:pt idx="14">
                  <c:v>5.6897200000000003</c:v>
                </c:pt>
                <c:pt idx="15">
                  <c:v>6.0936399999999997</c:v>
                </c:pt>
                <c:pt idx="16">
                  <c:v>6.49756</c:v>
                </c:pt>
                <c:pt idx="17">
                  <c:v>6.9072300000000002</c:v>
                </c:pt>
                <c:pt idx="18">
                  <c:v>7.3134199999999998</c:v>
                </c:pt>
                <c:pt idx="19">
                  <c:v>7.7192699999999999</c:v>
                </c:pt>
                <c:pt idx="20">
                  <c:v>8.12622</c:v>
                </c:pt>
                <c:pt idx="21">
                  <c:v>8.5321499999999997</c:v>
                </c:pt>
                <c:pt idx="22">
                  <c:v>8.9365100000000002</c:v>
                </c:pt>
                <c:pt idx="23">
                  <c:v>9.3439300000000003</c:v>
                </c:pt>
                <c:pt idx="24">
                  <c:v>9.7478200000000008</c:v>
                </c:pt>
                <c:pt idx="25">
                  <c:v>10.1568</c:v>
                </c:pt>
                <c:pt idx="26">
                  <c:v>10.5627</c:v>
                </c:pt>
                <c:pt idx="27">
                  <c:v>10.9701</c:v>
                </c:pt>
                <c:pt idx="28">
                  <c:v>11.375500000000001</c:v>
                </c:pt>
                <c:pt idx="29">
                  <c:v>11.782500000000001</c:v>
                </c:pt>
                <c:pt idx="30">
                  <c:v>12.1904</c:v>
                </c:pt>
                <c:pt idx="31">
                  <c:v>12.593299999999999</c:v>
                </c:pt>
                <c:pt idx="32">
                  <c:v>12.998100000000001</c:v>
                </c:pt>
                <c:pt idx="33">
                  <c:v>13.4054</c:v>
                </c:pt>
                <c:pt idx="34">
                  <c:v>13.814</c:v>
                </c:pt>
                <c:pt idx="35">
                  <c:v>14.2202</c:v>
                </c:pt>
                <c:pt idx="36">
                  <c:v>14.6228</c:v>
                </c:pt>
                <c:pt idx="37">
                  <c:v>15.0288</c:v>
                </c:pt>
                <c:pt idx="38">
                  <c:v>15.4358</c:v>
                </c:pt>
                <c:pt idx="39">
                  <c:v>15.8445</c:v>
                </c:pt>
                <c:pt idx="40">
                  <c:v>16.2515</c:v>
                </c:pt>
                <c:pt idx="41">
                  <c:v>16.6554</c:v>
                </c:pt>
                <c:pt idx="42">
                  <c:v>17.063400000000001</c:v>
                </c:pt>
                <c:pt idx="43">
                  <c:v>17.470400000000001</c:v>
                </c:pt>
                <c:pt idx="44">
                  <c:v>17.877099999999999</c:v>
                </c:pt>
                <c:pt idx="45">
                  <c:v>18.284099999999999</c:v>
                </c:pt>
                <c:pt idx="46">
                  <c:v>18.690000000000001</c:v>
                </c:pt>
                <c:pt idx="47">
                  <c:v>19.094999999999999</c:v>
                </c:pt>
                <c:pt idx="48">
                  <c:v>19.496400000000001</c:v>
                </c:pt>
                <c:pt idx="49">
                  <c:v>19.910699999999999</c:v>
                </c:pt>
                <c:pt idx="50">
                  <c:v>20.314699999999998</c:v>
                </c:pt>
                <c:pt idx="51">
                  <c:v>20.718599999999999</c:v>
                </c:pt>
                <c:pt idx="52">
                  <c:v>21.124500000000001</c:v>
                </c:pt>
                <c:pt idx="53">
                  <c:v>21.529599999999999</c:v>
                </c:pt>
                <c:pt idx="54">
                  <c:v>21.9343</c:v>
                </c:pt>
                <c:pt idx="55">
                  <c:v>22.345199999999998</c:v>
                </c:pt>
                <c:pt idx="56">
                  <c:v>22.7501</c:v>
                </c:pt>
                <c:pt idx="57">
                  <c:v>23.154199999999999</c:v>
                </c:pt>
                <c:pt idx="58">
                  <c:v>23.5579</c:v>
                </c:pt>
                <c:pt idx="59">
                  <c:v>23.9679</c:v>
                </c:pt>
                <c:pt idx="60">
                  <c:v>24.370899999999999</c:v>
                </c:pt>
                <c:pt idx="61">
                  <c:v>24.779800000000002</c:v>
                </c:pt>
                <c:pt idx="62">
                  <c:v>25.184899999999999</c:v>
                </c:pt>
                <c:pt idx="63">
                  <c:v>25.595500000000001</c:v>
                </c:pt>
                <c:pt idx="64">
                  <c:v>25.999400000000001</c:v>
                </c:pt>
                <c:pt idx="65">
                  <c:v>26.404399999999999</c:v>
                </c:pt>
                <c:pt idx="66">
                  <c:v>26.811299999999999</c:v>
                </c:pt>
                <c:pt idx="67">
                  <c:v>27.217199999999998</c:v>
                </c:pt>
                <c:pt idx="68">
                  <c:v>27.626100000000001</c:v>
                </c:pt>
                <c:pt idx="69">
                  <c:v>28.029</c:v>
                </c:pt>
                <c:pt idx="70">
                  <c:v>28.438600000000001</c:v>
                </c:pt>
                <c:pt idx="71">
                  <c:v>28.8432</c:v>
                </c:pt>
                <c:pt idx="72">
                  <c:v>29.251799999999999</c:v>
                </c:pt>
                <c:pt idx="73">
                  <c:v>29.656700000000001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29.656700000000001</c:v>
                </c:pt>
                <c:pt idx="1">
                  <c:v>30.064699999999998</c:v>
                </c:pt>
                <c:pt idx="2">
                  <c:v>30.528300000000002</c:v>
                </c:pt>
                <c:pt idx="3">
                  <c:v>30.936599999999999</c:v>
                </c:pt>
                <c:pt idx="4">
                  <c:v>31.328099999999999</c:v>
                </c:pt>
                <c:pt idx="5">
                  <c:v>31.7331</c:v>
                </c:pt>
                <c:pt idx="6">
                  <c:v>32.1402</c:v>
                </c:pt>
                <c:pt idx="7">
                  <c:v>32.546999999999997</c:v>
                </c:pt>
                <c:pt idx="8">
                  <c:v>32.953899999999997</c:v>
                </c:pt>
                <c:pt idx="9">
                  <c:v>33.356699999999996</c:v>
                </c:pt>
                <c:pt idx="10">
                  <c:v>33.764600000000002</c:v>
                </c:pt>
                <c:pt idx="11">
                  <c:v>34.171300000000002</c:v>
                </c:pt>
                <c:pt idx="12">
                  <c:v>34.575499999999998</c:v>
                </c:pt>
                <c:pt idx="13">
                  <c:v>34.986699999999999</c:v>
                </c:pt>
                <c:pt idx="14">
                  <c:v>35.3904</c:v>
                </c:pt>
                <c:pt idx="15">
                  <c:v>35.795200000000001</c:v>
                </c:pt>
                <c:pt idx="16">
                  <c:v>36.203699999999998</c:v>
                </c:pt>
                <c:pt idx="17">
                  <c:v>36.607999999999997</c:v>
                </c:pt>
                <c:pt idx="18">
                  <c:v>37.018000000000001</c:v>
                </c:pt>
                <c:pt idx="19">
                  <c:v>37.420200000000001</c:v>
                </c:pt>
                <c:pt idx="20">
                  <c:v>37.826799999999999</c:v>
                </c:pt>
                <c:pt idx="21">
                  <c:v>38.234000000000002</c:v>
                </c:pt>
                <c:pt idx="22">
                  <c:v>38.642600000000002</c:v>
                </c:pt>
                <c:pt idx="23">
                  <c:v>39.047600000000003</c:v>
                </c:pt>
                <c:pt idx="24">
                  <c:v>39.455599999999997</c:v>
                </c:pt>
                <c:pt idx="25">
                  <c:v>39.857300000000002</c:v>
                </c:pt>
                <c:pt idx="26">
                  <c:v>40.263199999999998</c:v>
                </c:pt>
                <c:pt idx="27">
                  <c:v>40.668199999999999</c:v>
                </c:pt>
                <c:pt idx="28">
                  <c:v>41.075099999999999</c:v>
                </c:pt>
                <c:pt idx="29">
                  <c:v>41.482199999999999</c:v>
                </c:pt>
                <c:pt idx="30">
                  <c:v>41.890999999999998</c:v>
                </c:pt>
                <c:pt idx="31">
                  <c:v>42.294800000000002</c:v>
                </c:pt>
                <c:pt idx="32">
                  <c:v>42.7029</c:v>
                </c:pt>
                <c:pt idx="33">
                  <c:v>43.109699999999997</c:v>
                </c:pt>
                <c:pt idx="34">
                  <c:v>43.5167</c:v>
                </c:pt>
                <c:pt idx="35">
                  <c:v>43.921500000000002</c:v>
                </c:pt>
                <c:pt idx="36">
                  <c:v>44.326500000000003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45.5471</c:v>
                </c:pt>
                <c:pt idx="40">
                  <c:v>45.953400000000002</c:v>
                </c:pt>
                <c:pt idx="41">
                  <c:v>46.3581</c:v>
                </c:pt>
                <c:pt idx="42">
                  <c:v>46.765000000000001</c:v>
                </c:pt>
                <c:pt idx="43">
                  <c:v>47.170900000000003</c:v>
                </c:pt>
                <c:pt idx="44">
                  <c:v>47.573799999999999</c:v>
                </c:pt>
                <c:pt idx="45">
                  <c:v>47.985700000000001</c:v>
                </c:pt>
                <c:pt idx="46">
                  <c:v>48.390599999999999</c:v>
                </c:pt>
                <c:pt idx="47">
                  <c:v>48.796500000000002</c:v>
                </c:pt>
                <c:pt idx="48">
                  <c:v>49.2014</c:v>
                </c:pt>
                <c:pt idx="49">
                  <c:v>49.606400000000001</c:v>
                </c:pt>
                <c:pt idx="50">
                  <c:v>50.013199999999998</c:v>
                </c:pt>
                <c:pt idx="51">
                  <c:v>50.423200000000001</c:v>
                </c:pt>
                <c:pt idx="52">
                  <c:v>50.829099999999997</c:v>
                </c:pt>
                <c:pt idx="53">
                  <c:v>51.234000000000002</c:v>
                </c:pt>
                <c:pt idx="54">
                  <c:v>51.6402</c:v>
                </c:pt>
                <c:pt idx="55">
                  <c:v>52.0488</c:v>
                </c:pt>
                <c:pt idx="56">
                  <c:v>52.4497</c:v>
                </c:pt>
                <c:pt idx="57">
                  <c:v>52.8596</c:v>
                </c:pt>
                <c:pt idx="58">
                  <c:v>53.265999999999998</c:v>
                </c:pt>
                <c:pt idx="59">
                  <c:v>53.6706</c:v>
                </c:pt>
                <c:pt idx="60">
                  <c:v>54.079300000000003</c:v>
                </c:pt>
                <c:pt idx="61">
                  <c:v>54.482399999999998</c:v>
                </c:pt>
                <c:pt idx="62">
                  <c:v>54.8874</c:v>
                </c:pt>
                <c:pt idx="63">
                  <c:v>55.298099999999998</c:v>
                </c:pt>
                <c:pt idx="64">
                  <c:v>55.702199999999998</c:v>
                </c:pt>
                <c:pt idx="65">
                  <c:v>56.109000000000002</c:v>
                </c:pt>
                <c:pt idx="66">
                  <c:v>56.514800000000001</c:v>
                </c:pt>
                <c:pt idx="67">
                  <c:v>56.923699999999997</c:v>
                </c:pt>
                <c:pt idx="68">
                  <c:v>57.3277</c:v>
                </c:pt>
                <c:pt idx="69">
                  <c:v>57.7316</c:v>
                </c:pt>
                <c:pt idx="70">
                  <c:v>58.137599999999999</c:v>
                </c:pt>
                <c:pt idx="71">
                  <c:v>58.552500000000002</c:v>
                </c:pt>
                <c:pt idx="72">
                  <c:v>58.955399999999997</c:v>
                </c:pt>
                <c:pt idx="73">
                  <c:v>59.359299999999998</c:v>
                </c:pt>
                <c:pt idx="74">
                  <c:v>59.764200000000002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49.313800000000001</c:v>
                </c:pt>
                <c:pt idx="1">
                  <c:v>49.415999999999997</c:v>
                </c:pt>
                <c:pt idx="2">
                  <c:v>49.473199999999999</c:v>
                </c:pt>
                <c:pt idx="3">
                  <c:v>49.474299999999999</c:v>
                </c:pt>
                <c:pt idx="4">
                  <c:v>49.435200000000002</c:v>
                </c:pt>
                <c:pt idx="5">
                  <c:v>49.385400000000004</c:v>
                </c:pt>
                <c:pt idx="6">
                  <c:v>49.317100000000003</c:v>
                </c:pt>
                <c:pt idx="7">
                  <c:v>49.229500000000002</c:v>
                </c:pt>
                <c:pt idx="8">
                  <c:v>49.133700000000005</c:v>
                </c:pt>
                <c:pt idx="9">
                  <c:v>49.060500000000005</c:v>
                </c:pt>
                <c:pt idx="10">
                  <c:v>49.013199999999998</c:v>
                </c:pt>
                <c:pt idx="11">
                  <c:v>48.989600000000003</c:v>
                </c:pt>
                <c:pt idx="12">
                  <c:v>49.006799999999998</c:v>
                </c:pt>
                <c:pt idx="13">
                  <c:v>49.033900000000003</c:v>
                </c:pt>
                <c:pt idx="14">
                  <c:v>49.076500000000003</c:v>
                </c:pt>
                <c:pt idx="15">
                  <c:v>49.168199999999999</c:v>
                </c:pt>
                <c:pt idx="16">
                  <c:v>49.318600000000004</c:v>
                </c:pt>
                <c:pt idx="17">
                  <c:v>49.459199999999996</c:v>
                </c:pt>
                <c:pt idx="18">
                  <c:v>49.553899999999999</c:v>
                </c:pt>
                <c:pt idx="19">
                  <c:v>49.599299999999999</c:v>
                </c:pt>
                <c:pt idx="20">
                  <c:v>49.693300000000001</c:v>
                </c:pt>
                <c:pt idx="21">
                  <c:v>49.876799999999996</c:v>
                </c:pt>
                <c:pt idx="22">
                  <c:v>50.064799999999998</c:v>
                </c:pt>
                <c:pt idx="23">
                  <c:v>50.260599999999997</c:v>
                </c:pt>
                <c:pt idx="24">
                  <c:v>50.457700000000003</c:v>
                </c:pt>
                <c:pt idx="25">
                  <c:v>50.621000000000002</c:v>
                </c:pt>
                <c:pt idx="26">
                  <c:v>50.805999999999997</c:v>
                </c:pt>
                <c:pt idx="27">
                  <c:v>51.060300000000005</c:v>
                </c:pt>
                <c:pt idx="28">
                  <c:v>51.202099999999994</c:v>
                </c:pt>
                <c:pt idx="29">
                  <c:v>51.313299999999998</c:v>
                </c:pt>
                <c:pt idx="30">
                  <c:v>51.405699999999996</c:v>
                </c:pt>
                <c:pt idx="31">
                  <c:v>51.5456</c:v>
                </c:pt>
                <c:pt idx="32">
                  <c:v>51.7151</c:v>
                </c:pt>
                <c:pt idx="33">
                  <c:v>51.909300000000002</c:v>
                </c:pt>
                <c:pt idx="34">
                  <c:v>52.030100000000004</c:v>
                </c:pt>
                <c:pt idx="35">
                  <c:v>52.177599999999998</c:v>
                </c:pt>
                <c:pt idx="36">
                  <c:v>52.386699999999998</c:v>
                </c:pt>
                <c:pt idx="37">
                  <c:v>52.634899999999995</c:v>
                </c:pt>
                <c:pt idx="38">
                  <c:v>52.937800000000003</c:v>
                </c:pt>
                <c:pt idx="39">
                  <c:v>53.341999999999999</c:v>
                </c:pt>
                <c:pt idx="40">
                  <c:v>53.776599999999995</c:v>
                </c:pt>
                <c:pt idx="41">
                  <c:v>54.207799999999992</c:v>
                </c:pt>
                <c:pt idx="42">
                  <c:v>54.602499999999999</c:v>
                </c:pt>
                <c:pt idx="43">
                  <c:v>55.037899999999993</c:v>
                </c:pt>
                <c:pt idx="44">
                  <c:v>55.483800000000002</c:v>
                </c:pt>
                <c:pt idx="45">
                  <c:v>55.9373</c:v>
                </c:pt>
                <c:pt idx="46">
                  <c:v>56.3078</c:v>
                </c:pt>
                <c:pt idx="47">
                  <c:v>56.595500000000001</c:v>
                </c:pt>
                <c:pt idx="48">
                  <c:v>56.748200000000004</c:v>
                </c:pt>
                <c:pt idx="49">
                  <c:v>56.781999999999996</c:v>
                </c:pt>
                <c:pt idx="50">
                  <c:v>56.792099999999998</c:v>
                </c:pt>
                <c:pt idx="51">
                  <c:v>56.797200000000004</c:v>
                </c:pt>
                <c:pt idx="52">
                  <c:v>56.758800000000001</c:v>
                </c:pt>
                <c:pt idx="53">
                  <c:v>56.825000000000003</c:v>
                </c:pt>
                <c:pt idx="54">
                  <c:v>56.989699999999999</c:v>
                </c:pt>
                <c:pt idx="55">
                  <c:v>57.154400000000003</c:v>
                </c:pt>
                <c:pt idx="56">
                  <c:v>57.268300000000004</c:v>
                </c:pt>
                <c:pt idx="57">
                  <c:v>57.398200000000003</c:v>
                </c:pt>
                <c:pt idx="58">
                  <c:v>57.530499999999996</c:v>
                </c:pt>
                <c:pt idx="59">
                  <c:v>57.665700000000001</c:v>
                </c:pt>
                <c:pt idx="60">
                  <c:v>57.783999999999999</c:v>
                </c:pt>
                <c:pt idx="61">
                  <c:v>57.853600000000007</c:v>
                </c:pt>
                <c:pt idx="62">
                  <c:v>57.911999999999999</c:v>
                </c:pt>
                <c:pt idx="63">
                  <c:v>57.943399999999997</c:v>
                </c:pt>
                <c:pt idx="64">
                  <c:v>57.908899999999996</c:v>
                </c:pt>
                <c:pt idx="65">
                  <c:v>57.845999999999997</c:v>
                </c:pt>
                <c:pt idx="66">
                  <c:v>57.744599999999998</c:v>
                </c:pt>
                <c:pt idx="67">
                  <c:v>57.651399999999995</c:v>
                </c:pt>
                <c:pt idx="68">
                  <c:v>57.541399999999996</c:v>
                </c:pt>
                <c:pt idx="69">
                  <c:v>57.422700000000006</c:v>
                </c:pt>
                <c:pt idx="70">
                  <c:v>57.180200000000006</c:v>
                </c:pt>
                <c:pt idx="71">
                  <c:v>56.9739</c:v>
                </c:pt>
                <c:pt idx="72">
                  <c:v>56.782400000000003</c:v>
                </c:pt>
                <c:pt idx="73">
                  <c:v>56.565299999999993</c:v>
                </c:pt>
                <c:pt idx="74">
                  <c:v>56.4221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14.941050000000001</c:v>
                </c:pt>
                <c:pt idx="1">
                  <c:v>44.823149999999998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47.977428378378384</c:v>
                </c:pt>
                <c:pt idx="1">
                  <c:v>53.402378378378401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  <c:pt idx="74">
                  <c:v>2.36435</c:v>
                </c:pt>
                <c:pt idx="75">
                  <c:v>2.3553699999999997</c:v>
                </c:pt>
                <c:pt idx="76">
                  <c:v>2.34938</c:v>
                </c:pt>
                <c:pt idx="77">
                  <c:v>2.34402</c:v>
                </c:pt>
                <c:pt idx="78">
                  <c:v>2.3398099999999999</c:v>
                </c:pt>
                <c:pt idx="79">
                  <c:v>2.3359999999999999</c:v>
                </c:pt>
                <c:pt idx="80">
                  <c:v>2.33039</c:v>
                </c:pt>
                <c:pt idx="81">
                  <c:v>2.32497</c:v>
                </c:pt>
                <c:pt idx="82">
                  <c:v>2.3180899999999998</c:v>
                </c:pt>
                <c:pt idx="83">
                  <c:v>2.3117399999999999</c:v>
                </c:pt>
                <c:pt idx="84">
                  <c:v>2.3066999999999998</c:v>
                </c:pt>
                <c:pt idx="85">
                  <c:v>2.3025899999999999</c:v>
                </c:pt>
                <c:pt idx="86">
                  <c:v>2.2995199999999998</c:v>
                </c:pt>
                <c:pt idx="87">
                  <c:v>2.29894</c:v>
                </c:pt>
                <c:pt idx="88">
                  <c:v>2.2986200000000001</c:v>
                </c:pt>
                <c:pt idx="89">
                  <c:v>2.2959399999999999</c:v>
                </c:pt>
                <c:pt idx="90">
                  <c:v>2.2932100000000002</c:v>
                </c:pt>
                <c:pt idx="91">
                  <c:v>2.2925400000000002</c:v>
                </c:pt>
                <c:pt idx="92">
                  <c:v>2.2933700000000004</c:v>
                </c:pt>
                <c:pt idx="93">
                  <c:v>2.2929599999999999</c:v>
                </c:pt>
                <c:pt idx="94">
                  <c:v>2.28851</c:v>
                </c:pt>
                <c:pt idx="95">
                  <c:v>2.28172</c:v>
                </c:pt>
                <c:pt idx="96">
                  <c:v>2.2711000000000001</c:v>
                </c:pt>
                <c:pt idx="97">
                  <c:v>2.2600700000000002</c:v>
                </c:pt>
                <c:pt idx="98">
                  <c:v>2.2505000000000002</c:v>
                </c:pt>
                <c:pt idx="99">
                  <c:v>2.2400000000000002</c:v>
                </c:pt>
                <c:pt idx="100">
                  <c:v>2.22777</c:v>
                </c:pt>
                <c:pt idx="101">
                  <c:v>2.2170799999999997</c:v>
                </c:pt>
                <c:pt idx="102">
                  <c:v>2.2087000000000003</c:v>
                </c:pt>
                <c:pt idx="103">
                  <c:v>2.19869</c:v>
                </c:pt>
                <c:pt idx="104">
                  <c:v>2.1854</c:v>
                </c:pt>
                <c:pt idx="105">
                  <c:v>2.1740699999999999</c:v>
                </c:pt>
                <c:pt idx="106">
                  <c:v>2.1635399999999998</c:v>
                </c:pt>
                <c:pt idx="107">
                  <c:v>2.1550199999999999</c:v>
                </c:pt>
                <c:pt idx="108">
                  <c:v>2.1463199999999998</c:v>
                </c:pt>
                <c:pt idx="109">
                  <c:v>2.1364900000000002</c:v>
                </c:pt>
                <c:pt idx="110">
                  <c:v>2.1245799999999999</c:v>
                </c:pt>
                <c:pt idx="111">
                  <c:v>2.1109200000000001</c:v>
                </c:pt>
                <c:pt idx="112">
                  <c:v>2.0927599999999997</c:v>
                </c:pt>
                <c:pt idx="113">
                  <c:v>2.0740799999999999</c:v>
                </c:pt>
                <c:pt idx="114">
                  <c:v>2.0563199999999999</c:v>
                </c:pt>
                <c:pt idx="115">
                  <c:v>2.0410699999999999</c:v>
                </c:pt>
                <c:pt idx="116">
                  <c:v>2.02596</c:v>
                </c:pt>
                <c:pt idx="117">
                  <c:v>2.0121899999999999</c:v>
                </c:pt>
                <c:pt idx="118">
                  <c:v>1.9986200000000001</c:v>
                </c:pt>
                <c:pt idx="119">
                  <c:v>1.9892699999999999</c:v>
                </c:pt>
                <c:pt idx="120">
                  <c:v>1.9826600000000001</c:v>
                </c:pt>
                <c:pt idx="121">
                  <c:v>1.9808700000000001</c:v>
                </c:pt>
                <c:pt idx="122">
                  <c:v>1.9830700000000001</c:v>
                </c:pt>
                <c:pt idx="123">
                  <c:v>1.98759</c:v>
                </c:pt>
                <c:pt idx="124">
                  <c:v>1.98638</c:v>
                </c:pt>
                <c:pt idx="125">
                  <c:v>1.9858600000000002</c:v>
                </c:pt>
                <c:pt idx="126">
                  <c:v>1.98688</c:v>
                </c:pt>
                <c:pt idx="127">
                  <c:v>1.98671</c:v>
                </c:pt>
                <c:pt idx="128">
                  <c:v>1.9889999999999999</c:v>
                </c:pt>
                <c:pt idx="129">
                  <c:v>1.99441</c:v>
                </c:pt>
                <c:pt idx="130">
                  <c:v>1.99929</c:v>
                </c:pt>
                <c:pt idx="131">
                  <c:v>2.004</c:v>
                </c:pt>
                <c:pt idx="132">
                  <c:v>2.0102099999999998</c:v>
                </c:pt>
                <c:pt idx="133">
                  <c:v>2.0163800000000003</c:v>
                </c:pt>
                <c:pt idx="134">
                  <c:v>2.0218400000000001</c:v>
                </c:pt>
                <c:pt idx="135">
                  <c:v>2.0271400000000002</c:v>
                </c:pt>
                <c:pt idx="136">
                  <c:v>2.03234</c:v>
                </c:pt>
                <c:pt idx="137">
                  <c:v>2.04013</c:v>
                </c:pt>
                <c:pt idx="138">
                  <c:v>2.0492699999999999</c:v>
                </c:pt>
                <c:pt idx="139">
                  <c:v>2.0609199999999999</c:v>
                </c:pt>
                <c:pt idx="140">
                  <c:v>2.0720100000000001</c:v>
                </c:pt>
                <c:pt idx="141">
                  <c:v>2.0851299999999999</c:v>
                </c:pt>
                <c:pt idx="142">
                  <c:v>2.0976600000000003</c:v>
                </c:pt>
                <c:pt idx="143">
                  <c:v>2.1149999999999998</c:v>
                </c:pt>
                <c:pt idx="144">
                  <c:v>2.12371</c:v>
                </c:pt>
                <c:pt idx="145">
                  <c:v>2.1319699999999999</c:v>
                </c:pt>
                <c:pt idx="146">
                  <c:v>2.14039</c:v>
                </c:pt>
                <c:pt idx="147">
                  <c:v>2.1454300000000002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  <c:pt idx="74">
                  <c:v>49.415999999999997</c:v>
                </c:pt>
                <c:pt idx="75">
                  <c:v>49.473199999999999</c:v>
                </c:pt>
                <c:pt idx="76">
                  <c:v>49.474299999999999</c:v>
                </c:pt>
                <c:pt idx="77">
                  <c:v>49.435200000000002</c:v>
                </c:pt>
                <c:pt idx="78">
                  <c:v>49.385400000000004</c:v>
                </c:pt>
                <c:pt idx="79">
                  <c:v>49.317100000000003</c:v>
                </c:pt>
                <c:pt idx="80">
                  <c:v>49.229500000000002</c:v>
                </c:pt>
                <c:pt idx="81">
                  <c:v>49.133700000000005</c:v>
                </c:pt>
                <c:pt idx="82">
                  <c:v>49.060500000000005</c:v>
                </c:pt>
                <c:pt idx="83">
                  <c:v>49.013199999999998</c:v>
                </c:pt>
                <c:pt idx="84">
                  <c:v>48.989600000000003</c:v>
                </c:pt>
                <c:pt idx="85">
                  <c:v>49.006799999999998</c:v>
                </c:pt>
                <c:pt idx="86">
                  <c:v>49.033900000000003</c:v>
                </c:pt>
                <c:pt idx="87">
                  <c:v>49.076500000000003</c:v>
                </c:pt>
                <c:pt idx="88">
                  <c:v>49.168199999999999</c:v>
                </c:pt>
                <c:pt idx="89">
                  <c:v>49.318600000000004</c:v>
                </c:pt>
                <c:pt idx="90">
                  <c:v>49.459199999999996</c:v>
                </c:pt>
                <c:pt idx="91">
                  <c:v>49.553899999999999</c:v>
                </c:pt>
                <c:pt idx="92">
                  <c:v>49.599299999999999</c:v>
                </c:pt>
                <c:pt idx="93">
                  <c:v>49.693300000000001</c:v>
                </c:pt>
                <c:pt idx="94">
                  <c:v>49.876799999999996</c:v>
                </c:pt>
                <c:pt idx="95">
                  <c:v>50.064799999999998</c:v>
                </c:pt>
                <c:pt idx="96">
                  <c:v>50.260599999999997</c:v>
                </c:pt>
                <c:pt idx="97">
                  <c:v>50.457700000000003</c:v>
                </c:pt>
                <c:pt idx="98">
                  <c:v>50.621000000000002</c:v>
                </c:pt>
                <c:pt idx="99">
                  <c:v>50.805999999999997</c:v>
                </c:pt>
                <c:pt idx="100">
                  <c:v>51.060300000000005</c:v>
                </c:pt>
                <c:pt idx="101">
                  <c:v>51.202099999999994</c:v>
                </c:pt>
                <c:pt idx="102">
                  <c:v>51.313299999999998</c:v>
                </c:pt>
                <c:pt idx="103">
                  <c:v>51.405699999999996</c:v>
                </c:pt>
                <c:pt idx="104">
                  <c:v>51.5456</c:v>
                </c:pt>
                <c:pt idx="105">
                  <c:v>51.7151</c:v>
                </c:pt>
                <c:pt idx="106">
                  <c:v>51.909300000000002</c:v>
                </c:pt>
                <c:pt idx="107">
                  <c:v>52.030100000000004</c:v>
                </c:pt>
                <c:pt idx="108">
                  <c:v>52.177599999999998</c:v>
                </c:pt>
                <c:pt idx="109">
                  <c:v>52.386699999999998</c:v>
                </c:pt>
                <c:pt idx="110">
                  <c:v>52.634899999999995</c:v>
                </c:pt>
                <c:pt idx="111">
                  <c:v>52.937800000000003</c:v>
                </c:pt>
                <c:pt idx="112">
                  <c:v>53.341999999999999</c:v>
                </c:pt>
                <c:pt idx="113">
                  <c:v>53.776599999999995</c:v>
                </c:pt>
                <c:pt idx="114">
                  <c:v>54.207799999999992</c:v>
                </c:pt>
                <c:pt idx="115">
                  <c:v>54.602499999999999</c:v>
                </c:pt>
                <c:pt idx="116">
                  <c:v>55.037899999999993</c:v>
                </c:pt>
                <c:pt idx="117">
                  <c:v>55.483800000000002</c:v>
                </c:pt>
                <c:pt idx="118">
                  <c:v>55.9373</c:v>
                </c:pt>
                <c:pt idx="119">
                  <c:v>56.3078</c:v>
                </c:pt>
                <c:pt idx="120">
                  <c:v>56.595500000000001</c:v>
                </c:pt>
                <c:pt idx="121">
                  <c:v>56.748200000000004</c:v>
                </c:pt>
                <c:pt idx="122">
                  <c:v>56.781999999999996</c:v>
                </c:pt>
                <c:pt idx="123">
                  <c:v>56.792099999999998</c:v>
                </c:pt>
                <c:pt idx="124">
                  <c:v>56.797200000000004</c:v>
                </c:pt>
                <c:pt idx="125">
                  <c:v>56.758800000000001</c:v>
                </c:pt>
                <c:pt idx="126">
                  <c:v>56.825000000000003</c:v>
                </c:pt>
                <c:pt idx="127">
                  <c:v>56.989699999999999</c:v>
                </c:pt>
                <c:pt idx="128">
                  <c:v>57.154400000000003</c:v>
                </c:pt>
                <c:pt idx="129">
                  <c:v>57.268300000000004</c:v>
                </c:pt>
                <c:pt idx="130">
                  <c:v>57.398200000000003</c:v>
                </c:pt>
                <c:pt idx="131">
                  <c:v>57.530499999999996</c:v>
                </c:pt>
                <c:pt idx="132">
                  <c:v>57.665700000000001</c:v>
                </c:pt>
                <c:pt idx="133">
                  <c:v>57.783999999999999</c:v>
                </c:pt>
                <c:pt idx="134">
                  <c:v>57.853600000000007</c:v>
                </c:pt>
                <c:pt idx="135">
                  <c:v>57.911999999999999</c:v>
                </c:pt>
                <c:pt idx="136">
                  <c:v>57.943399999999997</c:v>
                </c:pt>
                <c:pt idx="137">
                  <c:v>57.908899999999996</c:v>
                </c:pt>
                <c:pt idx="138">
                  <c:v>57.845999999999997</c:v>
                </c:pt>
                <c:pt idx="139">
                  <c:v>57.744599999999998</c:v>
                </c:pt>
                <c:pt idx="140">
                  <c:v>57.651399999999995</c:v>
                </c:pt>
                <c:pt idx="141">
                  <c:v>57.541399999999996</c:v>
                </c:pt>
                <c:pt idx="142">
                  <c:v>57.422700000000006</c:v>
                </c:pt>
                <c:pt idx="143">
                  <c:v>57.180200000000006</c:v>
                </c:pt>
                <c:pt idx="144">
                  <c:v>56.9739</c:v>
                </c:pt>
                <c:pt idx="145">
                  <c:v>56.782400000000003</c:v>
                </c:pt>
                <c:pt idx="146">
                  <c:v>56.565299999999993</c:v>
                </c:pt>
                <c:pt idx="147">
                  <c:v>56.4221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2.0057700000000001</c:v>
                </c:pt>
                <c:pt idx="1">
                  <c:v>2.0473699999999999</c:v>
                </c:pt>
                <c:pt idx="2">
                  <c:v>2.0875499999999998</c:v>
                </c:pt>
                <c:pt idx="3">
                  <c:v>2.1279600000000003</c:v>
                </c:pt>
                <c:pt idx="4">
                  <c:v>2.1685400000000001</c:v>
                </c:pt>
                <c:pt idx="5">
                  <c:v>2.2101699999999997</c:v>
                </c:pt>
                <c:pt idx="6">
                  <c:v>2.2513199999999998</c:v>
                </c:pt>
                <c:pt idx="7">
                  <c:v>2.2932600000000001</c:v>
                </c:pt>
                <c:pt idx="8">
                  <c:v>2.3355799999999998</c:v>
                </c:pt>
                <c:pt idx="9">
                  <c:v>2.3768899999999999</c:v>
                </c:pt>
                <c:pt idx="10">
                  <c:v>2.4167900000000002</c:v>
                </c:pt>
                <c:pt idx="11">
                  <c:v>2.4542700000000002</c:v>
                </c:pt>
                <c:pt idx="12">
                  <c:v>2.4859499999999999</c:v>
                </c:pt>
                <c:pt idx="13">
                  <c:v>2.5133899999999998</c:v>
                </c:pt>
                <c:pt idx="14">
                  <c:v>2.5371100000000002</c:v>
                </c:pt>
                <c:pt idx="15">
                  <c:v>2.5607500000000001</c:v>
                </c:pt>
                <c:pt idx="16">
                  <c:v>2.58345</c:v>
                </c:pt>
                <c:pt idx="17">
                  <c:v>2.6045800000000003</c:v>
                </c:pt>
                <c:pt idx="18">
                  <c:v>2.6257599999999996</c:v>
                </c:pt>
                <c:pt idx="19">
                  <c:v>2.6461600000000001</c:v>
                </c:pt>
                <c:pt idx="20">
                  <c:v>2.6670100000000003</c:v>
                </c:pt>
                <c:pt idx="21">
                  <c:v>2.6875300000000002</c:v>
                </c:pt>
                <c:pt idx="22">
                  <c:v>2.7090999999999998</c:v>
                </c:pt>
                <c:pt idx="23">
                  <c:v>2.7310099999999999</c:v>
                </c:pt>
                <c:pt idx="24">
                  <c:v>2.7524700000000002</c:v>
                </c:pt>
                <c:pt idx="25">
                  <c:v>2.7703600000000002</c:v>
                </c:pt>
                <c:pt idx="26">
                  <c:v>2.7849200000000001</c:v>
                </c:pt>
                <c:pt idx="27">
                  <c:v>2.7964499999999997</c:v>
                </c:pt>
                <c:pt idx="28">
                  <c:v>2.8054099999999997</c:v>
                </c:pt>
                <c:pt idx="29">
                  <c:v>2.8128199999999999</c:v>
                </c:pt>
                <c:pt idx="30">
                  <c:v>2.8195900000000003</c:v>
                </c:pt>
                <c:pt idx="31">
                  <c:v>2.8267799999999998</c:v>
                </c:pt>
                <c:pt idx="32">
                  <c:v>2.8302</c:v>
                </c:pt>
                <c:pt idx="33">
                  <c:v>2.8304400000000003</c:v>
                </c:pt>
                <c:pt idx="34">
                  <c:v>2.8299300000000001</c:v>
                </c:pt>
                <c:pt idx="35">
                  <c:v>2.8287599999999999</c:v>
                </c:pt>
                <c:pt idx="36">
                  <c:v>2.8261099999999999</c:v>
                </c:pt>
                <c:pt idx="37">
                  <c:v>2.8248000000000002</c:v>
                </c:pt>
                <c:pt idx="38">
                  <c:v>2.8253599999999999</c:v>
                </c:pt>
                <c:pt idx="39">
                  <c:v>2.8252999999999999</c:v>
                </c:pt>
                <c:pt idx="40">
                  <c:v>2.82443</c:v>
                </c:pt>
                <c:pt idx="41">
                  <c:v>2.82267</c:v>
                </c:pt>
                <c:pt idx="42">
                  <c:v>2.8187000000000002</c:v>
                </c:pt>
                <c:pt idx="43">
                  <c:v>2.8070299999999997</c:v>
                </c:pt>
                <c:pt idx="44">
                  <c:v>2.7930999999999999</c:v>
                </c:pt>
                <c:pt idx="45">
                  <c:v>2.7776200000000002</c:v>
                </c:pt>
                <c:pt idx="46">
                  <c:v>2.7616499999999999</c:v>
                </c:pt>
                <c:pt idx="47">
                  <c:v>2.7448399999999999</c:v>
                </c:pt>
                <c:pt idx="48">
                  <c:v>2.7260200000000001</c:v>
                </c:pt>
                <c:pt idx="49">
                  <c:v>2.7060499999999998</c:v>
                </c:pt>
                <c:pt idx="50">
                  <c:v>2.6921099999999996</c:v>
                </c:pt>
                <c:pt idx="51">
                  <c:v>2.6734799999999996</c:v>
                </c:pt>
                <c:pt idx="52">
                  <c:v>2.6519300000000001</c:v>
                </c:pt>
                <c:pt idx="53">
                  <c:v>2.6415899999999999</c:v>
                </c:pt>
                <c:pt idx="54">
                  <c:v>2.6261899999999998</c:v>
                </c:pt>
                <c:pt idx="55">
                  <c:v>2.6030700000000002</c:v>
                </c:pt>
                <c:pt idx="56">
                  <c:v>2.5831900000000001</c:v>
                </c:pt>
                <c:pt idx="57">
                  <c:v>2.5683299999999996</c:v>
                </c:pt>
                <c:pt idx="58">
                  <c:v>2.54853</c:v>
                </c:pt>
                <c:pt idx="59">
                  <c:v>2.5288500000000003</c:v>
                </c:pt>
                <c:pt idx="60">
                  <c:v>2.5095700000000001</c:v>
                </c:pt>
                <c:pt idx="61">
                  <c:v>2.4939300000000002</c:v>
                </c:pt>
                <c:pt idx="62">
                  <c:v>2.47959</c:v>
                </c:pt>
                <c:pt idx="63">
                  <c:v>2.4645900000000003</c:v>
                </c:pt>
                <c:pt idx="64">
                  <c:v>2.45445</c:v>
                </c:pt>
                <c:pt idx="65">
                  <c:v>2.4416699999999998</c:v>
                </c:pt>
                <c:pt idx="66">
                  <c:v>2.42638</c:v>
                </c:pt>
                <c:pt idx="67">
                  <c:v>2.41486</c:v>
                </c:pt>
                <c:pt idx="68">
                  <c:v>2.40577</c:v>
                </c:pt>
                <c:pt idx="69">
                  <c:v>2.4000499999999998</c:v>
                </c:pt>
                <c:pt idx="70">
                  <c:v>2.39636</c:v>
                </c:pt>
                <c:pt idx="71">
                  <c:v>2.3926099999999999</c:v>
                </c:pt>
                <c:pt idx="72">
                  <c:v>2.3848400000000001</c:v>
                </c:pt>
                <c:pt idx="73">
                  <c:v>2.37717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61.444900000000004</c:v>
                </c:pt>
                <c:pt idx="1">
                  <c:v>60.581700000000005</c:v>
                </c:pt>
                <c:pt idx="2">
                  <c:v>59.764200000000002</c:v>
                </c:pt>
                <c:pt idx="3">
                  <c:v>58.959799999999994</c:v>
                </c:pt>
                <c:pt idx="4">
                  <c:v>58.189800000000005</c:v>
                </c:pt>
                <c:pt idx="5">
                  <c:v>57.377199999999995</c:v>
                </c:pt>
                <c:pt idx="6">
                  <c:v>56.638299999999994</c:v>
                </c:pt>
                <c:pt idx="7">
                  <c:v>55.852199999999996</c:v>
                </c:pt>
                <c:pt idx="8">
                  <c:v>54.990000000000009</c:v>
                </c:pt>
                <c:pt idx="9">
                  <c:v>54.190000000000005</c:v>
                </c:pt>
                <c:pt idx="10">
                  <c:v>53.425199999999997</c:v>
                </c:pt>
                <c:pt idx="11">
                  <c:v>52.715800000000002</c:v>
                </c:pt>
                <c:pt idx="12">
                  <c:v>52.055900000000001</c:v>
                </c:pt>
                <c:pt idx="13">
                  <c:v>51.505800000000001</c:v>
                </c:pt>
                <c:pt idx="14">
                  <c:v>50.927999999999997</c:v>
                </c:pt>
                <c:pt idx="15">
                  <c:v>50.338499999999996</c:v>
                </c:pt>
                <c:pt idx="16">
                  <c:v>49.797200000000004</c:v>
                </c:pt>
                <c:pt idx="17">
                  <c:v>49.2376</c:v>
                </c:pt>
                <c:pt idx="18">
                  <c:v>48.591499999999996</c:v>
                </c:pt>
                <c:pt idx="19">
                  <c:v>47.936800000000005</c:v>
                </c:pt>
                <c:pt idx="20">
                  <c:v>47.317100000000003</c:v>
                </c:pt>
                <c:pt idx="21">
                  <c:v>46.7149</c:v>
                </c:pt>
                <c:pt idx="22">
                  <c:v>46.108499999999999</c:v>
                </c:pt>
                <c:pt idx="23">
                  <c:v>45.4985</c:v>
                </c:pt>
                <c:pt idx="24">
                  <c:v>44.919899999999998</c:v>
                </c:pt>
                <c:pt idx="25">
                  <c:v>44.426200000000001</c:v>
                </c:pt>
                <c:pt idx="26">
                  <c:v>43.980699999999999</c:v>
                </c:pt>
                <c:pt idx="27">
                  <c:v>43.617199999999997</c:v>
                </c:pt>
                <c:pt idx="28">
                  <c:v>43.279600000000002</c:v>
                </c:pt>
                <c:pt idx="29">
                  <c:v>42.992200000000004</c:v>
                </c:pt>
                <c:pt idx="30">
                  <c:v>42.780799999999999</c:v>
                </c:pt>
                <c:pt idx="31">
                  <c:v>42.610799999999998</c:v>
                </c:pt>
                <c:pt idx="32">
                  <c:v>42.500799999999998</c:v>
                </c:pt>
                <c:pt idx="33">
                  <c:v>42.461100000000002</c:v>
                </c:pt>
                <c:pt idx="34">
                  <c:v>42.442999999999998</c:v>
                </c:pt>
                <c:pt idx="35">
                  <c:v>42.447600000000001</c:v>
                </c:pt>
                <c:pt idx="36">
                  <c:v>42.487700000000004</c:v>
                </c:pt>
                <c:pt idx="37">
                  <c:v>42.5563</c:v>
                </c:pt>
                <c:pt idx="38">
                  <c:v>42.645600000000002</c:v>
                </c:pt>
                <c:pt idx="39">
                  <c:v>42.758099999999999</c:v>
                </c:pt>
                <c:pt idx="40">
                  <c:v>42.892899999999997</c:v>
                </c:pt>
                <c:pt idx="41">
                  <c:v>43.022100000000002</c:v>
                </c:pt>
                <c:pt idx="42">
                  <c:v>43.177</c:v>
                </c:pt>
                <c:pt idx="43">
                  <c:v>43.344899999999996</c:v>
                </c:pt>
                <c:pt idx="44">
                  <c:v>43.551899999999996</c:v>
                </c:pt>
                <c:pt idx="45">
                  <c:v>43.775500000000001</c:v>
                </c:pt>
                <c:pt idx="46">
                  <c:v>44.011499999999998</c:v>
                </c:pt>
                <c:pt idx="47">
                  <c:v>44.301099999999998</c:v>
                </c:pt>
                <c:pt idx="48">
                  <c:v>44.663499999999999</c:v>
                </c:pt>
                <c:pt idx="49">
                  <c:v>45.072899999999997</c:v>
                </c:pt>
                <c:pt idx="50">
                  <c:v>45.402100000000004</c:v>
                </c:pt>
                <c:pt idx="51">
                  <c:v>45.802</c:v>
                </c:pt>
                <c:pt idx="52">
                  <c:v>46.171500000000002</c:v>
                </c:pt>
                <c:pt idx="53">
                  <c:v>46.427500000000002</c:v>
                </c:pt>
                <c:pt idx="54">
                  <c:v>46.715699999999998</c:v>
                </c:pt>
                <c:pt idx="55">
                  <c:v>47.035800000000002</c:v>
                </c:pt>
                <c:pt idx="56">
                  <c:v>47.3095</c:v>
                </c:pt>
                <c:pt idx="57">
                  <c:v>47.538000000000004</c:v>
                </c:pt>
                <c:pt idx="58">
                  <c:v>47.790700000000001</c:v>
                </c:pt>
                <c:pt idx="59">
                  <c:v>48.030799999999999</c:v>
                </c:pt>
                <c:pt idx="60">
                  <c:v>48.281800000000004</c:v>
                </c:pt>
                <c:pt idx="61">
                  <c:v>48.466700000000003</c:v>
                </c:pt>
                <c:pt idx="62">
                  <c:v>48.627700000000004</c:v>
                </c:pt>
                <c:pt idx="63">
                  <c:v>48.7271</c:v>
                </c:pt>
                <c:pt idx="64">
                  <c:v>48.8247</c:v>
                </c:pt>
                <c:pt idx="65">
                  <c:v>48.941800000000001</c:v>
                </c:pt>
                <c:pt idx="66">
                  <c:v>49.047899999999998</c:v>
                </c:pt>
                <c:pt idx="67">
                  <c:v>49.1706</c:v>
                </c:pt>
                <c:pt idx="68">
                  <c:v>49.192300000000003</c:v>
                </c:pt>
                <c:pt idx="69">
                  <c:v>49.163499999999999</c:v>
                </c:pt>
                <c:pt idx="70">
                  <c:v>49.1006</c:v>
                </c:pt>
                <c:pt idx="71">
                  <c:v>49.128999999999998</c:v>
                </c:pt>
                <c:pt idx="72">
                  <c:v>49.238300000000002</c:v>
                </c:pt>
                <c:pt idx="73">
                  <c:v>49.313800000000001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2.37717</c:v>
                </c:pt>
                <c:pt idx="1">
                  <c:v>2.36435</c:v>
                </c:pt>
                <c:pt idx="2">
                  <c:v>2.3553699999999997</c:v>
                </c:pt>
                <c:pt idx="3">
                  <c:v>2.34938</c:v>
                </c:pt>
                <c:pt idx="4">
                  <c:v>2.34402</c:v>
                </c:pt>
                <c:pt idx="5">
                  <c:v>2.3398099999999999</c:v>
                </c:pt>
                <c:pt idx="6">
                  <c:v>2.3359999999999999</c:v>
                </c:pt>
                <c:pt idx="7">
                  <c:v>2.33039</c:v>
                </c:pt>
                <c:pt idx="8">
                  <c:v>2.32497</c:v>
                </c:pt>
                <c:pt idx="9">
                  <c:v>2.3180899999999998</c:v>
                </c:pt>
                <c:pt idx="10">
                  <c:v>2.3117399999999999</c:v>
                </c:pt>
                <c:pt idx="11">
                  <c:v>2.3066999999999998</c:v>
                </c:pt>
                <c:pt idx="12">
                  <c:v>2.3025899999999999</c:v>
                </c:pt>
                <c:pt idx="13">
                  <c:v>2.2995199999999998</c:v>
                </c:pt>
                <c:pt idx="14">
                  <c:v>2.29894</c:v>
                </c:pt>
                <c:pt idx="15">
                  <c:v>2.2986200000000001</c:v>
                </c:pt>
                <c:pt idx="16">
                  <c:v>2.2959399999999999</c:v>
                </c:pt>
                <c:pt idx="17">
                  <c:v>2.2932100000000002</c:v>
                </c:pt>
                <c:pt idx="18">
                  <c:v>2.2925400000000002</c:v>
                </c:pt>
                <c:pt idx="19">
                  <c:v>2.2933700000000004</c:v>
                </c:pt>
                <c:pt idx="20">
                  <c:v>2.2929599999999999</c:v>
                </c:pt>
                <c:pt idx="21">
                  <c:v>2.28851</c:v>
                </c:pt>
                <c:pt idx="22">
                  <c:v>2.28172</c:v>
                </c:pt>
                <c:pt idx="23">
                  <c:v>2.2711000000000001</c:v>
                </c:pt>
                <c:pt idx="24">
                  <c:v>2.2600700000000002</c:v>
                </c:pt>
                <c:pt idx="25">
                  <c:v>2.2505000000000002</c:v>
                </c:pt>
                <c:pt idx="26">
                  <c:v>2.2400000000000002</c:v>
                </c:pt>
                <c:pt idx="27">
                  <c:v>2.22777</c:v>
                </c:pt>
                <c:pt idx="28">
                  <c:v>2.2170799999999997</c:v>
                </c:pt>
                <c:pt idx="29">
                  <c:v>2.2087000000000003</c:v>
                </c:pt>
                <c:pt idx="30">
                  <c:v>2.19869</c:v>
                </c:pt>
                <c:pt idx="31">
                  <c:v>2.1854</c:v>
                </c:pt>
                <c:pt idx="32">
                  <c:v>2.1740699999999999</c:v>
                </c:pt>
                <c:pt idx="33">
                  <c:v>2.1635399999999998</c:v>
                </c:pt>
                <c:pt idx="34">
                  <c:v>2.1550199999999999</c:v>
                </c:pt>
                <c:pt idx="35">
                  <c:v>2.1463199999999998</c:v>
                </c:pt>
                <c:pt idx="36">
                  <c:v>2.1364900000000002</c:v>
                </c:pt>
                <c:pt idx="37">
                  <c:v>2.1245799999999999</c:v>
                </c:pt>
                <c:pt idx="38">
                  <c:v>2.1109200000000001</c:v>
                </c:pt>
                <c:pt idx="39">
                  <c:v>2.0927599999999997</c:v>
                </c:pt>
                <c:pt idx="40">
                  <c:v>2.0740799999999999</c:v>
                </c:pt>
                <c:pt idx="41">
                  <c:v>2.0563199999999999</c:v>
                </c:pt>
                <c:pt idx="42">
                  <c:v>2.0410699999999999</c:v>
                </c:pt>
                <c:pt idx="43">
                  <c:v>2.02596</c:v>
                </c:pt>
                <c:pt idx="44">
                  <c:v>2.0121899999999999</c:v>
                </c:pt>
                <c:pt idx="45">
                  <c:v>1.9986200000000001</c:v>
                </c:pt>
                <c:pt idx="46">
                  <c:v>1.9892699999999999</c:v>
                </c:pt>
                <c:pt idx="47">
                  <c:v>1.9826600000000001</c:v>
                </c:pt>
                <c:pt idx="48">
                  <c:v>1.9808700000000001</c:v>
                </c:pt>
                <c:pt idx="49">
                  <c:v>1.9830700000000001</c:v>
                </c:pt>
                <c:pt idx="50">
                  <c:v>1.98759</c:v>
                </c:pt>
                <c:pt idx="51">
                  <c:v>1.98638</c:v>
                </c:pt>
                <c:pt idx="52">
                  <c:v>1.9858600000000002</c:v>
                </c:pt>
                <c:pt idx="53">
                  <c:v>1.98688</c:v>
                </c:pt>
                <c:pt idx="54">
                  <c:v>1.98671</c:v>
                </c:pt>
                <c:pt idx="55">
                  <c:v>1.9889999999999999</c:v>
                </c:pt>
                <c:pt idx="56">
                  <c:v>1.99441</c:v>
                </c:pt>
                <c:pt idx="57">
                  <c:v>1.99929</c:v>
                </c:pt>
                <c:pt idx="58">
                  <c:v>2.004</c:v>
                </c:pt>
                <c:pt idx="59">
                  <c:v>2.0102099999999998</c:v>
                </c:pt>
                <c:pt idx="60">
                  <c:v>2.0163800000000003</c:v>
                </c:pt>
                <c:pt idx="61">
                  <c:v>2.0218400000000001</c:v>
                </c:pt>
                <c:pt idx="62">
                  <c:v>2.0271400000000002</c:v>
                </c:pt>
                <c:pt idx="63">
                  <c:v>2.03234</c:v>
                </c:pt>
                <c:pt idx="64">
                  <c:v>2.04013</c:v>
                </c:pt>
                <c:pt idx="65">
                  <c:v>2.0492699999999999</c:v>
                </c:pt>
                <c:pt idx="66">
                  <c:v>2.0609199999999999</c:v>
                </c:pt>
                <c:pt idx="67">
                  <c:v>2.0720100000000001</c:v>
                </c:pt>
                <c:pt idx="68">
                  <c:v>2.0851299999999999</c:v>
                </c:pt>
                <c:pt idx="69">
                  <c:v>2.0976600000000003</c:v>
                </c:pt>
                <c:pt idx="70">
                  <c:v>2.1149999999999998</c:v>
                </c:pt>
                <c:pt idx="71">
                  <c:v>2.12371</c:v>
                </c:pt>
                <c:pt idx="72">
                  <c:v>2.1319699999999999</c:v>
                </c:pt>
                <c:pt idx="73">
                  <c:v>2.14039</c:v>
                </c:pt>
                <c:pt idx="74">
                  <c:v>2.1454300000000002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49.313800000000001</c:v>
                </c:pt>
                <c:pt idx="1">
                  <c:v>49.415999999999997</c:v>
                </c:pt>
                <c:pt idx="2">
                  <c:v>49.473199999999999</c:v>
                </c:pt>
                <c:pt idx="3">
                  <c:v>49.474299999999999</c:v>
                </c:pt>
                <c:pt idx="4">
                  <c:v>49.435200000000002</c:v>
                </c:pt>
                <c:pt idx="5">
                  <c:v>49.385400000000004</c:v>
                </c:pt>
                <c:pt idx="6">
                  <c:v>49.317100000000003</c:v>
                </c:pt>
                <c:pt idx="7">
                  <c:v>49.229500000000002</c:v>
                </c:pt>
                <c:pt idx="8">
                  <c:v>49.133700000000005</c:v>
                </c:pt>
                <c:pt idx="9">
                  <c:v>49.060500000000005</c:v>
                </c:pt>
                <c:pt idx="10">
                  <c:v>49.013199999999998</c:v>
                </c:pt>
                <c:pt idx="11">
                  <c:v>48.989600000000003</c:v>
                </c:pt>
                <c:pt idx="12">
                  <c:v>49.006799999999998</c:v>
                </c:pt>
                <c:pt idx="13">
                  <c:v>49.033900000000003</c:v>
                </c:pt>
                <c:pt idx="14">
                  <c:v>49.076500000000003</c:v>
                </c:pt>
                <c:pt idx="15">
                  <c:v>49.168199999999999</c:v>
                </c:pt>
                <c:pt idx="16">
                  <c:v>49.318600000000004</c:v>
                </c:pt>
                <c:pt idx="17">
                  <c:v>49.459199999999996</c:v>
                </c:pt>
                <c:pt idx="18">
                  <c:v>49.553899999999999</c:v>
                </c:pt>
                <c:pt idx="19">
                  <c:v>49.599299999999999</c:v>
                </c:pt>
                <c:pt idx="20">
                  <c:v>49.693300000000001</c:v>
                </c:pt>
                <c:pt idx="21">
                  <c:v>49.876799999999996</c:v>
                </c:pt>
                <c:pt idx="22">
                  <c:v>50.064799999999998</c:v>
                </c:pt>
                <c:pt idx="23">
                  <c:v>50.260599999999997</c:v>
                </c:pt>
                <c:pt idx="24">
                  <c:v>50.457700000000003</c:v>
                </c:pt>
                <c:pt idx="25">
                  <c:v>50.621000000000002</c:v>
                </c:pt>
                <c:pt idx="26">
                  <c:v>50.805999999999997</c:v>
                </c:pt>
                <c:pt idx="27">
                  <c:v>51.060300000000005</c:v>
                </c:pt>
                <c:pt idx="28">
                  <c:v>51.202099999999994</c:v>
                </c:pt>
                <c:pt idx="29">
                  <c:v>51.313299999999998</c:v>
                </c:pt>
                <c:pt idx="30">
                  <c:v>51.405699999999996</c:v>
                </c:pt>
                <c:pt idx="31">
                  <c:v>51.5456</c:v>
                </c:pt>
                <c:pt idx="32">
                  <c:v>51.7151</c:v>
                </c:pt>
                <c:pt idx="33">
                  <c:v>51.909300000000002</c:v>
                </c:pt>
                <c:pt idx="34">
                  <c:v>52.030100000000004</c:v>
                </c:pt>
                <c:pt idx="35">
                  <c:v>52.177599999999998</c:v>
                </c:pt>
                <c:pt idx="36">
                  <c:v>52.386699999999998</c:v>
                </c:pt>
                <c:pt idx="37">
                  <c:v>52.634899999999995</c:v>
                </c:pt>
                <c:pt idx="38">
                  <c:v>52.937800000000003</c:v>
                </c:pt>
                <c:pt idx="39">
                  <c:v>53.341999999999999</c:v>
                </c:pt>
                <c:pt idx="40">
                  <c:v>53.776599999999995</c:v>
                </c:pt>
                <c:pt idx="41">
                  <c:v>54.207799999999992</c:v>
                </c:pt>
                <c:pt idx="42">
                  <c:v>54.602499999999999</c:v>
                </c:pt>
                <c:pt idx="43">
                  <c:v>55.037899999999993</c:v>
                </c:pt>
                <c:pt idx="44">
                  <c:v>55.483800000000002</c:v>
                </c:pt>
                <c:pt idx="45">
                  <c:v>55.9373</c:v>
                </c:pt>
                <c:pt idx="46">
                  <c:v>56.3078</c:v>
                </c:pt>
                <c:pt idx="47">
                  <c:v>56.595500000000001</c:v>
                </c:pt>
                <c:pt idx="48">
                  <c:v>56.748200000000004</c:v>
                </c:pt>
                <c:pt idx="49">
                  <c:v>56.781999999999996</c:v>
                </c:pt>
                <c:pt idx="50">
                  <c:v>56.792099999999998</c:v>
                </c:pt>
                <c:pt idx="51">
                  <c:v>56.797200000000004</c:v>
                </c:pt>
                <c:pt idx="52">
                  <c:v>56.758800000000001</c:v>
                </c:pt>
                <c:pt idx="53">
                  <c:v>56.825000000000003</c:v>
                </c:pt>
                <c:pt idx="54">
                  <c:v>56.989699999999999</c:v>
                </c:pt>
                <c:pt idx="55">
                  <c:v>57.154400000000003</c:v>
                </c:pt>
                <c:pt idx="56">
                  <c:v>57.268300000000004</c:v>
                </c:pt>
                <c:pt idx="57">
                  <c:v>57.398200000000003</c:v>
                </c:pt>
                <c:pt idx="58">
                  <c:v>57.530499999999996</c:v>
                </c:pt>
                <c:pt idx="59">
                  <c:v>57.665700000000001</c:v>
                </c:pt>
                <c:pt idx="60">
                  <c:v>57.783999999999999</c:v>
                </c:pt>
                <c:pt idx="61">
                  <c:v>57.853600000000007</c:v>
                </c:pt>
                <c:pt idx="62">
                  <c:v>57.911999999999999</c:v>
                </c:pt>
                <c:pt idx="63">
                  <c:v>57.943399999999997</c:v>
                </c:pt>
                <c:pt idx="64">
                  <c:v>57.908899999999996</c:v>
                </c:pt>
                <c:pt idx="65">
                  <c:v>57.845999999999997</c:v>
                </c:pt>
                <c:pt idx="66">
                  <c:v>57.744599999999998</c:v>
                </c:pt>
                <c:pt idx="67">
                  <c:v>57.651399999999995</c:v>
                </c:pt>
                <c:pt idx="68">
                  <c:v>57.541399999999996</c:v>
                </c:pt>
                <c:pt idx="69">
                  <c:v>57.422700000000006</c:v>
                </c:pt>
                <c:pt idx="70">
                  <c:v>57.180200000000006</c:v>
                </c:pt>
                <c:pt idx="71">
                  <c:v>56.9739</c:v>
                </c:pt>
                <c:pt idx="72">
                  <c:v>56.782400000000003</c:v>
                </c:pt>
                <c:pt idx="73">
                  <c:v>56.565299999999993</c:v>
                </c:pt>
                <c:pt idx="74">
                  <c:v>56.4221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2.0057700000000001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61.444900000000004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2.5818674324324324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47.977428378378384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2.1529122972972967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53.402378378378401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2.1529122972972967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53.402378378378401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572</v>
      </c>
      <c r="D5" s="191"/>
      <c r="E5" s="191"/>
      <c r="F5" s="192"/>
      <c r="G5" s="48" t="str">
        <f>lang!B27</f>
        <v>编号</v>
      </c>
      <c r="H5" s="190">
        <v>7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571</v>
      </c>
      <c r="D6" s="145"/>
      <c r="E6" s="145"/>
      <c r="F6" s="146"/>
      <c r="G6" s="49" t="str">
        <f>lang!B28</f>
        <v xml:space="preserve"> 日期</v>
      </c>
      <c r="H6" s="129">
        <f>FH_info!A2</f>
        <v>43608.384085648147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65</v>
      </c>
      <c r="D7" s="148"/>
      <c r="E7" s="148"/>
      <c r="F7" s="149"/>
      <c r="G7" s="50" t="str">
        <f>lang!B29</f>
        <v>误差率（%）</v>
      </c>
      <c r="H7" s="132">
        <f>M!B17*1</f>
        <v>18.549399999999999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31.6172</v>
      </c>
      <c r="O8" s="59">
        <f>M!C5*1</f>
        <v>5.7792500000000002</v>
      </c>
      <c r="P8" s="59">
        <f>M!D5*1</f>
        <v>18.2788</v>
      </c>
      <c r="Q8" s="59">
        <f>M!E5*1</f>
        <v>20</v>
      </c>
      <c r="R8" s="59">
        <f>M!F5*1</f>
        <v>14.406499999999999</v>
      </c>
      <c r="S8" s="59">
        <f>M!G5*1</f>
        <v>50</v>
      </c>
      <c r="T8" s="59">
        <f>M!H5*1</f>
        <v>43.689399999999999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28.6539</v>
      </c>
      <c r="O9" s="59">
        <f>M!C6*1</f>
        <v>5.5191499999999998</v>
      </c>
      <c r="P9" s="59">
        <f>M!D6*1</f>
        <v>19.261399999999998</v>
      </c>
      <c r="Q9" s="59">
        <f>M!E6*1</f>
        <v>20</v>
      </c>
      <c r="R9" s="59">
        <f>M!F6*1</f>
        <v>21.756799999999998</v>
      </c>
      <c r="S9" s="59">
        <f>M!G6*1</f>
        <v>40</v>
      </c>
      <c r="T9" s="59">
        <f>M!H6*1</f>
        <v>45.718200000000003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14.406499999999999</v>
      </c>
      <c r="D10" s="99">
        <f>N8</f>
        <v>31.6172</v>
      </c>
      <c r="E10" s="100">
        <f>T8</f>
        <v>43.689399999999999</v>
      </c>
      <c r="F10" s="91">
        <f>P8</f>
        <v>18.2788</v>
      </c>
      <c r="G10" s="81" t="str">
        <f>CONCATENATE(M9,"
(20 ~ 40)")</f>
        <v>压力
(20 ~ 40)</v>
      </c>
      <c r="H10" s="98">
        <f>R9</f>
        <v>21.756799999999998</v>
      </c>
      <c r="I10" s="108">
        <f>N9</f>
        <v>28.6539</v>
      </c>
      <c r="J10" s="98">
        <f>T9</f>
        <v>45.718200000000003</v>
      </c>
      <c r="K10" s="92">
        <f>P9</f>
        <v>19.261399999999998</v>
      </c>
      <c r="L10" s="6"/>
      <c r="M10" s="27" t="str">
        <f>lang!B16</f>
        <v>焦虑</v>
      </c>
      <c r="N10" s="59">
        <f>M!B7*1</f>
        <v>27.183499999999999</v>
      </c>
      <c r="O10" s="59">
        <f>M!C7*1</f>
        <v>11.825100000000001</v>
      </c>
      <c r="P10" s="59">
        <f>M!D7*1</f>
        <v>43.500799999999998</v>
      </c>
      <c r="Q10" s="59">
        <f>M!E7*1</f>
        <v>15</v>
      </c>
      <c r="R10" s="59">
        <f>M!F7*1</f>
        <v>3.6226699999999998</v>
      </c>
      <c r="S10" s="59">
        <f>M!G7*1</f>
        <v>40</v>
      </c>
      <c r="T10" s="59">
        <f>M!H7*1</f>
        <v>46.974299999999999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3.6226699999999998</v>
      </c>
      <c r="D11" s="102">
        <f>N10</f>
        <v>27.183499999999999</v>
      </c>
      <c r="E11" s="103">
        <f>T10</f>
        <v>46.974299999999999</v>
      </c>
      <c r="F11" s="94">
        <f>P10</f>
        <v>43.500799999999998</v>
      </c>
      <c r="G11" s="52" t="str">
        <f>CONCATENATE(M11,"
(20 ~ 50)")</f>
        <v>可疑
(20 ~ 50)</v>
      </c>
      <c r="H11" s="101">
        <f>R11</f>
        <v>13.6172</v>
      </c>
      <c r="I11" s="104">
        <f>N11</f>
        <v>30.1586</v>
      </c>
      <c r="J11" s="101">
        <f>T11</f>
        <v>38.363399999999999</v>
      </c>
      <c r="K11" s="95">
        <f>P11</f>
        <v>19.454499999999999</v>
      </c>
      <c r="L11" s="4"/>
      <c r="M11" s="27" t="str">
        <f>lang!B17</f>
        <v>可疑</v>
      </c>
      <c r="N11" s="59">
        <f>M!B8*1</f>
        <v>30.1586</v>
      </c>
      <c r="O11" s="59">
        <f>M!C8*1</f>
        <v>5.8672000000000004</v>
      </c>
      <c r="P11" s="59">
        <f>M!D8*1</f>
        <v>19.454499999999999</v>
      </c>
      <c r="Q11" s="59">
        <f>M!E8*1</f>
        <v>20</v>
      </c>
      <c r="R11" s="59">
        <f>M!F8*1</f>
        <v>13.6172</v>
      </c>
      <c r="S11" s="59">
        <f>M!G8*1</f>
        <v>50</v>
      </c>
      <c r="T11" s="59">
        <f>M!H8*1</f>
        <v>38.363399999999999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61.207700000000003</v>
      </c>
      <c r="D12" s="104">
        <f>N12</f>
        <v>71.894099999999995</v>
      </c>
      <c r="E12" s="101">
        <f>T12</f>
        <v>83.485399999999998</v>
      </c>
      <c r="F12" s="93">
        <f>P12</f>
        <v>6.1738099999999996</v>
      </c>
      <c r="G12" s="52" t="str">
        <f>CONCATENATE(M13,"
(40 ~ 100)")</f>
        <v>自信
(40 ~ 100)</v>
      </c>
      <c r="H12" s="101">
        <f>R13</f>
        <v>63.421999999999997</v>
      </c>
      <c r="I12" s="104">
        <f>N13</f>
        <v>82.235900000000001</v>
      </c>
      <c r="J12" s="101">
        <f>T13</f>
        <v>86.002799999999993</v>
      </c>
      <c r="K12" s="95">
        <f>P13</f>
        <v>6.63666</v>
      </c>
      <c r="L12" s="4"/>
      <c r="M12" s="27" t="str">
        <f>lang!B18</f>
        <v>平衡</v>
      </c>
      <c r="N12" s="59">
        <f>M!B9*1</f>
        <v>71.894099999999995</v>
      </c>
      <c r="O12" s="59">
        <f>M!C9*1</f>
        <v>4.4386000000000001</v>
      </c>
      <c r="P12" s="59">
        <f>M!D9*1</f>
        <v>6.1738099999999996</v>
      </c>
      <c r="Q12" s="59">
        <f>M!E9*1</f>
        <v>50</v>
      </c>
      <c r="R12" s="59">
        <f>M!F9*1</f>
        <v>61.207700000000003</v>
      </c>
      <c r="S12" s="59">
        <f>M!G9*1</f>
        <v>100</v>
      </c>
      <c r="T12" s="59">
        <f>M!H9*1</f>
        <v>83.485399999999998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9.6003299999999996</v>
      </c>
      <c r="D13" s="102">
        <f>N14</f>
        <v>13.4916</v>
      </c>
      <c r="E13" s="103">
        <f>T14</f>
        <v>17.770099999999999</v>
      </c>
      <c r="F13" s="94">
        <f>P14</f>
        <v>16.0245</v>
      </c>
      <c r="G13" s="52" t="str">
        <f>CONCATENATE(M15,"
(50 ~ 100)")</f>
        <v>自我调节
(50 ~ 100)</v>
      </c>
      <c r="H13" s="101">
        <f>R15</f>
        <v>65.730800000000002</v>
      </c>
      <c r="I13" s="104">
        <f>N15</f>
        <v>76.324100000000001</v>
      </c>
      <c r="J13" s="101">
        <f>T15</f>
        <v>84.346100000000007</v>
      </c>
      <c r="K13" s="95">
        <f>P15</f>
        <v>4.8952799999999996</v>
      </c>
      <c r="L13" s="4"/>
      <c r="M13" s="27" t="str">
        <f>lang!B19</f>
        <v>自信</v>
      </c>
      <c r="N13" s="59">
        <f>M!B10*1</f>
        <v>82.235900000000001</v>
      </c>
      <c r="O13" s="59">
        <f>M!C10*1</f>
        <v>5.4577200000000001</v>
      </c>
      <c r="P13" s="59">
        <f>M!D10*1</f>
        <v>6.63666</v>
      </c>
      <c r="Q13" s="59">
        <f>M!E10*1</f>
        <v>40</v>
      </c>
      <c r="R13" s="59">
        <f>M!F10*1</f>
        <v>63.421999999999997</v>
      </c>
      <c r="S13" s="59">
        <f>M!G10*1</f>
        <v>100</v>
      </c>
      <c r="T13" s="59">
        <f>M!H10*1</f>
        <v>86.002799999999993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11.891999999999999</v>
      </c>
      <c r="D14" s="106">
        <f>N16</f>
        <v>18.250599999999999</v>
      </c>
      <c r="E14" s="107">
        <f>T16</f>
        <v>31.979500000000002</v>
      </c>
      <c r="F14" s="96">
        <f>P16</f>
        <v>21.2013</v>
      </c>
      <c r="G14" s="112" t="str">
        <f>CONCATENATE(M17,"
(10 ~ 50)")</f>
        <v>神经质
(10 ~ 50)</v>
      </c>
      <c r="H14" s="105">
        <f>R17</f>
        <v>2.0930900000000001</v>
      </c>
      <c r="I14" s="106">
        <f>N17</f>
        <v>38.6937</v>
      </c>
      <c r="J14" s="107">
        <f>T17</f>
        <v>45.878599999999999</v>
      </c>
      <c r="K14" s="97">
        <f>P17</f>
        <v>30.066500000000001</v>
      </c>
      <c r="M14" s="27" t="str">
        <f>lang!B20</f>
        <v>活力</v>
      </c>
      <c r="N14" s="59">
        <f>M!B11*1</f>
        <v>13.4916</v>
      </c>
      <c r="O14" s="59">
        <f>M!C11*1</f>
        <v>2.1619700000000002</v>
      </c>
      <c r="P14" s="59">
        <f>M!D11*1</f>
        <v>16.0245</v>
      </c>
      <c r="Q14" s="59">
        <f>M!E11*1</f>
        <v>10</v>
      </c>
      <c r="R14" s="59">
        <f>M!F11*1</f>
        <v>9.6003299999999996</v>
      </c>
      <c r="S14" s="59">
        <f>M!G11*1</f>
        <v>50</v>
      </c>
      <c r="T14" s="59">
        <f>M!H11*1</f>
        <v>17.770099999999999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76.324100000000001</v>
      </c>
      <c r="O15" s="59">
        <f>M!C12*1</f>
        <v>3.7362700000000002</v>
      </c>
      <c r="P15" s="59">
        <f>M!D12*1</f>
        <v>4.8952799999999996</v>
      </c>
      <c r="Q15" s="59">
        <f>M!E12*1</f>
        <v>50</v>
      </c>
      <c r="R15" s="59">
        <f>M!F12*1</f>
        <v>65.730800000000002</v>
      </c>
      <c r="S15" s="59">
        <f>M!G12*1</f>
        <v>100</v>
      </c>
      <c r="T15" s="59">
        <f>M!H12*1</f>
        <v>84.346100000000007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18.250599999999999</v>
      </c>
      <c r="O16" s="59">
        <f>M!C13*1</f>
        <v>3.86937</v>
      </c>
      <c r="P16" s="59">
        <f>M!D13*1</f>
        <v>21.2013</v>
      </c>
      <c r="Q16" s="59">
        <f>M!E13*1</f>
        <v>10</v>
      </c>
      <c r="R16" s="59">
        <f>M!F13*1</f>
        <v>11.891999999999999</v>
      </c>
      <c r="S16" s="59">
        <f>M!G13*1</f>
        <v>25</v>
      </c>
      <c r="T16" s="59">
        <f>M!H13*1</f>
        <v>31.979500000000002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38.6937</v>
      </c>
      <c r="O17" s="59">
        <f>M!C14*1</f>
        <v>11.633800000000001</v>
      </c>
      <c r="P17" s="59">
        <f>M!D14*1</f>
        <v>30.066500000000001</v>
      </c>
      <c r="Q17" s="59">
        <f>M!E14*1</f>
        <v>10</v>
      </c>
      <c r="R17" s="59">
        <f>M!F14*1</f>
        <v>2.0930900000000001</v>
      </c>
      <c r="S17" s="59">
        <f>M!G14*1</f>
        <v>50</v>
      </c>
      <c r="T17" s="59">
        <f>M!H14*1</f>
        <v>45.878599999999999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60.986424999999997</v>
      </c>
      <c r="O18" s="22">
        <f>N18/(N18+N19+N20)</f>
        <v>0.51308651323227061</v>
      </c>
      <c r="P18" s="65">
        <f>SUM(P12:P15)/4</f>
        <v>8.4325624999999995</v>
      </c>
      <c r="Q18" s="22">
        <f>P18/(P18+P19+P20)</f>
        <v>0.1424651869910355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29.403300000000002</v>
      </c>
      <c r="O19" s="22">
        <f>N19/(N18+N19+N20)</f>
        <v>0.24737368479169627</v>
      </c>
      <c r="P19" s="18">
        <f>SUM(P8:P11)/4</f>
        <v>25.123874999999998</v>
      </c>
      <c r="Q19" s="22">
        <f>P19/(P18+P19+P20)</f>
        <v>0.42445905972406389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28.472149999999999</v>
      </c>
      <c r="O20" s="22">
        <f>N20/(N18+N19+N20)</f>
        <v>0.23953980197603311</v>
      </c>
      <c r="P20" s="18">
        <f>(P16+P17)/2</f>
        <v>25.633900000000001</v>
      </c>
      <c r="Q20" s="22">
        <f>P20/(P18+P19+P20)</f>
        <v>0.43307575328490061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9.7145013513513762E-2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1.1651794426719926</v>
      </c>
      <c r="D25" s="44" t="str">
        <f>lang!B11</f>
        <v>频率方差</v>
      </c>
      <c r="E25" s="182">
        <f ca="1">FH!L3</f>
        <v>0.50799736908525739</v>
      </c>
      <c r="F25" s="183"/>
      <c r="G25" s="174" t="str">
        <f>lang!B12</f>
        <v>生理变化率</v>
      </c>
      <c r="H25" s="175"/>
      <c r="I25" s="62" t="str">
        <f ca="1">CONCATENATE(info!M7,"-",info!M8)</f>
        <v>42.4-61.4</v>
      </c>
      <c r="J25" s="42" t="str">
        <f>lang!B13</f>
        <v>千卡l/分钟</v>
      </c>
      <c r="K25" s="41" t="str">
        <f ca="1">CONCATENATE(info!M5,"-",info!M6)</f>
        <v>2-2.8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59.038000000000004</v>
      </c>
      <c r="F28" s="121"/>
      <c r="G28" s="135" t="str">
        <f>lang!B33</f>
        <v>稳定性</v>
      </c>
      <c r="H28" s="136"/>
      <c r="I28" s="137"/>
      <c r="J28" s="138">
        <f>M!B19*100</f>
        <v>65.806100000000001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43608.384085648147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-4.9881000000000029</v>
      </c>
      <c r="O7" s="59">
        <f t="shared" ref="O7:T7" si="2">AG7-X7</f>
        <v>-4.78918</v>
      </c>
      <c r="P7" s="59">
        <f t="shared" si="2"/>
        <v>-12.425050000000001</v>
      </c>
      <c r="Q7" s="59">
        <f t="shared" si="2"/>
        <v>0</v>
      </c>
      <c r="R7" s="59">
        <f t="shared" si="2"/>
        <v>10.900499999999999</v>
      </c>
      <c r="S7" s="59">
        <f t="shared" si="2"/>
        <v>0</v>
      </c>
      <c r="T7" s="59">
        <f t="shared" si="2"/>
        <v>-7.4883000000000024</v>
      </c>
      <c r="U7" s="14"/>
      <c r="V7" s="27" t="str">
        <f>M7</f>
        <v>攻击性</v>
      </c>
      <c r="W7" s="59">
        <f>'M1'!B5*1</f>
        <v>34.768500000000003</v>
      </c>
      <c r="X7" s="59">
        <f>'M1'!C5*1</f>
        <v>7.5902000000000003</v>
      </c>
      <c r="Y7" s="59">
        <f>'M1'!D5*1</f>
        <v>21.8306</v>
      </c>
      <c r="Z7" s="59">
        <f>'M1'!E5*1</f>
        <v>20</v>
      </c>
      <c r="AA7" s="59">
        <f>'M1'!F5*1</f>
        <v>14.406499999999999</v>
      </c>
      <c r="AB7" s="59">
        <f>'M1'!G5*1</f>
        <v>50</v>
      </c>
      <c r="AC7" s="59">
        <f>'M1'!H5*1</f>
        <v>43.689399999999999</v>
      </c>
      <c r="AE7" s="27" t="str">
        <f>V7</f>
        <v>攻击性</v>
      </c>
      <c r="AF7" s="59">
        <f>'M2'!B5*1</f>
        <v>29.7804</v>
      </c>
      <c r="AG7" s="59">
        <f>'M2'!C5*1</f>
        <v>2.8010199999999998</v>
      </c>
      <c r="AH7" s="59">
        <f>'M2'!D5*1</f>
        <v>9.4055499999999999</v>
      </c>
      <c r="AI7" s="59">
        <f>'M2'!E5*1</f>
        <v>20</v>
      </c>
      <c r="AJ7" s="59">
        <f>'M2'!F5*1</f>
        <v>25.306999999999999</v>
      </c>
      <c r="AK7" s="59">
        <f>'M2'!G5*1</f>
        <v>50</v>
      </c>
      <c r="AL7" s="59">
        <f>'M2'!H5*1</f>
        <v>36.201099999999997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2.1404999999999994</v>
      </c>
      <c r="O8" s="59">
        <f t="shared" ref="O8:O16" si="5">AG8-X8</f>
        <v>2.2402499999999996</v>
      </c>
      <c r="P8" s="59">
        <f t="shared" ref="P8:P16" si="6">AH8-Y8</f>
        <v>6.4007000000000005</v>
      </c>
      <c r="Q8" s="59">
        <f t="shared" ref="Q8:Q16" si="7">AI8-Z8</f>
        <v>0</v>
      </c>
      <c r="R8" s="59">
        <f t="shared" ref="R8:R16" si="8">AJ8-AA8</f>
        <v>4.2667000000000002</v>
      </c>
      <c r="S8" s="59">
        <f t="shared" ref="S8:S16" si="9">AK8-AB8</f>
        <v>0</v>
      </c>
      <c r="T8" s="59">
        <f t="shared" ref="T8:T16" si="10">AL8-AC8</f>
        <v>6.2768000000000015</v>
      </c>
      <c r="U8" s="15"/>
      <c r="V8" s="27" t="str">
        <f t="shared" ref="V8:V16" si="11">M8</f>
        <v>压力</v>
      </c>
      <c r="W8" s="59">
        <f>'M1'!B6*1</f>
        <v>28.184200000000001</v>
      </c>
      <c r="X8" s="59">
        <f>'M1'!C6*1</f>
        <v>3.9402699999999999</v>
      </c>
      <c r="Y8" s="59">
        <f>'M1'!D6*1</f>
        <v>13.980399999999999</v>
      </c>
      <c r="Z8" s="59">
        <f>'M1'!E6*1</f>
        <v>20</v>
      </c>
      <c r="AA8" s="59">
        <f>'M1'!F6*1</f>
        <v>21.756799999999998</v>
      </c>
      <c r="AB8" s="59">
        <f>'M1'!G6*1</f>
        <v>40</v>
      </c>
      <c r="AC8" s="59">
        <f>'M1'!H6*1</f>
        <v>39.441400000000002</v>
      </c>
      <c r="AE8" s="27" t="str">
        <f t="shared" ref="AE8:AE16" si="12">V8</f>
        <v>压力</v>
      </c>
      <c r="AF8" s="59">
        <f>'M2'!B6*1</f>
        <v>30.3247</v>
      </c>
      <c r="AG8" s="59">
        <f>'M2'!C6*1</f>
        <v>6.1805199999999996</v>
      </c>
      <c r="AH8" s="59">
        <f>'M2'!D6*1</f>
        <v>20.3811</v>
      </c>
      <c r="AI8" s="59">
        <f>'M2'!E6*1</f>
        <v>20</v>
      </c>
      <c r="AJ8" s="59">
        <f>'M2'!F6*1</f>
        <v>26.023499999999999</v>
      </c>
      <c r="AK8" s="59">
        <f>'M2'!G6*1</f>
        <v>40</v>
      </c>
      <c r="AL8" s="59">
        <f>'M2'!H6*1</f>
        <v>45.718200000000003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10.900499999999999</v>
      </c>
      <c r="D9" s="78">
        <f>N7</f>
        <v>-4.9881000000000029</v>
      </c>
      <c r="E9" s="79">
        <f>T7</f>
        <v>-7.4883000000000024</v>
      </c>
      <c r="F9" s="79">
        <f>P7</f>
        <v>-12.425050000000001</v>
      </c>
      <c r="G9" s="80" t="str">
        <f>CONCATENATE(M8,"
(20 ~ 40)")</f>
        <v>压力
(20 ~ 40)</v>
      </c>
      <c r="H9" s="77">
        <f>R8</f>
        <v>4.2667000000000002</v>
      </c>
      <c r="I9" s="81">
        <f>N8</f>
        <v>2.1404999999999994</v>
      </c>
      <c r="J9" s="77">
        <f>T8</f>
        <v>6.2768000000000015</v>
      </c>
      <c r="K9" s="82">
        <f>P8</f>
        <v>6.4007000000000005</v>
      </c>
      <c r="L9" s="6"/>
      <c r="M9" s="27" t="str">
        <f>lang!B16</f>
        <v>焦虑</v>
      </c>
      <c r="N9" s="59">
        <f t="shared" si="4"/>
        <v>-1.4770000000000003</v>
      </c>
      <c r="O9" s="59">
        <f t="shared" si="5"/>
        <v>0.85299999999999976</v>
      </c>
      <c r="P9" s="59">
        <f t="shared" si="6"/>
        <v>5.6570000000000036</v>
      </c>
      <c r="Q9" s="59">
        <f t="shared" si="7"/>
        <v>0</v>
      </c>
      <c r="R9" s="59">
        <f t="shared" si="8"/>
        <v>-5.7100000000000151E-2</v>
      </c>
      <c r="S9" s="59">
        <f t="shared" si="9"/>
        <v>0</v>
      </c>
      <c r="T9" s="59">
        <f t="shared" si="10"/>
        <v>5.9199999999997033E-2</v>
      </c>
      <c r="U9" s="14"/>
      <c r="V9" s="27" t="str">
        <f t="shared" si="11"/>
        <v>焦虑</v>
      </c>
      <c r="W9" s="59">
        <f>'M1'!B7*1</f>
        <v>27.4072</v>
      </c>
      <c r="X9" s="59">
        <f>'M1'!C7*1</f>
        <v>11.3918</v>
      </c>
      <c r="Y9" s="59">
        <f>'M1'!D7*1</f>
        <v>41.564999999999998</v>
      </c>
      <c r="Z9" s="59">
        <f>'M1'!E7*1</f>
        <v>15</v>
      </c>
      <c r="AA9" s="59">
        <f>'M1'!F7*1</f>
        <v>3.67977</v>
      </c>
      <c r="AB9" s="59">
        <f>'M1'!G7*1</f>
        <v>40</v>
      </c>
      <c r="AC9" s="59">
        <f>'M1'!H7*1</f>
        <v>46.915100000000002</v>
      </c>
      <c r="AE9" s="27" t="str">
        <f t="shared" si="12"/>
        <v>焦虑</v>
      </c>
      <c r="AF9" s="59">
        <f>'M2'!B7*1</f>
        <v>25.930199999999999</v>
      </c>
      <c r="AG9" s="59">
        <f>'M2'!C7*1</f>
        <v>12.2448</v>
      </c>
      <c r="AH9" s="59">
        <f>'M2'!D7*1</f>
        <v>47.222000000000001</v>
      </c>
      <c r="AI9" s="59">
        <f>'M2'!E7*1</f>
        <v>15</v>
      </c>
      <c r="AJ9" s="59">
        <f>'M2'!F7*1</f>
        <v>3.6226699999999998</v>
      </c>
      <c r="AK9" s="59">
        <f>'M2'!G7*1</f>
        <v>40</v>
      </c>
      <c r="AL9" s="59">
        <f>'M2'!H7*1</f>
        <v>46.974299999999999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-5.7100000000000151E-2</v>
      </c>
      <c r="D10" s="51">
        <f>N9</f>
        <v>-1.4770000000000003</v>
      </c>
      <c r="E10" s="53">
        <f>T9</f>
        <v>5.9199999999997033E-2</v>
      </c>
      <c r="F10" s="53">
        <f>P9</f>
        <v>5.6570000000000036</v>
      </c>
      <c r="G10" s="73" t="str">
        <f>CONCATENATE(M10,"
(20 ~ 50)")</f>
        <v>可疑
(20 ~ 50)</v>
      </c>
      <c r="H10" s="24">
        <f>R10</f>
        <v>6.1969999999999992</v>
      </c>
      <c r="I10" s="52">
        <f>N10</f>
        <v>-2.1789999999999985</v>
      </c>
      <c r="J10" s="24">
        <f>T10</f>
        <v>1.4067000000000007</v>
      </c>
      <c r="K10" s="25">
        <f>P10</f>
        <v>0.85480000000000089</v>
      </c>
      <c r="L10" s="4"/>
      <c r="M10" s="27" t="str">
        <f>lang!B17</f>
        <v>可疑</v>
      </c>
      <c r="N10" s="59">
        <f t="shared" si="4"/>
        <v>-2.1789999999999985</v>
      </c>
      <c r="O10" s="59">
        <f t="shared" si="5"/>
        <v>-0.18853000000000009</v>
      </c>
      <c r="P10" s="59">
        <f t="shared" si="6"/>
        <v>0.85480000000000089</v>
      </c>
      <c r="Q10" s="59">
        <f t="shared" si="7"/>
        <v>0</v>
      </c>
      <c r="R10" s="59">
        <f t="shared" si="8"/>
        <v>6.1969999999999992</v>
      </c>
      <c r="S10" s="59">
        <f t="shared" si="9"/>
        <v>0</v>
      </c>
      <c r="T10" s="59">
        <f t="shared" si="10"/>
        <v>1.4067000000000007</v>
      </c>
      <c r="U10" s="14"/>
      <c r="V10" s="27" t="str">
        <f t="shared" si="11"/>
        <v>可疑</v>
      </c>
      <c r="W10" s="59">
        <f>'M1'!B8*1</f>
        <v>30.224799999999998</v>
      </c>
      <c r="X10" s="59">
        <f>'M1'!C8*1</f>
        <v>5.94034</v>
      </c>
      <c r="Y10" s="59">
        <f>'M1'!D8*1</f>
        <v>19.6539</v>
      </c>
      <c r="Z10" s="59">
        <f>'M1'!E8*1</f>
        <v>20</v>
      </c>
      <c r="AA10" s="59">
        <f>'M1'!F8*1</f>
        <v>13.6172</v>
      </c>
      <c r="AB10" s="59">
        <f>'M1'!G8*1</f>
        <v>50</v>
      </c>
      <c r="AC10" s="59">
        <f>'M1'!H8*1</f>
        <v>36.956699999999998</v>
      </c>
      <c r="AE10" s="27" t="str">
        <f t="shared" si="12"/>
        <v>可疑</v>
      </c>
      <c r="AF10" s="59">
        <f>'M2'!B8*1</f>
        <v>28.0458</v>
      </c>
      <c r="AG10" s="59">
        <f>'M2'!C8*1</f>
        <v>5.7518099999999999</v>
      </c>
      <c r="AH10" s="59">
        <f>'M2'!D8*1</f>
        <v>20.508700000000001</v>
      </c>
      <c r="AI10" s="59">
        <f>'M2'!E8*1</f>
        <v>20</v>
      </c>
      <c r="AJ10" s="59">
        <f>'M2'!F8*1</f>
        <v>19.8142</v>
      </c>
      <c r="AK10" s="59">
        <f>'M2'!G8*1</f>
        <v>50</v>
      </c>
      <c r="AL10" s="59">
        <f>'M2'!H8*1</f>
        <v>38.363399999999999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2.0031999999999996</v>
      </c>
      <c r="D11" s="52">
        <f>N11</f>
        <v>0.89860000000000184</v>
      </c>
      <c r="E11" s="24">
        <f>T11</f>
        <v>-5.4474000000000018</v>
      </c>
      <c r="F11" s="24">
        <f>P11</f>
        <v>-3.1794700000000002</v>
      </c>
      <c r="G11" s="73" t="str">
        <f>CONCATENATE(M12,"
(40 ~ 100)")</f>
        <v>自信
(40 ~ 100)</v>
      </c>
      <c r="H11" s="24">
        <f>R12</f>
        <v>-5.7954000000000008</v>
      </c>
      <c r="I11" s="52">
        <f>N12</f>
        <v>-0.23900000000000432</v>
      </c>
      <c r="J11" s="24">
        <f>T12</f>
        <v>-1.6117999999999881</v>
      </c>
      <c r="K11" s="25">
        <f>P12</f>
        <v>3.5822000000000003</v>
      </c>
      <c r="L11" s="4"/>
      <c r="M11" s="27" t="str">
        <f>lang!B18</f>
        <v>平衡</v>
      </c>
      <c r="N11" s="59">
        <f t="shared" si="4"/>
        <v>0.89860000000000184</v>
      </c>
      <c r="O11" s="59">
        <f t="shared" si="5"/>
        <v>-2.2292200000000002</v>
      </c>
      <c r="P11" s="59">
        <f t="shared" si="6"/>
        <v>-3.1794700000000002</v>
      </c>
      <c r="Q11" s="59">
        <f t="shared" si="7"/>
        <v>0</v>
      </c>
      <c r="R11" s="59">
        <f t="shared" si="8"/>
        <v>2.0031999999999996</v>
      </c>
      <c r="S11" s="59">
        <f t="shared" si="9"/>
        <v>0</v>
      </c>
      <c r="T11" s="59">
        <f t="shared" si="10"/>
        <v>-5.4474000000000018</v>
      </c>
      <c r="U11" s="14"/>
      <c r="V11" s="27" t="str">
        <f t="shared" si="11"/>
        <v>平衡</v>
      </c>
      <c r="W11" s="59">
        <f>'M1'!B9*1</f>
        <v>71.353700000000003</v>
      </c>
      <c r="X11" s="59">
        <f>'M1'!C9*1</f>
        <v>5.40097</v>
      </c>
      <c r="Y11" s="59">
        <f>'M1'!D9*1</f>
        <v>7.5693000000000001</v>
      </c>
      <c r="Z11" s="59">
        <f>'M1'!E9*1</f>
        <v>50</v>
      </c>
      <c r="AA11" s="59">
        <f>'M1'!F9*1</f>
        <v>61.207700000000003</v>
      </c>
      <c r="AB11" s="59">
        <f>'M1'!G9*1</f>
        <v>100</v>
      </c>
      <c r="AC11" s="59">
        <f>'M1'!H9*1</f>
        <v>83.485399999999998</v>
      </c>
      <c r="AE11" s="27" t="str">
        <f t="shared" si="12"/>
        <v>平衡</v>
      </c>
      <c r="AF11" s="59">
        <f>'M2'!B9*1</f>
        <v>72.252300000000005</v>
      </c>
      <c r="AG11" s="59">
        <f>'M2'!C9*1</f>
        <v>3.1717499999999998</v>
      </c>
      <c r="AH11" s="59">
        <f>'M2'!D9*1</f>
        <v>4.3898299999999999</v>
      </c>
      <c r="AI11" s="59">
        <f>'M2'!E9*1</f>
        <v>50</v>
      </c>
      <c r="AJ11" s="59">
        <f>'M2'!F9*1</f>
        <v>63.210900000000002</v>
      </c>
      <c r="AK11" s="59">
        <f>'M2'!G9*1</f>
        <v>100</v>
      </c>
      <c r="AL11" s="59">
        <f>'M2'!H9*1</f>
        <v>78.037999999999997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-0.99117000000000033</v>
      </c>
      <c r="D12" s="51">
        <f>N13</f>
        <v>-3.2378999999999998</v>
      </c>
      <c r="E12" s="53">
        <f>T13</f>
        <v>-2.9326999999999988</v>
      </c>
      <c r="F12" s="53">
        <f>P13</f>
        <v>-2.7196400000000001</v>
      </c>
      <c r="G12" s="73" t="str">
        <f>CONCATENATE(M14,"
(50 ~ 100)")</f>
        <v>自我调节
(50 ~ 100)</v>
      </c>
      <c r="H12" s="24">
        <f>R14</f>
        <v>-2.7129000000000048</v>
      </c>
      <c r="I12" s="52">
        <f>N14</f>
        <v>-1.4043000000000063</v>
      </c>
      <c r="J12" s="24">
        <f>T14</f>
        <v>-4.2979000000000127</v>
      </c>
      <c r="K12" s="25">
        <f>P14</f>
        <v>-0.43759000000000015</v>
      </c>
      <c r="L12" s="4"/>
      <c r="M12" s="27" t="str">
        <f>lang!B19</f>
        <v>自信</v>
      </c>
      <c r="N12" s="59">
        <f t="shared" si="4"/>
        <v>-0.23900000000000432</v>
      </c>
      <c r="O12" s="59">
        <f t="shared" si="5"/>
        <v>2.9274599999999995</v>
      </c>
      <c r="P12" s="59">
        <f t="shared" si="6"/>
        <v>3.5822000000000003</v>
      </c>
      <c r="Q12" s="59">
        <f t="shared" si="7"/>
        <v>0</v>
      </c>
      <c r="R12" s="59">
        <f t="shared" si="8"/>
        <v>-5.7954000000000008</v>
      </c>
      <c r="S12" s="59">
        <f t="shared" si="9"/>
        <v>0</v>
      </c>
      <c r="T12" s="59">
        <f t="shared" si="10"/>
        <v>-1.6117999999999881</v>
      </c>
      <c r="U12" s="15"/>
      <c r="V12" s="27" t="str">
        <f t="shared" si="11"/>
        <v>自信</v>
      </c>
      <c r="W12" s="59">
        <f>'M1'!B10*1</f>
        <v>82.247900000000001</v>
      </c>
      <c r="X12" s="59">
        <f>'M1'!C10*1</f>
        <v>3.5326900000000001</v>
      </c>
      <c r="Y12" s="59">
        <f>'M1'!D10*1</f>
        <v>4.2951699999999997</v>
      </c>
      <c r="Z12" s="59">
        <f>'M1'!E10*1</f>
        <v>40</v>
      </c>
      <c r="AA12" s="59">
        <f>'M1'!F10*1</f>
        <v>69.217399999999998</v>
      </c>
      <c r="AB12" s="59">
        <f>'M1'!G10*1</f>
        <v>100</v>
      </c>
      <c r="AC12" s="59">
        <f>'M1'!H10*1</f>
        <v>86.002799999999993</v>
      </c>
      <c r="AE12" s="27" t="str">
        <f t="shared" si="12"/>
        <v>自信</v>
      </c>
      <c r="AF12" s="59">
        <f>'M2'!B10*1</f>
        <v>82.008899999999997</v>
      </c>
      <c r="AG12" s="59">
        <f>'M2'!C10*1</f>
        <v>6.4601499999999996</v>
      </c>
      <c r="AH12" s="59">
        <f>'M2'!D10*1</f>
        <v>7.87737</v>
      </c>
      <c r="AI12" s="59">
        <f>'M2'!E10*1</f>
        <v>40</v>
      </c>
      <c r="AJ12" s="59">
        <f>'M2'!F10*1</f>
        <v>63.421999999999997</v>
      </c>
      <c r="AK12" s="59">
        <f>'M2'!G10*1</f>
        <v>100</v>
      </c>
      <c r="AL12" s="59">
        <f>'M2'!H10*1</f>
        <v>84.391000000000005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-3.7327000000000012</v>
      </c>
      <c r="D13" s="55">
        <f>N15</f>
        <v>-3.6318999999999981</v>
      </c>
      <c r="E13" s="56">
        <f>T15</f>
        <v>5.2630000000000017</v>
      </c>
      <c r="F13" s="56">
        <f>P15</f>
        <v>13.314199999999998</v>
      </c>
      <c r="G13" s="74" t="str">
        <f>CONCATENATE(M16,"
(10 ~ 50)")</f>
        <v>神经质
(10 ~ 50)</v>
      </c>
      <c r="H13" s="54">
        <f>R16</f>
        <v>-1.5336099999999999</v>
      </c>
      <c r="I13" s="55">
        <f>N16</f>
        <v>16.619800000000001</v>
      </c>
      <c r="J13" s="56">
        <f>T16</f>
        <v>15.4955</v>
      </c>
      <c r="K13" s="57">
        <f>P16</f>
        <v>1.9786999999999999</v>
      </c>
      <c r="M13" s="27" t="str">
        <f>lang!B20</f>
        <v>活力</v>
      </c>
      <c r="N13" s="59">
        <f t="shared" si="4"/>
        <v>-3.2378999999999998</v>
      </c>
      <c r="O13" s="59">
        <f t="shared" si="5"/>
        <v>-0.74238000000000004</v>
      </c>
      <c r="P13" s="59">
        <f t="shared" si="6"/>
        <v>-2.7196400000000001</v>
      </c>
      <c r="Q13" s="59">
        <f t="shared" si="7"/>
        <v>0</v>
      </c>
      <c r="R13" s="59">
        <f t="shared" si="8"/>
        <v>-0.99117000000000033</v>
      </c>
      <c r="S13" s="59">
        <f t="shared" si="9"/>
        <v>0</v>
      </c>
      <c r="T13" s="59">
        <f t="shared" si="10"/>
        <v>-2.9326999999999988</v>
      </c>
      <c r="U13" s="14"/>
      <c r="V13" s="27" t="str">
        <f t="shared" si="11"/>
        <v>活力</v>
      </c>
      <c r="W13" s="59">
        <f>'M1'!B11*1</f>
        <v>15.853999999999999</v>
      </c>
      <c r="X13" s="59">
        <f>'M1'!C11*1</f>
        <v>1.95496</v>
      </c>
      <c r="Y13" s="59">
        <f>'M1'!D11*1</f>
        <v>12.331</v>
      </c>
      <c r="Z13" s="59">
        <f>'M1'!E11*1</f>
        <v>10</v>
      </c>
      <c r="AA13" s="59">
        <f>'M1'!F11*1</f>
        <v>10.5915</v>
      </c>
      <c r="AB13" s="59">
        <f>'M1'!G11*1</f>
        <v>50</v>
      </c>
      <c r="AC13" s="59">
        <f>'M1'!H11*1</f>
        <v>17.770099999999999</v>
      </c>
      <c r="AE13" s="27" t="str">
        <f t="shared" si="12"/>
        <v>活力</v>
      </c>
      <c r="AF13" s="59">
        <f>'M2'!B11*1</f>
        <v>12.616099999999999</v>
      </c>
      <c r="AG13" s="59">
        <f>'M2'!C11*1</f>
        <v>1.21258</v>
      </c>
      <c r="AH13" s="59">
        <f>'M2'!D11*1</f>
        <v>9.6113599999999995</v>
      </c>
      <c r="AI13" s="59">
        <f>'M2'!E11*1</f>
        <v>10</v>
      </c>
      <c r="AJ13" s="59">
        <f>'M2'!F11*1</f>
        <v>9.6003299999999996</v>
      </c>
      <c r="AK13" s="59">
        <f>'M2'!G11*1</f>
        <v>50</v>
      </c>
      <c r="AL13" s="59">
        <f>'M2'!H11*1</f>
        <v>14.837400000000001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-1.4043000000000063</v>
      </c>
      <c r="O14" s="59">
        <f t="shared" si="5"/>
        <v>-0.39998000000000022</v>
      </c>
      <c r="P14" s="59">
        <f t="shared" si="6"/>
        <v>-0.43759000000000015</v>
      </c>
      <c r="Q14" s="59">
        <f t="shared" si="7"/>
        <v>0</v>
      </c>
      <c r="R14" s="59">
        <f t="shared" si="8"/>
        <v>-2.7129000000000048</v>
      </c>
      <c r="S14" s="59">
        <f t="shared" si="9"/>
        <v>0</v>
      </c>
      <c r="T14" s="59">
        <f t="shared" si="10"/>
        <v>-4.2979000000000127</v>
      </c>
      <c r="U14" s="14"/>
      <c r="V14" s="27" t="str">
        <f t="shared" si="11"/>
        <v>自我调节</v>
      </c>
      <c r="W14" s="59">
        <f>'M1'!B12*1</f>
        <v>76.707700000000003</v>
      </c>
      <c r="X14" s="59">
        <f>'M1'!C12*1</f>
        <v>3.8486400000000001</v>
      </c>
      <c r="Y14" s="59">
        <f>'M1'!D12*1</f>
        <v>5.0172800000000004</v>
      </c>
      <c r="Z14" s="59">
        <f>'M1'!E12*1</f>
        <v>50</v>
      </c>
      <c r="AA14" s="59">
        <f>'M1'!F12*1</f>
        <v>68.443700000000007</v>
      </c>
      <c r="AB14" s="59">
        <f>'M1'!G12*1</f>
        <v>100</v>
      </c>
      <c r="AC14" s="59">
        <f>'M1'!H12*1</f>
        <v>84.346100000000007</v>
      </c>
      <c r="AE14" s="27" t="str">
        <f t="shared" si="12"/>
        <v>自我调节</v>
      </c>
      <c r="AF14" s="59">
        <f>'M2'!B12*1</f>
        <v>75.303399999999996</v>
      </c>
      <c r="AG14" s="59">
        <f>'M2'!C12*1</f>
        <v>3.4486599999999998</v>
      </c>
      <c r="AH14" s="59">
        <f>'M2'!D12*1</f>
        <v>4.5796900000000003</v>
      </c>
      <c r="AI14" s="59">
        <f>'M2'!E12*1</f>
        <v>50</v>
      </c>
      <c r="AJ14" s="59">
        <f>'M2'!F12*1</f>
        <v>65.730800000000002</v>
      </c>
      <c r="AK14" s="59">
        <f>'M2'!G12*1</f>
        <v>100</v>
      </c>
      <c r="AL14" s="59">
        <f>'M2'!H12*1</f>
        <v>80.048199999999994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-3.6318999999999981</v>
      </c>
      <c r="O15" s="59">
        <f t="shared" si="5"/>
        <v>1.6619800000000002</v>
      </c>
      <c r="P15" s="59">
        <f t="shared" si="6"/>
        <v>13.314199999999998</v>
      </c>
      <c r="Q15" s="59">
        <f t="shared" si="7"/>
        <v>0</v>
      </c>
      <c r="R15" s="59">
        <f t="shared" si="8"/>
        <v>-3.7327000000000012</v>
      </c>
      <c r="S15" s="59">
        <f t="shared" si="9"/>
        <v>0</v>
      </c>
      <c r="T15" s="59">
        <f t="shared" si="10"/>
        <v>5.2630000000000017</v>
      </c>
      <c r="U15" s="14"/>
      <c r="V15" s="27" t="str">
        <f t="shared" si="11"/>
        <v>抑郁</v>
      </c>
      <c r="W15" s="59">
        <f>'M1'!B13*1</f>
        <v>19.707999999999998</v>
      </c>
      <c r="X15" s="59">
        <f>'M1'!C13*1</f>
        <v>2.5961099999999999</v>
      </c>
      <c r="Y15" s="59">
        <f>'M1'!D13*1</f>
        <v>13.172800000000001</v>
      </c>
      <c r="Z15" s="59">
        <f>'M1'!E13*1</f>
        <v>10</v>
      </c>
      <c r="AA15" s="59">
        <f>'M1'!F13*1</f>
        <v>15.624700000000001</v>
      </c>
      <c r="AB15" s="59">
        <f>'M1'!G13*1</f>
        <v>25</v>
      </c>
      <c r="AC15" s="59">
        <f>'M1'!H13*1</f>
        <v>26.7165</v>
      </c>
      <c r="AE15" s="27" t="str">
        <f t="shared" si="12"/>
        <v>抑郁</v>
      </c>
      <c r="AF15" s="59">
        <f>'M2'!B13*1</f>
        <v>16.0761</v>
      </c>
      <c r="AG15" s="59">
        <f>'M2'!C13*1</f>
        <v>4.2580900000000002</v>
      </c>
      <c r="AH15" s="59">
        <f>'M2'!D13*1</f>
        <v>26.486999999999998</v>
      </c>
      <c r="AI15" s="59">
        <f>'M2'!E13*1</f>
        <v>10</v>
      </c>
      <c r="AJ15" s="59">
        <f>'M2'!F13*1</f>
        <v>11.891999999999999</v>
      </c>
      <c r="AK15" s="59">
        <f>'M2'!G13*1</f>
        <v>25</v>
      </c>
      <c r="AL15" s="59">
        <f>'M2'!H13*1</f>
        <v>31.979500000000002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16.619800000000001</v>
      </c>
      <c r="O16" s="59">
        <f t="shared" si="5"/>
        <v>5.8032700000000004</v>
      </c>
      <c r="P16" s="59">
        <f t="shared" si="6"/>
        <v>1.9786999999999999</v>
      </c>
      <c r="Q16" s="59">
        <f t="shared" si="7"/>
        <v>0</v>
      </c>
      <c r="R16" s="59">
        <f t="shared" si="8"/>
        <v>-1.5336099999999999</v>
      </c>
      <c r="S16" s="59">
        <f t="shared" si="9"/>
        <v>0</v>
      </c>
      <c r="T16" s="59">
        <f t="shared" si="10"/>
        <v>15.4955</v>
      </c>
      <c r="U16" s="15"/>
      <c r="V16" s="27" t="str">
        <f t="shared" si="11"/>
        <v>神经质</v>
      </c>
      <c r="W16" s="59">
        <f>'M1'!B14*1</f>
        <v>25.961099999999998</v>
      </c>
      <c r="X16" s="59">
        <f>'M1'!C14*1</f>
        <v>7.7490300000000003</v>
      </c>
      <c r="Y16" s="59">
        <f>'M1'!D14*1</f>
        <v>29.848600000000001</v>
      </c>
      <c r="Z16" s="59">
        <f>'M1'!E14*1</f>
        <v>10</v>
      </c>
      <c r="AA16" s="59">
        <f>'M1'!F14*1</f>
        <v>3.6267</v>
      </c>
      <c r="AB16" s="59">
        <f>'M1'!G14*1</f>
        <v>50</v>
      </c>
      <c r="AC16" s="59">
        <f>'M1'!H14*1</f>
        <v>30.383099999999999</v>
      </c>
      <c r="AE16" s="27" t="str">
        <f t="shared" si="12"/>
        <v>神经质</v>
      </c>
      <c r="AF16" s="59">
        <f>'M2'!B14*1</f>
        <v>42.5809</v>
      </c>
      <c r="AG16" s="59">
        <f>'M2'!C14*1</f>
        <v>13.552300000000001</v>
      </c>
      <c r="AH16" s="59">
        <f>'M2'!D14*1</f>
        <v>31.827300000000001</v>
      </c>
      <c r="AI16" s="59">
        <f>'M2'!E14*1</f>
        <v>10</v>
      </c>
      <c r="AJ16" s="59">
        <f>'M2'!F14*1</f>
        <v>2.0930900000000001</v>
      </c>
      <c r="AK16" s="59">
        <f>'M2'!G14*1</f>
        <v>50</v>
      </c>
      <c r="AL16" s="59">
        <f>'M2'!H14*1</f>
        <v>45.878599999999999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-0.99565000000000214</v>
      </c>
      <c r="O17" s="22">
        <f>N17/(N17+N18+N19)</f>
        <v>-0.25711445098646896</v>
      </c>
      <c r="P17" s="65">
        <f>SUM(P11:P14)/4</f>
        <v>-0.68862500000000004</v>
      </c>
      <c r="Q17" s="22">
        <f>P17/(P17+P18+P19)</f>
        <v>-9.7267711322003972E-2</v>
      </c>
      <c r="R17" s="14"/>
      <c r="S17" s="14"/>
      <c r="T17" s="14"/>
      <c r="U17" s="14"/>
      <c r="V17" s="21" t="str">
        <f>M17</f>
        <v>Positive</v>
      </c>
      <c r="W17" s="65">
        <f>SUM(W11:W14)/4</f>
        <v>61.540824999999998</v>
      </c>
      <c r="X17" s="22">
        <f>W17/(W17+W18+W19)</f>
        <v>0.53737331532798849</v>
      </c>
      <c r="Y17" s="65">
        <f>SUM(Y11:Y14)/4</f>
        <v>7.3031874999999999</v>
      </c>
      <c r="Z17" s="22">
        <f>Y17/(Y17+Y18+Y19)</f>
        <v>0.13761070294737582</v>
      </c>
      <c r="AA17" s="14"/>
      <c r="AB17" s="14"/>
      <c r="AC17" s="14"/>
      <c r="AE17" s="21" t="str">
        <f>V17</f>
        <v>Positive</v>
      </c>
      <c r="AF17" s="65">
        <f>SUM(AF11:AF14)/4</f>
        <v>60.545175</v>
      </c>
      <c r="AG17" s="22">
        <f>AF17/(AF17+AF18+AF19)</f>
        <v>0.51138740619769851</v>
      </c>
      <c r="AH17" s="65">
        <f>SUM(AH11:AH14)/4</f>
        <v>6.6145624999999999</v>
      </c>
      <c r="AI17" s="22">
        <f>AH17/(AH17+AH18+AH19)</f>
        <v>0.10996586925747762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-1.6259000000000006</v>
      </c>
      <c r="O18" s="22">
        <f>N18/(N17+N18+N19)</f>
        <v>-0.41986881520504105</v>
      </c>
      <c r="P18" s="18">
        <f>SUM(P7:P10)/4</f>
        <v>0.12186250000000109</v>
      </c>
      <c r="Q18" s="22">
        <f>P18/(P17+P18+P19)</f>
        <v>1.7212977267711475E-2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30.146175000000003</v>
      </c>
      <c r="X18" s="22">
        <f>W18/(W17+W18+W19)</f>
        <v>0.26323582766736919</v>
      </c>
      <c r="Y18" s="18">
        <f>SUM(Y7:Y10)/4</f>
        <v>24.257474999999999</v>
      </c>
      <c r="Z18" s="22">
        <f>Y18/(Y17+Y18+Y19)</f>
        <v>0.45707277630190857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28.520275000000002</v>
      </c>
      <c r="AG18" s="22">
        <f>AF18/(AF17+AF18+AF19)</f>
        <v>0.24089301015803599</v>
      </c>
      <c r="AH18" s="18">
        <f>SUM(AH7:AH10)/4</f>
        <v>24.379337500000002</v>
      </c>
      <c r="AI18" s="22">
        <f>AH18/(AH17+AH18+AH19)</f>
        <v>0.40530194402258979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6.4939500000000017</v>
      </c>
      <c r="O19" s="22">
        <f>N19/(N17+N18+N19)</f>
        <v>1.6769832661915101</v>
      </c>
      <c r="P19" s="18">
        <f>(P15+P16)/2</f>
        <v>7.6464499999999989</v>
      </c>
      <c r="Q19" s="22">
        <f>P19/(P17+P18+P19)</f>
        <v>1.0800547340542925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22.83455</v>
      </c>
      <c r="X19" s="22">
        <f>W19/(W17+W18+W19)</f>
        <v>0.19939085700464237</v>
      </c>
      <c r="Y19" s="18">
        <f>(Y15+Y16)/2</f>
        <v>21.5107</v>
      </c>
      <c r="Z19" s="22">
        <f>Y19/(Y17+Y18+Y19)</f>
        <v>0.40531652075071561</v>
      </c>
      <c r="AA19" s="14"/>
      <c r="AB19" s="14"/>
      <c r="AC19" s="14"/>
      <c r="AE19" s="21" t="str">
        <f t="shared" si="14"/>
        <v>Physiological</v>
      </c>
      <c r="AF19" s="18">
        <f>(AF15+AF16)/2</f>
        <v>29.328499999999998</v>
      </c>
      <c r="AG19" s="22">
        <f>AF19/(AF17+AF18+AF19)</f>
        <v>0.24771958364426561</v>
      </c>
      <c r="AH19" s="18">
        <f>(AH15+AH16)/2</f>
        <v>29.157150000000001</v>
      </c>
      <c r="AI19" s="22">
        <f>AH19/(AH17+AH18+AH19)</f>
        <v>0.48473218671993257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1.24/1.09</v>
      </c>
      <c r="D24" s="44" t="str">
        <f>lang!B11</f>
        <v>频率方差</v>
      </c>
      <c r="E24" s="182" t="str">
        <f ca="1">CONCATENATE(ROUND('FH1'!L3,2),"/",ROUND('FH2'!L3,2))</f>
        <v>0.52/0.48</v>
      </c>
      <c r="F24" s="183"/>
      <c r="G24" s="174" t="str">
        <f>lang!B12</f>
        <v>生理变化率</v>
      </c>
      <c r="H24" s="175"/>
      <c r="I24" s="62" t="str">
        <f ca="1">CONCATENATE(info!M7,"-",info!M8)</f>
        <v>42.4-61.4</v>
      </c>
      <c r="J24" s="42" t="str">
        <f>lang!B13</f>
        <v>千卡l/分钟</v>
      </c>
      <c r="K24" s="41" t="str">
        <f ca="1">CONCATENATE(info!M5,"-",info!M6)</f>
        <v>2-2.8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-7.646799999999998</v>
      </c>
      <c r="F27" s="121"/>
      <c r="G27" s="135" t="str">
        <f>lang!B33</f>
        <v>稳定性</v>
      </c>
      <c r="H27" s="136"/>
      <c r="I27" s="137"/>
      <c r="J27" s="138">
        <f>dM!B19*100</f>
        <v>-7.2451000000000043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-0.95898686606761652</v>
      </c>
      <c r="C2">
        <f t="array" aca="1" ref="C2" ca="1">CORREL(FT_E02,FT_PH02)</f>
        <v>-0.92650326859209475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2.0057700000000001</v>
      </c>
      <c r="G2" s="61">
        <f>IF(FT!B2&lt;&gt;"",FT!B2*100,"")</f>
        <v>61.444900000000004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2.0473699999999999</v>
      </c>
      <c r="G3" s="61">
        <f>IF(FT!B3&lt;&gt;"",FT!B3*100,"")</f>
        <v>60.581700000000005</v>
      </c>
      <c r="H3" s="61">
        <f t="shared" ref="H3:H66" si="1">(IF(F3&lt;&gt;"",1,""))</f>
        <v>1</v>
      </c>
      <c r="I3" t="str">
        <f>IF(FT!B3&lt;&gt;"",FT!E3,"")</f>
        <v>1 [0.406903]</v>
      </c>
      <c r="J3">
        <f>IF(FT!B3&lt;&gt;"",FT!C3,"")</f>
        <v>0.40690300000000001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0.47977428378378384</v>
      </c>
      <c r="V3">
        <f ca="1">AVERAGE(OFFSET(FT!B2,info!$L$3/2,0,info!$L$3/2,1))</f>
        <v>0.53402378378378401</v>
      </c>
      <c r="W3">
        <f ca="1">AVERAGE(OFFSET(FT!A2,0,0,info!$L$3/2,1))</f>
        <v>0.25818674324324326</v>
      </c>
      <c r="X3">
        <f ca="1">AVERAGE(OFFSET(FT!A2,info!$L$3/2,0,info!$L$3/2,1))</f>
        <v>0.21529122972972967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2.0875499999999998</v>
      </c>
      <c r="G4" s="61">
        <f>IF(FT!B4&lt;&gt;"",FT!B4*100,"")</f>
        <v>59.764200000000002</v>
      </c>
      <c r="H4" s="61">
        <f t="shared" si="1"/>
        <v>1</v>
      </c>
      <c r="I4" t="str">
        <f>IF(FT!B4&lt;&gt;"",FT!E4,"")</f>
        <v>1 [0.812017]</v>
      </c>
      <c r="J4">
        <f>IF(FT!B4&lt;&gt;"",FT!C4,"")</f>
        <v>0.81201699999999999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14.941050000000001</v>
      </c>
      <c r="V4">
        <f>U4*3</f>
        <v>44.823149999999998</v>
      </c>
      <c r="W4">
        <f>U4</f>
        <v>14.941050000000001</v>
      </c>
      <c r="X4">
        <f>V4</f>
        <v>44.823149999999998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2.1279600000000003</v>
      </c>
      <c r="G5" s="61">
        <f>IF(FT!B5&lt;&gt;"",FT!B5*100,"")</f>
        <v>58.959799999999994</v>
      </c>
      <c r="H5" s="61">
        <f t="shared" si="1"/>
        <v>1</v>
      </c>
      <c r="I5" t="str">
        <f>IF(FT!B5&lt;&gt;"",FT!E5,"")</f>
        <v>1 [1.221795]</v>
      </c>
      <c r="J5">
        <f>IF(FT!B5&lt;&gt;"",FT!C5,"")</f>
        <v>1.2218</v>
      </c>
      <c r="K5" t="s">
        <v>53</v>
      </c>
      <c r="L5" s="63">
        <f ca="1">MIN(FT_E)</f>
        <v>1.9808700000000001</v>
      </c>
      <c r="M5" s="63">
        <f ca="1">ROUND(L5,1)</f>
        <v>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47.977428378378384</v>
      </c>
      <c r="V5">
        <f ca="1">V3*100</f>
        <v>53.402378378378401</v>
      </c>
      <c r="W5">
        <f ca="1">W3*10</f>
        <v>2.5818674324324324</v>
      </c>
      <c r="X5">
        <f ca="1">X3*10</f>
        <v>2.1529122972972967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2.1685400000000001</v>
      </c>
      <c r="G6" s="61">
        <f>IF(FT!B6&lt;&gt;"",FT!B6*100,"")</f>
        <v>58.189800000000005</v>
      </c>
      <c r="H6" s="61">
        <f t="shared" si="1"/>
        <v>1</v>
      </c>
      <c r="I6" t="str">
        <f>IF(FT!B6&lt;&gt;"",FT!E6,"")</f>
        <v>1 [1.625566]</v>
      </c>
      <c r="J6">
        <f>IF(FT!B6&lt;&gt;"",FT!C6,"")</f>
        <v>1.62557</v>
      </c>
      <c r="K6" t="s">
        <v>54</v>
      </c>
      <c r="L6" s="63">
        <f ca="1">MAX(FT_E)</f>
        <v>2.8304400000000003</v>
      </c>
      <c r="M6" s="63">
        <f ca="1">ROUND(L6,1)</f>
        <v>2.8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2.2101699999999997</v>
      </c>
      <c r="G7" s="61">
        <f>IF(FT!B7&lt;&gt;"",FT!B7*100,"")</f>
        <v>57.377199999999995</v>
      </c>
      <c r="H7" s="61">
        <f t="shared" si="1"/>
        <v>1</v>
      </c>
      <c r="I7" t="str">
        <f>IF(FT!B7&lt;&gt;"",FT!E7,"")</f>
        <v>1 [2.031512]</v>
      </c>
      <c r="J7">
        <f>IF(FT!B7&lt;&gt;"",FT!C7,"")</f>
        <v>2.0315099999999999</v>
      </c>
      <c r="K7" t="s">
        <v>55</v>
      </c>
      <c r="L7" s="63">
        <f ca="1">MIN(FT_PH)</f>
        <v>42.442999999999998</v>
      </c>
      <c r="M7" s="63">
        <f ca="1">ROUND(L7,1)</f>
        <v>42.4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7102</v>
      </c>
      <c r="D8" s="61">
        <f>FH!B8*1</f>
        <v>7102</v>
      </c>
      <c r="E8">
        <f t="shared" si="3"/>
        <v>6</v>
      </c>
      <c r="F8" s="61">
        <f>IF(FT!A8&lt;&gt;"",FT!A8*10,"")</f>
        <v>2.2513199999999998</v>
      </c>
      <c r="G8" s="61">
        <f>IF(FT!B8&lt;&gt;"",FT!B8*100,"")</f>
        <v>56.638299999999994</v>
      </c>
      <c r="H8" s="61">
        <f t="shared" si="1"/>
        <v>1</v>
      </c>
      <c r="I8" t="str">
        <f>IF(FT!B8&lt;&gt;"",FT!E8,"")</f>
        <v>1 [2.436741]</v>
      </c>
      <c r="J8">
        <f>IF(FT!B8&lt;&gt;"",FT!C8,"")</f>
        <v>2.4367399999999999</v>
      </c>
      <c r="K8" t="s">
        <v>56</v>
      </c>
      <c r="L8" s="63">
        <f ca="1">MAX(FT_PH)</f>
        <v>61.444900000000004</v>
      </c>
      <c r="M8" s="63">
        <f ca="1">ROUND(L8,1)</f>
        <v>61.4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2.2932600000000001</v>
      </c>
      <c r="G9" s="61">
        <f>IF(FT!B9&lt;&gt;"",FT!B9*100,"")</f>
        <v>55.852199999999996</v>
      </c>
      <c r="H9" s="61">
        <f t="shared" si="1"/>
        <v>1</v>
      </c>
      <c r="I9" t="str">
        <f>IF(FT!B9&lt;&gt;"",FT!E9,"")</f>
        <v>1 [2.843065]</v>
      </c>
      <c r="J9">
        <f>IF(FT!B9&lt;&gt;"",FT!C9,"")</f>
        <v>2.8430599999999999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14536</v>
      </c>
      <c r="D10" s="61">
        <f>FH!B10*1</f>
        <v>14536</v>
      </c>
      <c r="E10">
        <f t="shared" si="3"/>
        <v>8</v>
      </c>
      <c r="F10" s="61">
        <f>IF(FT!A10&lt;&gt;"",FT!A10*10,"")</f>
        <v>2.3355799999999998</v>
      </c>
      <c r="G10" s="61">
        <f>IF(FT!B10&lt;&gt;"",FT!B10*100,"")</f>
        <v>54.990000000000009</v>
      </c>
      <c r="H10" s="61">
        <f t="shared" si="1"/>
        <v>1</v>
      </c>
      <c r="I10" t="str">
        <f>IF(FT!B10&lt;&gt;"",FT!E10,"")</f>
        <v>1 [3.252292]</v>
      </c>
      <c r="J10">
        <f>IF(FT!B10&lt;&gt;"",FT!C10,"")</f>
        <v>3.2522899999999999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2.3768899999999999</v>
      </c>
      <c r="G11" s="61">
        <f>IF(FT!B11&lt;&gt;"",FT!B11*100,"")</f>
        <v>54.190000000000005</v>
      </c>
      <c r="H11" s="61">
        <f t="shared" si="1"/>
        <v>1</v>
      </c>
      <c r="I11" t="str">
        <f>IF(FT!B11&lt;&gt;"",FT!E11,"")</f>
        <v>1 [3.657119]</v>
      </c>
      <c r="J11">
        <f>IF(FT!B11&lt;&gt;"",FT!C11,"")</f>
        <v>3.6571199999999999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2.4167900000000002</v>
      </c>
      <c r="G12" s="61">
        <f>IF(FT!B12&lt;&gt;"",FT!B12*100,"")</f>
        <v>53.425199999999997</v>
      </c>
      <c r="H12" s="61">
        <f t="shared" si="1"/>
        <v>1</v>
      </c>
      <c r="I12" t="str">
        <f>IF(FT!B12&lt;&gt;"",FT!E12,"")</f>
        <v>1 [4.062153]</v>
      </c>
      <c r="J12">
        <f>IF(FT!B12&lt;&gt;"",FT!C12,"")</f>
        <v>4.0621499999999999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19583</v>
      </c>
      <c r="D13" s="61">
        <f>FH!B13*1</f>
        <v>19583</v>
      </c>
      <c r="E13">
        <f t="shared" si="3"/>
        <v>11</v>
      </c>
      <c r="F13" s="61">
        <f>IF(FT!A13&lt;&gt;"",FT!A13*10,"")</f>
        <v>2.4542700000000002</v>
      </c>
      <c r="G13" s="61">
        <f>IF(FT!B13&lt;&gt;"",FT!B13*100,"")</f>
        <v>52.715800000000002</v>
      </c>
      <c r="H13" s="61">
        <f t="shared" si="1"/>
        <v>1</v>
      </c>
      <c r="I13" t="str">
        <f>IF(FT!B13&lt;&gt;"",FT!E13,"")</f>
        <v>1 [4.468035]</v>
      </c>
      <c r="J13">
        <f>IF(FT!B13&lt;&gt;"",FT!C13,"")</f>
        <v>4.4680400000000002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2.4859499999999999</v>
      </c>
      <c r="G14" s="61">
        <f>IF(FT!B14&lt;&gt;"",FT!B14*100,"")</f>
        <v>52.055900000000001</v>
      </c>
      <c r="H14" s="61">
        <f t="shared" si="1"/>
        <v>1</v>
      </c>
      <c r="I14" t="str">
        <f>IF(FT!B14&lt;&gt;"",FT!E14,"")</f>
        <v>1 [4.875207]</v>
      </c>
      <c r="J14">
        <f>IF(FT!B14&lt;&gt;"",FT!C14,"")</f>
        <v>4.87521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35803</v>
      </c>
      <c r="D15" s="61">
        <f>FH!B15*1</f>
        <v>35803</v>
      </c>
      <c r="E15">
        <f t="shared" si="3"/>
        <v>13</v>
      </c>
      <c r="F15" s="61">
        <f>IF(FT!A15&lt;&gt;"",FT!A15*10,"")</f>
        <v>2.5133899999999998</v>
      </c>
      <c r="G15" s="61">
        <f>IF(FT!B15&lt;&gt;"",FT!B15*100,"")</f>
        <v>51.505800000000001</v>
      </c>
      <c r="H15" s="61">
        <f t="shared" si="1"/>
        <v>1</v>
      </c>
      <c r="I15" t="str">
        <f>IF(FT!B15&lt;&gt;"",FT!E15,"")</f>
        <v>1 [5.280820]</v>
      </c>
      <c r="J15">
        <f>IF(FT!B15&lt;&gt;"",FT!C15,"")</f>
        <v>5.2808200000000003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2.5371100000000002</v>
      </c>
      <c r="G16" s="61">
        <f>IF(FT!B16&lt;&gt;"",FT!B16*100,"")</f>
        <v>50.927999999999997</v>
      </c>
      <c r="H16" s="61">
        <f t="shared" si="1"/>
        <v>1</v>
      </c>
      <c r="I16" t="str">
        <f>IF(FT!B16&lt;&gt;"",FT!E16,"")</f>
        <v>1 [5.689718]</v>
      </c>
      <c r="J16">
        <f>IF(FT!B16&lt;&gt;"",FT!C16,"")</f>
        <v>5.6897200000000003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2.5607500000000001</v>
      </c>
      <c r="G17" s="61">
        <f>IF(FT!B17&lt;&gt;"",FT!B17*100,"")</f>
        <v>50.338499999999996</v>
      </c>
      <c r="H17" s="61">
        <f t="shared" si="1"/>
        <v>1</v>
      </c>
      <c r="I17" t="str">
        <f>IF(FT!B17&lt;&gt;"",FT!E17,"")</f>
        <v>1 [6.093640]</v>
      </c>
      <c r="J17">
        <f>IF(FT!B17&lt;&gt;"",FT!C17,"")</f>
        <v>6.0936399999999997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47614</v>
      </c>
      <c r="D18" s="61">
        <f>FH!B18*1</f>
        <v>47614</v>
      </c>
      <c r="E18">
        <f t="shared" si="3"/>
        <v>16</v>
      </c>
      <c r="F18" s="61">
        <f>IF(FT!A18&lt;&gt;"",FT!A18*10,"")</f>
        <v>2.58345</v>
      </c>
      <c r="G18" s="61">
        <f>IF(FT!B18&lt;&gt;"",FT!B18*100,"")</f>
        <v>49.797200000000004</v>
      </c>
      <c r="H18" s="61">
        <f t="shared" si="1"/>
        <v>1</v>
      </c>
      <c r="I18" t="str">
        <f>IF(FT!B18&lt;&gt;"",FT!E18,"")</f>
        <v>1 [6.497555]</v>
      </c>
      <c r="J18">
        <f>IF(FT!B18&lt;&gt;"",FT!C18,"")</f>
        <v>6.49756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2.6045800000000003</v>
      </c>
      <c r="G19" s="61">
        <f>IF(FT!B19&lt;&gt;"",FT!B19*100,"")</f>
        <v>49.2376</v>
      </c>
      <c r="H19" s="61">
        <f t="shared" si="1"/>
        <v>1</v>
      </c>
      <c r="I19" t="str">
        <f>IF(FT!B19&lt;&gt;"",FT!E19,"")</f>
        <v>1 [6.907232]</v>
      </c>
      <c r="J19">
        <f>IF(FT!B19&lt;&gt;"",FT!C19,"")</f>
        <v>6.9072300000000002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2.6257599999999996</v>
      </c>
      <c r="G20" s="61">
        <f>IF(FT!B20&lt;&gt;"",FT!B20*100,"")</f>
        <v>48.591499999999996</v>
      </c>
      <c r="H20" s="61">
        <f t="shared" si="1"/>
        <v>1</v>
      </c>
      <c r="I20" t="str">
        <f>IF(FT!B20&lt;&gt;"",FT!E20,"")</f>
        <v>1 [7.313422]</v>
      </c>
      <c r="J20">
        <f>IF(FT!B20&lt;&gt;"",FT!C20,"")</f>
        <v>7.3134199999999998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51393</v>
      </c>
      <c r="D21" s="61">
        <f>FH!B21*1</f>
        <v>51393</v>
      </c>
      <c r="E21">
        <f t="shared" si="3"/>
        <v>19</v>
      </c>
      <c r="F21" s="61">
        <f>IF(FT!A21&lt;&gt;"",FT!A21*10,"")</f>
        <v>2.6461600000000001</v>
      </c>
      <c r="G21" s="61">
        <f>IF(FT!B21&lt;&gt;"",FT!B21*100,"")</f>
        <v>47.936800000000005</v>
      </c>
      <c r="H21" s="61">
        <f t="shared" si="1"/>
        <v>1</v>
      </c>
      <c r="I21" t="str">
        <f>IF(FT!B21&lt;&gt;"",FT!E21,"")</f>
        <v>1 [7.719268]</v>
      </c>
      <c r="J21">
        <f>IF(FT!B21&lt;&gt;"",FT!C21,"")</f>
        <v>7.7192699999999999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2.6670100000000003</v>
      </c>
      <c r="G22" s="61">
        <f>IF(FT!B22&lt;&gt;"",FT!B22*100,"")</f>
        <v>47.317100000000003</v>
      </c>
      <c r="H22" s="61">
        <f t="shared" si="1"/>
        <v>1</v>
      </c>
      <c r="I22" t="str">
        <f>IF(FT!B22&lt;&gt;"",FT!E22,"")</f>
        <v>1 [8.126218]</v>
      </c>
      <c r="J22">
        <f>IF(FT!B22&lt;&gt;"",FT!C22,"")</f>
        <v>8.12622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59580</v>
      </c>
      <c r="D23" s="61">
        <f>FH!B23*1</f>
        <v>59580</v>
      </c>
      <c r="E23">
        <f t="shared" si="3"/>
        <v>21</v>
      </c>
      <c r="F23" s="61">
        <f>IF(FT!A23&lt;&gt;"",FT!A23*10,"")</f>
        <v>2.6875300000000002</v>
      </c>
      <c r="G23" s="61">
        <f>IF(FT!B23&lt;&gt;"",FT!B23*100,"")</f>
        <v>46.7149</v>
      </c>
      <c r="H23" s="61">
        <f t="shared" si="1"/>
        <v>1</v>
      </c>
      <c r="I23" t="str">
        <f>IF(FT!B23&lt;&gt;"",FT!E23,"")</f>
        <v>1 [8.532147]</v>
      </c>
      <c r="J23">
        <f>IF(FT!B23&lt;&gt;"",FT!C23,"")</f>
        <v>8.5321499999999997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2.7090999999999998</v>
      </c>
      <c r="G24" s="61">
        <f>IF(FT!B24&lt;&gt;"",FT!B24*100,"")</f>
        <v>46.108499999999999</v>
      </c>
      <c r="H24" s="61">
        <f t="shared" si="1"/>
        <v>1</v>
      </c>
      <c r="I24" t="str">
        <f>IF(FT!B24&lt;&gt;"",FT!E24,"")</f>
        <v>1 [8.936510]</v>
      </c>
      <c r="J24">
        <f>IF(FT!B24&lt;&gt;"",FT!C24,"")</f>
        <v>8.9365100000000002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2.7310099999999999</v>
      </c>
      <c r="G25" s="61">
        <f>IF(FT!B25&lt;&gt;"",FT!B25*100,"")</f>
        <v>45.4985</v>
      </c>
      <c r="H25" s="61">
        <f t="shared" si="1"/>
        <v>1</v>
      </c>
      <c r="I25" t="str">
        <f>IF(FT!B25&lt;&gt;"",FT!E25,"")</f>
        <v>1 [9.343932]</v>
      </c>
      <c r="J25">
        <f>IF(FT!B25&lt;&gt;"",FT!C25,"")</f>
        <v>9.3439300000000003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67807</v>
      </c>
      <c r="D26" s="61">
        <f>FH!B26*1</f>
        <v>67807</v>
      </c>
      <c r="E26">
        <f t="shared" si="3"/>
        <v>24</v>
      </c>
      <c r="F26" s="61">
        <f>IF(FT!A26&lt;&gt;"",FT!A26*10,"")</f>
        <v>2.7524700000000002</v>
      </c>
      <c r="G26" s="61">
        <f>IF(FT!B26&lt;&gt;"",FT!B26*100,"")</f>
        <v>44.919899999999998</v>
      </c>
      <c r="H26" s="61">
        <f t="shared" si="1"/>
        <v>1</v>
      </c>
      <c r="I26" t="str">
        <f>IF(FT!B26&lt;&gt;"",FT!E26,"")</f>
        <v>1 [9.747815]</v>
      </c>
      <c r="J26">
        <f>IF(FT!B26&lt;&gt;"",FT!C26,"")</f>
        <v>9.7478200000000008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2.7703600000000002</v>
      </c>
      <c r="G27" s="61">
        <f>IF(FT!B27&lt;&gt;"",FT!B27*100,"")</f>
        <v>44.426200000000001</v>
      </c>
      <c r="H27" s="61">
        <f t="shared" si="1"/>
        <v>1</v>
      </c>
      <c r="I27" t="str">
        <f>IF(FT!B27&lt;&gt;"",FT!E27,"")</f>
        <v>1 [10.156790]</v>
      </c>
      <c r="J27">
        <f>IF(FT!B27&lt;&gt;"",FT!C27,"")</f>
        <v>10.1568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82201</v>
      </c>
      <c r="D28" s="61">
        <f>FH!B28*1</f>
        <v>82201</v>
      </c>
      <c r="E28">
        <f t="shared" si="3"/>
        <v>26</v>
      </c>
      <c r="F28" s="61">
        <f>IF(FT!A28&lt;&gt;"",FT!A28*10,"")</f>
        <v>2.7849200000000001</v>
      </c>
      <c r="G28" s="61">
        <f>IF(FT!B28&lt;&gt;"",FT!B28*100,"")</f>
        <v>43.980699999999999</v>
      </c>
      <c r="H28" s="61">
        <f t="shared" si="1"/>
        <v>1</v>
      </c>
      <c r="I28" t="str">
        <f>IF(FT!B28&lt;&gt;"",FT!E28,"")</f>
        <v>1 [10.562710]</v>
      </c>
      <c r="J28">
        <f>IF(FT!B28&lt;&gt;"",FT!C28,"")</f>
        <v>10.5627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2.7964499999999997</v>
      </c>
      <c r="G29" s="61">
        <f>IF(FT!B29&lt;&gt;"",FT!B29*100,"")</f>
        <v>43.617199999999997</v>
      </c>
      <c r="H29" s="61">
        <f t="shared" si="1"/>
        <v>1</v>
      </c>
      <c r="I29" t="str">
        <f>IF(FT!B29&lt;&gt;"",FT!E29,"")</f>
        <v>1 [10.970083]</v>
      </c>
      <c r="J29">
        <f>IF(FT!B29&lt;&gt;"",FT!C29,"")</f>
        <v>10.9701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2.8054099999999997</v>
      </c>
      <c r="G30" s="61">
        <f>IF(FT!B30&lt;&gt;"",FT!B30*100,"")</f>
        <v>43.279600000000002</v>
      </c>
      <c r="H30" s="61">
        <f t="shared" si="1"/>
        <v>1</v>
      </c>
      <c r="I30" t="str">
        <f>IF(FT!B30&lt;&gt;"",FT!E30,"")</f>
        <v>1 [11.375492]</v>
      </c>
      <c r="J30">
        <f>IF(FT!B30&lt;&gt;"",FT!C30,"")</f>
        <v>11.375500000000001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96447</v>
      </c>
      <c r="D31" s="61">
        <f>FH!B31*1</f>
        <v>96447</v>
      </c>
      <c r="E31">
        <f t="shared" si="3"/>
        <v>29</v>
      </c>
      <c r="F31" s="61">
        <f>IF(FT!A31&lt;&gt;"",FT!A31*10,"")</f>
        <v>2.8128199999999999</v>
      </c>
      <c r="G31" s="61">
        <f>IF(FT!B31&lt;&gt;"",FT!B31*100,"")</f>
        <v>42.992200000000004</v>
      </c>
      <c r="H31" s="61">
        <f t="shared" si="1"/>
        <v>1</v>
      </c>
      <c r="I31" t="str">
        <f>IF(FT!B31&lt;&gt;"",FT!E31,"")</f>
        <v>1 [11.782513]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2.8195900000000003</v>
      </c>
      <c r="G32" s="61">
        <f>IF(FT!B32&lt;&gt;"",FT!B32*100,"")</f>
        <v>42.780799999999999</v>
      </c>
      <c r="H32" s="61">
        <f t="shared" si="1"/>
        <v>1</v>
      </c>
      <c r="I32" t="str">
        <f>IF(FT!B32&lt;&gt;"",FT!E32,"")</f>
        <v>1 [12.190406]</v>
      </c>
      <c r="J32">
        <f>IF(FT!B32&lt;&gt;"",FT!C32,"")</f>
        <v>12.1904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89559</v>
      </c>
      <c r="D33" s="61">
        <f>FH!B33*1</f>
        <v>89559</v>
      </c>
      <c r="E33">
        <f t="shared" si="3"/>
        <v>31</v>
      </c>
      <c r="F33" s="61">
        <f>IF(FT!A33&lt;&gt;"",FT!A33*10,"")</f>
        <v>2.8267799999999998</v>
      </c>
      <c r="G33" s="61">
        <f>IF(FT!B33&lt;&gt;"",FT!B33*100,"")</f>
        <v>42.610799999999998</v>
      </c>
      <c r="H33" s="61">
        <f t="shared" si="1"/>
        <v>1</v>
      </c>
      <c r="I33" t="str">
        <f>IF(FT!B33&lt;&gt;"",FT!E33,"")</f>
        <v>1 [12.593295]</v>
      </c>
      <c r="J33">
        <f>IF(FT!B33&lt;&gt;"",FT!C33,"")</f>
        <v>12.593299999999999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2.8302</v>
      </c>
      <c r="G34" s="61">
        <f>IF(FT!B34&lt;&gt;"",FT!B34*100,"")</f>
        <v>42.500799999999998</v>
      </c>
      <c r="H34" s="61">
        <f t="shared" si="1"/>
        <v>1</v>
      </c>
      <c r="I34" t="str">
        <f>IF(FT!B34&lt;&gt;"",FT!E34,"")</f>
        <v>1 [12.998127]</v>
      </c>
      <c r="J34">
        <f>IF(FT!B34&lt;&gt;"",FT!C34,"")</f>
        <v>12.998100000000001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2.8304400000000003</v>
      </c>
      <c r="G35" s="61">
        <f>IF(FT!B35&lt;&gt;"",FT!B35*100,"")</f>
        <v>42.461100000000002</v>
      </c>
      <c r="H35" s="61">
        <f t="shared" si="1"/>
        <v>1</v>
      </c>
      <c r="I35" t="str">
        <f>IF(FT!B35&lt;&gt;"",FT!E35,"")</f>
        <v>1 [13.405367]</v>
      </c>
      <c r="J35">
        <f>IF(FT!B35&lt;&gt;"",FT!C35,"")</f>
        <v>13.4054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106295</v>
      </c>
      <c r="D36" s="61">
        <f>FH!B36*1</f>
        <v>106295</v>
      </c>
      <c r="E36">
        <f t="shared" si="3"/>
        <v>34</v>
      </c>
      <c r="F36" s="61">
        <f>IF(FT!A36&lt;&gt;"",FT!A36*10,"")</f>
        <v>2.8299300000000001</v>
      </c>
      <c r="G36" s="61">
        <f>IF(FT!B36&lt;&gt;"",FT!B36*100,"")</f>
        <v>42.442999999999998</v>
      </c>
      <c r="H36" s="61">
        <f t="shared" si="1"/>
        <v>1</v>
      </c>
      <c r="I36" t="str">
        <f>IF(FT!B36&lt;&gt;"",FT!E36,"")</f>
        <v>1 [13.813987]</v>
      </c>
      <c r="J36">
        <f>IF(FT!B36&lt;&gt;"",FT!C36,"")</f>
        <v>13.814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2.8287599999999999</v>
      </c>
      <c r="G37" s="61">
        <f>IF(FT!B37&lt;&gt;"",FT!B37*100,"")</f>
        <v>42.447600000000001</v>
      </c>
      <c r="H37" s="61">
        <f t="shared" si="1"/>
        <v>1</v>
      </c>
      <c r="I37" t="str">
        <f>IF(FT!B37&lt;&gt;"",FT!E37,"")</f>
        <v>1 [14.220191]</v>
      </c>
      <c r="J37">
        <f>IF(FT!B37&lt;&gt;"",FT!C37,"")</f>
        <v>14.2202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2.8261099999999999</v>
      </c>
      <c r="G38" s="61">
        <f>IF(FT!B38&lt;&gt;"",FT!B38*100,"")</f>
        <v>42.487700000000004</v>
      </c>
      <c r="H38" s="61">
        <f t="shared" si="1"/>
        <v>1</v>
      </c>
      <c r="I38" t="str">
        <f>IF(FT!B38&lt;&gt;"",FT!E38,"")</f>
        <v>1 [14.622809]</v>
      </c>
      <c r="J38">
        <f>IF(FT!B38&lt;&gt;"",FT!C38,"")</f>
        <v>14.6228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106600</v>
      </c>
      <c r="D39" s="61">
        <f>FH!B39*1</f>
        <v>106600</v>
      </c>
      <c r="E39">
        <f t="shared" si="3"/>
        <v>37</v>
      </c>
      <c r="F39" s="61">
        <f>IF(FT!A39&lt;&gt;"",FT!A39*10,"")</f>
        <v>2.8248000000000002</v>
      </c>
      <c r="G39" s="61">
        <f>IF(FT!B39&lt;&gt;"",FT!B39*100,"")</f>
        <v>42.5563</v>
      </c>
      <c r="H39" s="61">
        <f t="shared" si="1"/>
        <v>1</v>
      </c>
      <c r="I39" t="str">
        <f>IF(FT!B39&lt;&gt;"",FT!E39,"")</f>
        <v>1 [15.028766]</v>
      </c>
      <c r="J39">
        <f>IF(FT!B39&lt;&gt;"",FT!C39,"")</f>
        <v>15.0288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2.8253599999999999</v>
      </c>
      <c r="G40" s="61">
        <f>IF(FT!B40&lt;&gt;"",FT!B40*100,"")</f>
        <v>42.645600000000002</v>
      </c>
      <c r="H40" s="61">
        <f t="shared" si="1"/>
        <v>1</v>
      </c>
      <c r="I40" t="str">
        <f>IF(FT!B40&lt;&gt;"",FT!E40,"")</f>
        <v>1 [15.435780]</v>
      </c>
      <c r="J40">
        <f>IF(FT!B40&lt;&gt;"",FT!C40,"")</f>
        <v>15.4358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105234</v>
      </c>
      <c r="D41" s="61">
        <f>FH!B41*1</f>
        <v>105234</v>
      </c>
      <c r="E41">
        <f t="shared" si="3"/>
        <v>39</v>
      </c>
      <c r="F41" s="61">
        <f>IF(FT!A41&lt;&gt;"",FT!A41*10,"")</f>
        <v>2.8252999999999999</v>
      </c>
      <c r="G41" s="61">
        <f>IF(FT!B41&lt;&gt;"",FT!B41*100,"")</f>
        <v>42.758099999999999</v>
      </c>
      <c r="H41" s="61">
        <f t="shared" si="1"/>
        <v>1</v>
      </c>
      <c r="I41" t="str">
        <f>IF(FT!B41&lt;&gt;"",FT!E41,"")</f>
        <v>1 [15.844545]</v>
      </c>
      <c r="J41">
        <f>IF(FT!B41&lt;&gt;"",FT!C41,"")</f>
        <v>15.8445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2.82443</v>
      </c>
      <c r="G42" s="61">
        <f>IF(FT!B42&lt;&gt;"",FT!B42*100,"")</f>
        <v>42.892899999999997</v>
      </c>
      <c r="H42" s="61">
        <f t="shared" si="1"/>
        <v>1</v>
      </c>
      <c r="I42" t="str">
        <f>IF(FT!B42&lt;&gt;"",FT!E42,"")</f>
        <v>1 [16.251457]</v>
      </c>
      <c r="J42">
        <f>IF(FT!B42&lt;&gt;"",FT!C42,"")</f>
        <v>16.2515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2.82267</v>
      </c>
      <c r="G43" s="61">
        <f>IF(FT!B43&lt;&gt;"",FT!B43*100,"")</f>
        <v>43.022100000000002</v>
      </c>
      <c r="H43" s="61">
        <f t="shared" si="1"/>
        <v>1</v>
      </c>
      <c r="I43" t="str">
        <f>IF(FT!B43&lt;&gt;"",FT!E43,"")</f>
        <v>1 [16.655400]</v>
      </c>
      <c r="J43">
        <f>IF(FT!B43&lt;&gt;"",FT!C43,"")</f>
        <v>16.6554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107468</v>
      </c>
      <c r="D44" s="61">
        <f>FH!B44*1</f>
        <v>107468</v>
      </c>
      <c r="E44">
        <f t="shared" si="3"/>
        <v>42</v>
      </c>
      <c r="F44" s="61">
        <f>IF(FT!A44&lt;&gt;"",FT!A44*10,"")</f>
        <v>2.8187000000000002</v>
      </c>
      <c r="G44" s="61">
        <f>IF(FT!B44&lt;&gt;"",FT!B44*100,"")</f>
        <v>43.177</v>
      </c>
      <c r="H44" s="61">
        <f t="shared" si="1"/>
        <v>1</v>
      </c>
      <c r="I44" t="str">
        <f>IF(FT!B44&lt;&gt;"",FT!E44,"")</f>
        <v>1 [17.063357]</v>
      </c>
      <c r="J44">
        <f>IF(FT!B44&lt;&gt;"",FT!C44,"")</f>
        <v>17.063400000000001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2.8070299999999997</v>
      </c>
      <c r="G45" s="61">
        <f>IF(FT!B45&lt;&gt;"",FT!B45*100,"")</f>
        <v>43.344899999999996</v>
      </c>
      <c r="H45" s="61">
        <f t="shared" si="1"/>
        <v>1</v>
      </c>
      <c r="I45" t="str">
        <f>IF(FT!B45&lt;&gt;"",FT!E45,"")</f>
        <v>1 [17.470448]</v>
      </c>
      <c r="J45">
        <f>IF(FT!B45&lt;&gt;"",FT!C45,"")</f>
        <v>17.470400000000001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122519</v>
      </c>
      <c r="D46" s="61">
        <f>FH!B46*1</f>
        <v>122519</v>
      </c>
      <c r="E46">
        <f t="shared" si="3"/>
        <v>44</v>
      </c>
      <c r="F46" s="61">
        <f>IF(FT!A46&lt;&gt;"",FT!A46*10,"")</f>
        <v>2.7930999999999999</v>
      </c>
      <c r="G46" s="61">
        <f>IF(FT!B46&lt;&gt;"",FT!B46*100,"")</f>
        <v>43.551899999999996</v>
      </c>
      <c r="H46" s="61">
        <f t="shared" si="1"/>
        <v>1</v>
      </c>
      <c r="I46" t="str">
        <f>IF(FT!B46&lt;&gt;"",FT!E46,"")</f>
        <v>1 [17.877096]</v>
      </c>
      <c r="J46">
        <f>IF(FT!B46&lt;&gt;"",FT!C46,"")</f>
        <v>17.877099999999999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2.7776200000000002</v>
      </c>
      <c r="G47" s="61">
        <f>IF(FT!B47&lt;&gt;"",FT!B47*100,"")</f>
        <v>43.775500000000001</v>
      </c>
      <c r="H47" s="61">
        <f t="shared" si="1"/>
        <v>1</v>
      </c>
      <c r="I47" t="str">
        <f>IF(FT!B47&lt;&gt;"",FT!E47,"")</f>
        <v>1 [18.284096]</v>
      </c>
      <c r="J47">
        <f>IF(FT!B47&lt;&gt;"",FT!C47,"")</f>
        <v>18.284099999999999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2.7616499999999999</v>
      </c>
      <c r="G48" s="61">
        <f>IF(FT!B48&lt;&gt;"",FT!B48*100,"")</f>
        <v>44.011499999999998</v>
      </c>
      <c r="H48" s="61">
        <f t="shared" si="1"/>
        <v>1</v>
      </c>
      <c r="I48" t="str">
        <f>IF(FT!B48&lt;&gt;"",FT!E48,"")</f>
        <v>1 [18.690022]</v>
      </c>
      <c r="J48">
        <f>IF(FT!B48&lt;&gt;"",FT!C48,"")</f>
        <v>18.690000000000001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125132</v>
      </c>
      <c r="D49" s="61">
        <f>FH!B49*1</f>
        <v>125132</v>
      </c>
      <c r="E49">
        <f t="shared" si="3"/>
        <v>47</v>
      </c>
      <c r="F49" s="61">
        <f>IF(FT!A49&lt;&gt;"",FT!A49*10,"")</f>
        <v>2.7448399999999999</v>
      </c>
      <c r="G49" s="61">
        <f>IF(FT!B49&lt;&gt;"",FT!B49*100,"")</f>
        <v>44.301099999999998</v>
      </c>
      <c r="H49" s="61">
        <f t="shared" si="1"/>
        <v>1</v>
      </c>
      <c r="I49" t="str">
        <f>IF(FT!B49&lt;&gt;"",FT!E49,"")</f>
        <v>1 [19.094951]</v>
      </c>
      <c r="J49">
        <f>IF(FT!B49&lt;&gt;"",FT!C49,"")</f>
        <v>19.094999999999999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2.7260200000000001</v>
      </c>
      <c r="G50" s="61">
        <f>IF(FT!B50&lt;&gt;"",FT!B50*100,"")</f>
        <v>44.663499999999999</v>
      </c>
      <c r="H50" s="61">
        <f t="shared" si="1"/>
        <v>1</v>
      </c>
      <c r="I50" t="str">
        <f>IF(FT!B50&lt;&gt;"",FT!E50,"")</f>
        <v>1 [19.496410]</v>
      </c>
      <c r="J50">
        <f>IF(FT!B50&lt;&gt;"",FT!C50,"")</f>
        <v>19.496400000000001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123039</v>
      </c>
      <c r="D51" s="61">
        <f>FH!B51*1</f>
        <v>123039</v>
      </c>
      <c r="E51">
        <f t="shared" si="3"/>
        <v>49</v>
      </c>
      <c r="F51" s="61">
        <f>IF(FT!A51&lt;&gt;"",FT!A51*10,"")</f>
        <v>2.7060499999999998</v>
      </c>
      <c r="G51" s="61">
        <f>IF(FT!B51&lt;&gt;"",FT!B51*100,"")</f>
        <v>45.072899999999997</v>
      </c>
      <c r="H51" s="61">
        <f t="shared" si="1"/>
        <v>1</v>
      </c>
      <c r="I51" t="str">
        <f>IF(FT!B51&lt;&gt;"",FT!E51,"")</f>
        <v>1 [19.910692]</v>
      </c>
      <c r="J51">
        <f>IF(FT!B51&lt;&gt;"",FT!C51,"")</f>
        <v>19.910699999999999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2.6921099999999996</v>
      </c>
      <c r="G52" s="61">
        <f>IF(FT!B52&lt;&gt;"",FT!B52*100,"")</f>
        <v>45.402100000000004</v>
      </c>
      <c r="H52" s="61">
        <f t="shared" si="1"/>
        <v>1</v>
      </c>
      <c r="I52" t="str">
        <f>IF(FT!B52&lt;&gt;"",FT!E52,"")</f>
        <v>1 [20.314664]</v>
      </c>
      <c r="J52">
        <f>IF(FT!B52&lt;&gt;"",FT!C52,"")</f>
        <v>20.314699999999998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2.6734799999999996</v>
      </c>
      <c r="G53" s="61">
        <f>IF(FT!B53&lt;&gt;"",FT!B53*100,"")</f>
        <v>45.802</v>
      </c>
      <c r="H53" s="61">
        <f t="shared" si="1"/>
        <v>1</v>
      </c>
      <c r="I53" t="str">
        <f>IF(FT!B53&lt;&gt;"",FT!E53,"")</f>
        <v>1 [20.718647]</v>
      </c>
      <c r="J53">
        <f>IF(FT!B53&lt;&gt;"",FT!C53,"")</f>
        <v>20.718599999999999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120159</v>
      </c>
      <c r="D54" s="61">
        <f>FH!B54*1</f>
        <v>120159</v>
      </c>
      <c r="E54">
        <f t="shared" si="3"/>
        <v>52</v>
      </c>
      <c r="F54" s="61">
        <f>IF(FT!A54&lt;&gt;"",FT!A54*10,"")</f>
        <v>2.6519300000000001</v>
      </c>
      <c r="G54" s="61">
        <f>IF(FT!B54&lt;&gt;"",FT!B54*100,"")</f>
        <v>46.171500000000002</v>
      </c>
      <c r="H54" s="61">
        <f t="shared" si="1"/>
        <v>1</v>
      </c>
      <c r="I54" t="str">
        <f>IF(FT!B54&lt;&gt;"",FT!E54,"")</f>
        <v>1 [21.124516]</v>
      </c>
      <c r="J54">
        <f>IF(FT!B54&lt;&gt;"",FT!C54,"")</f>
        <v>21.124500000000001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2.6415899999999999</v>
      </c>
      <c r="G55" s="61">
        <f>IF(FT!B55&lt;&gt;"",FT!B55*100,"")</f>
        <v>46.427500000000002</v>
      </c>
      <c r="H55" s="61">
        <f t="shared" si="1"/>
        <v>1</v>
      </c>
      <c r="I55" t="str">
        <f>IF(FT!B55&lt;&gt;"",FT!E55,"")</f>
        <v>1 [21.529597]</v>
      </c>
      <c r="J55">
        <f>IF(FT!B55&lt;&gt;"",FT!C55,"")</f>
        <v>21.529599999999999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2.6261899999999998</v>
      </c>
      <c r="G56" s="61">
        <f>IF(FT!B56&lt;&gt;"",FT!B56*100,"")</f>
        <v>46.715699999999998</v>
      </c>
      <c r="H56" s="61">
        <f t="shared" si="1"/>
        <v>1</v>
      </c>
      <c r="I56" t="str">
        <f>IF(FT!B56&lt;&gt;"",FT!E56,"")</f>
        <v>1 [21.934295]</v>
      </c>
      <c r="J56">
        <f>IF(FT!B56&lt;&gt;"",FT!C56,"")</f>
        <v>21.9343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124192</v>
      </c>
      <c r="D57" s="61">
        <f>FH!B57*1</f>
        <v>124192</v>
      </c>
      <c r="E57">
        <f t="shared" si="3"/>
        <v>55</v>
      </c>
      <c r="F57" s="61">
        <f>IF(FT!A57&lt;&gt;"",FT!A57*10,"")</f>
        <v>2.6030700000000002</v>
      </c>
      <c r="G57" s="61">
        <f>IF(FT!B57&lt;&gt;"",FT!B57*100,"")</f>
        <v>47.035800000000002</v>
      </c>
      <c r="H57" s="61">
        <f t="shared" si="1"/>
        <v>1</v>
      </c>
      <c r="I57" t="str">
        <f>IF(FT!B57&lt;&gt;"",FT!E57,"")</f>
        <v>1 [22.345201]</v>
      </c>
      <c r="J57">
        <f>IF(FT!B57&lt;&gt;"",FT!C57,"")</f>
        <v>22.345199999999998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2.5831900000000001</v>
      </c>
      <c r="G58" s="61">
        <f>IF(FT!B58&lt;&gt;"",FT!B58*100,"")</f>
        <v>47.3095</v>
      </c>
      <c r="H58" s="61">
        <f t="shared" si="1"/>
        <v>1</v>
      </c>
      <c r="I58" t="str">
        <f>IF(FT!B58&lt;&gt;"",FT!E58,"")</f>
        <v>1 [22.750096]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123928</v>
      </c>
      <c r="D59" s="61">
        <f>FH!B59*1</f>
        <v>123928</v>
      </c>
      <c r="E59">
        <f t="shared" si="3"/>
        <v>57</v>
      </c>
      <c r="F59" s="61">
        <f>IF(FT!A59&lt;&gt;"",FT!A59*10,"")</f>
        <v>2.5683299999999996</v>
      </c>
      <c r="G59" s="61">
        <f>IF(FT!B59&lt;&gt;"",FT!B59*100,"")</f>
        <v>47.538000000000004</v>
      </c>
      <c r="H59" s="61">
        <f t="shared" si="1"/>
        <v>1</v>
      </c>
      <c r="I59" t="str">
        <f>IF(FT!B59&lt;&gt;"",FT!E59,"")</f>
        <v>1 [23.154172]</v>
      </c>
      <c r="J59">
        <f>IF(FT!B59&lt;&gt;"",FT!C59,"")</f>
        <v>23.154199999999999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2.54853</v>
      </c>
      <c r="G60" s="61">
        <f>IF(FT!B60&lt;&gt;"",FT!B60*100,"")</f>
        <v>47.790700000000001</v>
      </c>
      <c r="H60" s="61">
        <f t="shared" si="1"/>
        <v>1</v>
      </c>
      <c r="I60" t="str">
        <f>IF(FT!B60&lt;&gt;"",FT!E60,"")</f>
        <v>1 [23.557914]</v>
      </c>
      <c r="J60">
        <f>IF(FT!B60&lt;&gt;"",FT!C60,"")</f>
        <v>23.5579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2.5288500000000003</v>
      </c>
      <c r="G61" s="61">
        <f>IF(FT!B61&lt;&gt;"",FT!B61*100,"")</f>
        <v>48.030799999999999</v>
      </c>
      <c r="H61" s="61">
        <f t="shared" si="1"/>
        <v>1</v>
      </c>
      <c r="I61" t="str">
        <f>IF(FT!B61&lt;&gt;"",FT!E61,"")</f>
        <v>1 [23.967873]</v>
      </c>
      <c r="J61">
        <f>IF(FT!B61&lt;&gt;"",FT!C61,"")</f>
        <v>23.9679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126279</v>
      </c>
      <c r="D62" s="61">
        <f>FH!B62*1</f>
        <v>126279</v>
      </c>
      <c r="E62">
        <f t="shared" si="3"/>
        <v>60</v>
      </c>
      <c r="F62" s="61">
        <f>IF(FT!A62&lt;&gt;"",FT!A62*10,"")</f>
        <v>2.5095700000000001</v>
      </c>
      <c r="G62" s="61">
        <f>IF(FT!B62&lt;&gt;"",FT!B62*100,"")</f>
        <v>48.281800000000004</v>
      </c>
      <c r="H62" s="61">
        <f t="shared" si="1"/>
        <v>1</v>
      </c>
      <c r="I62" t="str">
        <f>IF(FT!B62&lt;&gt;"",FT!E62,"")</f>
        <v>1 [24.370853]</v>
      </c>
      <c r="J62">
        <f>IF(FT!B62&lt;&gt;"",FT!C62,"")</f>
        <v>24.370899999999999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2.4939300000000002</v>
      </c>
      <c r="G63" s="61">
        <f>IF(FT!B63&lt;&gt;"",FT!B63*100,"")</f>
        <v>48.466700000000003</v>
      </c>
      <c r="H63" s="61">
        <f t="shared" si="1"/>
        <v>1</v>
      </c>
      <c r="I63" t="str">
        <f>IF(FT!B63&lt;&gt;"",FT!E63,"")</f>
        <v>1 [24.779759]</v>
      </c>
      <c r="J63">
        <f>IF(FT!B63&lt;&gt;"",FT!C63,"")</f>
        <v>24.779800000000002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131194</v>
      </c>
      <c r="D64" s="61">
        <f>FH!B64*1</f>
        <v>131194</v>
      </c>
      <c r="E64">
        <f t="shared" si="3"/>
        <v>62</v>
      </c>
      <c r="F64" s="61">
        <f>IF(FT!A64&lt;&gt;"",FT!A64*10,"")</f>
        <v>2.47959</v>
      </c>
      <c r="G64" s="61">
        <f>IF(FT!B64&lt;&gt;"",FT!B64*100,"")</f>
        <v>48.627700000000004</v>
      </c>
      <c r="H64" s="61">
        <f t="shared" si="1"/>
        <v>1</v>
      </c>
      <c r="I64" t="str">
        <f>IF(FT!B64&lt;&gt;"",FT!E64,"")</f>
        <v>1 [25.184917]</v>
      </c>
      <c r="J64">
        <f>IF(FT!B64&lt;&gt;"",FT!C64,"")</f>
        <v>25.184899999999999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2.4645900000000003</v>
      </c>
      <c r="G65" s="61">
        <f>IF(FT!B65&lt;&gt;"",FT!B65*100,"")</f>
        <v>48.7271</v>
      </c>
      <c r="H65" s="61">
        <f t="shared" si="1"/>
        <v>1</v>
      </c>
      <c r="I65" t="str">
        <f>IF(FT!B65&lt;&gt;"",FT!E65,"")</f>
        <v>1 [25.595462]</v>
      </c>
      <c r="J65">
        <f>IF(FT!B65&lt;&gt;"",FT!C65,"")</f>
        <v>25.595500000000001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2.45445</v>
      </c>
      <c r="G66" s="61">
        <f>IF(FT!B66&lt;&gt;"",FT!B66*100,"")</f>
        <v>48.8247</v>
      </c>
      <c r="H66" s="61">
        <f t="shared" si="1"/>
        <v>1</v>
      </c>
      <c r="I66" t="str">
        <f>IF(FT!B66&lt;&gt;"",FT!E66,"")</f>
        <v>1 [25.999377]</v>
      </c>
      <c r="J66">
        <f>IF(FT!B66&lt;&gt;"",FT!C66,"")</f>
        <v>25.999400000000001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133428</v>
      </c>
      <c r="D67" s="61">
        <f>FH!B67*1</f>
        <v>133428</v>
      </c>
      <c r="E67">
        <f t="shared" si="3"/>
        <v>65</v>
      </c>
      <c r="F67" s="61">
        <f>IF(FT!A67&lt;&gt;"",FT!A67*10,"")</f>
        <v>2.4416699999999998</v>
      </c>
      <c r="G67" s="61">
        <f>IF(FT!B67&lt;&gt;"",FT!B67*100,"")</f>
        <v>48.941800000000001</v>
      </c>
      <c r="H67" s="61">
        <f t="shared" ref="H67:H130" si="9">(IF(F67&lt;&gt;"",1,""))</f>
        <v>1</v>
      </c>
      <c r="I67" t="str">
        <f>IF(FT!B67&lt;&gt;"",FT!E67,"")</f>
        <v>1 [26.404352]</v>
      </c>
      <c r="J67">
        <f>IF(FT!B67&lt;&gt;"",FT!C67,"")</f>
        <v>26.404399999999999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2.42638</v>
      </c>
      <c r="G68" s="61">
        <f>IF(FT!B68&lt;&gt;"",FT!B68*100,"")</f>
        <v>49.047899999999998</v>
      </c>
      <c r="H68" s="61">
        <f t="shared" si="9"/>
        <v>1</v>
      </c>
      <c r="I68" t="str">
        <f>IF(FT!B68&lt;&gt;"",FT!E68,"")</f>
        <v>1 [26.811346]</v>
      </c>
      <c r="J68">
        <f>IF(FT!B68&lt;&gt;"",FT!C68,"")</f>
        <v>26.811299999999999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126287</v>
      </c>
      <c r="D69" s="61">
        <f>FH!B69*1</f>
        <v>126287</v>
      </c>
      <c r="E69">
        <f t="shared" si="11"/>
        <v>67</v>
      </c>
      <c r="F69" s="61">
        <f>IF(FT!A69&lt;&gt;"",FT!A69*10,"")</f>
        <v>2.41486</v>
      </c>
      <c r="G69" s="61">
        <f>IF(FT!B69&lt;&gt;"",FT!B69*100,"")</f>
        <v>49.1706</v>
      </c>
      <c r="H69" s="61">
        <f t="shared" si="9"/>
        <v>1</v>
      </c>
      <c r="I69" t="str">
        <f>IF(FT!B69&lt;&gt;"",FT!E69,"")</f>
        <v>1 [27.217171]</v>
      </c>
      <c r="J69">
        <f>IF(FT!B69&lt;&gt;"",FT!C69,"")</f>
        <v>27.217199999999998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2.40577</v>
      </c>
      <c r="G70" s="61">
        <f>IF(FT!B70&lt;&gt;"",FT!B70*100,"")</f>
        <v>49.192300000000003</v>
      </c>
      <c r="H70" s="61">
        <f t="shared" si="9"/>
        <v>1</v>
      </c>
      <c r="I70" t="str">
        <f>IF(FT!B70&lt;&gt;"",FT!E70,"")</f>
        <v>1 [27.626097]</v>
      </c>
      <c r="J70">
        <f>IF(FT!B70&lt;&gt;"",FT!C70,"")</f>
        <v>27.626100000000001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2.4000499999999998</v>
      </c>
      <c r="G71" s="61">
        <f>IF(FT!B71&lt;&gt;"",FT!B71*100,"")</f>
        <v>49.163499999999999</v>
      </c>
      <c r="H71" s="61">
        <f t="shared" si="9"/>
        <v>1</v>
      </c>
      <c r="I71" t="str">
        <f>IF(FT!B71&lt;&gt;"",FT!E71,"")</f>
        <v>1 [28.028985]</v>
      </c>
      <c r="J71">
        <f>IF(FT!B71&lt;&gt;"",FT!C71,"")</f>
        <v>28.029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124190</v>
      </c>
      <c r="D72" s="61">
        <f>FH!B72*1</f>
        <v>124190</v>
      </c>
      <c r="E72">
        <f t="shared" si="11"/>
        <v>70</v>
      </c>
      <c r="F72" s="61">
        <f>IF(FT!A72&lt;&gt;"",FT!A72*10,"")</f>
        <v>2.39636</v>
      </c>
      <c r="G72" s="61">
        <f>IF(FT!B72&lt;&gt;"",FT!B72*100,"")</f>
        <v>49.1006</v>
      </c>
      <c r="H72" s="61">
        <f t="shared" si="9"/>
        <v>1</v>
      </c>
      <c r="I72" t="str">
        <f>IF(FT!B72&lt;&gt;"",FT!E72,"")</f>
        <v>1 [28.438565]</v>
      </c>
      <c r="J72">
        <f>IF(FT!B72&lt;&gt;"",FT!C72,"")</f>
        <v>28.438600000000001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2.3926099999999999</v>
      </c>
      <c r="G73" s="61">
        <f>IF(FT!B73&lt;&gt;"",FT!B73*100,"")</f>
        <v>49.128999999999998</v>
      </c>
      <c r="H73" s="61">
        <f t="shared" si="9"/>
        <v>1</v>
      </c>
      <c r="I73" t="str">
        <f>IF(FT!B73&lt;&gt;"",FT!E73,"")</f>
        <v>1 [28.843227]</v>
      </c>
      <c r="J73">
        <f>IF(FT!B73&lt;&gt;"",FT!C73,"")</f>
        <v>28.8432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2.3848400000000001</v>
      </c>
      <c r="G74" s="61">
        <f>IF(FT!B74&lt;&gt;"",FT!B74*100,"")</f>
        <v>49.238300000000002</v>
      </c>
      <c r="H74" s="61">
        <f t="shared" si="9"/>
        <v>1</v>
      </c>
      <c r="I74" t="str">
        <f>IF(FT!B74&lt;&gt;"",FT!E74,"")</f>
        <v>1 [29.251839]</v>
      </c>
      <c r="J74">
        <f>IF(FT!B74&lt;&gt;"",FT!C74,"")</f>
        <v>29.251799999999999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123026</v>
      </c>
      <c r="D75" s="61">
        <f>FH!B75*1</f>
        <v>123026</v>
      </c>
      <c r="E75">
        <f t="shared" si="11"/>
        <v>73</v>
      </c>
      <c r="F75" s="61">
        <f>IF(FT!A75&lt;&gt;"",FT!A75*10,"")</f>
        <v>2.37717</v>
      </c>
      <c r="G75" s="61">
        <f>IF(FT!B75&lt;&gt;"",FT!B75*100,"")</f>
        <v>49.313800000000001</v>
      </c>
      <c r="H75" s="61">
        <f t="shared" si="9"/>
        <v>1</v>
      </c>
      <c r="I75" t="str">
        <f>IF(FT!B75&lt;&gt;"",FT!E75,"")</f>
        <v>1 [29.656720]</v>
      </c>
      <c r="J75">
        <f>IF(FT!B75&lt;&gt;"",FT!C75,"")</f>
        <v>29.656700000000001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2.36435</v>
      </c>
      <c r="G76" s="61">
        <f>IF(FT!B76&lt;&gt;"",FT!B76*100,"")</f>
        <v>49.415999999999997</v>
      </c>
      <c r="H76" s="61">
        <f t="shared" si="9"/>
        <v>1</v>
      </c>
      <c r="I76" t="str">
        <f>IF(FT!B76&lt;&gt;"",FT!E76,"")</f>
        <v>2 [30.064665]</v>
      </c>
      <c r="J76">
        <f>IF(FT!B76&lt;&gt;"",FT!C76,"")</f>
        <v>30.064699999999998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120094</v>
      </c>
      <c r="D77" s="61">
        <f>FH!B77*1</f>
        <v>120094</v>
      </c>
      <c r="E77">
        <f t="shared" si="11"/>
        <v>75</v>
      </c>
      <c r="F77" s="61">
        <f>IF(FT!A77&lt;&gt;"",FT!A77*10,"")</f>
        <v>2.3553699999999997</v>
      </c>
      <c r="G77" s="61">
        <f>IF(FT!B77&lt;&gt;"",FT!B77*100,"")</f>
        <v>49.473199999999999</v>
      </c>
      <c r="H77" s="61">
        <f t="shared" si="9"/>
        <v>1</v>
      </c>
      <c r="I77" t="str">
        <f>IF(FT!B77&lt;&gt;"",FT!E77,"")</f>
        <v>2 [30.528324]</v>
      </c>
      <c r="J77">
        <f>IF(FT!B77&lt;&gt;"",FT!C77,"")</f>
        <v>30.528300000000002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2.34938</v>
      </c>
      <c r="G78" s="61">
        <f>IF(FT!B78&lt;&gt;"",FT!B78*100,"")</f>
        <v>49.474299999999999</v>
      </c>
      <c r="H78" s="61">
        <f t="shared" si="9"/>
        <v>1</v>
      </c>
      <c r="I78" t="str">
        <f>IF(FT!B78&lt;&gt;"",FT!E78,"")</f>
        <v>2 [30.936574]</v>
      </c>
      <c r="J78">
        <f>IF(FT!B78&lt;&gt;"",FT!C78,"")</f>
        <v>30.936599999999999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2.34402</v>
      </c>
      <c r="G79" s="61">
        <f>IF(FT!B79&lt;&gt;"",FT!B79*100,"")</f>
        <v>49.435200000000002</v>
      </c>
      <c r="H79" s="61">
        <f t="shared" si="9"/>
        <v>1</v>
      </c>
      <c r="I79" t="str">
        <f>IF(FT!B79&lt;&gt;"",FT!E79,"")</f>
        <v>2 [31.328105]</v>
      </c>
      <c r="J79">
        <f>IF(FT!B79&lt;&gt;"",FT!C79,"")</f>
        <v>31.328099999999999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111321</v>
      </c>
      <c r="D80" s="61">
        <f>FH!B80*1</f>
        <v>111321</v>
      </c>
      <c r="E80">
        <f t="shared" si="11"/>
        <v>78</v>
      </c>
      <c r="F80" s="61">
        <f>IF(FT!A80&lt;&gt;"",FT!A80*10,"")</f>
        <v>2.3398099999999999</v>
      </c>
      <c r="G80" s="61">
        <f>IF(FT!B80&lt;&gt;"",FT!B80*100,"")</f>
        <v>49.385400000000004</v>
      </c>
      <c r="H80" s="61">
        <f t="shared" si="9"/>
        <v>1</v>
      </c>
      <c r="I80" t="str">
        <f>IF(FT!B80&lt;&gt;"",FT!E80,"")</f>
        <v>2 [31.733050]</v>
      </c>
      <c r="J80">
        <f>IF(FT!B80&lt;&gt;"",FT!C80,"")</f>
        <v>31.7331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2.3359999999999999</v>
      </c>
      <c r="G81" s="61">
        <f>IF(FT!B81&lt;&gt;"",FT!B81*100,"")</f>
        <v>49.317100000000003</v>
      </c>
      <c r="H81" s="61">
        <f t="shared" si="9"/>
        <v>1</v>
      </c>
      <c r="I81" t="str">
        <f>IF(FT!B81&lt;&gt;"",FT!E81,"")</f>
        <v>2 [32.140167]</v>
      </c>
      <c r="J81">
        <f>IF(FT!B81&lt;&gt;"",FT!C81,"")</f>
        <v>32.1402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106294</v>
      </c>
      <c r="D82" s="61">
        <f>FH!B82*1</f>
        <v>106294</v>
      </c>
      <c r="E82">
        <f t="shared" si="11"/>
        <v>80</v>
      </c>
      <c r="F82" s="61">
        <f>IF(FT!A82&lt;&gt;"",FT!A82*10,"")</f>
        <v>2.33039</v>
      </c>
      <c r="G82" s="61">
        <f>IF(FT!B82&lt;&gt;"",FT!B82*100,"")</f>
        <v>49.229500000000002</v>
      </c>
      <c r="H82" s="61">
        <f t="shared" si="9"/>
        <v>1</v>
      </c>
      <c r="I82" t="str">
        <f>IF(FT!B82&lt;&gt;"",FT!E82,"")</f>
        <v>2 [32.546968]</v>
      </c>
      <c r="J82">
        <f>IF(FT!B82&lt;&gt;"",FT!C82,"")</f>
        <v>32.546999999999997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2.32497</v>
      </c>
      <c r="G83" s="61">
        <f>IF(FT!B83&lt;&gt;"",FT!B83*100,"")</f>
        <v>49.133700000000005</v>
      </c>
      <c r="H83" s="61">
        <f t="shared" si="9"/>
        <v>1</v>
      </c>
      <c r="I83" t="str">
        <f>IF(FT!B83&lt;&gt;"",FT!E83,"")</f>
        <v>2 [32.953891]</v>
      </c>
      <c r="J83">
        <f>IF(FT!B83&lt;&gt;"",FT!C83,"")</f>
        <v>32.953899999999997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2.3180899999999998</v>
      </c>
      <c r="G84" s="61">
        <f>IF(FT!B84&lt;&gt;"",FT!B84*100,"")</f>
        <v>49.060500000000005</v>
      </c>
      <c r="H84" s="61">
        <f t="shared" si="9"/>
        <v>1</v>
      </c>
      <c r="I84" t="str">
        <f>IF(FT!B84&lt;&gt;"",FT!E84,"")</f>
        <v>2 [33.356742]</v>
      </c>
      <c r="J84">
        <f>IF(FT!B84&lt;&gt;"",FT!C84,"")</f>
        <v>33.356699999999996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91949</v>
      </c>
      <c r="D85" s="61">
        <f>FH!B85*1</f>
        <v>91949</v>
      </c>
      <c r="E85">
        <f t="shared" si="11"/>
        <v>83</v>
      </c>
      <c r="F85" s="61">
        <f>IF(FT!A85&lt;&gt;"",FT!A85*10,"")</f>
        <v>2.3117399999999999</v>
      </c>
      <c r="G85" s="61">
        <f>IF(FT!B85&lt;&gt;"",FT!B85*100,"")</f>
        <v>49.013199999999998</v>
      </c>
      <c r="H85" s="61">
        <f t="shared" si="9"/>
        <v>1</v>
      </c>
      <c r="I85" t="str">
        <f>IF(FT!B85&lt;&gt;"",FT!E85,"")</f>
        <v>2 [33.764597]</v>
      </c>
      <c r="J85">
        <f>IF(FT!B85&lt;&gt;"",FT!C85,"")</f>
        <v>33.764600000000002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2.3066999999999998</v>
      </c>
      <c r="G86" s="61">
        <f>IF(FT!B86&lt;&gt;"",FT!B86*100,"")</f>
        <v>48.989600000000003</v>
      </c>
      <c r="H86" s="61">
        <f t="shared" si="9"/>
        <v>1</v>
      </c>
      <c r="I86" t="str">
        <f>IF(FT!B86&lt;&gt;"",FT!E86,"")</f>
        <v>2 [34.171280]</v>
      </c>
      <c r="J86">
        <f>IF(FT!B86&lt;&gt;"",FT!C86,"")</f>
        <v>34.171300000000002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2.3025899999999999</v>
      </c>
      <c r="G87" s="61">
        <f>IF(FT!B87&lt;&gt;"",FT!B87*100,"")</f>
        <v>49.006799999999998</v>
      </c>
      <c r="H87" s="61">
        <f t="shared" si="9"/>
        <v>1</v>
      </c>
      <c r="I87" t="str">
        <f>IF(FT!B87&lt;&gt;"",FT!E87,"")</f>
        <v>2 [34.575508]</v>
      </c>
      <c r="J87">
        <f>IF(FT!B87&lt;&gt;"",FT!C87,"")</f>
        <v>34.575499999999998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89191</v>
      </c>
      <c r="D88" s="61">
        <f>FH!B88*1</f>
        <v>89191</v>
      </c>
      <c r="E88">
        <f t="shared" si="11"/>
        <v>86</v>
      </c>
      <c r="F88" s="61">
        <f>IF(FT!A88&lt;&gt;"",FT!A88*10,"")</f>
        <v>2.2995199999999998</v>
      </c>
      <c r="G88" s="61">
        <f>IF(FT!B88&lt;&gt;"",FT!B88*100,"")</f>
        <v>49.033900000000003</v>
      </c>
      <c r="H88" s="61">
        <f t="shared" si="9"/>
        <v>1</v>
      </c>
      <c r="I88" t="str">
        <f>IF(FT!B88&lt;&gt;"",FT!E88,"")</f>
        <v>2 [34.986683]</v>
      </c>
      <c r="J88">
        <f>IF(FT!B88&lt;&gt;"",FT!C88,"")</f>
        <v>34.986699999999999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2.29894</v>
      </c>
      <c r="G89" s="61">
        <f>IF(FT!B89&lt;&gt;"",FT!B89*100,"")</f>
        <v>49.076500000000003</v>
      </c>
      <c r="H89" s="61">
        <f t="shared" si="9"/>
        <v>1</v>
      </c>
      <c r="I89" t="str">
        <f>IF(FT!B89&lt;&gt;"",FT!E89,"")</f>
        <v>2 [35.390379]</v>
      </c>
      <c r="J89">
        <f>IF(FT!B89&lt;&gt;"",FT!C89,"")</f>
        <v>35.3904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78393</v>
      </c>
      <c r="D90" s="61">
        <f>FH!B90*1</f>
        <v>78393</v>
      </c>
      <c r="E90">
        <f t="shared" si="11"/>
        <v>88</v>
      </c>
      <c r="F90" s="61">
        <f>IF(FT!A90&lt;&gt;"",FT!A90*10,"")</f>
        <v>2.2986200000000001</v>
      </c>
      <c r="G90" s="61">
        <f>IF(FT!B90&lt;&gt;"",FT!B90*100,"")</f>
        <v>49.168199999999999</v>
      </c>
      <c r="H90" s="61">
        <f t="shared" si="9"/>
        <v>1</v>
      </c>
      <c r="I90" t="str">
        <f>IF(FT!B90&lt;&gt;"",FT!E90,"")</f>
        <v>2 [35.795196]</v>
      </c>
      <c r="J90">
        <f>IF(FT!B90&lt;&gt;"",FT!C90,"")</f>
        <v>35.795200000000001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2.2959399999999999</v>
      </c>
      <c r="G91" s="61">
        <f>IF(FT!B91&lt;&gt;"",FT!B91*100,"")</f>
        <v>49.318600000000004</v>
      </c>
      <c r="H91" s="61">
        <f t="shared" si="9"/>
        <v>1</v>
      </c>
      <c r="I91" t="str">
        <f>IF(FT!B91&lt;&gt;"",FT!E91,"")</f>
        <v>2 [36.203734]</v>
      </c>
      <c r="J91">
        <f>IF(FT!B91&lt;&gt;"",FT!C91,"")</f>
        <v>36.203699999999998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2.2932100000000002</v>
      </c>
      <c r="G92" s="61">
        <f>IF(FT!B92&lt;&gt;"",FT!B92*100,"")</f>
        <v>49.459199999999996</v>
      </c>
      <c r="H92" s="61">
        <f t="shared" si="9"/>
        <v>1</v>
      </c>
      <c r="I92" t="str">
        <f>IF(FT!B92&lt;&gt;"",FT!E92,"")</f>
        <v>2 [36.608031]</v>
      </c>
      <c r="J92">
        <f>IF(FT!B92&lt;&gt;"",FT!C92,"")</f>
        <v>36.607999999999997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64089</v>
      </c>
      <c r="D93" s="61">
        <f>FH!B93*1</f>
        <v>64089</v>
      </c>
      <c r="E93">
        <f t="shared" si="11"/>
        <v>91</v>
      </c>
      <c r="F93" s="61">
        <f>IF(FT!A93&lt;&gt;"",FT!A93*10,"")</f>
        <v>2.2925400000000002</v>
      </c>
      <c r="G93" s="61">
        <f>IF(FT!B93&lt;&gt;"",FT!B93*100,"")</f>
        <v>49.553899999999999</v>
      </c>
      <c r="H93" s="61">
        <f t="shared" si="9"/>
        <v>1</v>
      </c>
      <c r="I93" t="str">
        <f>IF(FT!B93&lt;&gt;"",FT!E93,"")</f>
        <v>2 [37.017976]</v>
      </c>
      <c r="J93">
        <f>IF(FT!B93&lt;&gt;"",FT!C93,"")</f>
        <v>37.018000000000001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2.2933700000000004</v>
      </c>
      <c r="G94" s="61">
        <f>IF(FT!B94&lt;&gt;"",FT!B94*100,"")</f>
        <v>49.599299999999999</v>
      </c>
      <c r="H94" s="61">
        <f t="shared" si="9"/>
        <v>1</v>
      </c>
      <c r="I94" t="str">
        <f>IF(FT!B94&lt;&gt;"",FT!E94,"")</f>
        <v>2 [37.420165]</v>
      </c>
      <c r="J94">
        <f>IF(FT!B94&lt;&gt;"",FT!C94,"")</f>
        <v>37.420200000000001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56734</v>
      </c>
      <c r="D95" s="61">
        <f>FH!B95*1</f>
        <v>56734</v>
      </c>
      <c r="E95">
        <f t="shared" si="11"/>
        <v>93</v>
      </c>
      <c r="F95" s="61">
        <f>IF(FT!A95&lt;&gt;"",FT!A95*10,"")</f>
        <v>2.2929599999999999</v>
      </c>
      <c r="G95" s="61">
        <f>IF(FT!B95&lt;&gt;"",FT!B95*100,"")</f>
        <v>49.693300000000001</v>
      </c>
      <c r="H95" s="61">
        <f t="shared" si="9"/>
        <v>1</v>
      </c>
      <c r="I95" t="str">
        <f>IF(FT!B95&lt;&gt;"",FT!E95,"")</f>
        <v>2 [37.826812]</v>
      </c>
      <c r="J95">
        <f>IF(FT!B95&lt;&gt;"",FT!C95,"")</f>
        <v>37.826799999999999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2.28851</v>
      </c>
      <c r="G96" s="61">
        <f>IF(FT!B96&lt;&gt;"",FT!B96*100,"")</f>
        <v>49.876799999999996</v>
      </c>
      <c r="H96" s="61">
        <f t="shared" si="9"/>
        <v>1</v>
      </c>
      <c r="I96" t="str">
        <f>IF(FT!B96&lt;&gt;"",FT!E96,"")</f>
        <v>2 [38.233967]</v>
      </c>
      <c r="J96">
        <f>IF(FT!B96&lt;&gt;"",FT!C96,"")</f>
        <v>38.234000000000002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2.28172</v>
      </c>
      <c r="G97" s="61">
        <f>IF(FT!B97&lt;&gt;"",FT!B97*100,"")</f>
        <v>50.064799999999998</v>
      </c>
      <c r="H97" s="61">
        <f t="shared" si="9"/>
        <v>1</v>
      </c>
      <c r="I97" t="str">
        <f>IF(FT!B97&lt;&gt;"",FT!E97,"")</f>
        <v>2 [38.642644]</v>
      </c>
      <c r="J97">
        <f>IF(FT!B97&lt;&gt;"",FT!C97,"")</f>
        <v>38.642600000000002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46491</v>
      </c>
      <c r="D98" s="61">
        <f>FH!B98*1</f>
        <v>46491</v>
      </c>
      <c r="E98">
        <f t="shared" si="11"/>
        <v>96</v>
      </c>
      <c r="F98" s="61">
        <f>IF(FT!A98&lt;&gt;"",FT!A98*10,"")</f>
        <v>2.2711000000000001</v>
      </c>
      <c r="G98" s="61">
        <f>IF(FT!B98&lt;&gt;"",FT!B98*100,"")</f>
        <v>50.260599999999997</v>
      </c>
      <c r="H98" s="61">
        <f t="shared" si="9"/>
        <v>1</v>
      </c>
      <c r="I98" t="str">
        <f>IF(FT!B98&lt;&gt;"",FT!E98,"")</f>
        <v>2 [39.047602]</v>
      </c>
      <c r="J98">
        <f>IF(FT!B98&lt;&gt;"",FT!C98,"")</f>
        <v>39.047600000000003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2.2600700000000002</v>
      </c>
      <c r="G99" s="61">
        <f>IF(FT!B99&lt;&gt;"",FT!B99*100,"")</f>
        <v>50.457700000000003</v>
      </c>
      <c r="H99" s="61">
        <f t="shared" si="9"/>
        <v>1</v>
      </c>
      <c r="I99" t="str">
        <f>IF(FT!B99&lt;&gt;"",FT!E99,"")</f>
        <v>2 [39.455630]</v>
      </c>
      <c r="J99">
        <f>IF(FT!B99&lt;&gt;"",FT!C99,"")</f>
        <v>39.455599999999997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41289</v>
      </c>
      <c r="D100" s="61">
        <f>FH!B100*1</f>
        <v>41289</v>
      </c>
      <c r="E100">
        <f t="shared" si="11"/>
        <v>98</v>
      </c>
      <c r="F100" s="61">
        <f>IF(FT!A100&lt;&gt;"",FT!A100*10,"")</f>
        <v>2.2505000000000002</v>
      </c>
      <c r="G100" s="61">
        <f>IF(FT!B100&lt;&gt;"",FT!B100*100,"")</f>
        <v>50.621000000000002</v>
      </c>
      <c r="H100" s="61">
        <f t="shared" si="9"/>
        <v>1</v>
      </c>
      <c r="I100" t="str">
        <f>IF(FT!B100&lt;&gt;"",FT!E100,"")</f>
        <v>2 [39.857328]</v>
      </c>
      <c r="J100">
        <f>IF(FT!B100&lt;&gt;"",FT!C100,"")</f>
        <v>39.857300000000002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2.2400000000000002</v>
      </c>
      <c r="G101" s="61">
        <f>IF(FT!B101&lt;&gt;"",FT!B101*100,"")</f>
        <v>50.805999999999997</v>
      </c>
      <c r="H101" s="61">
        <f t="shared" si="9"/>
        <v>1</v>
      </c>
      <c r="I101" t="str">
        <f>IF(FT!B101&lt;&gt;"",FT!E101,"")</f>
        <v>2 [40.263228]</v>
      </c>
      <c r="J101">
        <f>IF(FT!B101&lt;&gt;"",FT!C101,"")</f>
        <v>40.263199999999998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2.22777</v>
      </c>
      <c r="G102" s="61">
        <f>IF(FT!B102&lt;&gt;"",FT!B102*100,"")</f>
        <v>51.060300000000005</v>
      </c>
      <c r="H102" s="61">
        <f t="shared" si="9"/>
        <v>1</v>
      </c>
      <c r="I102" t="str">
        <f>IF(FT!B102&lt;&gt;"",FT!E102,"")</f>
        <v>2 [40.668208]</v>
      </c>
      <c r="J102">
        <f>IF(FT!B102&lt;&gt;"",FT!C102,"")</f>
        <v>40.668199999999999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35888</v>
      </c>
      <c r="D103" s="61">
        <f>FH!B103*1</f>
        <v>35888</v>
      </c>
      <c r="E103">
        <f t="shared" si="11"/>
        <v>101</v>
      </c>
      <c r="F103" s="61">
        <f>IF(FT!A103&lt;&gt;"",FT!A103*10,"")</f>
        <v>2.2170799999999997</v>
      </c>
      <c r="G103" s="61">
        <f>IF(FT!B103&lt;&gt;"",FT!B103*100,"")</f>
        <v>51.202099999999994</v>
      </c>
      <c r="H103" s="61">
        <f t="shared" si="9"/>
        <v>1</v>
      </c>
      <c r="I103" t="str">
        <f>IF(FT!B103&lt;&gt;"",FT!E103,"")</f>
        <v>2 [41.075145]</v>
      </c>
      <c r="J103">
        <f>IF(FT!B103&lt;&gt;"",FT!C103,"")</f>
        <v>41.075099999999999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2.2087000000000003</v>
      </c>
      <c r="G104" s="61">
        <f>IF(FT!B104&lt;&gt;"",FT!B104*100,"")</f>
        <v>51.313299999999998</v>
      </c>
      <c r="H104" s="61">
        <f t="shared" si="9"/>
        <v>1</v>
      </c>
      <c r="I104" t="str">
        <f>IF(FT!B104&lt;&gt;"",FT!E104,"")</f>
        <v>2 [41.482173]</v>
      </c>
      <c r="J104">
        <f>IF(FT!B104&lt;&gt;"",FT!C104,"")</f>
        <v>41.482199999999999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2.19869</v>
      </c>
      <c r="G105" s="61">
        <f>IF(FT!B105&lt;&gt;"",FT!B105*100,"")</f>
        <v>51.405699999999996</v>
      </c>
      <c r="H105" s="61">
        <f t="shared" si="9"/>
        <v>1</v>
      </c>
      <c r="I105" t="str">
        <f>IF(FT!B105&lt;&gt;"",FT!E105,"")</f>
        <v>2 [41.890991]</v>
      </c>
      <c r="J105">
        <f>IF(FT!B105&lt;&gt;"",FT!C105,"")</f>
        <v>41.890999999999998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31494</v>
      </c>
      <c r="D106" s="61">
        <f>FH!B106*1</f>
        <v>31494</v>
      </c>
      <c r="E106">
        <f t="shared" si="11"/>
        <v>104</v>
      </c>
      <c r="F106" s="61">
        <f>IF(FT!A106&lt;&gt;"",FT!A106*10,"")</f>
        <v>2.1854</v>
      </c>
      <c r="G106" s="61">
        <f>IF(FT!B106&lt;&gt;"",FT!B106*100,"")</f>
        <v>51.5456</v>
      </c>
      <c r="H106" s="61">
        <f t="shared" si="9"/>
        <v>1</v>
      </c>
      <c r="I106" t="str">
        <f>IF(FT!B106&lt;&gt;"",FT!E106,"")</f>
        <v>2 [42.294813]</v>
      </c>
      <c r="J106">
        <f>IF(FT!B106&lt;&gt;"",FT!C106,"")</f>
        <v>42.294800000000002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2.1740699999999999</v>
      </c>
      <c r="G107" s="61">
        <f>IF(FT!B107&lt;&gt;"",FT!B107*100,"")</f>
        <v>51.7151</v>
      </c>
      <c r="H107" s="61">
        <f t="shared" si="9"/>
        <v>1</v>
      </c>
      <c r="I107" t="str">
        <f>IF(FT!B107&lt;&gt;"",FT!E107,"")</f>
        <v>2 [42.702917]</v>
      </c>
      <c r="J107">
        <f>IF(FT!B107&lt;&gt;"",FT!C107,"")</f>
        <v>42.7029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26332</v>
      </c>
      <c r="D108" s="61">
        <f>FH!B108*1</f>
        <v>26332</v>
      </c>
      <c r="E108">
        <f t="shared" si="11"/>
        <v>106</v>
      </c>
      <c r="F108" s="61">
        <f>IF(FT!A108&lt;&gt;"",FT!A108*10,"")</f>
        <v>2.1635399999999998</v>
      </c>
      <c r="G108" s="61">
        <f>IF(FT!B108&lt;&gt;"",FT!B108*100,"")</f>
        <v>51.909300000000002</v>
      </c>
      <c r="H108" s="61">
        <f t="shared" si="9"/>
        <v>1</v>
      </c>
      <c r="I108" t="str">
        <f>IF(FT!B108&lt;&gt;"",FT!E108,"")</f>
        <v>2 [43.109719]</v>
      </c>
      <c r="J108">
        <f>IF(FT!B108&lt;&gt;"",FT!C108,"")</f>
        <v>43.109699999999997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2.1550199999999999</v>
      </c>
      <c r="G109" s="61">
        <f>IF(FT!B109&lt;&gt;"",FT!B109*100,"")</f>
        <v>52.030100000000004</v>
      </c>
      <c r="H109" s="61">
        <f t="shared" si="9"/>
        <v>1</v>
      </c>
      <c r="I109" t="str">
        <f>IF(FT!B109&lt;&gt;"",FT!E109,"")</f>
        <v>2 [43.516680]</v>
      </c>
      <c r="J109">
        <f>IF(FT!B109&lt;&gt;"",FT!C109,"")</f>
        <v>43.5167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2.1463199999999998</v>
      </c>
      <c r="G110" s="61">
        <f>IF(FT!B110&lt;&gt;"",FT!B110*100,"")</f>
        <v>52.177599999999998</v>
      </c>
      <c r="H110" s="61">
        <f t="shared" si="9"/>
        <v>1</v>
      </c>
      <c r="I110" t="str">
        <f>IF(FT!B110&lt;&gt;"",FT!E110,"")</f>
        <v>2 [43.921499]</v>
      </c>
      <c r="J110">
        <f>IF(FT!B110&lt;&gt;"",FT!C110,"")</f>
        <v>43.921500000000002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20941</v>
      </c>
      <c r="D111" s="61">
        <f>FH!B111*1</f>
        <v>20941</v>
      </c>
      <c r="E111">
        <f t="shared" si="11"/>
        <v>109</v>
      </c>
      <c r="F111" s="61">
        <f>IF(FT!A111&lt;&gt;"",FT!A111*10,"")</f>
        <v>2.1364900000000002</v>
      </c>
      <c r="G111" s="61">
        <f>IF(FT!B111&lt;&gt;"",FT!B111*100,"")</f>
        <v>52.386699999999998</v>
      </c>
      <c r="H111" s="61">
        <f t="shared" si="9"/>
        <v>1</v>
      </c>
      <c r="I111" t="str">
        <f>IF(FT!B111&lt;&gt;"",FT!E111,"")</f>
        <v>2 [44.326504]</v>
      </c>
      <c r="J111">
        <f>IF(FT!B111&lt;&gt;"",FT!C111,"")</f>
        <v>44.326500000000003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2.1245799999999999</v>
      </c>
      <c r="G112" s="61">
        <f>IF(FT!B112&lt;&gt;"",FT!B112*100,"")</f>
        <v>52.634899999999995</v>
      </c>
      <c r="H112" s="61">
        <f t="shared" si="9"/>
        <v>1</v>
      </c>
      <c r="I112" t="str">
        <f>IF(FT!B112&lt;&gt;"",FT!E112,"")</f>
        <v>2 [44.737453]</v>
      </c>
      <c r="J112">
        <f>IF(FT!B112&lt;&gt;"",FT!C112,"")</f>
        <v>44.737499999999997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20421</v>
      </c>
      <c r="D113" s="61">
        <f>FH!B113*1</f>
        <v>20421</v>
      </c>
      <c r="E113">
        <f t="shared" si="11"/>
        <v>111</v>
      </c>
      <c r="F113" s="61">
        <f>IF(FT!A113&lt;&gt;"",FT!A113*10,"")</f>
        <v>2.1109200000000001</v>
      </c>
      <c r="G113" s="61">
        <f>IF(FT!B113&lt;&gt;"",FT!B113*100,"")</f>
        <v>52.937800000000003</v>
      </c>
      <c r="H113" s="61">
        <f t="shared" si="9"/>
        <v>1</v>
      </c>
      <c r="I113" t="str">
        <f>IF(FT!B113&lt;&gt;"",FT!E113,"")</f>
        <v>2 [45.141319]</v>
      </c>
      <c r="J113">
        <f>IF(FT!B113&lt;&gt;"",FT!C113,"")</f>
        <v>45.141300000000001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2.0927599999999997</v>
      </c>
      <c r="G114" s="61">
        <f>IF(FT!B114&lt;&gt;"",FT!B114*100,"")</f>
        <v>53.341999999999999</v>
      </c>
      <c r="H114" s="61">
        <f t="shared" si="9"/>
        <v>1</v>
      </c>
      <c r="I114" t="str">
        <f>IF(FT!B114&lt;&gt;"",FT!E114,"")</f>
        <v>2 [45.547136]</v>
      </c>
      <c r="J114">
        <f>IF(FT!B114&lt;&gt;"",FT!C114,"")</f>
        <v>45.5471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2.0740799999999999</v>
      </c>
      <c r="G115" s="61">
        <f>IF(FT!B115&lt;&gt;"",FT!B115*100,"")</f>
        <v>53.776599999999995</v>
      </c>
      <c r="H115" s="61">
        <f t="shared" si="9"/>
        <v>1</v>
      </c>
      <c r="I115" t="str">
        <f>IF(FT!B115&lt;&gt;"",FT!E115,"")</f>
        <v>2 [45.953424]</v>
      </c>
      <c r="J115">
        <f>IF(FT!B115&lt;&gt;"",FT!C115,"")</f>
        <v>45.953400000000002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16483</v>
      </c>
      <c r="D116" s="61">
        <f>FH!B116*1</f>
        <v>16483</v>
      </c>
      <c r="E116">
        <f t="shared" si="11"/>
        <v>114</v>
      </c>
      <c r="F116" s="61">
        <f>IF(FT!A116&lt;&gt;"",FT!A116*10,"")</f>
        <v>2.0563199999999999</v>
      </c>
      <c r="G116" s="61">
        <f>IF(FT!B116&lt;&gt;"",FT!B116*100,"")</f>
        <v>54.207799999999992</v>
      </c>
      <c r="H116" s="61">
        <f t="shared" si="9"/>
        <v>1</v>
      </c>
      <c r="I116" t="str">
        <f>IF(FT!B116&lt;&gt;"",FT!E116,"")</f>
        <v>2 [46.358090]</v>
      </c>
      <c r="J116">
        <f>IF(FT!B116&lt;&gt;"",FT!C116,"")</f>
        <v>46.3581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2.0410699999999999</v>
      </c>
      <c r="G117" s="61">
        <f>IF(FT!B117&lt;&gt;"",FT!B117*100,"")</f>
        <v>54.602499999999999</v>
      </c>
      <c r="H117" s="61">
        <f t="shared" si="9"/>
        <v>1</v>
      </c>
      <c r="I117" t="str">
        <f>IF(FT!B117&lt;&gt;"",FT!E117,"")</f>
        <v>2 [46.764951]</v>
      </c>
      <c r="J117">
        <f>IF(FT!B117&lt;&gt;"",FT!C117,"")</f>
        <v>46.765000000000001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15841</v>
      </c>
      <c r="D118" s="61">
        <f>FH!B118*1</f>
        <v>15841</v>
      </c>
      <c r="E118">
        <f t="shared" si="11"/>
        <v>116</v>
      </c>
      <c r="F118" s="61">
        <f>IF(FT!A118&lt;&gt;"",FT!A118*10,"")</f>
        <v>2.02596</v>
      </c>
      <c r="G118" s="61">
        <f>IF(FT!B118&lt;&gt;"",FT!B118*100,"")</f>
        <v>55.037899999999993</v>
      </c>
      <c r="H118" s="61">
        <f t="shared" si="9"/>
        <v>1</v>
      </c>
      <c r="I118" t="str">
        <f>IF(FT!B118&lt;&gt;"",FT!E118,"")</f>
        <v>2 [47.170863]</v>
      </c>
      <c r="J118">
        <f>IF(FT!B118&lt;&gt;"",FT!C118,"")</f>
        <v>47.170900000000003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2.0121899999999999</v>
      </c>
      <c r="G119" s="61">
        <f>IF(FT!B119&lt;&gt;"",FT!B119*100,"")</f>
        <v>55.483800000000002</v>
      </c>
      <c r="H119" s="61">
        <f t="shared" si="9"/>
        <v>1</v>
      </c>
      <c r="I119" t="str">
        <f>IF(FT!B119&lt;&gt;"",FT!E119,"")</f>
        <v>2 [47.573770]</v>
      </c>
      <c r="J119">
        <f>IF(FT!B119&lt;&gt;"",FT!C119,"")</f>
        <v>47.573799999999999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1.9986200000000001</v>
      </c>
      <c r="G120" s="61">
        <f>IF(FT!B120&lt;&gt;"",FT!B120*100,"")</f>
        <v>55.9373</v>
      </c>
      <c r="H120" s="61">
        <f t="shared" si="9"/>
        <v>1</v>
      </c>
      <c r="I120" t="str">
        <f>IF(FT!B120&lt;&gt;"",FT!E120,"")</f>
        <v>2 [47.985686]</v>
      </c>
      <c r="J120">
        <f>IF(FT!B120&lt;&gt;"",FT!C120,"")</f>
        <v>47.985700000000001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14741</v>
      </c>
      <c r="D121" s="61">
        <f>FH!B121*1</f>
        <v>14741</v>
      </c>
      <c r="E121">
        <f t="shared" si="11"/>
        <v>119</v>
      </c>
      <c r="F121" s="61">
        <f>IF(FT!A121&lt;&gt;"",FT!A121*10,"")</f>
        <v>1.9892699999999999</v>
      </c>
      <c r="G121" s="61">
        <f>IF(FT!B121&lt;&gt;"",FT!B121*100,"")</f>
        <v>56.3078</v>
      </c>
      <c r="H121" s="61">
        <f t="shared" si="9"/>
        <v>1</v>
      </c>
      <c r="I121" t="str">
        <f>IF(FT!B121&lt;&gt;"",FT!E121,"")</f>
        <v>2 [48.390597]</v>
      </c>
      <c r="J121">
        <f>IF(FT!B121&lt;&gt;"",FT!C121,"")</f>
        <v>48.390599999999999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1.9826600000000001</v>
      </c>
      <c r="G122" s="61">
        <f>IF(FT!B122&lt;&gt;"",FT!B122*100,"")</f>
        <v>56.595500000000001</v>
      </c>
      <c r="H122" s="61">
        <f t="shared" si="9"/>
        <v>1</v>
      </c>
      <c r="I122" t="str">
        <f>IF(FT!B122&lt;&gt;"",FT!E122,"")</f>
        <v>2 [48.796455]</v>
      </c>
      <c r="J122">
        <f>IF(FT!B122&lt;&gt;"",FT!C122,"")</f>
        <v>48.796500000000002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1.9808700000000001</v>
      </c>
      <c r="G123" s="61">
        <f>IF(FT!B123&lt;&gt;"",FT!B123*100,"")</f>
        <v>56.748200000000004</v>
      </c>
      <c r="H123" s="61">
        <f t="shared" si="9"/>
        <v>1</v>
      </c>
      <c r="I123" t="str">
        <f>IF(FT!B123&lt;&gt;"",FT!E123,"")</f>
        <v>2 [49.201405]</v>
      </c>
      <c r="J123">
        <f>IF(FT!B123&lt;&gt;"",FT!C123,"")</f>
        <v>49.2014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12405</v>
      </c>
      <c r="D124" s="61">
        <f>FH!B124*1</f>
        <v>12405</v>
      </c>
      <c r="E124">
        <f t="shared" si="11"/>
        <v>122</v>
      </c>
      <c r="F124" s="61">
        <f>IF(FT!A124&lt;&gt;"",FT!A124*10,"")</f>
        <v>1.9830700000000001</v>
      </c>
      <c r="G124" s="61">
        <f>IF(FT!B124&lt;&gt;"",FT!B124*100,"")</f>
        <v>56.781999999999996</v>
      </c>
      <c r="H124" s="61">
        <f t="shared" si="9"/>
        <v>1</v>
      </c>
      <c r="I124" t="str">
        <f>IF(FT!B124&lt;&gt;"",FT!E124,"")</f>
        <v>2 [49.606369]</v>
      </c>
      <c r="J124">
        <f>IF(FT!B124&lt;&gt;"",FT!C124,"")</f>
        <v>49.606400000000001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1.98759</v>
      </c>
      <c r="G125" s="61">
        <f>IF(FT!B125&lt;&gt;"",FT!B125*100,"")</f>
        <v>56.792099999999998</v>
      </c>
      <c r="H125" s="61">
        <f t="shared" si="9"/>
        <v>1</v>
      </c>
      <c r="I125" t="str">
        <f>IF(FT!B125&lt;&gt;"",FT!E125,"")</f>
        <v>2 [50.013233]</v>
      </c>
      <c r="J125">
        <f>IF(FT!B125&lt;&gt;"",FT!C125,"")</f>
        <v>50.013199999999998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15512</v>
      </c>
      <c r="D126" s="61">
        <f>FH!B126*1</f>
        <v>15512</v>
      </c>
      <c r="E126">
        <f t="shared" si="11"/>
        <v>124</v>
      </c>
      <c r="F126" s="61">
        <f>IF(FT!A126&lt;&gt;"",FT!A126*10,"")</f>
        <v>1.98638</v>
      </c>
      <c r="G126" s="61">
        <f>IF(FT!B126&lt;&gt;"",FT!B126*100,"")</f>
        <v>56.797200000000004</v>
      </c>
      <c r="H126" s="61">
        <f t="shared" si="9"/>
        <v>1</v>
      </c>
      <c r="I126" t="str">
        <f>IF(FT!B126&lt;&gt;"",FT!E126,"")</f>
        <v>2 [50.423169]</v>
      </c>
      <c r="J126">
        <f>IF(FT!B126&lt;&gt;"",FT!C126,"")</f>
        <v>50.423200000000001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1.9858600000000002</v>
      </c>
      <c r="G127" s="61">
        <f>IF(FT!B127&lt;&gt;"",FT!B127*100,"")</f>
        <v>56.758800000000001</v>
      </c>
      <c r="H127" s="61">
        <f t="shared" si="9"/>
        <v>1</v>
      </c>
      <c r="I127" t="str">
        <f>IF(FT!B127&lt;&gt;"",FT!E127,"")</f>
        <v>2 [50.829090]</v>
      </c>
      <c r="J127">
        <f>IF(FT!B127&lt;&gt;"",FT!C127,"")</f>
        <v>50.829099999999997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1.98688</v>
      </c>
      <c r="G128" s="61">
        <f>IF(FT!B128&lt;&gt;"",FT!B128*100,"")</f>
        <v>56.825000000000003</v>
      </c>
      <c r="H128" s="61">
        <f t="shared" si="9"/>
        <v>1</v>
      </c>
      <c r="I128" t="str">
        <f>IF(FT!B128&lt;&gt;"",FT!E128,"")</f>
        <v>2 [51.233979]</v>
      </c>
      <c r="J128">
        <f>IF(FT!B128&lt;&gt;"",FT!C128,"")</f>
        <v>51.234000000000002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12635</v>
      </c>
      <c r="D129" s="61">
        <f>FH!B129*1</f>
        <v>12635</v>
      </c>
      <c r="E129">
        <f t="shared" si="11"/>
        <v>127</v>
      </c>
      <c r="F129" s="61">
        <f>IF(FT!A129&lt;&gt;"",FT!A129*10,"")</f>
        <v>1.98671</v>
      </c>
      <c r="G129" s="61">
        <f>IF(FT!B129&lt;&gt;"",FT!B129*100,"")</f>
        <v>56.989699999999999</v>
      </c>
      <c r="H129" s="61">
        <f t="shared" si="9"/>
        <v>1</v>
      </c>
      <c r="I129" t="str">
        <f>IF(FT!B129&lt;&gt;"",FT!E129,"")</f>
        <v>2 [51.640243]</v>
      </c>
      <c r="J129">
        <f>IF(FT!B129&lt;&gt;"",FT!C129,"")</f>
        <v>51.6402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1.9889999999999999</v>
      </c>
      <c r="G130" s="61">
        <f>IF(FT!B130&lt;&gt;"",FT!B130*100,"")</f>
        <v>57.154400000000003</v>
      </c>
      <c r="H130" s="61">
        <f t="shared" si="9"/>
        <v>1</v>
      </c>
      <c r="I130" t="str">
        <f>IF(FT!B130&lt;&gt;"",FT!E130,"")</f>
        <v>2 [52.048831]</v>
      </c>
      <c r="J130">
        <f>IF(FT!B130&lt;&gt;"",FT!C130,"")</f>
        <v>52.0488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12476</v>
      </c>
      <c r="D131" s="61">
        <f>FH!B131*1</f>
        <v>12476</v>
      </c>
      <c r="E131">
        <f t="shared" si="11"/>
        <v>129</v>
      </c>
      <c r="F131" s="61">
        <f>IF(FT!A131&lt;&gt;"",FT!A131*10,"")</f>
        <v>1.99441</v>
      </c>
      <c r="G131" s="61">
        <f>IF(FT!B131&lt;&gt;"",FT!B131*100,"")</f>
        <v>57.268300000000004</v>
      </c>
      <c r="H131" s="61">
        <f t="shared" ref="H131:H194" si="13">(IF(F131&lt;&gt;"",1,""))</f>
        <v>1</v>
      </c>
      <c r="I131" t="str">
        <f>IF(FT!B131&lt;&gt;"",FT!E131,"")</f>
        <v>2 [52.449683]</v>
      </c>
      <c r="J131">
        <f>IF(FT!B131&lt;&gt;"",FT!C131,"")</f>
        <v>52.4497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1.99929</v>
      </c>
      <c r="G132" s="61">
        <f>IF(FT!B132&lt;&gt;"",FT!B132*100,"")</f>
        <v>57.398200000000003</v>
      </c>
      <c r="H132" s="61">
        <f t="shared" si="13"/>
        <v>1</v>
      </c>
      <c r="I132" t="str">
        <f>IF(FT!B132&lt;&gt;"",FT!E132,"")</f>
        <v>2 [52.859605]</v>
      </c>
      <c r="J132">
        <f>IF(FT!B132&lt;&gt;"",FT!C132,"")</f>
        <v>52.8596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2.004</v>
      </c>
      <c r="G133" s="61">
        <f>IF(FT!B133&lt;&gt;"",FT!B133*100,"")</f>
        <v>57.530499999999996</v>
      </c>
      <c r="H133" s="61">
        <f t="shared" si="13"/>
        <v>1</v>
      </c>
      <c r="I133" t="str">
        <f>IF(FT!B133&lt;&gt;"",FT!E133,"")</f>
        <v>2 [53.266024]</v>
      </c>
      <c r="J133">
        <f>IF(FT!B133&lt;&gt;"",FT!C133,"")</f>
        <v>53.265999999999998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9711</v>
      </c>
      <c r="D134" s="61">
        <f>FH!B134*1</f>
        <v>9711</v>
      </c>
      <c r="E134">
        <f t="shared" si="15"/>
        <v>132</v>
      </c>
      <c r="F134" s="61">
        <f>IF(FT!A134&lt;&gt;"",FT!A134*10,"")</f>
        <v>2.0102099999999998</v>
      </c>
      <c r="G134" s="61">
        <f>IF(FT!B134&lt;&gt;"",FT!B134*100,"")</f>
        <v>57.665700000000001</v>
      </c>
      <c r="H134" s="61">
        <f t="shared" si="13"/>
        <v>1</v>
      </c>
      <c r="I134" t="str">
        <f>IF(FT!B134&lt;&gt;"",FT!E134,"")</f>
        <v>2 [53.670567]</v>
      </c>
      <c r="J134">
        <f>IF(FT!B134&lt;&gt;"",FT!C134,"")</f>
        <v>53.6706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2.0163800000000003</v>
      </c>
      <c r="G135" s="61">
        <f>IF(FT!B135&lt;&gt;"",FT!B135*100,"")</f>
        <v>57.783999999999999</v>
      </c>
      <c r="H135" s="61">
        <f t="shared" si="13"/>
        <v>1</v>
      </c>
      <c r="I135" t="str">
        <f>IF(FT!B135&lt;&gt;"",FT!E135,"")</f>
        <v>2 [54.079342]</v>
      </c>
      <c r="J135">
        <f>IF(FT!B135&lt;&gt;"",FT!C135,"")</f>
        <v>54.079300000000003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6772</v>
      </c>
      <c r="D136" s="61">
        <f>FH!B136*1</f>
        <v>6772</v>
      </c>
      <c r="E136">
        <f t="shared" si="15"/>
        <v>134</v>
      </c>
      <c r="F136" s="61">
        <f>IF(FT!A136&lt;&gt;"",FT!A136*10,"")</f>
        <v>2.0218400000000001</v>
      </c>
      <c r="G136" s="61">
        <f>IF(FT!B136&lt;&gt;"",FT!B136*100,"")</f>
        <v>57.853600000000007</v>
      </c>
      <c r="H136" s="61">
        <f t="shared" si="13"/>
        <v>1</v>
      </c>
      <c r="I136" t="str">
        <f>IF(FT!B136&lt;&gt;"",FT!E136,"")</f>
        <v>2 [54.482354]</v>
      </c>
      <c r="J136">
        <f>IF(FT!B136&lt;&gt;"",FT!C136,"")</f>
        <v>54.482399999999998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2.0271400000000002</v>
      </c>
      <c r="G137" s="61">
        <f>IF(FT!B137&lt;&gt;"",FT!B137*100,"")</f>
        <v>57.911999999999999</v>
      </c>
      <c r="H137" s="61">
        <f t="shared" si="13"/>
        <v>1</v>
      </c>
      <c r="I137" t="str">
        <f>IF(FT!B137&lt;&gt;"",FT!E137,"")</f>
        <v>2 [54.887388]</v>
      </c>
      <c r="J137">
        <f>IF(FT!B137&lt;&gt;"",FT!C137,"")</f>
        <v>54.8874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2.03234</v>
      </c>
      <c r="G138" s="61">
        <f>IF(FT!B138&lt;&gt;"",FT!B138*100,"")</f>
        <v>57.943399999999997</v>
      </c>
      <c r="H138" s="61">
        <f t="shared" si="13"/>
        <v>1</v>
      </c>
      <c r="I138" t="str">
        <f>IF(FT!B138&lt;&gt;"",FT!E138,"")</f>
        <v>2 [55.298066]</v>
      </c>
      <c r="J138">
        <f>IF(FT!B138&lt;&gt;"",FT!C138,"")</f>
        <v>55.298099999999998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3886</v>
      </c>
      <c r="D139" s="61">
        <f>FH!B139*1</f>
        <v>3886</v>
      </c>
      <c r="E139">
        <f t="shared" si="15"/>
        <v>137</v>
      </c>
      <c r="F139" s="61">
        <f>IF(FT!A139&lt;&gt;"",FT!A139*10,"")</f>
        <v>2.04013</v>
      </c>
      <c r="G139" s="61">
        <f>IF(FT!B139&lt;&gt;"",FT!B139*100,"")</f>
        <v>57.908899999999996</v>
      </c>
      <c r="H139" s="61">
        <f t="shared" si="13"/>
        <v>1</v>
      </c>
      <c r="I139" t="str">
        <f>IF(FT!B139&lt;&gt;"",FT!E139,"")</f>
        <v>2 [55.702168]</v>
      </c>
      <c r="J139">
        <f>IF(FT!B139&lt;&gt;"",FT!C139,"")</f>
        <v>55.702199999999998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2.0492699999999999</v>
      </c>
      <c r="G140" s="61">
        <f>IF(FT!B140&lt;&gt;"",FT!B140*100,"")</f>
        <v>57.845999999999997</v>
      </c>
      <c r="H140" s="61">
        <f t="shared" si="13"/>
        <v>1</v>
      </c>
      <c r="I140" t="str">
        <f>IF(FT!B140&lt;&gt;"",FT!E140,"")</f>
        <v>2 [56.109013]</v>
      </c>
      <c r="J140">
        <f>IF(FT!B140&lt;&gt;"",FT!C140,"")</f>
        <v>56.109000000000002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2.0609199999999999</v>
      </c>
      <c r="G141" s="61">
        <f>IF(FT!B141&lt;&gt;"",FT!B141*100,"")</f>
        <v>57.744599999999998</v>
      </c>
      <c r="H141" s="61">
        <f t="shared" si="13"/>
        <v>1</v>
      </c>
      <c r="I141" t="str">
        <f>IF(FT!B141&lt;&gt;"",FT!E141,"")</f>
        <v>2 [56.514769]</v>
      </c>
      <c r="J141">
        <f>IF(FT!B141&lt;&gt;"",FT!C141,"")</f>
        <v>56.514800000000001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3233</v>
      </c>
      <c r="D142" s="61">
        <f>FH!B142*1</f>
        <v>3233</v>
      </c>
      <c r="E142">
        <f t="shared" si="15"/>
        <v>140</v>
      </c>
      <c r="F142" s="61">
        <f>IF(FT!A142&lt;&gt;"",FT!A142*10,"")</f>
        <v>2.0720100000000001</v>
      </c>
      <c r="G142" s="61">
        <f>IF(FT!B142&lt;&gt;"",FT!B142*100,"")</f>
        <v>57.651399999999995</v>
      </c>
      <c r="H142" s="61">
        <f t="shared" si="13"/>
        <v>1</v>
      </c>
      <c r="I142" t="str">
        <f>IF(FT!B142&lt;&gt;"",FT!E142,"")</f>
        <v>2 [56.923748]</v>
      </c>
      <c r="J142">
        <f>IF(FT!B142&lt;&gt;"",FT!C142,"")</f>
        <v>56.923699999999997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2.0851299999999999</v>
      </c>
      <c r="G143" s="61">
        <f>IF(FT!B143&lt;&gt;"",FT!B143*100,"")</f>
        <v>57.541399999999996</v>
      </c>
      <c r="H143" s="61">
        <f t="shared" si="13"/>
        <v>1</v>
      </c>
      <c r="I143" t="str">
        <f>IF(FT!B143&lt;&gt;"",FT!E143,"")</f>
        <v>2 [57.327709]</v>
      </c>
      <c r="J143">
        <f>IF(FT!B143&lt;&gt;"",FT!C143,"")</f>
        <v>57.3277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1537</v>
      </c>
      <c r="D144" s="61">
        <f>FH!B144*1</f>
        <v>1537</v>
      </c>
      <c r="E144">
        <f t="shared" si="15"/>
        <v>142</v>
      </c>
      <c r="F144" s="61">
        <f>IF(FT!A144&lt;&gt;"",FT!A144*10,"")</f>
        <v>2.0976600000000003</v>
      </c>
      <c r="G144" s="61">
        <f>IF(FT!B144&lt;&gt;"",FT!B144*100,"")</f>
        <v>57.422700000000006</v>
      </c>
      <c r="H144" s="61">
        <f t="shared" si="13"/>
        <v>1</v>
      </c>
      <c r="I144" t="str">
        <f>IF(FT!B144&lt;&gt;"",FT!E144,"")</f>
        <v>2 [57.731619]</v>
      </c>
      <c r="J144">
        <f>IF(FT!B144&lt;&gt;"",FT!C144,"")</f>
        <v>57.7316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2.1149999999999998</v>
      </c>
      <c r="G145" s="61">
        <f>IF(FT!B145&lt;&gt;"",FT!B145*100,"")</f>
        <v>57.180200000000006</v>
      </c>
      <c r="H145" s="61">
        <f t="shared" si="13"/>
        <v>1</v>
      </c>
      <c r="I145" t="str">
        <f>IF(FT!B145&lt;&gt;"",FT!E145,"")</f>
        <v>2 [58.137624]</v>
      </c>
      <c r="J145">
        <f>IF(FT!B145&lt;&gt;"",FT!C145,"")</f>
        <v>58.137599999999999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2.12371</v>
      </c>
      <c r="G146" s="61">
        <f>IF(FT!B146&lt;&gt;"",FT!B146*100,"")</f>
        <v>56.9739</v>
      </c>
      <c r="H146" s="61">
        <f t="shared" si="13"/>
        <v>1</v>
      </c>
      <c r="I146" t="str">
        <f>IF(FT!B146&lt;&gt;"",FT!E146,"")</f>
        <v>2 [58.552494]</v>
      </c>
      <c r="J146">
        <f>IF(FT!B146&lt;&gt;"",FT!C146,"")</f>
        <v>58.552500000000002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1122</v>
      </c>
      <c r="D147" s="61">
        <f>FH!B147*1</f>
        <v>1122</v>
      </c>
      <c r="E147">
        <f t="shared" si="15"/>
        <v>145</v>
      </c>
      <c r="F147" s="61">
        <f>IF(FT!A147&lt;&gt;"",FT!A147*10,"")</f>
        <v>2.1319699999999999</v>
      </c>
      <c r="G147" s="61">
        <f>IF(FT!B147&lt;&gt;"",FT!B147*100,"")</f>
        <v>56.782400000000003</v>
      </c>
      <c r="H147" s="61">
        <f t="shared" si="13"/>
        <v>1</v>
      </c>
      <c r="I147" t="str">
        <f>IF(FT!B147&lt;&gt;"",FT!E147,"")</f>
        <v>2 [58.955373]</v>
      </c>
      <c r="J147">
        <f>IF(FT!B147&lt;&gt;"",FT!C147,"")</f>
        <v>58.955399999999997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2.14039</v>
      </c>
      <c r="G148" s="61">
        <f>IF(FT!B148&lt;&gt;"",FT!B148*100,"")</f>
        <v>56.565299999999993</v>
      </c>
      <c r="H148" s="61">
        <f t="shared" si="13"/>
        <v>1</v>
      </c>
      <c r="I148" t="str">
        <f>IF(FT!B148&lt;&gt;"",FT!E148,"")</f>
        <v>2 [59.359291]</v>
      </c>
      <c r="J148">
        <f>IF(FT!B148&lt;&gt;"",FT!C148,"")</f>
        <v>59.359299999999998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758</v>
      </c>
      <c r="D149" s="61">
        <f>FH!B149*1</f>
        <v>758</v>
      </c>
      <c r="E149">
        <f t="shared" si="15"/>
        <v>147</v>
      </c>
      <c r="F149" s="61">
        <f>IF(FT!A149&lt;&gt;"",FT!A149*10,"")</f>
        <v>2.1454300000000002</v>
      </c>
      <c r="G149" s="61">
        <f>IF(FT!B149&lt;&gt;"",FT!B149*100,"")</f>
        <v>56.4221</v>
      </c>
      <c r="H149" s="61">
        <f t="shared" si="13"/>
        <v>1</v>
      </c>
      <c r="I149" t="str">
        <f>IF(FT!B149&lt;&gt;"",FT!E149,"")</f>
        <v>2 [59.764223]</v>
      </c>
      <c r="J149">
        <f>IF(FT!B149&lt;&gt;"",FT!C149,"")</f>
        <v>59.764200000000002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163</v>
      </c>
      <c r="D152" s="61">
        <f>FH!B152*1</f>
        <v>163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31.6172</v>
      </c>
      <c r="C5" s="66">
        <v>5.7792500000000002</v>
      </c>
      <c r="D5" s="66">
        <v>18.2788</v>
      </c>
      <c r="E5" s="66">
        <v>20</v>
      </c>
      <c r="F5" s="66">
        <v>14.406499999999999</v>
      </c>
      <c r="G5" s="66">
        <v>50</v>
      </c>
      <c r="H5" s="66">
        <v>43.689399999999999</v>
      </c>
    </row>
    <row r="6" spans="1:8">
      <c r="A6" s="58" t="s">
        <v>303</v>
      </c>
      <c r="B6" s="66">
        <v>28.6539</v>
      </c>
      <c r="C6" s="66">
        <v>5.5191499999999998</v>
      </c>
      <c r="D6" s="66">
        <v>19.261399999999998</v>
      </c>
      <c r="E6" s="66">
        <v>20</v>
      </c>
      <c r="F6" s="66">
        <v>21.756799999999998</v>
      </c>
      <c r="G6" s="66">
        <v>40</v>
      </c>
      <c r="H6" s="66">
        <v>45.718200000000003</v>
      </c>
    </row>
    <row r="7" spans="1:8">
      <c r="A7" s="58" t="s">
        <v>304</v>
      </c>
      <c r="B7" s="66">
        <v>27.183499999999999</v>
      </c>
      <c r="C7" s="66">
        <v>11.825100000000001</v>
      </c>
      <c r="D7" s="66">
        <v>43.500799999999998</v>
      </c>
      <c r="E7" s="66">
        <v>15</v>
      </c>
      <c r="F7" s="66">
        <v>3.6226699999999998</v>
      </c>
      <c r="G7" s="66">
        <v>40</v>
      </c>
      <c r="H7" s="66">
        <v>46.974299999999999</v>
      </c>
    </row>
    <row r="8" spans="1:8">
      <c r="A8" s="58" t="s">
        <v>305</v>
      </c>
      <c r="B8" s="66">
        <v>30.1586</v>
      </c>
      <c r="C8" s="66">
        <v>5.8672000000000004</v>
      </c>
      <c r="D8" s="66">
        <v>19.454499999999999</v>
      </c>
      <c r="E8" s="66">
        <v>20</v>
      </c>
      <c r="F8" s="66">
        <v>13.6172</v>
      </c>
      <c r="G8" s="66">
        <v>50</v>
      </c>
      <c r="H8" s="66">
        <v>38.363399999999999</v>
      </c>
    </row>
    <row r="9" spans="1:8">
      <c r="A9" s="58" t="s">
        <v>306</v>
      </c>
      <c r="B9" s="66">
        <v>71.894099999999995</v>
      </c>
      <c r="C9" s="66">
        <v>4.4386000000000001</v>
      </c>
      <c r="D9" s="66">
        <v>6.1738099999999996</v>
      </c>
      <c r="E9" s="66">
        <v>50</v>
      </c>
      <c r="F9" s="66">
        <v>61.207700000000003</v>
      </c>
      <c r="G9" s="66">
        <v>100</v>
      </c>
      <c r="H9" s="66">
        <v>83.485399999999998</v>
      </c>
    </row>
    <row r="10" spans="1:8">
      <c r="A10" s="58" t="s">
        <v>307</v>
      </c>
      <c r="B10" s="66">
        <v>82.235900000000001</v>
      </c>
      <c r="C10" s="66">
        <v>5.4577200000000001</v>
      </c>
      <c r="D10" s="66">
        <v>6.63666</v>
      </c>
      <c r="E10" s="66">
        <v>40</v>
      </c>
      <c r="F10" s="66">
        <v>63.421999999999997</v>
      </c>
      <c r="G10" s="66">
        <v>100</v>
      </c>
      <c r="H10" s="66">
        <v>86.002799999999993</v>
      </c>
    </row>
    <row r="11" spans="1:8">
      <c r="A11" s="58" t="s">
        <v>308</v>
      </c>
      <c r="B11" s="66">
        <v>13.4916</v>
      </c>
      <c r="C11" s="66">
        <v>2.1619700000000002</v>
      </c>
      <c r="D11" s="66">
        <v>16.0245</v>
      </c>
      <c r="E11" s="66">
        <v>10</v>
      </c>
      <c r="F11" s="66">
        <v>9.6003299999999996</v>
      </c>
      <c r="G11" s="66">
        <v>50</v>
      </c>
      <c r="H11" s="66">
        <v>17.770099999999999</v>
      </c>
    </row>
    <row r="12" spans="1:8">
      <c r="A12" s="58" t="s">
        <v>309</v>
      </c>
      <c r="B12" s="66">
        <v>76.324100000000001</v>
      </c>
      <c r="C12" s="66">
        <v>3.7362700000000002</v>
      </c>
      <c r="D12" s="66">
        <v>4.8952799999999996</v>
      </c>
      <c r="E12" s="66">
        <v>50</v>
      </c>
      <c r="F12" s="66">
        <v>65.730800000000002</v>
      </c>
      <c r="G12" s="66">
        <v>100</v>
      </c>
      <c r="H12" s="66">
        <v>84.346100000000007</v>
      </c>
    </row>
    <row r="13" spans="1:8">
      <c r="A13" s="58" t="s">
        <v>310</v>
      </c>
      <c r="B13" s="66">
        <v>18.250599999999999</v>
      </c>
      <c r="C13" s="66">
        <v>3.86937</v>
      </c>
      <c r="D13" s="66">
        <v>21.2013</v>
      </c>
      <c r="E13" s="66">
        <v>10</v>
      </c>
      <c r="F13" s="66">
        <v>11.891999999999999</v>
      </c>
      <c r="G13" s="66">
        <v>25</v>
      </c>
      <c r="H13" s="66">
        <v>31.979500000000002</v>
      </c>
    </row>
    <row r="14" spans="1:8">
      <c r="A14" s="58" t="s">
        <v>311</v>
      </c>
      <c r="B14" s="66">
        <v>38.6937</v>
      </c>
      <c r="C14" s="66">
        <v>11.633800000000001</v>
      </c>
      <c r="D14" s="66">
        <v>30.066500000000001</v>
      </c>
      <c r="E14" s="66">
        <v>10</v>
      </c>
      <c r="F14" s="66">
        <v>2.0930900000000001</v>
      </c>
      <c r="G14" s="66">
        <v>50</v>
      </c>
      <c r="H14" s="66">
        <v>45.878599999999999</v>
      </c>
    </row>
    <row r="15" spans="1:8">
      <c r="A15" s="58" t="s">
        <v>312</v>
      </c>
      <c r="B15" s="66">
        <v>1.34959E-2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1.36288E-2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18.549399999999999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0.59038000000000002</v>
      </c>
      <c r="C18" s="66">
        <v>7.3234700000000003E-3</v>
      </c>
      <c r="D18" s="66">
        <v>1.2404699999999999E-2</v>
      </c>
      <c r="E18" s="66">
        <v>0</v>
      </c>
      <c r="F18" s="66">
        <v>0.58305700000000005</v>
      </c>
      <c r="G18" s="66">
        <v>0</v>
      </c>
      <c r="H18" s="66">
        <v>0.59770400000000001</v>
      </c>
    </row>
    <row r="19" spans="1:8">
      <c r="A19" s="58" t="s">
        <v>316</v>
      </c>
      <c r="B19" s="66">
        <v>0.65806100000000001</v>
      </c>
      <c r="C19" s="66">
        <v>1.5903899999999999E-2</v>
      </c>
      <c r="D19" s="66">
        <v>2.4167899999999999E-2</v>
      </c>
      <c r="E19" s="66">
        <v>0</v>
      </c>
      <c r="F19" s="66">
        <v>0.64215699999999998</v>
      </c>
      <c r="G19" s="66">
        <v>0</v>
      </c>
      <c r="H19" s="66">
        <v>0.67396500000000004</v>
      </c>
    </row>
    <row r="20" spans="1:8">
      <c r="A20" s="58" t="s">
        <v>317</v>
      </c>
      <c r="B20" s="196">
        <v>6.3456399999999998E-5</v>
      </c>
      <c r="C20" s="66">
        <v>2.36612E-2</v>
      </c>
      <c r="D20" s="66">
        <v>372.87299999999999</v>
      </c>
      <c r="E20" s="66">
        <v>0</v>
      </c>
      <c r="F20" s="66">
        <v>0</v>
      </c>
      <c r="G20" s="66">
        <v>0</v>
      </c>
      <c r="H20" s="66">
        <v>0.38521100000000003</v>
      </c>
    </row>
    <row r="21" spans="1:8">
      <c r="A21" s="58" t="s">
        <v>318</v>
      </c>
      <c r="B21" s="66">
        <v>1.8878300000000001E-2</v>
      </c>
      <c r="C21" s="66">
        <v>0.29652000000000001</v>
      </c>
      <c r="D21" s="66">
        <v>15.706899999999999</v>
      </c>
      <c r="E21" s="66">
        <v>0</v>
      </c>
      <c r="F21" s="66">
        <v>0</v>
      </c>
      <c r="G21" s="66">
        <v>0</v>
      </c>
      <c r="H21" s="66">
        <v>2.3040699999999998</v>
      </c>
    </row>
    <row r="22" spans="1:8">
      <c r="A22" s="58" t="s">
        <v>319</v>
      </c>
      <c r="B22" s="66">
        <v>29.567499999999999</v>
      </c>
      <c r="C22" s="66">
        <v>12.562200000000001</v>
      </c>
      <c r="D22" s="66">
        <v>0.42486600000000002</v>
      </c>
      <c r="E22" s="66">
        <v>0</v>
      </c>
      <c r="F22" s="66">
        <v>12.2514</v>
      </c>
      <c r="G22" s="66">
        <v>0</v>
      </c>
      <c r="H22" s="66">
        <v>81.953299999999999</v>
      </c>
    </row>
    <row r="23" spans="1:8">
      <c r="A23" s="58" t="s">
        <v>320</v>
      </c>
      <c r="B23" s="66">
        <v>11.933999999999999</v>
      </c>
      <c r="C23" s="66">
        <v>0.98512299999999997</v>
      </c>
      <c r="D23" s="66">
        <v>8.2547800000000005E-2</v>
      </c>
      <c r="E23" s="66">
        <v>0</v>
      </c>
      <c r="F23" s="66">
        <v>7.1087899999999999</v>
      </c>
      <c r="G23" s="66">
        <v>0</v>
      </c>
      <c r="H23" s="66">
        <v>13.048500000000001</v>
      </c>
    </row>
    <row r="24" spans="1:8">
      <c r="A24" s="58" t="s">
        <v>321</v>
      </c>
      <c r="B24" s="66">
        <v>1.01792E-4</v>
      </c>
      <c r="C24" s="66">
        <v>1.9131499999999999E-2</v>
      </c>
      <c r="D24" s="66">
        <v>187.947</v>
      </c>
      <c r="E24" s="66">
        <v>0</v>
      </c>
      <c r="F24" s="196">
        <v>6.1292800000000002E-6</v>
      </c>
      <c r="G24" s="66">
        <v>0</v>
      </c>
      <c r="H24" s="66">
        <v>0.23824100000000001</v>
      </c>
    </row>
    <row r="25" spans="1:8">
      <c r="A25" s="58" t="s">
        <v>322</v>
      </c>
      <c r="B25" s="66">
        <v>3.5821600000000002E-2</v>
      </c>
      <c r="C25" s="66">
        <v>0.196328</v>
      </c>
      <c r="D25" s="66">
        <v>5.4807300000000003</v>
      </c>
      <c r="E25" s="66">
        <v>0</v>
      </c>
      <c r="F25" s="66">
        <v>5.1430299999999998E-3</v>
      </c>
      <c r="G25" s="66">
        <v>0</v>
      </c>
      <c r="H25" s="66">
        <v>0.97827600000000003</v>
      </c>
    </row>
    <row r="26" spans="1:8">
      <c r="A26" s="58" t="s">
        <v>323</v>
      </c>
      <c r="B26" s="196">
        <v>1.64128E-5</v>
      </c>
      <c r="C26" s="66">
        <v>2.4074000000000001E-3</v>
      </c>
      <c r="D26" s="66">
        <v>146.678</v>
      </c>
      <c r="E26" s="66">
        <v>0</v>
      </c>
      <c r="F26" s="66">
        <v>0</v>
      </c>
      <c r="G26" s="66">
        <v>0</v>
      </c>
      <c r="H26" s="66">
        <v>3.4089399999999999E-2</v>
      </c>
    </row>
    <row r="27" spans="1:8">
      <c r="A27" s="58" t="s">
        <v>324</v>
      </c>
      <c r="B27" s="66">
        <v>0</v>
      </c>
      <c r="C27" s="66">
        <v>6.33152E-4</v>
      </c>
      <c r="D27" s="66">
        <v>0</v>
      </c>
      <c r="E27" s="66">
        <v>0</v>
      </c>
      <c r="F27" s="66">
        <v>-8.0849500000000005E-3</v>
      </c>
      <c r="G27" s="66">
        <v>0</v>
      </c>
      <c r="H27" s="66">
        <v>6.1515199999999997E-3</v>
      </c>
    </row>
    <row r="28" spans="1:8">
      <c r="A28" s="58" t="s">
        <v>325</v>
      </c>
      <c r="B28" s="66">
        <v>3.55632E-3</v>
      </c>
      <c r="C28" s="66">
        <v>2.0571599999999999E-2</v>
      </c>
      <c r="D28" s="66">
        <v>5.7845300000000002</v>
      </c>
      <c r="E28" s="66">
        <v>0</v>
      </c>
      <c r="F28" s="66">
        <v>0</v>
      </c>
      <c r="G28" s="66">
        <v>0</v>
      </c>
      <c r="H28" s="66">
        <v>0.143294</v>
      </c>
    </row>
    <row r="29" spans="1:8">
      <c r="A29" s="58" t="s">
        <v>326</v>
      </c>
      <c r="B29" s="66">
        <v>61.9315</v>
      </c>
      <c r="C29" s="66">
        <v>10.285399999999999</v>
      </c>
      <c r="D29" s="66">
        <v>0.166078</v>
      </c>
      <c r="E29" s="66">
        <v>0</v>
      </c>
      <c r="F29" s="66">
        <v>35.404800000000002</v>
      </c>
      <c r="G29" s="66">
        <v>0</v>
      </c>
      <c r="H29" s="66">
        <v>86.928100000000001</v>
      </c>
    </row>
    <row r="30" spans="1:8">
      <c r="A30" s="58" t="s">
        <v>327</v>
      </c>
      <c r="B30" s="66">
        <v>15.005699999999999</v>
      </c>
      <c r="C30" s="66">
        <v>1.8501799999999999</v>
      </c>
      <c r="D30" s="66">
        <v>0.12329900000000001</v>
      </c>
      <c r="E30" s="66">
        <v>0</v>
      </c>
      <c r="F30" s="66">
        <v>8.16751</v>
      </c>
      <c r="G30" s="66">
        <v>0</v>
      </c>
      <c r="H30" s="66">
        <v>20.148399999999999</v>
      </c>
    </row>
    <row r="31" spans="1:8">
      <c r="A31" s="58" t="s">
        <v>328</v>
      </c>
      <c r="B31" s="66">
        <v>85.612099999999998</v>
      </c>
      <c r="C31" s="66">
        <v>20.1692</v>
      </c>
      <c r="D31" s="66">
        <v>0.23558799999999999</v>
      </c>
      <c r="E31" s="66">
        <v>0</v>
      </c>
      <c r="F31" s="66">
        <v>48.886000000000003</v>
      </c>
      <c r="G31" s="66">
        <v>0</v>
      </c>
      <c r="H31" s="66">
        <v>135.97900000000001</v>
      </c>
    </row>
    <row r="32" spans="1:8">
      <c r="A32" s="58" t="s">
        <v>329</v>
      </c>
      <c r="B32" s="66">
        <v>0.27183499999999999</v>
      </c>
      <c r="C32" s="66">
        <v>0.118251</v>
      </c>
      <c r="D32" s="66">
        <v>0.43500800000000001</v>
      </c>
      <c r="E32" s="66">
        <v>0.15</v>
      </c>
      <c r="F32" s="66">
        <v>3.6226700000000001E-2</v>
      </c>
      <c r="G32" s="66">
        <v>0.4</v>
      </c>
      <c r="H32" s="66">
        <v>0.46974300000000002</v>
      </c>
    </row>
    <row r="33" spans="1:8">
      <c r="A33" s="58" t="s">
        <v>330</v>
      </c>
      <c r="B33" s="66">
        <v>0.29684500000000003</v>
      </c>
      <c r="C33" s="66">
        <v>2.6980799999999999E-2</v>
      </c>
      <c r="D33" s="66">
        <v>9.0891899999999998E-2</v>
      </c>
      <c r="E33" s="66">
        <v>0</v>
      </c>
      <c r="F33" s="66">
        <v>0.17685400000000001</v>
      </c>
      <c r="G33" s="66">
        <v>0</v>
      </c>
      <c r="H33" s="66">
        <v>0.426209</v>
      </c>
    </row>
    <row r="34" spans="1:8">
      <c r="A34" s="58" t="s">
        <v>331</v>
      </c>
      <c r="B34" s="66">
        <v>0.182506</v>
      </c>
      <c r="C34" s="66">
        <v>3.8693699999999998E-2</v>
      </c>
      <c r="D34" s="66">
        <v>0.21201300000000001</v>
      </c>
      <c r="E34" s="66">
        <v>0.1</v>
      </c>
      <c r="F34" s="66">
        <v>0.11892</v>
      </c>
      <c r="G34" s="66">
        <v>0.25</v>
      </c>
      <c r="H34" s="66">
        <v>0.319795</v>
      </c>
    </row>
    <row r="35" spans="1:8">
      <c r="A35" s="58" t="s">
        <v>332</v>
      </c>
      <c r="B35" s="66">
        <v>8.1089099999999997E-2</v>
      </c>
      <c r="C35" s="66">
        <v>2.3723999999999999E-2</v>
      </c>
      <c r="D35" s="66">
        <v>0.29256700000000002</v>
      </c>
      <c r="E35" s="66">
        <v>0</v>
      </c>
      <c r="F35" s="66">
        <v>2.8530900000000001E-2</v>
      </c>
      <c r="G35" s="66">
        <v>0</v>
      </c>
      <c r="H35" s="66">
        <v>0.156837</v>
      </c>
    </row>
    <row r="36" spans="1:8">
      <c r="A36" s="58" t="s">
        <v>333</v>
      </c>
      <c r="B36" s="66">
        <v>0.15114</v>
      </c>
      <c r="C36" s="66">
        <v>9.3435400000000002E-2</v>
      </c>
      <c r="D36" s="66">
        <v>0.618205</v>
      </c>
      <c r="E36" s="66">
        <v>0</v>
      </c>
      <c r="F36" s="66">
        <v>3.7335899999999998E-2</v>
      </c>
      <c r="G36" s="66">
        <v>0</v>
      </c>
      <c r="H36" s="66">
        <v>0.48815399999999998</v>
      </c>
    </row>
    <row r="37" spans="1:8">
      <c r="A37" s="58" t="s">
        <v>334</v>
      </c>
      <c r="B37" s="66">
        <v>0.38693699999999998</v>
      </c>
      <c r="C37" s="66">
        <v>0.116338</v>
      </c>
      <c r="D37" s="66">
        <v>0.30066500000000002</v>
      </c>
      <c r="E37" s="66">
        <v>0.1</v>
      </c>
      <c r="F37" s="66">
        <v>2.0930899999999999E-2</v>
      </c>
      <c r="G37" s="66">
        <v>0.5</v>
      </c>
      <c r="H37" s="66">
        <v>0.45878600000000003</v>
      </c>
    </row>
    <row r="38" spans="1:8">
      <c r="A38" s="58" t="s">
        <v>335</v>
      </c>
      <c r="B38" s="66">
        <v>0</v>
      </c>
      <c r="C38" s="66">
        <v>38.601599999999998</v>
      </c>
      <c r="D38" s="66">
        <v>0</v>
      </c>
      <c r="E38" s="66">
        <v>0</v>
      </c>
      <c r="F38" s="66">
        <v>-110.52</v>
      </c>
      <c r="G38" s="66">
        <v>0</v>
      </c>
      <c r="H38" s="66">
        <v>145.911</v>
      </c>
    </row>
    <row r="39" spans="1:8">
      <c r="A39" s="58" t="s">
        <v>336</v>
      </c>
      <c r="B39" s="66">
        <v>-1.3435900000000001</v>
      </c>
      <c r="C39" s="66">
        <v>4.5946600000000002</v>
      </c>
      <c r="D39" s="66">
        <v>-3.4196800000000001</v>
      </c>
      <c r="E39" s="66">
        <v>0</v>
      </c>
      <c r="F39" s="66">
        <v>-26.534199999999998</v>
      </c>
      <c r="G39" s="66">
        <v>0</v>
      </c>
      <c r="H39" s="66">
        <v>9.0260200000000008</v>
      </c>
    </row>
    <row r="40" spans="1:8">
      <c r="A40" s="58" t="s">
        <v>337</v>
      </c>
      <c r="B40" s="66">
        <v>0.388851</v>
      </c>
      <c r="C40" s="66">
        <v>1.72431</v>
      </c>
      <c r="D40" s="66">
        <v>4.43438</v>
      </c>
      <c r="E40" s="66">
        <v>0</v>
      </c>
      <c r="F40" s="66">
        <v>-3.3289</v>
      </c>
      <c r="G40" s="66">
        <v>0</v>
      </c>
      <c r="H40" s="66">
        <v>3.04908</v>
      </c>
    </row>
    <row r="41" spans="1:8">
      <c r="A41" s="58" t="s">
        <v>338</v>
      </c>
      <c r="B41" s="66">
        <v>0</v>
      </c>
      <c r="C41" s="66">
        <v>0.41006399999999998</v>
      </c>
      <c r="D41" s="66">
        <v>0</v>
      </c>
      <c r="E41" s="66">
        <v>0</v>
      </c>
      <c r="F41" s="66">
        <v>-0.96330300000000002</v>
      </c>
      <c r="G41" s="66">
        <v>0</v>
      </c>
      <c r="H41" s="66">
        <v>1</v>
      </c>
    </row>
    <row r="42" spans="1:8">
      <c r="A42" s="58" t="s">
        <v>339</v>
      </c>
      <c r="B42" s="66">
        <v>-7.40402E-2</v>
      </c>
      <c r="C42" s="66">
        <v>9.6405199999999996E-2</v>
      </c>
      <c r="D42" s="66">
        <v>-1.3020700000000001</v>
      </c>
      <c r="E42" s="66">
        <v>0</v>
      </c>
      <c r="F42" s="66">
        <v>-0.46904400000000002</v>
      </c>
      <c r="G42" s="66">
        <v>0</v>
      </c>
      <c r="H42" s="66">
        <v>0.29036400000000001</v>
      </c>
    </row>
    <row r="43" spans="1:8">
      <c r="A43" s="58" t="s">
        <v>340</v>
      </c>
      <c r="B43" s="66">
        <v>1.03967E-2</v>
      </c>
      <c r="C43" s="66">
        <v>0.123805</v>
      </c>
      <c r="D43" s="66">
        <v>11.908099999999999</v>
      </c>
      <c r="E43" s="66">
        <v>0</v>
      </c>
      <c r="F43" s="66">
        <v>-0.19633500000000001</v>
      </c>
      <c r="G43" s="66">
        <v>0</v>
      </c>
      <c r="H43" s="66">
        <v>0.216283</v>
      </c>
    </row>
    <row r="44" spans="1:8">
      <c r="A44" s="58" t="s">
        <v>341</v>
      </c>
      <c r="B44" s="66">
        <v>-7.7686599999999997</v>
      </c>
      <c r="C44" s="66">
        <v>6.67631</v>
      </c>
      <c r="D44" s="66">
        <v>-0.85938999999999999</v>
      </c>
      <c r="E44" s="66">
        <v>0</v>
      </c>
      <c r="F44" s="66">
        <v>-18.474299999999999</v>
      </c>
      <c r="G44" s="66">
        <v>0</v>
      </c>
      <c r="H44" s="66">
        <v>12.848800000000001</v>
      </c>
    </row>
    <row r="45" spans="1:8">
      <c r="A45" s="58" t="s">
        <v>342</v>
      </c>
      <c r="B45" s="66">
        <v>46.719700000000003</v>
      </c>
      <c r="C45" s="66">
        <v>8.0485199999999999</v>
      </c>
      <c r="D45" s="66">
        <v>0.17227300000000001</v>
      </c>
      <c r="E45" s="66">
        <v>0</v>
      </c>
      <c r="F45" s="66">
        <v>25.025099999999998</v>
      </c>
      <c r="G45" s="66">
        <v>0</v>
      </c>
      <c r="H45" s="66">
        <v>69.839500000000001</v>
      </c>
    </row>
    <row r="46" spans="1:8">
      <c r="A46" s="58" t="s">
        <v>343</v>
      </c>
      <c r="B46" s="66">
        <v>24.7942</v>
      </c>
      <c r="C46" s="66">
        <v>4.4880199999999997</v>
      </c>
      <c r="D46" s="66">
        <v>0.18101100000000001</v>
      </c>
      <c r="E46" s="66">
        <v>0</v>
      </c>
      <c r="F46" s="66">
        <v>10.6518</v>
      </c>
      <c r="G46" s="66">
        <v>0</v>
      </c>
      <c r="H46" s="66">
        <v>33.331000000000003</v>
      </c>
    </row>
    <row r="47" spans="1:8">
      <c r="A47" s="58" t="s">
        <v>344</v>
      </c>
      <c r="B47" s="66">
        <v>0.57181800000000005</v>
      </c>
      <c r="C47" s="66">
        <v>0.388683</v>
      </c>
      <c r="D47" s="66">
        <v>0.67973099999999997</v>
      </c>
      <c r="E47" s="66">
        <v>0</v>
      </c>
      <c r="F47" s="66">
        <v>0.126168</v>
      </c>
      <c r="G47" s="66">
        <v>0</v>
      </c>
      <c r="H47" s="66">
        <v>2.2837399999999999</v>
      </c>
    </row>
    <row r="48" spans="1:8">
      <c r="A48" s="58" t="s">
        <v>345</v>
      </c>
      <c r="B48" s="66">
        <v>0.64718799999999999</v>
      </c>
      <c r="C48" s="66">
        <v>0.168212</v>
      </c>
      <c r="D48" s="66">
        <v>0.25991199999999998</v>
      </c>
      <c r="E48" s="66">
        <v>0</v>
      </c>
      <c r="F48" s="66">
        <v>0.40709699999999999</v>
      </c>
      <c r="G48" s="66">
        <v>0</v>
      </c>
      <c r="H48" s="66">
        <v>1.49986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-4.9881000000000029</v>
      </c>
      <c r="C5" s="66">
        <f>'M2'!C5-'M1'!C5</f>
        <v>-4.78918</v>
      </c>
      <c r="D5" s="66">
        <f>'M2'!D5-'M1'!D5</f>
        <v>-12.425050000000001</v>
      </c>
      <c r="E5" s="66">
        <f>'M2'!E5-'M1'!E5</f>
        <v>0</v>
      </c>
      <c r="F5" s="66">
        <f>'M2'!F5-'M1'!F5</f>
        <v>10.900499999999999</v>
      </c>
      <c r="G5" s="66">
        <f>'M2'!G5-'M1'!G5</f>
        <v>0</v>
      </c>
      <c r="H5" s="66">
        <f>'M2'!H5-'M1'!H5</f>
        <v>-7.4883000000000024</v>
      </c>
    </row>
    <row r="6" spans="1:8">
      <c r="A6" s="66" t="s">
        <v>244</v>
      </c>
      <c r="B6" s="66">
        <f>'M2'!B6-'M1'!B6</f>
        <v>2.1404999999999994</v>
      </c>
      <c r="C6" s="66">
        <f>'M2'!C6-'M1'!C6</f>
        <v>2.2402499999999996</v>
      </c>
      <c r="D6" s="66">
        <f>'M2'!D6-'M1'!D6</f>
        <v>6.4007000000000005</v>
      </c>
      <c r="E6" s="66">
        <f>'M2'!E6-'M1'!E6</f>
        <v>0</v>
      </c>
      <c r="F6" s="66">
        <f>'M2'!F6-'M1'!F6</f>
        <v>4.2667000000000002</v>
      </c>
      <c r="G6" s="66">
        <f>'M2'!G6-'M1'!G6</f>
        <v>0</v>
      </c>
      <c r="H6" s="66">
        <f>'M2'!H6-'M1'!H6</f>
        <v>6.2768000000000015</v>
      </c>
    </row>
    <row r="7" spans="1:8">
      <c r="A7" s="66" t="s">
        <v>245</v>
      </c>
      <c r="B7" s="66">
        <f>'M2'!B7-'M1'!B7</f>
        <v>-1.4770000000000003</v>
      </c>
      <c r="C7" s="66">
        <f>'M2'!C7-'M1'!C7</f>
        <v>0.85299999999999976</v>
      </c>
      <c r="D7" s="66">
        <f>'M2'!D7-'M1'!D7</f>
        <v>5.6570000000000036</v>
      </c>
      <c r="E7" s="66">
        <f>'M2'!E7-'M1'!E7</f>
        <v>0</v>
      </c>
      <c r="F7" s="66">
        <f>'M2'!F7-'M1'!F7</f>
        <v>-5.7100000000000151E-2</v>
      </c>
      <c r="G7" s="66">
        <f>'M2'!G7-'M1'!G7</f>
        <v>0</v>
      </c>
      <c r="H7" s="66">
        <f>'M2'!H7-'M1'!H7</f>
        <v>5.9199999999997033E-2</v>
      </c>
    </row>
    <row r="8" spans="1:8">
      <c r="A8" s="66" t="s">
        <v>246</v>
      </c>
      <c r="B8" s="66">
        <f>'M2'!B8-'M1'!B8</f>
        <v>-2.1789999999999985</v>
      </c>
      <c r="C8" s="66">
        <f>'M2'!C8-'M1'!C8</f>
        <v>-0.18853000000000009</v>
      </c>
      <c r="D8" s="66">
        <f>'M2'!D8-'M1'!D8</f>
        <v>0.85480000000000089</v>
      </c>
      <c r="E8" s="66">
        <f>'M2'!E8-'M1'!E8</f>
        <v>0</v>
      </c>
      <c r="F8" s="66">
        <f>'M2'!F8-'M1'!F8</f>
        <v>6.1969999999999992</v>
      </c>
      <c r="G8" s="66">
        <f>'M2'!G8-'M1'!G8</f>
        <v>0</v>
      </c>
      <c r="H8" s="66">
        <f>'M2'!H8-'M1'!H8</f>
        <v>1.4067000000000007</v>
      </c>
    </row>
    <row r="9" spans="1:8">
      <c r="A9" s="66" t="s">
        <v>247</v>
      </c>
      <c r="B9" s="66">
        <f>'M2'!B9-'M1'!B9</f>
        <v>0.89860000000000184</v>
      </c>
      <c r="C9" s="66">
        <f>'M2'!C9-'M1'!C9</f>
        <v>-2.2292200000000002</v>
      </c>
      <c r="D9" s="66">
        <f>'M2'!D9-'M1'!D9</f>
        <v>-3.1794700000000002</v>
      </c>
      <c r="E9" s="66">
        <f>'M2'!E9-'M1'!E9</f>
        <v>0</v>
      </c>
      <c r="F9" s="66">
        <f>'M2'!F9-'M1'!F9</f>
        <v>2.0031999999999996</v>
      </c>
      <c r="G9" s="66">
        <f>'M2'!G9-'M1'!G9</f>
        <v>0</v>
      </c>
      <c r="H9" s="66">
        <f>'M2'!H9-'M1'!H9</f>
        <v>-5.4474000000000018</v>
      </c>
    </row>
    <row r="10" spans="1:8">
      <c r="A10" s="66" t="s">
        <v>248</v>
      </c>
      <c r="B10" s="66">
        <f>'M2'!B10-'M1'!B10</f>
        <v>-0.23900000000000432</v>
      </c>
      <c r="C10" s="66">
        <f>'M2'!C10-'M1'!C10</f>
        <v>2.9274599999999995</v>
      </c>
      <c r="D10" s="66">
        <f>'M2'!D10-'M1'!D10</f>
        <v>3.5822000000000003</v>
      </c>
      <c r="E10" s="66">
        <f>'M2'!E10-'M1'!E10</f>
        <v>0</v>
      </c>
      <c r="F10" s="66">
        <f>'M2'!F10-'M1'!F10</f>
        <v>-5.7954000000000008</v>
      </c>
      <c r="G10" s="66">
        <f>'M2'!G10-'M1'!G10</f>
        <v>0</v>
      </c>
      <c r="H10" s="66">
        <f>'M2'!H10-'M1'!H10</f>
        <v>-1.6117999999999881</v>
      </c>
    </row>
    <row r="11" spans="1:8">
      <c r="A11" s="66" t="s">
        <v>249</v>
      </c>
      <c r="B11" s="66">
        <f>'M2'!B11-'M1'!B11</f>
        <v>-3.2378999999999998</v>
      </c>
      <c r="C11" s="66">
        <f>'M2'!C11-'M1'!C11</f>
        <v>-0.74238000000000004</v>
      </c>
      <c r="D11" s="66">
        <f>'M2'!D11-'M1'!D11</f>
        <v>-2.7196400000000001</v>
      </c>
      <c r="E11" s="66">
        <f>'M2'!E11-'M1'!E11</f>
        <v>0</v>
      </c>
      <c r="F11" s="66">
        <f>'M2'!F11-'M1'!F11</f>
        <v>-0.99117000000000033</v>
      </c>
      <c r="G11" s="66">
        <f>'M2'!G11-'M1'!G11</f>
        <v>0</v>
      </c>
      <c r="H11" s="66">
        <f>'M2'!H11-'M1'!H11</f>
        <v>-2.9326999999999988</v>
      </c>
    </row>
    <row r="12" spans="1:8">
      <c r="A12" s="66" t="s">
        <v>250</v>
      </c>
      <c r="B12" s="66">
        <f>'M2'!B12-'M1'!B12</f>
        <v>-1.4043000000000063</v>
      </c>
      <c r="C12" s="66">
        <f>'M2'!C12-'M1'!C12</f>
        <v>-0.39998000000000022</v>
      </c>
      <c r="D12" s="66">
        <f>'M2'!D12-'M1'!D12</f>
        <v>-0.43759000000000015</v>
      </c>
      <c r="E12" s="66">
        <f>'M2'!E12-'M1'!E12</f>
        <v>0</v>
      </c>
      <c r="F12" s="66">
        <f>'M2'!F12-'M1'!F12</f>
        <v>-2.7129000000000048</v>
      </c>
      <c r="G12" s="66">
        <f>'M2'!G12-'M1'!G12</f>
        <v>0</v>
      </c>
      <c r="H12" s="66">
        <f>'M2'!H12-'M1'!H12</f>
        <v>-4.2979000000000127</v>
      </c>
    </row>
    <row r="13" spans="1:8">
      <c r="A13" s="66" t="s">
        <v>251</v>
      </c>
      <c r="B13" s="66">
        <f>'M2'!B13-'M1'!B13</f>
        <v>-3.6318999999999981</v>
      </c>
      <c r="C13" s="66">
        <f>'M2'!C13-'M1'!C13</f>
        <v>1.6619800000000002</v>
      </c>
      <c r="D13" s="66">
        <f>'M2'!D13-'M1'!D13</f>
        <v>13.314199999999998</v>
      </c>
      <c r="E13" s="66">
        <f>'M2'!E13-'M1'!E13</f>
        <v>0</v>
      </c>
      <c r="F13" s="66">
        <f>'M2'!F13-'M1'!F13</f>
        <v>-3.7327000000000012</v>
      </c>
      <c r="G13" s="66">
        <f>'M2'!G13-'M1'!G13</f>
        <v>0</v>
      </c>
      <c r="H13" s="66">
        <f>'M2'!H13-'M1'!H13</f>
        <v>5.2630000000000017</v>
      </c>
    </row>
    <row r="14" spans="1:8">
      <c r="A14" s="66" t="s">
        <v>252</v>
      </c>
      <c r="B14" s="66">
        <f>'M2'!B14-'M1'!B14</f>
        <v>16.619800000000001</v>
      </c>
      <c r="C14" s="66">
        <f>'M2'!C14-'M1'!C14</f>
        <v>5.8032700000000004</v>
      </c>
      <c r="D14" s="66">
        <f>'M2'!D14-'M1'!D14</f>
        <v>1.9786999999999999</v>
      </c>
      <c r="E14" s="66">
        <f>'M2'!E14-'M1'!E14</f>
        <v>0</v>
      </c>
      <c r="F14" s="66">
        <f>'M2'!F14-'M1'!F14</f>
        <v>-1.5336099999999999</v>
      </c>
      <c r="G14" s="66">
        <f>'M2'!G14-'M1'!G14</f>
        <v>0</v>
      </c>
      <c r="H14" s="66">
        <f>'M2'!H14-'M1'!H14</f>
        <v>15.4955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-7.646799999999998E-2</v>
      </c>
      <c r="C18" s="66">
        <f>'M2'!C18-'M1'!C18</f>
        <v>7.3234700000000003E-3</v>
      </c>
      <c r="D18" s="66">
        <f>'M2'!D18-'M1'!D18</f>
        <v>1.2404699999999999E-2</v>
      </c>
      <c r="E18" s="66">
        <f>'M2'!E18-'M1'!E18</f>
        <v>0</v>
      </c>
      <c r="F18" s="66">
        <f>'M2'!F18-'M1'!F18</f>
        <v>0.58305700000000005</v>
      </c>
      <c r="G18" s="66">
        <f>'M2'!G18-'M1'!G18</f>
        <v>0</v>
      </c>
      <c r="H18" s="66">
        <f>'M2'!H18-'M1'!H18</f>
        <v>0.59770400000000001</v>
      </c>
    </row>
    <row r="19" spans="1:8">
      <c r="A19" s="66" t="s">
        <v>256</v>
      </c>
      <c r="B19" s="66">
        <f>'M2'!B19-'M1'!B19</f>
        <v>-7.2451000000000043E-2</v>
      </c>
      <c r="C19" s="66">
        <f>'M2'!C19-'M1'!C19</f>
        <v>1.5903899999999999E-2</v>
      </c>
      <c r="D19" s="66">
        <f>'M2'!D19-'M1'!D19</f>
        <v>2.4167899999999999E-2</v>
      </c>
      <c r="E19" s="66">
        <f>'M2'!E19-'M1'!E19</f>
        <v>0</v>
      </c>
      <c r="F19" s="66">
        <f>'M2'!F19-'M1'!F19</f>
        <v>0.64215699999999998</v>
      </c>
      <c r="G19" s="66">
        <f>'M2'!G19-'M1'!G19</f>
        <v>0</v>
      </c>
      <c r="H19" s="66">
        <f>'M2'!H19-'M1'!H19</f>
        <v>0.67396500000000004</v>
      </c>
    </row>
    <row r="20" spans="1:8">
      <c r="A20" s="66" t="s">
        <v>63</v>
      </c>
      <c r="B20" s="66">
        <f>'M2'!B20-'M1'!B20</f>
        <v>-3.2497400000000005E-5</v>
      </c>
      <c r="C20" s="66">
        <f>'M2'!C20-'M1'!C20</f>
        <v>2.10119E-2</v>
      </c>
      <c r="D20" s="66">
        <f>'M2'!D20-'M1'!D20</f>
        <v>484.27700000000004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0.30267379999999999</v>
      </c>
    </row>
    <row r="21" spans="1:8">
      <c r="A21" s="66" t="s">
        <v>64</v>
      </c>
      <c r="B21" s="66">
        <f>'M2'!B21-'M1'!B21</f>
        <v>-1.6789399999999999E-2</v>
      </c>
      <c r="C21" s="66">
        <f>'M2'!C21-'M1'!C21</f>
        <v>2.5900000000000922E-4</v>
      </c>
      <c r="D21" s="66">
        <f>'M2'!D21-'M1'!D21</f>
        <v>13.727800000000002</v>
      </c>
      <c r="E21" s="66">
        <f>'M2'!E21-'M1'!E21</f>
        <v>0</v>
      </c>
      <c r="F21" s="66">
        <f>'M2'!F21-'M1'!F21</f>
        <v>-4.3504899999999997E-5</v>
      </c>
      <c r="G21" s="66">
        <f>'M2'!G21-'M1'!G21</f>
        <v>0</v>
      </c>
      <c r="H21" s="66">
        <f>'M2'!H21-'M1'!H21</f>
        <v>0.14631999999999978</v>
      </c>
    </row>
    <row r="22" spans="1:8">
      <c r="A22" s="66" t="s">
        <v>65</v>
      </c>
      <c r="B22" s="66">
        <f>'M2'!B22-'M1'!B22</f>
        <v>-4.8699000000000012</v>
      </c>
      <c r="C22" s="66">
        <f>'M2'!C22-'M1'!C22</f>
        <v>2.9146999999999998</v>
      </c>
      <c r="D22" s="66">
        <f>'M2'!D22-'M1'!D22</f>
        <v>0.17725400000000002</v>
      </c>
      <c r="E22" s="66">
        <f>'M2'!E22-'M1'!E22</f>
        <v>0</v>
      </c>
      <c r="F22" s="66">
        <f>'M2'!F22-'M1'!F22</f>
        <v>-1.5224999999999991</v>
      </c>
      <c r="G22" s="66">
        <f>'M2'!G22-'M1'!G22</f>
        <v>0</v>
      </c>
      <c r="H22" s="66">
        <f>'M2'!H22-'M1'!H22</f>
        <v>12.901299999999992</v>
      </c>
    </row>
    <row r="23" spans="1:8">
      <c r="A23" s="66" t="s">
        <v>66</v>
      </c>
      <c r="B23" s="66">
        <f>'M2'!B23-'M1'!B23</f>
        <v>-0.90690000000000026</v>
      </c>
      <c r="C23" s="66">
        <f>'M2'!C23-'M1'!C23</f>
        <v>0.55800899999999987</v>
      </c>
      <c r="D23" s="66">
        <f>'M2'!D23-'M1'!D23</f>
        <v>5.29793E-2</v>
      </c>
      <c r="E23" s="66">
        <f>'M2'!E23-'M1'!E23</f>
        <v>0</v>
      </c>
      <c r="F23" s="66">
        <f>'M2'!F23-'M1'!F23</f>
        <v>-3.0803099999999999</v>
      </c>
      <c r="G23" s="66">
        <f>'M2'!G23-'M1'!G23</f>
        <v>0</v>
      </c>
      <c r="H23" s="66">
        <f>'M2'!H23-'M1'!H23</f>
        <v>-0.17040000000000077</v>
      </c>
    </row>
    <row r="24" spans="1:8">
      <c r="A24" s="66" t="s">
        <v>67</v>
      </c>
      <c r="B24" s="66">
        <f>'M2'!B24-'M1'!B24</f>
        <v>-1.3708249999999999E-4</v>
      </c>
      <c r="C24" s="66">
        <f>'M2'!C24-'M1'!C24</f>
        <v>1.6810190000000003E-2</v>
      </c>
      <c r="D24" s="66">
        <f>'M2'!D24-'M1'!D24</f>
        <v>328.92520000000002</v>
      </c>
      <c r="E24" s="66">
        <f>'M2'!E24-'M1'!E24</f>
        <v>0</v>
      </c>
      <c r="F24" s="66">
        <f>'M2'!F24-'M1'!F24</f>
        <v>-2.5743799999999997E-6</v>
      </c>
      <c r="G24" s="66">
        <f>'M2'!G24-'M1'!G24</f>
        <v>0</v>
      </c>
      <c r="H24" s="66">
        <f>'M2'!H24-'M1'!H24</f>
        <v>0.18258000000000002</v>
      </c>
    </row>
    <row r="25" spans="1:8">
      <c r="A25" s="66" t="s">
        <v>68</v>
      </c>
      <c r="B25" s="66">
        <f>'M2'!B25-'M1'!B25</f>
        <v>-2.8642499999999998E-2</v>
      </c>
      <c r="C25" s="66">
        <f>'M2'!C25-'M1'!C25</f>
        <v>-2.6242999999999989E-2</v>
      </c>
      <c r="D25" s="66">
        <f>'M2'!D25-'M1'!D25</f>
        <v>4.3750999999999998</v>
      </c>
      <c r="E25" s="66">
        <f>'M2'!E25-'M1'!E25</f>
        <v>0</v>
      </c>
      <c r="F25" s="66">
        <f>'M2'!F25-'M1'!F25</f>
        <v>-7.1622999999999999E-4</v>
      </c>
      <c r="G25" s="66">
        <f>'M2'!G25-'M1'!G25</f>
        <v>0</v>
      </c>
      <c r="H25" s="66">
        <f>'M2'!H25-'M1'!H25</f>
        <v>-0.15353700000000003</v>
      </c>
    </row>
    <row r="26" spans="1:8">
      <c r="A26" s="66" t="s">
        <v>69</v>
      </c>
      <c r="B26" s="66">
        <f>'M2'!B26-'M1'!B26</f>
        <v>-1.31302E-5</v>
      </c>
      <c r="C26" s="66">
        <f>'M2'!C26-'M1'!C26</f>
        <v>1.5903200000000001E-3</v>
      </c>
      <c r="D26" s="66">
        <f>'M2'!D26-'M1'!D26</f>
        <v>177.3929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2.2830199999999998E-2</v>
      </c>
    </row>
    <row r="27" spans="1:8">
      <c r="A27" s="66" t="s">
        <v>70</v>
      </c>
      <c r="B27" s="66">
        <f>'M2'!B27-'M1'!B27</f>
        <v>0</v>
      </c>
      <c r="C27" s="66">
        <f>'M2'!C27-'M1'!C27</f>
        <v>3.8181200000000004E-4</v>
      </c>
      <c r="D27" s="66">
        <f>'M2'!D27-'M1'!D27</f>
        <v>0</v>
      </c>
      <c r="E27" s="66">
        <f>'M2'!E27-'M1'!E27</f>
        <v>0</v>
      </c>
      <c r="F27" s="66">
        <f>'M2'!F27-'M1'!F27</f>
        <v>-4.9862100000000005E-3</v>
      </c>
      <c r="G27" s="66">
        <f>'M2'!G27-'M1'!G27</f>
        <v>0</v>
      </c>
      <c r="H27" s="66">
        <f>'M2'!H27-'M1'!H27</f>
        <v>2.9280399999999998E-3</v>
      </c>
    </row>
    <row r="28" spans="1:8">
      <c r="A28" s="66" t="s">
        <v>71</v>
      </c>
      <c r="B28" s="66">
        <f>'M2'!B28-'M1'!B28</f>
        <v>-2.3681699999999997E-3</v>
      </c>
      <c r="C28" s="66">
        <f>'M2'!C28-'M1'!C28</f>
        <v>-3.4013999999999989E-3</v>
      </c>
      <c r="D28" s="66">
        <f>'M2'!D28-'M1'!D28</f>
        <v>2.6032299999999999</v>
      </c>
      <c r="E28" s="66">
        <f>'M2'!E28-'M1'!E28</f>
        <v>0</v>
      </c>
      <c r="F28" s="66">
        <f>'M2'!F28-'M1'!F28</f>
        <v>-2.9296900000000001E-5</v>
      </c>
      <c r="G28" s="66">
        <f>'M2'!G28-'M1'!G28</f>
        <v>0</v>
      </c>
      <c r="H28" s="66">
        <f>'M2'!H28-'M1'!H28</f>
        <v>-1.8678E-2</v>
      </c>
    </row>
    <row r="29" spans="1:8">
      <c r="A29" s="66" t="s">
        <v>72</v>
      </c>
      <c r="B29" s="66">
        <f>'M2'!B29-'M1'!B29</f>
        <v>-3.2692999999999941</v>
      </c>
      <c r="C29" s="66">
        <f>'M2'!C29-'M1'!C29</f>
        <v>1.3828399999999998</v>
      </c>
      <c r="D29" s="66">
        <f>'M2'!D29-'M1'!D29</f>
        <v>3.1281000000000003E-2</v>
      </c>
      <c r="E29" s="66">
        <f>'M2'!E29-'M1'!E29</f>
        <v>0</v>
      </c>
      <c r="F29" s="66">
        <f>'M2'!F29-'M1'!F29</f>
        <v>-5.0362000000000009</v>
      </c>
      <c r="G29" s="66">
        <f>'M2'!G29-'M1'!G29</f>
        <v>0</v>
      </c>
      <c r="H29" s="66">
        <f>'M2'!H29-'M1'!H29</f>
        <v>0.49580000000000268</v>
      </c>
    </row>
    <row r="30" spans="1:8">
      <c r="A30" s="66" t="s">
        <v>73</v>
      </c>
      <c r="B30" s="66">
        <f>'M2'!B30-'M1'!B30</f>
        <v>-0.23500000000000121</v>
      </c>
      <c r="C30" s="66">
        <f>'M2'!C30-'M1'!C30</f>
        <v>0.12657999999999991</v>
      </c>
      <c r="D30" s="66">
        <f>'M2'!D30-'M1'!D30</f>
        <v>1.0339000000000001E-2</v>
      </c>
      <c r="E30" s="66">
        <f>'M2'!E30-'M1'!E30</f>
        <v>0</v>
      </c>
      <c r="F30" s="66">
        <f>'M2'!F30-'M1'!F30</f>
        <v>-3.4937900000000006</v>
      </c>
      <c r="G30" s="66">
        <f>'M2'!G30-'M1'!G30</f>
        <v>0</v>
      </c>
      <c r="H30" s="66">
        <f>'M2'!H30-'M1'!H30</f>
        <v>-1.212299999999999</v>
      </c>
    </row>
    <row r="31" spans="1:8">
      <c r="A31" s="66" t="s">
        <v>74</v>
      </c>
      <c r="B31" s="66">
        <f>'M2'!B31-'M1'!B31</f>
        <v>-4.957499999999996</v>
      </c>
      <c r="C31" s="66">
        <f>'M2'!C31-'M1'!C31</f>
        <v>17.01934</v>
      </c>
      <c r="D31" s="66">
        <f>'M2'!D31-'M1'!D31</f>
        <v>0.215281</v>
      </c>
      <c r="E31" s="66">
        <f>'M2'!E31-'M1'!E31</f>
        <v>0</v>
      </c>
      <c r="F31" s="66">
        <f>'M2'!F31-'M1'!F31</f>
        <v>-21.900600000000004</v>
      </c>
      <c r="G31" s="66">
        <f>'M2'!G31-'M1'!G31</f>
        <v>0</v>
      </c>
      <c r="H31" s="66">
        <f>'M2'!H31-'M1'!H31</f>
        <v>7.5880000000000223</v>
      </c>
    </row>
    <row r="32" spans="1:8">
      <c r="A32" s="66" t="s">
        <v>75</v>
      </c>
      <c r="B32" s="66">
        <f>'M2'!B32-'M1'!B32</f>
        <v>-1.4770000000000005E-2</v>
      </c>
      <c r="C32" s="66">
        <f>'M2'!C32-'M1'!C32</f>
        <v>8.5299999999999959E-3</v>
      </c>
      <c r="D32" s="66">
        <f>'M2'!D32-'M1'!D32</f>
        <v>5.6569999999999954E-2</v>
      </c>
      <c r="E32" s="66">
        <f>'M2'!E32-'M1'!E32</f>
        <v>0</v>
      </c>
      <c r="F32" s="66">
        <f>'M2'!F32-'M1'!F32</f>
        <v>-5.7100000000000206E-4</v>
      </c>
      <c r="G32" s="66">
        <f>'M2'!G32-'M1'!G32</f>
        <v>0</v>
      </c>
      <c r="H32" s="66">
        <f>'M2'!H32-'M1'!H32</f>
        <v>5.9200000000003694E-4</v>
      </c>
    </row>
    <row r="33" spans="1:8">
      <c r="A33" s="66" t="s">
        <v>76</v>
      </c>
      <c r="B33" s="66">
        <f>'M2'!B33-'M1'!B33</f>
        <v>-2.9753000000000029E-2</v>
      </c>
      <c r="C33" s="66">
        <f>'M2'!C33-'M1'!C33</f>
        <v>1.3439900000000001E-2</v>
      </c>
      <c r="D33" s="66">
        <f>'M2'!D33-'M1'!D33</f>
        <v>5.0912199999999998E-2</v>
      </c>
      <c r="E33" s="66">
        <f>'M2'!E33-'M1'!E33</f>
        <v>0</v>
      </c>
      <c r="F33" s="66">
        <f>'M2'!F33-'M1'!F33</f>
        <v>-7.3124999999999996E-2</v>
      </c>
      <c r="G33" s="66">
        <f>'M2'!G33-'M1'!G33</f>
        <v>0</v>
      </c>
      <c r="H33" s="66">
        <f>'M2'!H33-'M1'!H33</f>
        <v>9.0789999999999982E-2</v>
      </c>
    </row>
    <row r="34" spans="1:8">
      <c r="A34" s="66" t="s">
        <v>77</v>
      </c>
      <c r="B34" s="66">
        <f>'M2'!B34-'M1'!B34</f>
        <v>-3.6319000000000018E-2</v>
      </c>
      <c r="C34" s="66">
        <f>'M2'!C34-'M1'!C34</f>
        <v>1.6619799999999997E-2</v>
      </c>
      <c r="D34" s="66">
        <f>'M2'!D34-'M1'!D34</f>
        <v>0.13314199999999998</v>
      </c>
      <c r="E34" s="66">
        <f>'M2'!E34-'M1'!E34</f>
        <v>0</v>
      </c>
      <c r="F34" s="66">
        <f>'M2'!F34-'M1'!F34</f>
        <v>-3.7326999999999999E-2</v>
      </c>
      <c r="G34" s="66">
        <f>'M2'!G34-'M1'!G34</f>
        <v>0</v>
      </c>
      <c r="H34" s="66">
        <f>'M2'!H34-'M1'!H34</f>
        <v>5.263000000000001E-2</v>
      </c>
    </row>
    <row r="35" spans="1:8">
      <c r="A35" s="66" t="s">
        <v>78</v>
      </c>
      <c r="B35" s="66">
        <f>'M2'!B35-'M1'!B35</f>
        <v>-1.3495000000000007E-2</v>
      </c>
      <c r="C35" s="66">
        <f>'M2'!C35-'M1'!C35</f>
        <v>1.5444000000000013E-3</v>
      </c>
      <c r="D35" s="66">
        <f>'M2'!D35-'M1'!D35</f>
        <v>6.5664999999999973E-2</v>
      </c>
      <c r="E35" s="66">
        <f>'M2'!E35-'M1'!E35</f>
        <v>0</v>
      </c>
      <c r="F35" s="66">
        <f>'M2'!F35-'M1'!F35</f>
        <v>3.8311000000000005E-3</v>
      </c>
      <c r="G35" s="66">
        <f>'M2'!G35-'M1'!G35</f>
        <v>0</v>
      </c>
      <c r="H35" s="66">
        <f>'M2'!H35-'M1'!H35</f>
        <v>9.6279999999999977E-3</v>
      </c>
    </row>
    <row r="36" spans="1:8">
      <c r="A36" s="66" t="s">
        <v>79</v>
      </c>
      <c r="B36" s="66">
        <f>'M2'!B36-'M1'!B36</f>
        <v>-4.5145999999999992E-2</v>
      </c>
      <c r="C36" s="66">
        <f>'M2'!C36-'M1'!C36</f>
        <v>-8.0191000000000012E-3</v>
      </c>
      <c r="D36" s="66">
        <f>'M2'!D36-'M1'!D36</f>
        <v>0.11944299999999997</v>
      </c>
      <c r="E36" s="66">
        <f>'M2'!E36-'M1'!E36</f>
        <v>0</v>
      </c>
      <c r="F36" s="66">
        <f>'M2'!F36-'M1'!F36</f>
        <v>-5.8885000000000048E-3</v>
      </c>
      <c r="G36" s="66">
        <f>'M2'!G36-'M1'!G36</f>
        <v>0</v>
      </c>
      <c r="H36" s="66">
        <f>'M2'!H36-'M1'!H36</f>
        <v>2.7561999999999975E-2</v>
      </c>
    </row>
    <row r="37" spans="1:8">
      <c r="A37" s="66" t="s">
        <v>80</v>
      </c>
      <c r="B37" s="66">
        <f>'M2'!B37-'M1'!B37</f>
        <v>0.16619800000000001</v>
      </c>
      <c r="C37" s="66">
        <f>'M2'!C37-'M1'!C37</f>
        <v>5.8032700000000007E-2</v>
      </c>
      <c r="D37" s="66">
        <f>'M2'!D37-'M1'!D37</f>
        <v>1.9786999999999999E-2</v>
      </c>
      <c r="E37" s="66">
        <f>'M2'!E37-'M1'!E37</f>
        <v>0</v>
      </c>
      <c r="F37" s="66">
        <f>'M2'!F37-'M1'!F37</f>
        <v>-1.5336100000000002E-2</v>
      </c>
      <c r="G37" s="66">
        <f>'M2'!G37-'M1'!G37</f>
        <v>0</v>
      </c>
      <c r="H37" s="66">
        <f>'M2'!H37-'M1'!H37</f>
        <v>0.15495500000000001</v>
      </c>
    </row>
    <row r="38" spans="1:8">
      <c r="A38" s="66" t="s">
        <v>81</v>
      </c>
      <c r="B38" s="66">
        <f>'M2'!B38-'M1'!B38</f>
        <v>-2.7859400000000001</v>
      </c>
      <c r="C38" s="66">
        <f>'M2'!C38-'M1'!C38</f>
        <v>5.585799999999999</v>
      </c>
      <c r="D38" s="66">
        <f>'M2'!D38-'M1'!D38</f>
        <v>-12.814299999999999</v>
      </c>
      <c r="E38" s="66">
        <f>'M2'!E38-'M1'!E38</f>
        <v>0</v>
      </c>
      <c r="F38" s="66">
        <f>'M2'!F38-'M1'!F38</f>
        <v>-28.616299999999995</v>
      </c>
      <c r="G38" s="66">
        <f>'M2'!G38-'M1'!G38</f>
        <v>0</v>
      </c>
      <c r="H38" s="66">
        <f>'M2'!H38-'M1'!H38</f>
        <v>33.933999999999997</v>
      </c>
    </row>
    <row r="39" spans="1:8">
      <c r="A39" s="66" t="s">
        <v>82</v>
      </c>
      <c r="B39" s="66">
        <f>'M2'!B39-'M1'!B39</f>
        <v>-0.90737800000000013</v>
      </c>
      <c r="C39" s="66">
        <f>'M2'!C39-'M1'!C39</f>
        <v>1.6554800000000003</v>
      </c>
      <c r="D39" s="66">
        <f>'M2'!D39-'M1'!D39</f>
        <v>1.3272899999999996</v>
      </c>
      <c r="E39" s="66">
        <f>'M2'!E39-'M1'!E39</f>
        <v>0</v>
      </c>
      <c r="F39" s="66">
        <f>'M2'!F39-'M1'!F39</f>
        <v>-14.911599999999998</v>
      </c>
      <c r="G39" s="66">
        <f>'M2'!G39-'M1'!G39</f>
        <v>0</v>
      </c>
      <c r="H39" s="66">
        <f>'M2'!H39-'M1'!H39</f>
        <v>-2.6020200000000004</v>
      </c>
    </row>
    <row r="40" spans="1:8">
      <c r="A40" s="66" t="s">
        <v>83</v>
      </c>
      <c r="B40" s="66">
        <f>'M2'!B40-'M1'!B40</f>
        <v>-1.4134009999999999</v>
      </c>
      <c r="C40" s="66">
        <f>'M2'!C40-'M1'!C40</f>
        <v>3.3949999999999925E-2</v>
      </c>
      <c r="D40" s="66">
        <f>'M2'!D40-'M1'!D40</f>
        <v>-3.7732799999999997</v>
      </c>
      <c r="E40" s="66">
        <f>'M2'!E40-'M1'!E40</f>
        <v>0</v>
      </c>
      <c r="F40" s="66">
        <f>'M2'!F40-'M1'!F40</f>
        <v>-2.2792300000000001</v>
      </c>
      <c r="G40" s="66">
        <f>'M2'!G40-'M1'!G40</f>
        <v>0</v>
      </c>
      <c r="H40" s="66">
        <f>'M2'!H40-'M1'!H40</f>
        <v>-2.1717620000000002</v>
      </c>
    </row>
    <row r="41" spans="1:8">
      <c r="A41" s="66" t="s">
        <v>84</v>
      </c>
      <c r="B41" s="66">
        <f>'M2'!B41-'M1'!B41</f>
        <v>0</v>
      </c>
      <c r="C41" s="66">
        <f>'M2'!C41-'M1'!C41</f>
        <v>3.4509999999999985E-2</v>
      </c>
      <c r="D41" s="66">
        <f>'M2'!D41-'M1'!D41</f>
        <v>0</v>
      </c>
      <c r="E41" s="66">
        <f>'M2'!E41-'M1'!E41</f>
        <v>0</v>
      </c>
      <c r="F41" s="66">
        <f>'M2'!F41-'M1'!F41</f>
        <v>-0.12546500000000005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-1.4975000000000002E-2</v>
      </c>
      <c r="C42" s="66">
        <f>'M2'!C42-'M1'!C42</f>
        <v>-2.3267900000000008E-2</v>
      </c>
      <c r="D42" s="66">
        <f>'M2'!D42-'M1'!D42</f>
        <v>0.58854000000000006</v>
      </c>
      <c r="E42" s="66">
        <f>'M2'!E42-'M1'!E42</f>
        <v>0</v>
      </c>
      <c r="F42" s="66">
        <f>'M2'!F42-'M1'!F42</f>
        <v>0.10530400000000001</v>
      </c>
      <c r="G42" s="66">
        <f>'M2'!G42-'M1'!G42</f>
        <v>0</v>
      </c>
      <c r="H42" s="66">
        <f>'M2'!H42-'M1'!H42</f>
        <v>-1.7332000000000014E-2</v>
      </c>
    </row>
    <row r="43" spans="1:8">
      <c r="A43" s="66" t="s">
        <v>86</v>
      </c>
      <c r="B43" s="66">
        <f>'M2'!B43-'M1'!B43</f>
        <v>-0.1626061</v>
      </c>
      <c r="C43" s="66">
        <f>'M2'!C43-'M1'!C43</f>
        <v>-1.4846299999999993E-2</v>
      </c>
      <c r="D43" s="66">
        <f>'M2'!D43-'M1'!D43</f>
        <v>-2.1623580000000002</v>
      </c>
      <c r="E43" s="66">
        <f>'M2'!E43-'M1'!E43</f>
        <v>0</v>
      </c>
      <c r="F43" s="66">
        <f>'M2'!F43-'M1'!F43</f>
        <v>-0.1465185</v>
      </c>
      <c r="G43" s="66">
        <f>'M2'!G43-'M1'!G43</f>
        <v>0</v>
      </c>
      <c r="H43" s="66">
        <f>'M2'!H43-'M1'!H43</f>
        <v>-0.16690369999999999</v>
      </c>
    </row>
    <row r="44" spans="1:8">
      <c r="A44" s="66" t="s">
        <v>87</v>
      </c>
      <c r="B44" s="66">
        <f>'M2'!B44-'M1'!B44</f>
        <v>-4.1227899999999993</v>
      </c>
      <c r="C44" s="66">
        <f>'M2'!C44-'M1'!C44</f>
        <v>0.36800999999999995</v>
      </c>
      <c r="D44" s="66">
        <f>'M2'!D44-'M1'!D44</f>
        <v>0.44819900000000001</v>
      </c>
      <c r="E44" s="66">
        <f>'M2'!E44-'M1'!E44</f>
        <v>0</v>
      </c>
      <c r="F44" s="66">
        <f>'M2'!F44-'M1'!F44</f>
        <v>-0.80999999999999872</v>
      </c>
      <c r="G44" s="66">
        <f>'M2'!G44-'M1'!G44</f>
        <v>0</v>
      </c>
      <c r="H44" s="66">
        <f>'M2'!H44-'M1'!H44</f>
        <v>-3.6214600000000008</v>
      </c>
    </row>
    <row r="45" spans="1:8">
      <c r="A45" s="66" t="s">
        <v>88</v>
      </c>
      <c r="B45" s="66">
        <f>'M2'!B45-'M1'!B45</f>
        <v>-1.2901000000000025</v>
      </c>
      <c r="C45" s="66">
        <f>'M2'!C45-'M1'!C45</f>
        <v>0.28054999999999897</v>
      </c>
      <c r="D45" s="66">
        <f>'M2'!D45-'M1'!D45</f>
        <v>1.0633999999999977E-2</v>
      </c>
      <c r="E45" s="66">
        <f>'M2'!E45-'M1'!E45</f>
        <v>0</v>
      </c>
      <c r="F45" s="66">
        <f>'M2'!F45-'M1'!F45</f>
        <v>-4.0621000000000009</v>
      </c>
      <c r="G45" s="66">
        <f>'M2'!G45-'M1'!G45</f>
        <v>0</v>
      </c>
      <c r="H45" s="66">
        <f>'M2'!H45-'M1'!H45</f>
        <v>-3.3810000000000002</v>
      </c>
    </row>
    <row r="46" spans="1:8">
      <c r="A46" s="66" t="s">
        <v>89</v>
      </c>
      <c r="B46" s="66">
        <f>'M2'!B46-'M1'!B46</f>
        <v>-1.9634999999999998</v>
      </c>
      <c r="C46" s="66">
        <f>'M2'!C46-'M1'!C46</f>
        <v>-3.6077000000000004</v>
      </c>
      <c r="D46" s="66">
        <f>'M2'!D46-'M1'!D46</f>
        <v>-0.1302326</v>
      </c>
      <c r="E46" s="66">
        <f>'M2'!E46-'M1'!E46</f>
        <v>0</v>
      </c>
      <c r="F46" s="66">
        <f>'M2'!F46-'M1'!F46</f>
        <v>9.2125000000000004</v>
      </c>
      <c r="G46" s="66">
        <f>'M2'!G46-'M1'!G46</f>
        <v>0</v>
      </c>
      <c r="H46" s="66">
        <f>'M2'!H46-'M1'!H46</f>
        <v>-5.2112000000000016</v>
      </c>
    </row>
    <row r="47" spans="1:8">
      <c r="A47" s="66" t="s">
        <v>90</v>
      </c>
      <c r="B47" s="66">
        <f>'M2'!B47-'M1'!B47</f>
        <v>-0.22674000000000005</v>
      </c>
      <c r="C47" s="66">
        <f>'M2'!C47-'M1'!C47</f>
        <v>-5.5487000000000009E-2</v>
      </c>
      <c r="D47" s="66">
        <f>'M2'!D47-'M1'!D47</f>
        <v>0.18393300000000001</v>
      </c>
      <c r="E47" s="66">
        <f>'M2'!E47-'M1'!E47</f>
        <v>0</v>
      </c>
      <c r="F47" s="66">
        <f>'M2'!F47-'M1'!F47</f>
        <v>-1.6271000000000008E-2</v>
      </c>
      <c r="G47" s="66">
        <f>'M2'!G47-'M1'!G47</f>
        <v>0</v>
      </c>
      <c r="H47" s="66">
        <f>'M2'!H47-'M1'!H47</f>
        <v>-0.71599999999999997</v>
      </c>
    </row>
    <row r="48" spans="1:8">
      <c r="A48" s="66" t="s">
        <v>91</v>
      </c>
      <c r="B48" s="66">
        <f>'M2'!B48-'M1'!B48</f>
        <v>-0.19940600000000008</v>
      </c>
      <c r="C48" s="66">
        <f>'M2'!C48-'M1'!C48</f>
        <v>-7.5291899999999995E-2</v>
      </c>
      <c r="D48" s="66">
        <f>'M2'!D48-'M1'!D48</f>
        <v>-6.4813000000000009E-2</v>
      </c>
      <c r="E48" s="66">
        <f>'M2'!E48-'M1'!E48</f>
        <v>0</v>
      </c>
      <c r="F48" s="66">
        <f>'M2'!F48-'M1'!F48</f>
        <v>-0.19567499999999999</v>
      </c>
      <c r="G48" s="66">
        <f>'M2'!G48-'M1'!G48</f>
        <v>0</v>
      </c>
      <c r="H48" s="66">
        <f>'M2'!H48-'M1'!H48</f>
        <v>-0.83115799999999995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34.768500000000003</v>
      </c>
      <c r="C5" s="66">
        <v>7.5902000000000003</v>
      </c>
      <c r="D5" s="66">
        <v>21.8306</v>
      </c>
      <c r="E5" s="66">
        <v>20</v>
      </c>
      <c r="F5" s="66">
        <v>14.406499999999999</v>
      </c>
      <c r="G5" s="66">
        <v>50</v>
      </c>
      <c r="H5" s="66">
        <v>43.689399999999999</v>
      </c>
    </row>
    <row r="6" spans="1:8">
      <c r="A6" s="66" t="s">
        <v>358</v>
      </c>
      <c r="B6" s="66">
        <v>28.184200000000001</v>
      </c>
      <c r="C6" s="66">
        <v>3.9402699999999999</v>
      </c>
      <c r="D6" s="66">
        <v>13.980399999999999</v>
      </c>
      <c r="E6" s="66">
        <v>20</v>
      </c>
      <c r="F6" s="66">
        <v>21.756799999999998</v>
      </c>
      <c r="G6" s="66">
        <v>40</v>
      </c>
      <c r="H6" s="66">
        <v>39.441400000000002</v>
      </c>
    </row>
    <row r="7" spans="1:8">
      <c r="A7" s="66" t="s">
        <v>359</v>
      </c>
      <c r="B7" s="66">
        <v>27.4072</v>
      </c>
      <c r="C7" s="66">
        <v>11.3918</v>
      </c>
      <c r="D7" s="66">
        <v>41.564999999999998</v>
      </c>
      <c r="E7" s="66">
        <v>15</v>
      </c>
      <c r="F7" s="66">
        <v>3.67977</v>
      </c>
      <c r="G7" s="66">
        <v>40</v>
      </c>
      <c r="H7" s="66">
        <v>46.915100000000002</v>
      </c>
    </row>
    <row r="8" spans="1:8">
      <c r="A8" s="66" t="s">
        <v>360</v>
      </c>
      <c r="B8" s="66">
        <v>30.224799999999998</v>
      </c>
      <c r="C8" s="66">
        <v>5.94034</v>
      </c>
      <c r="D8" s="66">
        <v>19.6539</v>
      </c>
      <c r="E8" s="66">
        <v>20</v>
      </c>
      <c r="F8" s="66">
        <v>13.6172</v>
      </c>
      <c r="G8" s="66">
        <v>50</v>
      </c>
      <c r="H8" s="66">
        <v>36.956699999999998</v>
      </c>
    </row>
    <row r="9" spans="1:8">
      <c r="A9" s="66" t="s">
        <v>361</v>
      </c>
      <c r="B9" s="66">
        <v>71.353700000000003</v>
      </c>
      <c r="C9" s="66">
        <v>5.40097</v>
      </c>
      <c r="D9" s="66">
        <v>7.5693000000000001</v>
      </c>
      <c r="E9" s="66">
        <v>50</v>
      </c>
      <c r="F9" s="66">
        <v>61.207700000000003</v>
      </c>
      <c r="G9" s="66">
        <v>100</v>
      </c>
      <c r="H9" s="66">
        <v>83.485399999999998</v>
      </c>
    </row>
    <row r="10" spans="1:8">
      <c r="A10" s="66" t="s">
        <v>362</v>
      </c>
      <c r="B10" s="66">
        <v>82.247900000000001</v>
      </c>
      <c r="C10" s="66">
        <v>3.5326900000000001</v>
      </c>
      <c r="D10" s="66">
        <v>4.2951699999999997</v>
      </c>
      <c r="E10" s="66">
        <v>40</v>
      </c>
      <c r="F10" s="66">
        <v>69.217399999999998</v>
      </c>
      <c r="G10" s="66">
        <v>100</v>
      </c>
      <c r="H10" s="66">
        <v>86.002799999999993</v>
      </c>
    </row>
    <row r="11" spans="1:8">
      <c r="A11" s="66" t="s">
        <v>363</v>
      </c>
      <c r="B11" s="66">
        <v>15.853999999999999</v>
      </c>
      <c r="C11" s="66">
        <v>1.95496</v>
      </c>
      <c r="D11" s="66">
        <v>12.331</v>
      </c>
      <c r="E11" s="66">
        <v>10</v>
      </c>
      <c r="F11" s="66">
        <v>10.5915</v>
      </c>
      <c r="G11" s="66">
        <v>50</v>
      </c>
      <c r="H11" s="66">
        <v>17.770099999999999</v>
      </c>
    </row>
    <row r="12" spans="1:8">
      <c r="A12" s="66" t="s">
        <v>364</v>
      </c>
      <c r="B12" s="66">
        <v>76.707700000000003</v>
      </c>
      <c r="C12" s="66">
        <v>3.8486400000000001</v>
      </c>
      <c r="D12" s="66">
        <v>5.0172800000000004</v>
      </c>
      <c r="E12" s="66">
        <v>50</v>
      </c>
      <c r="F12" s="66">
        <v>68.443700000000007</v>
      </c>
      <c r="G12" s="66">
        <v>100</v>
      </c>
      <c r="H12" s="66">
        <v>84.346100000000007</v>
      </c>
    </row>
    <row r="13" spans="1:8">
      <c r="A13" s="66" t="s">
        <v>365</v>
      </c>
      <c r="B13" s="66">
        <v>19.707999999999998</v>
      </c>
      <c r="C13" s="66">
        <v>2.5961099999999999</v>
      </c>
      <c r="D13" s="66">
        <v>13.172800000000001</v>
      </c>
      <c r="E13" s="66">
        <v>10</v>
      </c>
      <c r="F13" s="66">
        <v>15.624700000000001</v>
      </c>
      <c r="G13" s="66">
        <v>25</v>
      </c>
      <c r="H13" s="66">
        <v>26.7165</v>
      </c>
    </row>
    <row r="14" spans="1:8">
      <c r="A14" s="66" t="s">
        <v>366</v>
      </c>
      <c r="B14" s="66">
        <v>25.961099999999998</v>
      </c>
      <c r="C14" s="66">
        <v>7.7490300000000003</v>
      </c>
      <c r="D14" s="66">
        <v>29.848600000000001</v>
      </c>
      <c r="E14" s="66">
        <v>10</v>
      </c>
      <c r="F14" s="66">
        <v>3.6267</v>
      </c>
      <c r="G14" s="66">
        <v>50</v>
      </c>
      <c r="H14" s="66">
        <v>30.383099999999999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0.666848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0.73051200000000005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8.4381200000000005E-5</v>
      </c>
      <c r="C20" s="66">
        <v>1.0683099999999999E-2</v>
      </c>
      <c r="D20" s="66">
        <v>126.60599999999999</v>
      </c>
      <c r="E20" s="66">
        <v>0</v>
      </c>
      <c r="F20" s="66">
        <v>0</v>
      </c>
      <c r="G20" s="66">
        <v>0</v>
      </c>
      <c r="H20" s="66">
        <v>8.2537200000000005E-2</v>
      </c>
    </row>
    <row r="21" spans="1:8">
      <c r="A21" s="66" t="s">
        <v>373</v>
      </c>
      <c r="B21" s="66">
        <v>2.9217699999999999E-2</v>
      </c>
      <c r="C21" s="66">
        <v>0.29645899999999997</v>
      </c>
      <c r="D21" s="66">
        <v>10.146599999999999</v>
      </c>
      <c r="E21" s="66">
        <v>0</v>
      </c>
      <c r="F21" s="196">
        <v>4.3504899999999997E-5</v>
      </c>
      <c r="G21" s="66">
        <v>0</v>
      </c>
      <c r="H21" s="66">
        <v>2.1577500000000001</v>
      </c>
    </row>
    <row r="22" spans="1:8">
      <c r="A22" s="66" t="s">
        <v>374</v>
      </c>
      <c r="B22" s="66">
        <v>31.0212</v>
      </c>
      <c r="C22" s="66">
        <v>10.960599999999999</v>
      </c>
      <c r="D22" s="66">
        <v>0.353325</v>
      </c>
      <c r="E22" s="66">
        <v>0</v>
      </c>
      <c r="F22" s="66">
        <v>13.773899999999999</v>
      </c>
      <c r="G22" s="66">
        <v>0</v>
      </c>
      <c r="H22" s="66">
        <v>69.052000000000007</v>
      </c>
    </row>
    <row r="23" spans="1:8">
      <c r="A23" s="66" t="s">
        <v>375</v>
      </c>
      <c r="B23" s="66">
        <v>12.2807</v>
      </c>
      <c r="C23" s="66">
        <v>0.60348100000000005</v>
      </c>
      <c r="D23" s="66">
        <v>4.9140700000000002E-2</v>
      </c>
      <c r="E23" s="66">
        <v>0</v>
      </c>
      <c r="F23" s="66">
        <v>10.1891</v>
      </c>
      <c r="G23" s="66">
        <v>0</v>
      </c>
      <c r="H23" s="66">
        <v>13.048500000000001</v>
      </c>
    </row>
    <row r="24" spans="1:8">
      <c r="A24" s="66" t="s">
        <v>376</v>
      </c>
      <c r="B24" s="66">
        <v>2.05916E-4</v>
      </c>
      <c r="C24" s="66">
        <v>8.7588100000000006E-3</v>
      </c>
      <c r="D24" s="66">
        <v>42.535800000000002</v>
      </c>
      <c r="E24" s="66">
        <v>0</v>
      </c>
      <c r="F24" s="196">
        <v>8.7036599999999999E-6</v>
      </c>
      <c r="G24" s="66">
        <v>0</v>
      </c>
      <c r="H24" s="66">
        <v>5.5661000000000002E-2</v>
      </c>
    </row>
    <row r="25" spans="1:8">
      <c r="A25" s="66" t="s">
        <v>377</v>
      </c>
      <c r="B25" s="66">
        <v>4.9996699999999998E-2</v>
      </c>
      <c r="C25" s="66">
        <v>0.20888899999999999</v>
      </c>
      <c r="D25" s="66">
        <v>4.17807</v>
      </c>
      <c r="E25" s="66">
        <v>0</v>
      </c>
      <c r="F25" s="66">
        <v>5.8592599999999998E-3</v>
      </c>
      <c r="G25" s="66">
        <v>0</v>
      </c>
      <c r="H25" s="66">
        <v>0.97827600000000003</v>
      </c>
    </row>
    <row r="26" spans="1:8">
      <c r="A26" s="66" t="s">
        <v>378</v>
      </c>
      <c r="B26" s="196">
        <v>2.62605E-5</v>
      </c>
      <c r="C26" s="66">
        <v>1.4777900000000001E-3</v>
      </c>
      <c r="D26" s="66">
        <v>56.274099999999997</v>
      </c>
      <c r="E26" s="66">
        <v>0</v>
      </c>
      <c r="F26" s="66">
        <v>0</v>
      </c>
      <c r="G26" s="66">
        <v>0</v>
      </c>
      <c r="H26" s="66">
        <v>1.12592E-2</v>
      </c>
    </row>
    <row r="27" spans="1:8">
      <c r="A27" s="66" t="s">
        <v>379</v>
      </c>
      <c r="B27" s="66">
        <v>0</v>
      </c>
      <c r="C27" s="66">
        <v>4.1306999999999997E-4</v>
      </c>
      <c r="D27" s="66">
        <v>0</v>
      </c>
      <c r="E27" s="66">
        <v>0</v>
      </c>
      <c r="F27" s="66">
        <v>-3.09874E-3</v>
      </c>
      <c r="G27" s="66">
        <v>0</v>
      </c>
      <c r="H27" s="66">
        <v>3.2234799999999999E-3</v>
      </c>
    </row>
    <row r="28" spans="1:8">
      <c r="A28" s="66" t="s">
        <v>380</v>
      </c>
      <c r="B28" s="66">
        <v>5.0504599999999997E-3</v>
      </c>
      <c r="C28" s="66">
        <v>2.2145399999999999E-2</v>
      </c>
      <c r="D28" s="66">
        <v>4.3848200000000004</v>
      </c>
      <c r="E28" s="66">
        <v>0</v>
      </c>
      <c r="F28" s="196">
        <v>2.9296900000000001E-5</v>
      </c>
      <c r="G28" s="66">
        <v>0</v>
      </c>
      <c r="H28" s="66">
        <v>0.143294</v>
      </c>
    </row>
    <row r="29" spans="1:8">
      <c r="A29" s="66" t="s">
        <v>381</v>
      </c>
      <c r="B29" s="66">
        <v>63.092799999999997</v>
      </c>
      <c r="C29" s="66">
        <v>9.4280600000000003</v>
      </c>
      <c r="D29" s="66">
        <v>0.14943200000000001</v>
      </c>
      <c r="E29" s="66">
        <v>0</v>
      </c>
      <c r="F29" s="66">
        <v>40.441000000000003</v>
      </c>
      <c r="G29" s="66">
        <v>0</v>
      </c>
      <c r="H29" s="66">
        <v>86.432299999999998</v>
      </c>
    </row>
    <row r="30" spans="1:8">
      <c r="A30" s="66" t="s">
        <v>382</v>
      </c>
      <c r="B30" s="66">
        <v>15.1149</v>
      </c>
      <c r="C30" s="66">
        <v>1.7537400000000001</v>
      </c>
      <c r="D30" s="66">
        <v>0.11602700000000001</v>
      </c>
      <c r="E30" s="66">
        <v>0</v>
      </c>
      <c r="F30" s="66">
        <v>11.661300000000001</v>
      </c>
      <c r="G30" s="66">
        <v>0</v>
      </c>
      <c r="H30" s="66">
        <v>20.148399999999999</v>
      </c>
    </row>
    <row r="31" spans="1:8">
      <c r="A31" s="66" t="s">
        <v>383</v>
      </c>
      <c r="B31" s="66">
        <v>86.583100000000002</v>
      </c>
      <c r="C31" s="66">
        <v>9.6600599999999996</v>
      </c>
      <c r="D31" s="66">
        <v>0.11157</v>
      </c>
      <c r="E31" s="66">
        <v>0</v>
      </c>
      <c r="F31" s="66">
        <v>70.786600000000007</v>
      </c>
      <c r="G31" s="66">
        <v>0</v>
      </c>
      <c r="H31" s="66">
        <v>128.39099999999999</v>
      </c>
    </row>
    <row r="32" spans="1:8">
      <c r="A32" s="66" t="s">
        <v>384</v>
      </c>
      <c r="B32" s="66">
        <v>0.27407199999999998</v>
      </c>
      <c r="C32" s="66">
        <v>0.11391800000000001</v>
      </c>
      <c r="D32" s="66">
        <v>0.41565000000000002</v>
      </c>
      <c r="E32" s="66">
        <v>0.15</v>
      </c>
      <c r="F32" s="66">
        <v>3.6797700000000003E-2</v>
      </c>
      <c r="G32" s="66">
        <v>0.4</v>
      </c>
      <c r="H32" s="66">
        <v>0.46915099999999998</v>
      </c>
    </row>
    <row r="33" spans="1:8">
      <c r="A33" s="66" t="s">
        <v>385</v>
      </c>
      <c r="B33" s="66">
        <v>0.32457200000000003</v>
      </c>
      <c r="C33" s="66">
        <v>1.71276E-2</v>
      </c>
      <c r="D33" s="66">
        <v>5.2769799999999999E-2</v>
      </c>
      <c r="E33" s="66">
        <v>0</v>
      </c>
      <c r="F33" s="66">
        <v>0.24997900000000001</v>
      </c>
      <c r="G33" s="66">
        <v>0</v>
      </c>
      <c r="H33" s="66">
        <v>0.33541900000000002</v>
      </c>
    </row>
    <row r="34" spans="1:8">
      <c r="A34" s="66" t="s">
        <v>386</v>
      </c>
      <c r="B34" s="66">
        <v>0.19708000000000001</v>
      </c>
      <c r="C34" s="66">
        <v>2.5961100000000001E-2</v>
      </c>
      <c r="D34" s="66">
        <v>0.13172800000000001</v>
      </c>
      <c r="E34" s="66">
        <v>0.1</v>
      </c>
      <c r="F34" s="66">
        <v>0.156247</v>
      </c>
      <c r="G34" s="66">
        <v>0.25</v>
      </c>
      <c r="H34" s="66">
        <v>0.26716499999999999</v>
      </c>
    </row>
    <row r="35" spans="1:8">
      <c r="A35" s="66" t="s">
        <v>387</v>
      </c>
      <c r="B35" s="66">
        <v>8.7943800000000003E-2</v>
      </c>
      <c r="C35" s="66">
        <v>2.1794299999999999E-2</v>
      </c>
      <c r="D35" s="66">
        <v>0.24782100000000001</v>
      </c>
      <c r="E35" s="66">
        <v>0</v>
      </c>
      <c r="F35" s="66">
        <v>2.8530900000000001E-2</v>
      </c>
      <c r="G35" s="66">
        <v>0</v>
      </c>
      <c r="H35" s="66">
        <v>0.14720900000000001</v>
      </c>
    </row>
    <row r="36" spans="1:8">
      <c r="A36" s="66" t="s">
        <v>388</v>
      </c>
      <c r="B36" s="66">
        <v>0.18013399999999999</v>
      </c>
      <c r="C36" s="66">
        <v>9.6328200000000003E-2</v>
      </c>
      <c r="D36" s="66">
        <v>0.53475899999999998</v>
      </c>
      <c r="E36" s="66">
        <v>0</v>
      </c>
      <c r="F36" s="66">
        <v>4.3224400000000003E-2</v>
      </c>
      <c r="G36" s="66">
        <v>0</v>
      </c>
      <c r="H36" s="66">
        <v>0.460592</v>
      </c>
    </row>
    <row r="37" spans="1:8">
      <c r="A37" s="66" t="s">
        <v>389</v>
      </c>
      <c r="B37" s="66">
        <v>0.25961099999999998</v>
      </c>
      <c r="C37" s="66">
        <v>7.7490299999999998E-2</v>
      </c>
      <c r="D37" s="66">
        <v>0.29848599999999997</v>
      </c>
      <c r="E37" s="66">
        <v>0.1</v>
      </c>
      <c r="F37" s="66">
        <v>3.6267000000000001E-2</v>
      </c>
      <c r="G37" s="66">
        <v>0.5</v>
      </c>
      <c r="H37" s="66">
        <v>0.30383100000000002</v>
      </c>
    </row>
    <row r="38" spans="1:8">
      <c r="A38" s="66" t="s">
        <v>390</v>
      </c>
      <c r="B38" s="66">
        <v>2.7859400000000001</v>
      </c>
      <c r="C38" s="66">
        <v>35.699800000000003</v>
      </c>
      <c r="D38" s="66">
        <v>12.814299999999999</v>
      </c>
      <c r="E38" s="66">
        <v>0</v>
      </c>
      <c r="F38" s="66">
        <v>-81.903700000000001</v>
      </c>
      <c r="G38" s="66">
        <v>0</v>
      </c>
      <c r="H38" s="66">
        <v>111.977</v>
      </c>
    </row>
    <row r="39" spans="1:8">
      <c r="A39" s="66" t="s">
        <v>391</v>
      </c>
      <c r="B39" s="66">
        <v>-0.82728199999999996</v>
      </c>
      <c r="C39" s="66">
        <v>3.6085199999999999</v>
      </c>
      <c r="D39" s="66">
        <v>-4.3618899999999998</v>
      </c>
      <c r="E39" s="66">
        <v>0</v>
      </c>
      <c r="F39" s="66">
        <v>-11.6226</v>
      </c>
      <c r="G39" s="66">
        <v>0</v>
      </c>
      <c r="H39" s="66">
        <v>9.0260200000000008</v>
      </c>
    </row>
    <row r="40" spans="1:8">
      <c r="A40" s="66" t="s">
        <v>392</v>
      </c>
      <c r="B40" s="66">
        <v>0.83532300000000004</v>
      </c>
      <c r="C40" s="66">
        <v>1.2690600000000001</v>
      </c>
      <c r="D40" s="66">
        <v>1.5192399999999999</v>
      </c>
      <c r="E40" s="66">
        <v>0</v>
      </c>
      <c r="F40" s="66">
        <v>-1.0496700000000001</v>
      </c>
      <c r="G40" s="66">
        <v>0</v>
      </c>
      <c r="H40" s="66">
        <v>3.04908</v>
      </c>
    </row>
    <row r="41" spans="1:8">
      <c r="A41" s="66" t="s">
        <v>393</v>
      </c>
      <c r="B41" s="66">
        <v>0</v>
      </c>
      <c r="C41" s="66">
        <v>0.392822</v>
      </c>
      <c r="D41" s="66">
        <v>0</v>
      </c>
      <c r="E41" s="66">
        <v>0</v>
      </c>
      <c r="F41" s="66">
        <v>-0.83783799999999997</v>
      </c>
      <c r="G41" s="66">
        <v>0</v>
      </c>
      <c r="H41" s="66">
        <v>1</v>
      </c>
    </row>
    <row r="42" spans="1:8">
      <c r="A42" s="66" t="s">
        <v>394</v>
      </c>
      <c r="B42" s="66">
        <v>-6.5892800000000001E-2</v>
      </c>
      <c r="C42" s="66">
        <v>0.10703500000000001</v>
      </c>
      <c r="D42" s="66">
        <v>-1.62439</v>
      </c>
      <c r="E42" s="66">
        <v>0</v>
      </c>
      <c r="F42" s="66">
        <v>-0.46904400000000002</v>
      </c>
      <c r="G42" s="66">
        <v>0</v>
      </c>
      <c r="H42" s="66">
        <v>0.29036400000000001</v>
      </c>
    </row>
    <row r="43" spans="1:8">
      <c r="A43" s="66" t="s">
        <v>395</v>
      </c>
      <c r="B43" s="66">
        <v>6.7452300000000007E-2</v>
      </c>
      <c r="C43" s="66">
        <v>9.1510599999999998E-2</v>
      </c>
      <c r="D43" s="66">
        <v>1.35667</v>
      </c>
      <c r="E43" s="66">
        <v>0</v>
      </c>
      <c r="F43" s="66">
        <v>-4.98165E-2</v>
      </c>
      <c r="G43" s="66">
        <v>0</v>
      </c>
      <c r="H43" s="66">
        <v>0.216283</v>
      </c>
    </row>
    <row r="44" spans="1:8">
      <c r="A44" s="66" t="s">
        <v>396</v>
      </c>
      <c r="B44" s="66">
        <v>-5.59382</v>
      </c>
      <c r="C44" s="66">
        <v>6.4081700000000001</v>
      </c>
      <c r="D44" s="66">
        <v>-1.14558</v>
      </c>
      <c r="E44" s="66">
        <v>0</v>
      </c>
      <c r="F44" s="66">
        <v>-17.664300000000001</v>
      </c>
      <c r="G44" s="66">
        <v>0</v>
      </c>
      <c r="H44" s="66">
        <v>12.848800000000001</v>
      </c>
    </row>
    <row r="45" spans="1:8">
      <c r="A45" s="66" t="s">
        <v>397</v>
      </c>
      <c r="B45" s="66">
        <v>47.6</v>
      </c>
      <c r="C45" s="66">
        <v>7.8184300000000002</v>
      </c>
      <c r="D45" s="66">
        <v>0.16425300000000001</v>
      </c>
      <c r="E45" s="66">
        <v>0</v>
      </c>
      <c r="F45" s="66">
        <v>29.087199999999999</v>
      </c>
      <c r="G45" s="66">
        <v>0</v>
      </c>
      <c r="H45" s="66">
        <v>69.839500000000001</v>
      </c>
    </row>
    <row r="46" spans="1:8">
      <c r="A46" s="66" t="s">
        <v>398</v>
      </c>
      <c r="B46" s="66">
        <v>26.276499999999999</v>
      </c>
      <c r="C46" s="66">
        <v>5.9063100000000004</v>
      </c>
      <c r="D46" s="66">
        <v>0.224775</v>
      </c>
      <c r="E46" s="66">
        <v>0</v>
      </c>
      <c r="F46" s="66">
        <v>10.6518</v>
      </c>
      <c r="G46" s="66">
        <v>0</v>
      </c>
      <c r="H46" s="66">
        <v>33.331000000000003</v>
      </c>
    </row>
    <row r="47" spans="1:8">
      <c r="A47" s="66" t="s">
        <v>399</v>
      </c>
      <c r="B47" s="66">
        <v>0.67043600000000003</v>
      </c>
      <c r="C47" s="66">
        <v>0.40537600000000001</v>
      </c>
      <c r="D47" s="66">
        <v>0.60464499999999999</v>
      </c>
      <c r="E47" s="66">
        <v>0</v>
      </c>
      <c r="F47" s="66">
        <v>0.14243900000000001</v>
      </c>
      <c r="G47" s="66">
        <v>0</v>
      </c>
      <c r="H47" s="66">
        <v>2.2837399999999999</v>
      </c>
    </row>
    <row r="48" spans="1:8">
      <c r="A48" s="66" t="s">
        <v>400</v>
      </c>
      <c r="B48" s="66">
        <v>0.77171500000000004</v>
      </c>
      <c r="C48" s="66">
        <v>0.14783199999999999</v>
      </c>
      <c r="D48" s="66">
        <v>0.19156300000000001</v>
      </c>
      <c r="E48" s="66">
        <v>0</v>
      </c>
      <c r="F48" s="66">
        <v>0.60277199999999997</v>
      </c>
      <c r="G48" s="66">
        <v>0</v>
      </c>
      <c r="H48" s="66">
        <v>1.49986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29.7804</v>
      </c>
      <c r="C5" s="66">
        <v>2.8010199999999998</v>
      </c>
      <c r="D5" s="66">
        <v>9.4055499999999999</v>
      </c>
      <c r="E5" s="66">
        <v>20</v>
      </c>
      <c r="F5" s="66">
        <v>25.306999999999999</v>
      </c>
      <c r="G5" s="66">
        <v>50</v>
      </c>
      <c r="H5" s="66">
        <v>36.201099999999997</v>
      </c>
    </row>
    <row r="6" spans="1:8">
      <c r="A6" s="66" t="s">
        <v>358</v>
      </c>
      <c r="B6" s="66">
        <v>30.3247</v>
      </c>
      <c r="C6" s="66">
        <v>6.1805199999999996</v>
      </c>
      <c r="D6" s="66">
        <v>20.3811</v>
      </c>
      <c r="E6" s="66">
        <v>20</v>
      </c>
      <c r="F6" s="66">
        <v>26.023499999999999</v>
      </c>
      <c r="G6" s="66">
        <v>40</v>
      </c>
      <c r="H6" s="66">
        <v>45.718200000000003</v>
      </c>
    </row>
    <row r="7" spans="1:8">
      <c r="A7" s="66" t="s">
        <v>359</v>
      </c>
      <c r="B7" s="66">
        <v>25.930199999999999</v>
      </c>
      <c r="C7" s="66">
        <v>12.2448</v>
      </c>
      <c r="D7" s="66">
        <v>47.222000000000001</v>
      </c>
      <c r="E7" s="66">
        <v>15</v>
      </c>
      <c r="F7" s="66">
        <v>3.6226699999999998</v>
      </c>
      <c r="G7" s="66">
        <v>40</v>
      </c>
      <c r="H7" s="66">
        <v>46.974299999999999</v>
      </c>
    </row>
    <row r="8" spans="1:8">
      <c r="A8" s="66" t="s">
        <v>360</v>
      </c>
      <c r="B8" s="66">
        <v>28.0458</v>
      </c>
      <c r="C8" s="66">
        <v>5.7518099999999999</v>
      </c>
      <c r="D8" s="66">
        <v>20.508700000000001</v>
      </c>
      <c r="E8" s="66">
        <v>20</v>
      </c>
      <c r="F8" s="66">
        <v>19.8142</v>
      </c>
      <c r="G8" s="66">
        <v>50</v>
      </c>
      <c r="H8" s="66">
        <v>38.363399999999999</v>
      </c>
    </row>
    <row r="9" spans="1:8">
      <c r="A9" s="66" t="s">
        <v>361</v>
      </c>
      <c r="B9" s="66">
        <v>72.252300000000005</v>
      </c>
      <c r="C9" s="66">
        <v>3.1717499999999998</v>
      </c>
      <c r="D9" s="66">
        <v>4.3898299999999999</v>
      </c>
      <c r="E9" s="66">
        <v>50</v>
      </c>
      <c r="F9" s="66">
        <v>63.210900000000002</v>
      </c>
      <c r="G9" s="66">
        <v>100</v>
      </c>
      <c r="H9" s="66">
        <v>78.037999999999997</v>
      </c>
    </row>
    <row r="10" spans="1:8">
      <c r="A10" s="66" t="s">
        <v>362</v>
      </c>
      <c r="B10" s="66">
        <v>82.008899999999997</v>
      </c>
      <c r="C10" s="66">
        <v>6.4601499999999996</v>
      </c>
      <c r="D10" s="66">
        <v>7.87737</v>
      </c>
      <c r="E10" s="66">
        <v>40</v>
      </c>
      <c r="F10" s="66">
        <v>63.421999999999997</v>
      </c>
      <c r="G10" s="66">
        <v>100</v>
      </c>
      <c r="H10" s="66">
        <v>84.391000000000005</v>
      </c>
    </row>
    <row r="11" spans="1:8">
      <c r="A11" s="66" t="s">
        <v>363</v>
      </c>
      <c r="B11" s="66">
        <v>12.616099999999999</v>
      </c>
      <c r="C11" s="66">
        <v>1.21258</v>
      </c>
      <c r="D11" s="66">
        <v>9.6113599999999995</v>
      </c>
      <c r="E11" s="66">
        <v>10</v>
      </c>
      <c r="F11" s="66">
        <v>9.6003299999999996</v>
      </c>
      <c r="G11" s="66">
        <v>50</v>
      </c>
      <c r="H11" s="66">
        <v>14.837400000000001</v>
      </c>
    </row>
    <row r="12" spans="1:8">
      <c r="A12" s="66" t="s">
        <v>364</v>
      </c>
      <c r="B12" s="66">
        <v>75.303399999999996</v>
      </c>
      <c r="C12" s="66">
        <v>3.4486599999999998</v>
      </c>
      <c r="D12" s="66">
        <v>4.5796900000000003</v>
      </c>
      <c r="E12" s="66">
        <v>50</v>
      </c>
      <c r="F12" s="66">
        <v>65.730800000000002</v>
      </c>
      <c r="G12" s="66">
        <v>100</v>
      </c>
      <c r="H12" s="66">
        <v>80.048199999999994</v>
      </c>
    </row>
    <row r="13" spans="1:8">
      <c r="A13" s="66" t="s">
        <v>365</v>
      </c>
      <c r="B13" s="66">
        <v>16.0761</v>
      </c>
      <c r="C13" s="66">
        <v>4.2580900000000002</v>
      </c>
      <c r="D13" s="66">
        <v>26.486999999999998</v>
      </c>
      <c r="E13" s="66">
        <v>10</v>
      </c>
      <c r="F13" s="66">
        <v>11.891999999999999</v>
      </c>
      <c r="G13" s="66">
        <v>25</v>
      </c>
      <c r="H13" s="66">
        <v>31.979500000000002</v>
      </c>
    </row>
    <row r="14" spans="1:8">
      <c r="A14" s="66" t="s">
        <v>366</v>
      </c>
      <c r="B14" s="66">
        <v>42.5809</v>
      </c>
      <c r="C14" s="66">
        <v>13.552300000000001</v>
      </c>
      <c r="D14" s="66">
        <v>31.827300000000001</v>
      </c>
      <c r="E14" s="66">
        <v>10</v>
      </c>
      <c r="F14" s="66">
        <v>2.0930900000000001</v>
      </c>
      <c r="G14" s="66">
        <v>50</v>
      </c>
      <c r="H14" s="66">
        <v>45.878599999999999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0.59038000000000002</v>
      </c>
      <c r="C18" s="66">
        <v>7.3234700000000003E-3</v>
      </c>
      <c r="D18" s="66">
        <v>1.2404699999999999E-2</v>
      </c>
      <c r="E18" s="66">
        <v>0</v>
      </c>
      <c r="F18" s="66">
        <v>0.58305700000000005</v>
      </c>
      <c r="G18" s="66">
        <v>0</v>
      </c>
      <c r="H18" s="66">
        <v>0.59770400000000001</v>
      </c>
    </row>
    <row r="19" spans="1:8">
      <c r="A19" s="66" t="s">
        <v>371</v>
      </c>
      <c r="B19" s="66">
        <v>0.65806100000000001</v>
      </c>
      <c r="C19" s="66">
        <v>1.5903899999999999E-2</v>
      </c>
      <c r="D19" s="66">
        <v>2.4167899999999999E-2</v>
      </c>
      <c r="E19" s="66">
        <v>0</v>
      </c>
      <c r="F19" s="66">
        <v>0.64215699999999998</v>
      </c>
      <c r="G19" s="66">
        <v>0</v>
      </c>
      <c r="H19" s="66">
        <v>0.67396500000000004</v>
      </c>
    </row>
    <row r="20" spans="1:8">
      <c r="A20" s="66" t="s">
        <v>372</v>
      </c>
      <c r="B20" s="196">
        <v>5.18838E-5</v>
      </c>
      <c r="C20" s="66">
        <v>3.1695000000000001E-2</v>
      </c>
      <c r="D20" s="66">
        <v>610.88300000000004</v>
      </c>
      <c r="E20" s="66">
        <v>0</v>
      </c>
      <c r="F20" s="66">
        <v>0</v>
      </c>
      <c r="G20" s="66">
        <v>0</v>
      </c>
      <c r="H20" s="66">
        <v>0.38521100000000003</v>
      </c>
    </row>
    <row r="21" spans="1:8">
      <c r="A21" s="66" t="s">
        <v>373</v>
      </c>
      <c r="B21" s="66">
        <v>1.24283E-2</v>
      </c>
      <c r="C21" s="66">
        <v>0.29671799999999998</v>
      </c>
      <c r="D21" s="66">
        <v>23.874400000000001</v>
      </c>
      <c r="E21" s="66">
        <v>0</v>
      </c>
      <c r="F21" s="66">
        <v>0</v>
      </c>
      <c r="G21" s="66">
        <v>0</v>
      </c>
      <c r="H21" s="66">
        <v>2.3040699999999998</v>
      </c>
    </row>
    <row r="22" spans="1:8">
      <c r="A22" s="66" t="s">
        <v>374</v>
      </c>
      <c r="B22" s="66">
        <v>26.151299999999999</v>
      </c>
      <c r="C22" s="66">
        <v>13.875299999999999</v>
      </c>
      <c r="D22" s="66">
        <v>0.53057900000000002</v>
      </c>
      <c r="E22" s="66">
        <v>0</v>
      </c>
      <c r="F22" s="66">
        <v>12.2514</v>
      </c>
      <c r="G22" s="66">
        <v>0</v>
      </c>
      <c r="H22" s="66">
        <v>81.953299999999999</v>
      </c>
    </row>
    <row r="23" spans="1:8">
      <c r="A23" s="66" t="s">
        <v>375</v>
      </c>
      <c r="B23" s="66">
        <v>11.373799999999999</v>
      </c>
      <c r="C23" s="66">
        <v>1.1614899999999999</v>
      </c>
      <c r="D23" s="66">
        <v>0.10212</v>
      </c>
      <c r="E23" s="66">
        <v>0</v>
      </c>
      <c r="F23" s="66">
        <v>7.1087899999999999</v>
      </c>
      <c r="G23" s="66">
        <v>0</v>
      </c>
      <c r="H23" s="66">
        <v>12.8781</v>
      </c>
    </row>
    <row r="24" spans="1:8">
      <c r="A24" s="66" t="s">
        <v>401</v>
      </c>
      <c r="B24" s="196">
        <v>6.8833500000000004E-5</v>
      </c>
      <c r="C24" s="66">
        <v>2.5569000000000001E-2</v>
      </c>
      <c r="D24" s="66">
        <v>371.46100000000001</v>
      </c>
      <c r="E24" s="66">
        <v>0</v>
      </c>
      <c r="F24" s="196">
        <v>6.1292800000000002E-6</v>
      </c>
      <c r="G24" s="66">
        <v>0</v>
      </c>
      <c r="H24" s="66">
        <v>0.23824100000000001</v>
      </c>
    </row>
    <row r="25" spans="1:8">
      <c r="A25" s="66" t="s">
        <v>377</v>
      </c>
      <c r="B25" s="66">
        <v>2.13542E-2</v>
      </c>
      <c r="C25" s="66">
        <v>0.182646</v>
      </c>
      <c r="D25" s="66">
        <v>8.5531699999999997</v>
      </c>
      <c r="E25" s="66">
        <v>0</v>
      </c>
      <c r="F25" s="66">
        <v>5.1430299999999998E-3</v>
      </c>
      <c r="G25" s="66">
        <v>0</v>
      </c>
      <c r="H25" s="66">
        <v>0.824739</v>
      </c>
    </row>
    <row r="26" spans="1:8">
      <c r="A26" s="66" t="s">
        <v>378</v>
      </c>
      <c r="B26" s="196">
        <v>1.31303E-5</v>
      </c>
      <c r="C26" s="66">
        <v>3.0681100000000002E-3</v>
      </c>
      <c r="D26" s="66">
        <v>233.667</v>
      </c>
      <c r="E26" s="66">
        <v>0</v>
      </c>
      <c r="F26" s="66">
        <v>0</v>
      </c>
      <c r="G26" s="66">
        <v>0</v>
      </c>
      <c r="H26" s="66">
        <v>3.4089399999999999E-2</v>
      </c>
    </row>
    <row r="27" spans="1:8">
      <c r="A27" s="66" t="s">
        <v>379</v>
      </c>
      <c r="B27" s="66">
        <v>0</v>
      </c>
      <c r="C27" s="66">
        <v>7.9488200000000001E-4</v>
      </c>
      <c r="D27" s="66">
        <v>0</v>
      </c>
      <c r="E27" s="66">
        <v>0</v>
      </c>
      <c r="F27" s="66">
        <v>-8.0849500000000005E-3</v>
      </c>
      <c r="G27" s="66">
        <v>0</v>
      </c>
      <c r="H27" s="66">
        <v>6.1515199999999997E-3</v>
      </c>
    </row>
    <row r="28" spans="1:8">
      <c r="A28" s="66" t="s">
        <v>380</v>
      </c>
      <c r="B28" s="66">
        <v>2.6822899999999999E-3</v>
      </c>
      <c r="C28" s="66">
        <v>1.8744E-2</v>
      </c>
      <c r="D28" s="66">
        <v>6.9880500000000003</v>
      </c>
      <c r="E28" s="66">
        <v>0</v>
      </c>
      <c r="F28" s="66">
        <v>0</v>
      </c>
      <c r="G28" s="66">
        <v>0</v>
      </c>
      <c r="H28" s="66">
        <v>0.124616</v>
      </c>
    </row>
    <row r="29" spans="1:8">
      <c r="A29" s="66" t="s">
        <v>381</v>
      </c>
      <c r="B29" s="66">
        <v>59.823500000000003</v>
      </c>
      <c r="C29" s="66">
        <v>10.8109</v>
      </c>
      <c r="D29" s="66">
        <v>0.18071300000000001</v>
      </c>
      <c r="E29" s="66">
        <v>0</v>
      </c>
      <c r="F29" s="66">
        <v>35.404800000000002</v>
      </c>
      <c r="G29" s="66">
        <v>0</v>
      </c>
      <c r="H29" s="66">
        <v>86.928100000000001</v>
      </c>
    </row>
    <row r="30" spans="1:8">
      <c r="A30" s="66" t="s">
        <v>382</v>
      </c>
      <c r="B30" s="66">
        <v>14.879899999999999</v>
      </c>
      <c r="C30" s="66">
        <v>1.88032</v>
      </c>
      <c r="D30" s="66">
        <v>0.12636600000000001</v>
      </c>
      <c r="E30" s="66">
        <v>0</v>
      </c>
      <c r="F30" s="66">
        <v>8.16751</v>
      </c>
      <c r="G30" s="66">
        <v>0</v>
      </c>
      <c r="H30" s="66">
        <v>18.9361</v>
      </c>
    </row>
    <row r="31" spans="1:8">
      <c r="A31" s="66" t="s">
        <v>383</v>
      </c>
      <c r="B31" s="66">
        <v>81.625600000000006</v>
      </c>
      <c r="C31" s="66">
        <v>26.679400000000001</v>
      </c>
      <c r="D31" s="66">
        <v>0.326851</v>
      </c>
      <c r="E31" s="66">
        <v>0</v>
      </c>
      <c r="F31" s="66">
        <v>48.886000000000003</v>
      </c>
      <c r="G31" s="66">
        <v>0</v>
      </c>
      <c r="H31" s="66">
        <v>135.97900000000001</v>
      </c>
    </row>
    <row r="32" spans="1:8">
      <c r="A32" s="66" t="s">
        <v>384</v>
      </c>
      <c r="B32" s="66">
        <v>0.25930199999999998</v>
      </c>
      <c r="C32" s="66">
        <v>0.122448</v>
      </c>
      <c r="D32" s="66">
        <v>0.47221999999999997</v>
      </c>
      <c r="E32" s="66">
        <v>0.15</v>
      </c>
      <c r="F32" s="66">
        <v>3.6226700000000001E-2</v>
      </c>
      <c r="G32" s="66">
        <v>0.4</v>
      </c>
      <c r="H32" s="66">
        <v>0.46974300000000002</v>
      </c>
    </row>
    <row r="33" spans="1:8">
      <c r="A33" s="66" t="s">
        <v>385</v>
      </c>
      <c r="B33" s="66">
        <v>0.294819</v>
      </c>
      <c r="C33" s="66">
        <v>3.0567500000000001E-2</v>
      </c>
      <c r="D33" s="66">
        <v>0.103682</v>
      </c>
      <c r="E33" s="66">
        <v>0</v>
      </c>
      <c r="F33" s="66">
        <v>0.17685400000000001</v>
      </c>
      <c r="G33" s="66">
        <v>0</v>
      </c>
      <c r="H33" s="66">
        <v>0.426209</v>
      </c>
    </row>
    <row r="34" spans="1:8">
      <c r="A34" s="66" t="s">
        <v>386</v>
      </c>
      <c r="B34" s="66">
        <v>0.16076099999999999</v>
      </c>
      <c r="C34" s="66">
        <v>4.2580899999999998E-2</v>
      </c>
      <c r="D34" s="66">
        <v>0.26486999999999999</v>
      </c>
      <c r="E34" s="66">
        <v>0.1</v>
      </c>
      <c r="F34" s="66">
        <v>0.11892</v>
      </c>
      <c r="G34" s="66">
        <v>0.25</v>
      </c>
      <c r="H34" s="66">
        <v>0.319795</v>
      </c>
    </row>
    <row r="35" spans="1:8">
      <c r="A35" s="66" t="s">
        <v>387</v>
      </c>
      <c r="B35" s="66">
        <v>7.4448799999999996E-2</v>
      </c>
      <c r="C35" s="66">
        <v>2.33387E-2</v>
      </c>
      <c r="D35" s="66">
        <v>0.31348599999999999</v>
      </c>
      <c r="E35" s="66">
        <v>0</v>
      </c>
      <c r="F35" s="66">
        <v>3.2362000000000002E-2</v>
      </c>
      <c r="G35" s="66">
        <v>0</v>
      </c>
      <c r="H35" s="66">
        <v>0.156837</v>
      </c>
    </row>
    <row r="36" spans="1:8">
      <c r="A36" s="66" t="s">
        <v>388</v>
      </c>
      <c r="B36" s="66">
        <v>0.134988</v>
      </c>
      <c r="C36" s="66">
        <v>8.8309100000000001E-2</v>
      </c>
      <c r="D36" s="66">
        <v>0.65420199999999995</v>
      </c>
      <c r="E36" s="66">
        <v>0</v>
      </c>
      <c r="F36" s="66">
        <v>3.7335899999999998E-2</v>
      </c>
      <c r="G36" s="66">
        <v>0</v>
      </c>
      <c r="H36" s="66">
        <v>0.48815399999999998</v>
      </c>
    </row>
    <row r="37" spans="1:8">
      <c r="A37" s="66" t="s">
        <v>389</v>
      </c>
      <c r="B37" s="66">
        <v>0.42580899999999999</v>
      </c>
      <c r="C37" s="66">
        <v>0.135523</v>
      </c>
      <c r="D37" s="66">
        <v>0.31827299999999997</v>
      </c>
      <c r="E37" s="66">
        <v>0.1</v>
      </c>
      <c r="F37" s="66">
        <v>2.0930899999999999E-2</v>
      </c>
      <c r="G37" s="66">
        <v>0.5</v>
      </c>
      <c r="H37" s="66">
        <v>0.45878600000000003</v>
      </c>
    </row>
    <row r="38" spans="1:8">
      <c r="A38" s="66" t="s">
        <v>390</v>
      </c>
      <c r="B38" s="66">
        <v>0</v>
      </c>
      <c r="C38" s="66">
        <v>41.285600000000002</v>
      </c>
      <c r="D38" s="66">
        <v>0</v>
      </c>
      <c r="E38" s="66">
        <v>0</v>
      </c>
      <c r="F38" s="66">
        <v>-110.52</v>
      </c>
      <c r="G38" s="66">
        <v>0</v>
      </c>
      <c r="H38" s="66">
        <v>145.911</v>
      </c>
    </row>
    <row r="39" spans="1:8">
      <c r="A39" s="66" t="s">
        <v>391</v>
      </c>
      <c r="B39" s="66">
        <v>-1.7346600000000001</v>
      </c>
      <c r="C39" s="66">
        <v>5.2640000000000002</v>
      </c>
      <c r="D39" s="66">
        <v>-3.0346000000000002</v>
      </c>
      <c r="E39" s="66">
        <v>0</v>
      </c>
      <c r="F39" s="66">
        <v>-26.534199999999998</v>
      </c>
      <c r="G39" s="66">
        <v>0</v>
      </c>
      <c r="H39" s="66">
        <v>6.4240000000000004</v>
      </c>
    </row>
    <row r="40" spans="1:8">
      <c r="A40" s="66" t="s">
        <v>392</v>
      </c>
      <c r="B40" s="66">
        <v>-0.57807799999999998</v>
      </c>
      <c r="C40" s="66">
        <v>1.30301</v>
      </c>
      <c r="D40" s="66">
        <v>-2.2540399999999998</v>
      </c>
      <c r="E40" s="66">
        <v>0</v>
      </c>
      <c r="F40" s="66">
        <v>-3.3289</v>
      </c>
      <c r="G40" s="66">
        <v>0</v>
      </c>
      <c r="H40" s="66">
        <v>0.87731800000000004</v>
      </c>
    </row>
    <row r="41" spans="1:8">
      <c r="A41" s="66" t="s">
        <v>393</v>
      </c>
      <c r="B41" s="66">
        <v>0</v>
      </c>
      <c r="C41" s="66">
        <v>0.42733199999999999</v>
      </c>
      <c r="D41" s="66">
        <v>0</v>
      </c>
      <c r="E41" s="66">
        <v>0</v>
      </c>
      <c r="F41" s="66">
        <v>-0.96330300000000002</v>
      </c>
      <c r="G41" s="66">
        <v>0</v>
      </c>
      <c r="H41" s="66">
        <v>1</v>
      </c>
    </row>
    <row r="42" spans="1:8">
      <c r="A42" s="66" t="s">
        <v>394</v>
      </c>
      <c r="B42" s="66">
        <v>-8.0867800000000004E-2</v>
      </c>
      <c r="C42" s="66">
        <v>8.3767099999999997E-2</v>
      </c>
      <c r="D42" s="66">
        <v>-1.0358499999999999</v>
      </c>
      <c r="E42" s="66">
        <v>0</v>
      </c>
      <c r="F42" s="66">
        <v>-0.36374000000000001</v>
      </c>
      <c r="G42" s="66">
        <v>0</v>
      </c>
      <c r="H42" s="66">
        <v>0.273032</v>
      </c>
    </row>
    <row r="43" spans="1:8">
      <c r="A43" s="66" t="s">
        <v>395</v>
      </c>
      <c r="B43" s="66">
        <v>-9.5153799999999997E-2</v>
      </c>
      <c r="C43" s="66">
        <v>7.6664300000000005E-2</v>
      </c>
      <c r="D43" s="66">
        <v>-0.80568799999999996</v>
      </c>
      <c r="E43" s="66">
        <v>0</v>
      </c>
      <c r="F43" s="66">
        <v>-0.19633500000000001</v>
      </c>
      <c r="G43" s="66">
        <v>0</v>
      </c>
      <c r="H43" s="66">
        <v>4.9379300000000001E-2</v>
      </c>
    </row>
    <row r="44" spans="1:8">
      <c r="A44" s="66" t="s">
        <v>396</v>
      </c>
      <c r="B44" s="66">
        <v>-9.7166099999999993</v>
      </c>
      <c r="C44" s="66">
        <v>6.7761800000000001</v>
      </c>
      <c r="D44" s="66">
        <v>-0.69738100000000003</v>
      </c>
      <c r="E44" s="66">
        <v>0</v>
      </c>
      <c r="F44" s="66">
        <v>-18.474299999999999</v>
      </c>
      <c r="G44" s="66">
        <v>0</v>
      </c>
      <c r="H44" s="66">
        <v>9.2273399999999999</v>
      </c>
    </row>
    <row r="45" spans="1:8">
      <c r="A45" s="66" t="s">
        <v>397</v>
      </c>
      <c r="B45" s="66">
        <v>46.309899999999999</v>
      </c>
      <c r="C45" s="66">
        <v>8.0989799999999992</v>
      </c>
      <c r="D45" s="66">
        <v>0.17488699999999999</v>
      </c>
      <c r="E45" s="66">
        <v>0</v>
      </c>
      <c r="F45" s="66">
        <v>25.025099999999998</v>
      </c>
      <c r="G45" s="66">
        <v>0</v>
      </c>
      <c r="H45" s="66">
        <v>66.458500000000001</v>
      </c>
    </row>
    <row r="46" spans="1:8">
      <c r="A46" s="66" t="s">
        <v>398</v>
      </c>
      <c r="B46" s="66">
        <v>24.312999999999999</v>
      </c>
      <c r="C46" s="66">
        <v>2.29861</v>
      </c>
      <c r="D46" s="66">
        <v>9.4542399999999999E-2</v>
      </c>
      <c r="E46" s="66">
        <v>0</v>
      </c>
      <c r="F46" s="66">
        <v>19.8643</v>
      </c>
      <c r="G46" s="66">
        <v>0</v>
      </c>
      <c r="H46" s="66">
        <v>28.119800000000001</v>
      </c>
    </row>
    <row r="47" spans="1:8">
      <c r="A47" s="66" t="s">
        <v>399</v>
      </c>
      <c r="B47" s="66">
        <v>0.44369599999999998</v>
      </c>
      <c r="C47" s="66">
        <v>0.34988900000000001</v>
      </c>
      <c r="D47" s="66">
        <v>0.788578</v>
      </c>
      <c r="E47" s="66">
        <v>0</v>
      </c>
      <c r="F47" s="66">
        <v>0.126168</v>
      </c>
      <c r="G47" s="66">
        <v>0</v>
      </c>
      <c r="H47" s="66">
        <v>1.5677399999999999</v>
      </c>
    </row>
    <row r="48" spans="1:8">
      <c r="A48" s="66" t="s">
        <v>400</v>
      </c>
      <c r="B48" s="66">
        <v>0.57230899999999996</v>
      </c>
      <c r="C48" s="66">
        <v>7.2540099999999996E-2</v>
      </c>
      <c r="D48" s="66">
        <v>0.12675</v>
      </c>
      <c r="E48" s="66">
        <v>0</v>
      </c>
      <c r="F48" s="66">
        <v>0.40709699999999999</v>
      </c>
      <c r="G48" s="66">
        <v>0</v>
      </c>
      <c r="H48" s="66">
        <v>0.66870200000000002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60.348570986645051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1.1651794426719926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0.50799736908525739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7102</v>
      </c>
      <c r="B8" s="66">
        <v>7102</v>
      </c>
      <c r="D8">
        <f t="shared" si="0"/>
        <v>5.3227208681835898E-2</v>
      </c>
      <c r="E8">
        <f t="shared" si="0"/>
        <v>5.3227208681835898E-2</v>
      </c>
      <c r="G8">
        <f t="shared" ca="1" si="1"/>
        <v>6</v>
      </c>
      <c r="H8">
        <f t="shared" ca="1" si="2"/>
        <v>0.3193632520910154</v>
      </c>
      <c r="I8">
        <f t="shared" ca="1" si="3"/>
        <v>157.22078146414842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14536</v>
      </c>
      <c r="B10" s="66">
        <v>14536</v>
      </c>
      <c r="D10">
        <f t="shared" si="0"/>
        <v>0.10894265071799022</v>
      </c>
      <c r="E10">
        <f t="shared" si="0"/>
        <v>0.10894265071799022</v>
      </c>
      <c r="G10">
        <f t="shared" ca="1" si="1"/>
        <v>8</v>
      </c>
      <c r="H10">
        <f t="shared" ca="1" si="2"/>
        <v>0.8715412057439218</v>
      </c>
      <c r="I10">
        <f t="shared" ca="1" si="3"/>
        <v>298.54348597611977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19583</v>
      </c>
      <c r="B13" s="66">
        <v>19583</v>
      </c>
      <c r="D13">
        <f t="shared" si="0"/>
        <v>0.14676829451089726</v>
      </c>
      <c r="E13">
        <f t="shared" si="0"/>
        <v>0.14676829451089726</v>
      </c>
      <c r="G13">
        <f t="shared" ca="1" si="1"/>
        <v>11</v>
      </c>
      <c r="H13">
        <f t="shared" ca="1" si="2"/>
        <v>1.6144512396198698</v>
      </c>
      <c r="I13">
        <f t="shared" ca="1" si="3"/>
        <v>357.42210630689311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35803</v>
      </c>
      <c r="B15" s="66">
        <v>35803</v>
      </c>
      <c r="D15">
        <f t="shared" si="0"/>
        <v>0.26833198429115329</v>
      </c>
      <c r="E15">
        <f t="shared" si="0"/>
        <v>0.26833198429115329</v>
      </c>
      <c r="G15">
        <f t="shared" ca="1" si="1"/>
        <v>13</v>
      </c>
      <c r="H15">
        <f t="shared" ca="1" si="2"/>
        <v>3.4883157957849926</v>
      </c>
      <c r="I15">
        <f t="shared" ca="1" si="3"/>
        <v>601.57003408439846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47614</v>
      </c>
      <c r="B18" s="66">
        <v>47614</v>
      </c>
      <c r="D18">
        <f t="shared" si="0"/>
        <v>0.3568516353389094</v>
      </c>
      <c r="E18">
        <f t="shared" si="0"/>
        <v>0.3568516353389094</v>
      </c>
      <c r="G18">
        <f t="shared" ca="1" si="1"/>
        <v>16</v>
      </c>
      <c r="H18">
        <f t="shared" ca="1" si="2"/>
        <v>5.7096261654225504</v>
      </c>
      <c r="I18">
        <f t="shared" ca="1" si="3"/>
        <v>701.85427925035663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51393</v>
      </c>
      <c r="B21" s="66">
        <v>51393</v>
      </c>
      <c r="D21">
        <f t="shared" si="0"/>
        <v>0.38517402644122672</v>
      </c>
      <c r="E21">
        <f t="shared" si="0"/>
        <v>0.38517402644122672</v>
      </c>
      <c r="G21">
        <f t="shared" ca="1" si="1"/>
        <v>19</v>
      </c>
      <c r="H21">
        <f t="shared" ca="1" si="2"/>
        <v>7.318306502383308</v>
      </c>
      <c r="I21">
        <f t="shared" ca="1" si="3"/>
        <v>658.53369797430423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59580</v>
      </c>
      <c r="B23" s="66">
        <v>59580</v>
      </c>
      <c r="D23">
        <f t="shared" si="0"/>
        <v>0.44653296159726596</v>
      </c>
      <c r="E23">
        <f t="shared" si="0"/>
        <v>0.44653296159726596</v>
      </c>
      <c r="G23">
        <f t="shared" ca="1" si="1"/>
        <v>21</v>
      </c>
      <c r="H23">
        <f t="shared" ca="1" si="2"/>
        <v>9.3771921935425855</v>
      </c>
      <c r="I23">
        <f t="shared" ca="1" si="3"/>
        <v>691.37146704748966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67807</v>
      </c>
      <c r="B26" s="66">
        <v>67807</v>
      </c>
      <c r="D26">
        <f t="shared" si="0"/>
        <v>0.50819168390442782</v>
      </c>
      <c r="E26">
        <f t="shared" si="0"/>
        <v>0.50819168390442782</v>
      </c>
      <c r="G26">
        <f t="shared" ca="1" si="1"/>
        <v>24</v>
      </c>
      <c r="H26">
        <f t="shared" ca="1" si="2"/>
        <v>12.196600413706268</v>
      </c>
      <c r="I26">
        <f t="shared" ca="1" si="3"/>
        <v>671.43231163005521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82201</v>
      </c>
      <c r="B28" s="66">
        <v>82201</v>
      </c>
      <c r="D28">
        <f t="shared" si="0"/>
        <v>0.61607009023593251</v>
      </c>
      <c r="E28">
        <f t="shared" si="0"/>
        <v>0.61607009023593251</v>
      </c>
      <c r="G28">
        <f t="shared" ca="1" si="1"/>
        <v>26</v>
      </c>
      <c r="H28">
        <f t="shared" ca="1" si="2"/>
        <v>16.017822346134245</v>
      </c>
      <c r="I28">
        <f t="shared" ca="1" si="3"/>
        <v>726.85448072151621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96447</v>
      </c>
      <c r="B31" s="66">
        <v>96447</v>
      </c>
      <c r="D31">
        <f t="shared" si="0"/>
        <v>0.72283928410828313</v>
      </c>
      <c r="E31">
        <f t="shared" si="0"/>
        <v>0.72283928410828313</v>
      </c>
      <c r="G31">
        <f t="shared" ca="1" si="1"/>
        <v>29</v>
      </c>
      <c r="H31">
        <f t="shared" ca="1" si="2"/>
        <v>20.96233923914021</v>
      </c>
      <c r="I31">
        <f t="shared" ca="1" si="3"/>
        <v>710.3579480053055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89559</v>
      </c>
      <c r="B33" s="66">
        <v>89559</v>
      </c>
      <c r="D33">
        <f t="shared" si="0"/>
        <v>0.67121593668495372</v>
      </c>
      <c r="E33">
        <f t="shared" si="0"/>
        <v>0.67121593668495372</v>
      </c>
      <c r="G33">
        <f t="shared" ca="1" si="1"/>
        <v>31</v>
      </c>
      <c r="H33">
        <f t="shared" ca="1" si="2"/>
        <v>20.807694037233567</v>
      </c>
      <c r="I33">
        <f t="shared" ca="1" si="3"/>
        <v>578.14420792691487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106295</v>
      </c>
      <c r="B36" s="66">
        <v>106295</v>
      </c>
      <c r="D36">
        <f t="shared" si="0"/>
        <v>0.79664688071469258</v>
      </c>
      <c r="E36">
        <f t="shared" si="0"/>
        <v>0.79664688071469258</v>
      </c>
      <c r="G36">
        <f t="shared" ca="1" si="1"/>
        <v>34</v>
      </c>
      <c r="H36">
        <f t="shared" ca="1" si="2"/>
        <v>27.085993944299549</v>
      </c>
      <c r="I36">
        <f t="shared" ca="1" si="3"/>
        <v>553.06986077887143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106600</v>
      </c>
      <c r="B39" s="66">
        <v>106600</v>
      </c>
      <c r="D39">
        <f t="shared" si="0"/>
        <v>0.79893275774200323</v>
      </c>
      <c r="E39">
        <f t="shared" si="0"/>
        <v>0.79893275774200323</v>
      </c>
      <c r="G39">
        <f t="shared" ca="1" si="1"/>
        <v>37</v>
      </c>
      <c r="H39">
        <f t="shared" ca="1" si="2"/>
        <v>29.560512036454121</v>
      </c>
      <c r="I39">
        <f t="shared" ca="1" si="3"/>
        <v>435.54280042286297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105234</v>
      </c>
      <c r="B41" s="66">
        <v>105234</v>
      </c>
      <c r="D41">
        <f t="shared" si="0"/>
        <v>0.78869502653116286</v>
      </c>
      <c r="E41">
        <f t="shared" si="0"/>
        <v>0.78869502653116286</v>
      </c>
      <c r="G41">
        <f t="shared" ca="1" si="1"/>
        <v>39</v>
      </c>
      <c r="H41">
        <f t="shared" ca="1" si="2"/>
        <v>30.759106034715352</v>
      </c>
      <c r="I41">
        <f t="shared" ca="1" si="3"/>
        <v>359.45681506208291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107468</v>
      </c>
      <c r="B44" s="66">
        <v>107468</v>
      </c>
      <c r="D44">
        <f t="shared" si="0"/>
        <v>0.80543813892136584</v>
      </c>
      <c r="E44">
        <f t="shared" si="0"/>
        <v>0.80543813892136584</v>
      </c>
      <c r="G44">
        <f t="shared" ca="1" si="1"/>
        <v>42</v>
      </c>
      <c r="H44">
        <f t="shared" ca="1" si="2"/>
        <v>33.828401834697367</v>
      </c>
      <c r="I44">
        <f t="shared" ca="1" si="3"/>
        <v>271.16690434356235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122519</v>
      </c>
      <c r="B46" s="66">
        <v>122519</v>
      </c>
      <c r="D46">
        <f t="shared" si="0"/>
        <v>0.91824054921006082</v>
      </c>
      <c r="E46">
        <f t="shared" si="0"/>
        <v>0.91824054921006082</v>
      </c>
      <c r="G46">
        <f t="shared" ca="1" si="1"/>
        <v>44</v>
      </c>
      <c r="H46">
        <f t="shared" ca="1" si="2"/>
        <v>40.402584165242679</v>
      </c>
      <c r="I46">
        <f t="shared" ca="1" si="3"/>
        <v>245.42345287046876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125132</v>
      </c>
      <c r="B49" s="66">
        <v>125132</v>
      </c>
      <c r="D49">
        <f t="shared" si="0"/>
        <v>0.93782414485715138</v>
      </c>
      <c r="E49">
        <f t="shared" si="0"/>
        <v>0.93782414485715138</v>
      </c>
      <c r="G49">
        <f t="shared" ca="1" si="1"/>
        <v>47</v>
      </c>
      <c r="H49">
        <f t="shared" ca="1" si="2"/>
        <v>44.077734808286117</v>
      </c>
      <c r="I49">
        <f t="shared" ca="1" si="3"/>
        <v>167.10558321373802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123039</v>
      </c>
      <c r="B51" s="66">
        <v>123039</v>
      </c>
      <c r="D51">
        <f t="shared" si="0"/>
        <v>0.92213778217465603</v>
      </c>
      <c r="E51">
        <f t="shared" si="0"/>
        <v>0.92213778217465603</v>
      </c>
      <c r="G51">
        <f t="shared" ca="1" si="1"/>
        <v>49</v>
      </c>
      <c r="H51">
        <f t="shared" ca="1" si="2"/>
        <v>45.184751326558143</v>
      </c>
      <c r="I51">
        <f t="shared" ca="1" si="3"/>
        <v>118.7621834657006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120159</v>
      </c>
      <c r="B54" s="66">
        <v>120159</v>
      </c>
      <c r="D54">
        <f t="shared" si="0"/>
        <v>0.90055310729382143</v>
      </c>
      <c r="E54">
        <f t="shared" si="0"/>
        <v>0.90055310729382143</v>
      </c>
      <c r="G54">
        <f t="shared" ca="1" si="1"/>
        <v>52</v>
      </c>
      <c r="H54">
        <f t="shared" ca="1" si="2"/>
        <v>46.828761579278712</v>
      </c>
      <c r="I54">
        <f t="shared" ca="1" si="3"/>
        <v>62.767324591927569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124192</v>
      </c>
      <c r="B57" s="66">
        <v>124192</v>
      </c>
      <c r="D57">
        <f t="shared" si="0"/>
        <v>0.9307791468057679</v>
      </c>
      <c r="E57">
        <f t="shared" si="0"/>
        <v>0.9307791468057679</v>
      </c>
      <c r="G57">
        <f t="shared" ca="1" si="1"/>
        <v>55</v>
      </c>
      <c r="H57">
        <f t="shared" ca="1" si="2"/>
        <v>51.192853074317235</v>
      </c>
      <c r="I57">
        <f t="shared" ca="1" si="3"/>
        <v>26.626996004777954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123928</v>
      </c>
      <c r="B59" s="66">
        <v>123928</v>
      </c>
      <c r="D59">
        <f t="shared" si="0"/>
        <v>0.92880055160835806</v>
      </c>
      <c r="E59">
        <f t="shared" si="0"/>
        <v>0.92880055160835806</v>
      </c>
      <c r="G59">
        <f t="shared" ca="1" si="1"/>
        <v>57</v>
      </c>
      <c r="H59">
        <f t="shared" ca="1" si="2"/>
        <v>52.941631441676407</v>
      </c>
      <c r="I59">
        <f t="shared" ca="1" si="3"/>
        <v>10.414573388880427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126279</v>
      </c>
      <c r="B62" s="66">
        <v>126279</v>
      </c>
      <c r="D62">
        <f t="shared" si="0"/>
        <v>0.94642054141559495</v>
      </c>
      <c r="E62">
        <f t="shared" si="0"/>
        <v>0.94642054141559495</v>
      </c>
      <c r="G62">
        <f t="shared" ca="1" si="1"/>
        <v>60</v>
      </c>
      <c r="H62">
        <f t="shared" ca="1" si="2"/>
        <v>56.785232484935698</v>
      </c>
      <c r="I62">
        <f t="shared" ca="1" si="3"/>
        <v>0.11499173567392583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131194</v>
      </c>
      <c r="B64" s="66">
        <v>131194</v>
      </c>
      <c r="D64">
        <f t="shared" si="0"/>
        <v>0.98325688760979701</v>
      </c>
      <c r="E64">
        <f t="shared" si="0"/>
        <v>0.98325688760979701</v>
      </c>
      <c r="G64">
        <f t="shared" ca="1" si="1"/>
        <v>62</v>
      </c>
      <c r="H64">
        <f t="shared" ca="1" si="2"/>
        <v>60.961927031807413</v>
      </c>
      <c r="I64">
        <f t="shared" ca="1" si="3"/>
        <v>2.6815556722444231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133428</v>
      </c>
      <c r="B67" s="66">
        <v>133428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21.635791866280197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126287</v>
      </c>
      <c r="B69" s="66">
        <v>126287</v>
      </c>
      <c r="D69">
        <f t="shared" si="4"/>
        <v>0.94648049884581942</v>
      </c>
      <c r="E69">
        <f t="shared" si="4"/>
        <v>0.94648049884581942</v>
      </c>
      <c r="G69">
        <f t="shared" ca="1" si="5"/>
        <v>67</v>
      </c>
      <c r="H69">
        <f t="shared" ca="1" si="6"/>
        <v>63.414193422669904</v>
      </c>
      <c r="I69">
        <f t="shared" ca="1" si="7"/>
        <v>41.873724485528925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124190</v>
      </c>
      <c r="B72" s="66">
        <v>124190</v>
      </c>
      <c r="D72">
        <f t="shared" si="4"/>
        <v>0.93076415744821173</v>
      </c>
      <c r="E72">
        <f t="shared" si="4"/>
        <v>0.93076415744821173</v>
      </c>
      <c r="G72">
        <f t="shared" ca="1" si="5"/>
        <v>70</v>
      </c>
      <c r="H72">
        <f t="shared" ca="1" si="6"/>
        <v>65.153491021374819</v>
      </c>
      <c r="I72">
        <f t="shared" ca="1" si="7"/>
        <v>86.700757588803313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123026</v>
      </c>
      <c r="B75" s="66">
        <v>123026</v>
      </c>
      <c r="D75">
        <f t="shared" si="4"/>
        <v>0.92204035135054108</v>
      </c>
      <c r="E75">
        <f t="shared" si="4"/>
        <v>0.92204035135054108</v>
      </c>
      <c r="G75">
        <f t="shared" ca="1" si="5"/>
        <v>73</v>
      </c>
      <c r="H75">
        <f t="shared" ca="1" si="6"/>
        <v>67.3089456485895</v>
      </c>
      <c r="I75">
        <f t="shared" ca="1" si="7"/>
        <v>147.58053948866117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120094</v>
      </c>
      <c r="B77" s="66">
        <v>120094</v>
      </c>
      <c r="D77">
        <f t="shared" si="4"/>
        <v>0.900065953173247</v>
      </c>
      <c r="E77">
        <f t="shared" si="4"/>
        <v>0.900065953173247</v>
      </c>
      <c r="G77">
        <f t="shared" ca="1" si="5"/>
        <v>75</v>
      </c>
      <c r="H77">
        <f t="shared" ca="1" si="6"/>
        <v>67.504946487993521</v>
      </c>
      <c r="I77">
        <f t="shared" ca="1" si="7"/>
        <v>193.21209271656653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111321</v>
      </c>
      <c r="B80" s="66">
        <v>111321</v>
      </c>
      <c r="D80">
        <f t="shared" si="4"/>
        <v>0.83431513625326015</v>
      </c>
      <c r="E80">
        <f t="shared" si="4"/>
        <v>0.83431513625326015</v>
      </c>
      <c r="G80">
        <f t="shared" ca="1" si="5"/>
        <v>78</v>
      </c>
      <c r="H80">
        <f t="shared" ca="1" si="6"/>
        <v>65.076580627754296</v>
      </c>
      <c r="I80">
        <f t="shared" ca="1" si="7"/>
        <v>259.95002507295334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106294</v>
      </c>
      <c r="B82" s="66">
        <v>106294</v>
      </c>
      <c r="D82">
        <f t="shared" si="4"/>
        <v>0.79663938603591455</v>
      </c>
      <c r="E82">
        <f t="shared" si="4"/>
        <v>0.79663938603591455</v>
      </c>
      <c r="G82">
        <f t="shared" ca="1" si="5"/>
        <v>80</v>
      </c>
      <c r="H82">
        <f t="shared" ca="1" si="6"/>
        <v>63.731150882873166</v>
      </c>
      <c r="I82">
        <f t="shared" ca="1" si="7"/>
        <v>307.64513240849686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91949</v>
      </c>
      <c r="B85" s="66">
        <v>91949</v>
      </c>
      <c r="D85">
        <f t="shared" si="4"/>
        <v>0.68912821896453513</v>
      </c>
      <c r="E85">
        <f t="shared" si="4"/>
        <v>0.68912821896453513</v>
      </c>
      <c r="G85">
        <f t="shared" ca="1" si="5"/>
        <v>83</v>
      </c>
      <c r="H85">
        <f t="shared" ca="1" si="6"/>
        <v>57.197642174056419</v>
      </c>
      <c r="I85">
        <f t="shared" ca="1" si="7"/>
        <v>353.58289335728381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89191</v>
      </c>
      <c r="B88" s="66">
        <v>89191</v>
      </c>
      <c r="D88">
        <f t="shared" si="4"/>
        <v>0.66845789489462482</v>
      </c>
      <c r="E88">
        <f t="shared" si="4"/>
        <v>0.66845789489462482</v>
      </c>
      <c r="G88">
        <f t="shared" ca="1" si="5"/>
        <v>86</v>
      </c>
      <c r="H88">
        <f t="shared" ca="1" si="6"/>
        <v>57.487378960937733</v>
      </c>
      <c r="I88">
        <f t="shared" ca="1" si="7"/>
        <v>439.84249428764076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78393</v>
      </c>
      <c r="B90" s="66">
        <v>78393</v>
      </c>
      <c r="D90">
        <f t="shared" si="4"/>
        <v>0.58753035344905113</v>
      </c>
      <c r="E90">
        <f t="shared" si="4"/>
        <v>0.58753035344905113</v>
      </c>
      <c r="G90">
        <f t="shared" ca="1" si="5"/>
        <v>88</v>
      </c>
      <c r="H90">
        <f t="shared" ca="1" si="6"/>
        <v>51.702671103516501</v>
      </c>
      <c r="I90">
        <f t="shared" ca="1" si="7"/>
        <v>449.22660510083557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64089</v>
      </c>
      <c r="B93" s="66">
        <v>64089</v>
      </c>
      <c r="D93">
        <f t="shared" si="4"/>
        <v>0.48032646820757263</v>
      </c>
      <c r="E93">
        <f t="shared" si="4"/>
        <v>0.48032646820757263</v>
      </c>
      <c r="G93">
        <f t="shared" ca="1" si="5"/>
        <v>91</v>
      </c>
      <c r="H93">
        <f t="shared" ca="1" si="6"/>
        <v>43.709708606889109</v>
      </c>
      <c r="I93">
        <f t="shared" ca="1" si="7"/>
        <v>451.27156844768047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56734</v>
      </c>
      <c r="B95" s="66">
        <v>56734</v>
      </c>
      <c r="D95">
        <f t="shared" si="4"/>
        <v>0.42520310579488563</v>
      </c>
      <c r="E95">
        <f t="shared" si="4"/>
        <v>0.42520310579488563</v>
      </c>
      <c r="G95">
        <f t="shared" ca="1" si="5"/>
        <v>93</v>
      </c>
      <c r="H95">
        <f t="shared" ca="1" si="6"/>
        <v>39.54388883892436</v>
      </c>
      <c r="I95">
        <f t="shared" ca="1" si="7"/>
        <v>453.31575636139047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46491</v>
      </c>
      <c r="B98" s="66">
        <v>46491</v>
      </c>
      <c r="D98">
        <f t="shared" si="4"/>
        <v>0.3484351110711395</v>
      </c>
      <c r="E98">
        <f t="shared" si="4"/>
        <v>0.3484351110711395</v>
      </c>
      <c r="G98">
        <f t="shared" ca="1" si="5"/>
        <v>96</v>
      </c>
      <c r="H98">
        <f t="shared" ca="1" si="6"/>
        <v>33.449770662829394</v>
      </c>
      <c r="I98">
        <f t="shared" ca="1" si="7"/>
        <v>442.86952474569136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41289</v>
      </c>
      <c r="B100" s="66">
        <v>41289</v>
      </c>
      <c r="D100">
        <f t="shared" si="4"/>
        <v>0.30944779206763195</v>
      </c>
      <c r="E100">
        <f t="shared" si="4"/>
        <v>0.30944779206763195</v>
      </c>
      <c r="G100">
        <f t="shared" ca="1" si="5"/>
        <v>98</v>
      </c>
      <c r="H100">
        <f t="shared" ca="1" si="6"/>
        <v>30.325883622627931</v>
      </c>
      <c r="I100">
        <f t="shared" ca="1" si="7"/>
        <v>438.68250650167926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35888</v>
      </c>
      <c r="B103" s="66">
        <v>35888</v>
      </c>
      <c r="D103">
        <f t="shared" si="4"/>
        <v>0.268969031987289</v>
      </c>
      <c r="E103">
        <f t="shared" si="4"/>
        <v>0.268969031987289</v>
      </c>
      <c r="G103">
        <f t="shared" ca="1" si="5"/>
        <v>101</v>
      </c>
      <c r="H103">
        <f t="shared" ca="1" si="6"/>
        <v>27.16587223071619</v>
      </c>
      <c r="I103">
        <f t="shared" ca="1" si="7"/>
        <v>444.48172930381475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31494</v>
      </c>
      <c r="B106" s="66">
        <v>31494</v>
      </c>
      <c r="D106">
        <f t="shared" si="4"/>
        <v>0.23603741343646012</v>
      </c>
      <c r="E106">
        <f t="shared" si="4"/>
        <v>0.23603741343646012</v>
      </c>
      <c r="G106">
        <f t="shared" ca="1" si="5"/>
        <v>104</v>
      </c>
      <c r="H106">
        <f t="shared" ca="1" si="6"/>
        <v>24.547890997391853</v>
      </c>
      <c r="I106">
        <f t="shared" ca="1" si="7"/>
        <v>449.75684148807966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26332</v>
      </c>
      <c r="B108" s="66">
        <v>26332</v>
      </c>
      <c r="D108">
        <f t="shared" si="4"/>
        <v>0.19734988158407529</v>
      </c>
      <c r="E108">
        <f t="shared" si="4"/>
        <v>0.19734988158407529</v>
      </c>
      <c r="G108">
        <f t="shared" ca="1" si="5"/>
        <v>106</v>
      </c>
      <c r="H108">
        <f t="shared" ca="1" si="6"/>
        <v>20.919087447911981</v>
      </c>
      <c r="I108">
        <f t="shared" ca="1" si="7"/>
        <v>411.28760703416987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20941</v>
      </c>
      <c r="B111" s="66">
        <v>20941</v>
      </c>
      <c r="D111">
        <f t="shared" si="4"/>
        <v>0.15694606829151303</v>
      </c>
      <c r="E111">
        <f t="shared" si="4"/>
        <v>0.15694606829151303</v>
      </c>
      <c r="G111">
        <f t="shared" ca="1" si="5"/>
        <v>109</v>
      </c>
      <c r="H111">
        <f t="shared" ca="1" si="6"/>
        <v>17.107121443774922</v>
      </c>
      <c r="I111">
        <f t="shared" ca="1" si="7"/>
        <v>371.48530829147091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20421</v>
      </c>
      <c r="B113" s="66">
        <v>20421</v>
      </c>
      <c r="D113">
        <f t="shared" si="4"/>
        <v>0.15304883532691788</v>
      </c>
      <c r="E113">
        <f t="shared" si="4"/>
        <v>0.15304883532691788</v>
      </c>
      <c r="G113">
        <f t="shared" ca="1" si="5"/>
        <v>111</v>
      </c>
      <c r="H113">
        <f t="shared" ca="1" si="6"/>
        <v>16.988420721287884</v>
      </c>
      <c r="I113">
        <f t="shared" ca="1" si="7"/>
        <v>392.65708126345049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16483</v>
      </c>
      <c r="B116" s="66">
        <v>16483</v>
      </c>
      <c r="D116">
        <f t="shared" si="4"/>
        <v>0.12353479029888779</v>
      </c>
      <c r="E116">
        <f t="shared" si="4"/>
        <v>0.12353479029888779</v>
      </c>
      <c r="G116">
        <f t="shared" ca="1" si="5"/>
        <v>114</v>
      </c>
      <c r="H116">
        <f t="shared" ca="1" si="6"/>
        <v>14.082966094073209</v>
      </c>
      <c r="I116">
        <f t="shared" ca="1" si="7"/>
        <v>355.5919086787676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15841</v>
      </c>
      <c r="B118" s="66">
        <v>15841</v>
      </c>
      <c r="D118">
        <f t="shared" si="4"/>
        <v>0.1187232065233684</v>
      </c>
      <c r="E118">
        <f t="shared" si="4"/>
        <v>0.1187232065233684</v>
      </c>
      <c r="G118">
        <f t="shared" ca="1" si="5"/>
        <v>116</v>
      </c>
      <c r="H118">
        <f t="shared" ca="1" si="6"/>
        <v>13.771891956710734</v>
      </c>
      <c r="I118">
        <f t="shared" ca="1" si="7"/>
        <v>367.69545262621358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14741</v>
      </c>
      <c r="B121" s="66">
        <v>14741</v>
      </c>
      <c r="D121">
        <f t="shared" si="4"/>
        <v>0.11047905986749408</v>
      </c>
      <c r="E121">
        <f t="shared" si="4"/>
        <v>0.11047905986749408</v>
      </c>
      <c r="G121">
        <f t="shared" ca="1" si="5"/>
        <v>119</v>
      </c>
      <c r="H121">
        <f t="shared" ca="1" si="6"/>
        <v>13.147008124231796</v>
      </c>
      <c r="I121">
        <f t="shared" ca="1" si="7"/>
        <v>380.04687499755892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12405</v>
      </c>
      <c r="B124" s="66">
        <v>12405</v>
      </c>
      <c r="D124">
        <f t="shared" si="4"/>
        <v>9.2971490241928231E-2</v>
      </c>
      <c r="E124">
        <f t="shared" si="4"/>
        <v>9.2971490241928231E-2</v>
      </c>
      <c r="G124">
        <f t="shared" ca="1" si="5"/>
        <v>122</v>
      </c>
      <c r="H124">
        <f t="shared" ca="1" si="6"/>
        <v>11.342521809515244</v>
      </c>
      <c r="I124">
        <f t="shared" ca="1" si="7"/>
        <v>353.37521634077837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15512</v>
      </c>
      <c r="B126" s="66">
        <v>15512</v>
      </c>
      <c r="D126">
        <f t="shared" si="4"/>
        <v>0.11625745720538418</v>
      </c>
      <c r="E126">
        <f t="shared" si="4"/>
        <v>0.11625745720538418</v>
      </c>
      <c r="G126">
        <f t="shared" ca="1" si="5"/>
        <v>124</v>
      </c>
      <c r="H126">
        <f t="shared" ca="1" si="6"/>
        <v>14.415924693467637</v>
      </c>
      <c r="I126">
        <f t="shared" ca="1" si="7"/>
        <v>471.01760119569246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12635</v>
      </c>
      <c r="B129" s="66">
        <v>12635</v>
      </c>
      <c r="D129">
        <f t="shared" si="4"/>
        <v>9.4695266360883767E-2</v>
      </c>
      <c r="E129">
        <f t="shared" si="4"/>
        <v>9.4695266360883767E-2</v>
      </c>
      <c r="G129">
        <f t="shared" ca="1" si="5"/>
        <v>127</v>
      </c>
      <c r="H129">
        <f t="shared" ca="1" si="6"/>
        <v>12.026298827832239</v>
      </c>
      <c r="I129">
        <f t="shared" ca="1" si="7"/>
        <v>420.67548132786351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12476</v>
      </c>
      <c r="B131" s="66">
        <v>12476</v>
      </c>
      <c r="D131">
        <f t="shared" ref="D131:E194" si="8">IFERROR( A131/MAX(A$2:A$257), 0 )</f>
        <v>9.3503612435171024E-2</v>
      </c>
      <c r="E131">
        <f t="shared" si="8"/>
        <v>9.3503612435171024E-2</v>
      </c>
      <c r="G131">
        <f t="shared" ref="G131:G194" ca="1" si="9">CELL("row",D131)-2</f>
        <v>129</v>
      </c>
      <c r="H131">
        <f t="shared" ref="H131:H194" ca="1" si="10">D131*G131</f>
        <v>12.061966004137062</v>
      </c>
      <c r="I131">
        <f t="shared" ref="I131:I194" ca="1" si="11">D131*((G131-$L$1)^2)</f>
        <v>440.6842744458628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9711</v>
      </c>
      <c r="B134" s="66">
        <v>9711</v>
      </c>
      <c r="D134">
        <f t="shared" si="8"/>
        <v>7.2780825613814187E-2</v>
      </c>
      <c r="E134">
        <f t="shared" si="8"/>
        <v>7.2780825613814187E-2</v>
      </c>
      <c r="G134">
        <f t="shared" ca="1" si="9"/>
        <v>132</v>
      </c>
      <c r="H134">
        <f t="shared" ca="1" si="10"/>
        <v>9.6070689810234722</v>
      </c>
      <c r="I134">
        <f t="shared" ca="1" si="11"/>
        <v>373.65146605463536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6772</v>
      </c>
      <c r="B136" s="66">
        <v>6772</v>
      </c>
      <c r="D136">
        <f t="shared" si="8"/>
        <v>5.0753964685073601E-2</v>
      </c>
      <c r="E136">
        <f t="shared" si="8"/>
        <v>5.0753964685073601E-2</v>
      </c>
      <c r="G136">
        <f t="shared" ca="1" si="9"/>
        <v>134</v>
      </c>
      <c r="H136">
        <f t="shared" ca="1" si="10"/>
        <v>6.8010312677998623</v>
      </c>
      <c r="I136">
        <f t="shared" ca="1" si="11"/>
        <v>275.31655609724436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3886</v>
      </c>
      <c r="B139" s="66">
        <v>3886</v>
      </c>
      <c r="D139">
        <f t="shared" si="8"/>
        <v>2.9124321731570584E-2</v>
      </c>
      <c r="E139">
        <f t="shared" si="8"/>
        <v>2.9124321731570584E-2</v>
      </c>
      <c r="G139">
        <f t="shared" ca="1" si="9"/>
        <v>137</v>
      </c>
      <c r="H139">
        <f t="shared" ca="1" si="10"/>
        <v>3.9900320772251701</v>
      </c>
      <c r="I139">
        <f t="shared" ca="1" si="11"/>
        <v>171.11825059359037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3233</v>
      </c>
      <c r="B142" s="66">
        <v>3233</v>
      </c>
      <c r="D142">
        <f t="shared" si="8"/>
        <v>2.4230296489492459E-2</v>
      </c>
      <c r="E142">
        <f t="shared" si="8"/>
        <v>2.4230296489492459E-2</v>
      </c>
      <c r="G142">
        <f t="shared" ca="1" si="9"/>
        <v>140</v>
      </c>
      <c r="H142">
        <f t="shared" ca="1" si="10"/>
        <v>3.3922415085289441</v>
      </c>
      <c r="I142">
        <f t="shared" ca="1" si="11"/>
        <v>153.72548501911263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1537</v>
      </c>
      <c r="B144" s="66">
        <v>1537</v>
      </c>
      <c r="D144">
        <f t="shared" si="8"/>
        <v>1.1519321281889858E-2</v>
      </c>
      <c r="E144">
        <f t="shared" si="8"/>
        <v>1.1519321281889858E-2</v>
      </c>
      <c r="G144">
        <f t="shared" ca="1" si="9"/>
        <v>142</v>
      </c>
      <c r="H144">
        <f t="shared" ca="1" si="10"/>
        <v>1.6357436220283599</v>
      </c>
      <c r="I144">
        <f t="shared" ca="1" si="11"/>
        <v>76.798806522630628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1122</v>
      </c>
      <c r="B147" s="66">
        <v>1122</v>
      </c>
      <c r="D147">
        <f t="shared" si="8"/>
        <v>8.4090295889918155E-3</v>
      </c>
      <c r="E147">
        <f t="shared" si="8"/>
        <v>8.4090295889918155E-3</v>
      </c>
      <c r="G147">
        <f t="shared" ca="1" si="9"/>
        <v>145</v>
      </c>
      <c r="H147">
        <f t="shared" ca="1" si="10"/>
        <v>1.2193092904038132</v>
      </c>
      <c r="I147">
        <f t="shared" ca="1" si="11"/>
        <v>60.257966056235908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758</v>
      </c>
      <c r="B149" s="66">
        <v>758</v>
      </c>
      <c r="D149">
        <f t="shared" si="8"/>
        <v>5.6809665137752194E-3</v>
      </c>
      <c r="E149">
        <f t="shared" si="8"/>
        <v>5.6809665137752194E-3</v>
      </c>
      <c r="G149">
        <f t="shared" ca="1" si="9"/>
        <v>147</v>
      </c>
      <c r="H149">
        <f t="shared" ca="1" si="10"/>
        <v>0.83510207752495724</v>
      </c>
      <c r="I149">
        <f t="shared" ca="1" si="11"/>
        <v>42.655367492151719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163</v>
      </c>
      <c r="B152" s="66">
        <v>163</v>
      </c>
      <c r="D152">
        <f t="shared" si="8"/>
        <v>1.2216326408250142E-3</v>
      </c>
      <c r="E152">
        <f t="shared" si="8"/>
        <v>1.2216326408250142E-3</v>
      </c>
      <c r="G152">
        <f t="shared" ca="1" si="9"/>
        <v>150</v>
      </c>
      <c r="H152">
        <f t="shared" ca="1" si="10"/>
        <v>0.18324489612375214</v>
      </c>
      <c r="I152">
        <f t="shared" ca="1" si="11"/>
        <v>9.8187241960778024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64.06269646797621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1.236889883989799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0.52489090920281922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2139</v>
      </c>
      <c r="B8" s="66">
        <v>2139</v>
      </c>
      <c r="D8">
        <f t="shared" si="0"/>
        <v>3.0833321320975018</v>
      </c>
      <c r="E8">
        <f t="shared" si="1"/>
        <v>3.0833321320975018</v>
      </c>
      <c r="G8">
        <f t="shared" ca="1" si="2"/>
        <v>6</v>
      </c>
      <c r="H8">
        <f t="shared" ca="1" si="3"/>
        <v>18.499992792585012</v>
      </c>
      <c r="I8">
        <f t="shared" ca="1" si="4"/>
        <v>10394.765840459644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4893</v>
      </c>
      <c r="B10" s="66">
        <v>4893</v>
      </c>
      <c r="D10">
        <f t="shared" si="0"/>
        <v>7.0531763077854492</v>
      </c>
      <c r="E10">
        <f t="shared" si="1"/>
        <v>7.0531763077854492</v>
      </c>
      <c r="G10">
        <f t="shared" ca="1" si="2"/>
        <v>8</v>
      </c>
      <c r="H10">
        <f t="shared" ca="1" si="3"/>
        <v>56.425410462283594</v>
      </c>
      <c r="I10">
        <f t="shared" ca="1" si="4"/>
        <v>22168.316061334084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6904</v>
      </c>
      <c r="B13" s="66">
        <v>6904</v>
      </c>
      <c r="D13">
        <f t="shared" si="0"/>
        <v>9.9519986161763221</v>
      </c>
      <c r="E13">
        <f t="shared" si="1"/>
        <v>9.9519986161763221</v>
      </c>
      <c r="G13">
        <f t="shared" ca="1" si="2"/>
        <v>11</v>
      </c>
      <c r="H13">
        <f t="shared" ca="1" si="3"/>
        <v>109.47198477793954</v>
      </c>
      <c r="I13">
        <f t="shared" ca="1" si="4"/>
        <v>28021.342479853221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13044</v>
      </c>
      <c r="B15" s="66">
        <v>13044</v>
      </c>
      <c r="D15">
        <f t="shared" si="0"/>
        <v>18.802704222103699</v>
      </c>
      <c r="E15">
        <f t="shared" si="1"/>
        <v>18.802704222103699</v>
      </c>
      <c r="G15">
        <f t="shared" ca="1" si="2"/>
        <v>13</v>
      </c>
      <c r="H15">
        <f t="shared" ca="1" si="3"/>
        <v>244.43515488734809</v>
      </c>
      <c r="I15">
        <f t="shared" ca="1" si="4"/>
        <v>49026.151632846006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20812</v>
      </c>
      <c r="B18" s="66">
        <v>20812</v>
      </c>
      <c r="D18">
        <f t="shared" si="0"/>
        <v>30.000144148299771</v>
      </c>
      <c r="E18">
        <f t="shared" si="1"/>
        <v>30.000144148299771</v>
      </c>
      <c r="G18">
        <f t="shared" ca="1" si="2"/>
        <v>16</v>
      </c>
      <c r="H18">
        <f t="shared" ca="1" si="3"/>
        <v>480.00230637279634</v>
      </c>
      <c r="I18">
        <f t="shared" ca="1" si="4"/>
        <v>69301.016739042258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22443</v>
      </c>
      <c r="B21" s="66">
        <v>22443</v>
      </c>
      <c r="D21">
        <f t="shared" si="0"/>
        <v>32.351202917561587</v>
      </c>
      <c r="E21">
        <f t="shared" si="1"/>
        <v>32.351202917561587</v>
      </c>
      <c r="G21">
        <f t="shared" ca="1" si="2"/>
        <v>19</v>
      </c>
      <c r="H21">
        <f t="shared" ca="1" si="3"/>
        <v>614.67285543367018</v>
      </c>
      <c r="I21">
        <f t="shared" ca="1" si="4"/>
        <v>65693.860629888426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26111</v>
      </c>
      <c r="B23" s="66">
        <v>26111</v>
      </c>
      <c r="D23">
        <f t="shared" si="0"/>
        <v>37.638562553154685</v>
      </c>
      <c r="E23">
        <f t="shared" si="1"/>
        <v>37.638562553154685</v>
      </c>
      <c r="G23">
        <f t="shared" ca="1" si="2"/>
        <v>21</v>
      </c>
      <c r="H23">
        <f t="shared" ca="1" si="3"/>
        <v>790.40981361624836</v>
      </c>
      <c r="I23">
        <f t="shared" ca="1" si="4"/>
        <v>69796.793336350805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30585</v>
      </c>
      <c r="B26" s="66">
        <v>30585</v>
      </c>
      <c r="D26">
        <f t="shared" si="0"/>
        <v>44.087757484900465</v>
      </c>
      <c r="E26">
        <f t="shared" si="1"/>
        <v>44.087757484900465</v>
      </c>
      <c r="G26">
        <f t="shared" ca="1" si="2"/>
        <v>24</v>
      </c>
      <c r="H26">
        <f t="shared" ca="1" si="3"/>
        <v>1058.1061796376111</v>
      </c>
      <c r="I26">
        <f t="shared" ca="1" si="4"/>
        <v>70761.717012097841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36889</v>
      </c>
      <c r="B28" s="66">
        <v>36889</v>
      </c>
      <c r="D28">
        <f t="shared" si="0"/>
        <v>53.17486630245196</v>
      </c>
      <c r="E28">
        <f t="shared" si="1"/>
        <v>53.17486630245196</v>
      </c>
      <c r="G28">
        <f t="shared" ca="1" si="2"/>
        <v>26</v>
      </c>
      <c r="H28">
        <f t="shared" ca="1" si="3"/>
        <v>1382.546523863751</v>
      </c>
      <c r="I28">
        <f t="shared" ca="1" si="4"/>
        <v>77038.090561982041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42504</v>
      </c>
      <c r="B31" s="66">
        <v>42504</v>
      </c>
      <c r="D31">
        <f t="shared" si="0"/>
        <v>61.268793334582618</v>
      </c>
      <c r="E31">
        <f t="shared" si="1"/>
        <v>61.268793334582618</v>
      </c>
      <c r="G31">
        <f t="shared" ca="1" si="2"/>
        <v>29</v>
      </c>
      <c r="H31">
        <f t="shared" ca="1" si="3"/>
        <v>1776.795006702896</v>
      </c>
      <c r="I31">
        <f t="shared" ca="1" si="4"/>
        <v>75323.406258869087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37233</v>
      </c>
      <c r="B33" s="66">
        <v>37233</v>
      </c>
      <c r="D33">
        <f t="shared" si="0"/>
        <v>53.67073645366353</v>
      </c>
      <c r="E33">
        <f t="shared" si="1"/>
        <v>53.67073645366353</v>
      </c>
      <c r="G33">
        <f t="shared" ca="1" si="2"/>
        <v>31</v>
      </c>
      <c r="H33">
        <f t="shared" ca="1" si="3"/>
        <v>1663.7928300635695</v>
      </c>
      <c r="I33">
        <f t="shared" ca="1" si="4"/>
        <v>58669.730699713713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52770</v>
      </c>
      <c r="B36" s="66">
        <v>52770</v>
      </c>
      <c r="D36">
        <f t="shared" si="0"/>
        <v>76.067057789053379</v>
      </c>
      <c r="E36">
        <f t="shared" si="1"/>
        <v>76.067057789053379</v>
      </c>
      <c r="G36">
        <f t="shared" ca="1" si="2"/>
        <v>34</v>
      </c>
      <c r="H36">
        <f t="shared" ca="1" si="3"/>
        <v>2586.2799648278151</v>
      </c>
      <c r="I36">
        <f t="shared" ca="1" si="4"/>
        <v>68746.799169284262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53639</v>
      </c>
      <c r="B39" s="66">
        <v>53639</v>
      </c>
      <c r="D39">
        <f t="shared" si="0"/>
        <v>77.319706514061664</v>
      </c>
      <c r="E39">
        <f t="shared" si="1"/>
        <v>77.319706514061664</v>
      </c>
      <c r="G39">
        <f t="shared" ca="1" si="2"/>
        <v>37</v>
      </c>
      <c r="H39">
        <f t="shared" ca="1" si="3"/>
        <v>2860.8291410202814</v>
      </c>
      <c r="I39">
        <f t="shared" ca="1" si="4"/>
        <v>56628.144295877813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51381</v>
      </c>
      <c r="B41" s="66">
        <v>51381</v>
      </c>
      <c r="D41">
        <f t="shared" si="0"/>
        <v>74.064837905236914</v>
      </c>
      <c r="E41">
        <f t="shared" si="1"/>
        <v>74.064837905236914</v>
      </c>
      <c r="G41">
        <f t="shared" ca="1" si="2"/>
        <v>39</v>
      </c>
      <c r="H41">
        <f t="shared" ca="1" si="3"/>
        <v>2888.5286783042397</v>
      </c>
      <c r="I41">
        <f t="shared" ca="1" si="4"/>
        <v>46522.995015220564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52636</v>
      </c>
      <c r="B44" s="66">
        <v>52636</v>
      </c>
      <c r="D44">
        <f t="shared" si="0"/>
        <v>75.873899067360497</v>
      </c>
      <c r="E44">
        <f t="shared" si="1"/>
        <v>75.873899067360497</v>
      </c>
      <c r="G44">
        <f t="shared" ca="1" si="2"/>
        <v>42</v>
      </c>
      <c r="H44">
        <f t="shared" ca="1" si="3"/>
        <v>3186.7037608291407</v>
      </c>
      <c r="I44">
        <f t="shared" ca="1" si="4"/>
        <v>36932.574518555048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57285</v>
      </c>
      <c r="B46" s="66">
        <v>57285</v>
      </c>
      <c r="D46">
        <f t="shared" si="0"/>
        <v>82.575353523705189</v>
      </c>
      <c r="E46">
        <f t="shared" si="1"/>
        <v>82.575353523705189</v>
      </c>
      <c r="G46">
        <f t="shared" ca="1" si="2"/>
        <v>44</v>
      </c>
      <c r="H46">
        <f t="shared" ca="1" si="3"/>
        <v>3633.3155550430283</v>
      </c>
      <c r="I46">
        <f t="shared" ca="1" si="4"/>
        <v>33237.553320883657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60045</v>
      </c>
      <c r="B49" s="66">
        <v>60045</v>
      </c>
      <c r="D49">
        <f t="shared" si="0"/>
        <v>86.55384659737939</v>
      </c>
      <c r="E49">
        <f t="shared" si="1"/>
        <v>86.55384659737939</v>
      </c>
      <c r="G49">
        <f t="shared" ca="1" si="2"/>
        <v>47</v>
      </c>
      <c r="H49">
        <f t="shared" ca="1" si="3"/>
        <v>4068.0307900768312</v>
      </c>
      <c r="I49">
        <f t="shared" ca="1" si="4"/>
        <v>25198.906992607204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60553</v>
      </c>
      <c r="B51" s="66">
        <v>60553</v>
      </c>
      <c r="D51">
        <f t="shared" si="0"/>
        <v>87.286119960215075</v>
      </c>
      <c r="E51">
        <f t="shared" si="1"/>
        <v>87.286119960215075</v>
      </c>
      <c r="G51">
        <f t="shared" ca="1" si="2"/>
        <v>49</v>
      </c>
      <c r="H51">
        <f t="shared" ca="1" si="3"/>
        <v>4277.0198780505389</v>
      </c>
      <c r="I51">
        <f t="shared" ca="1" si="4"/>
        <v>19803.896042185213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54429</v>
      </c>
      <c r="B54" s="66">
        <v>54429</v>
      </c>
      <c r="D54">
        <f t="shared" si="0"/>
        <v>78.45847808225102</v>
      </c>
      <c r="E54">
        <f t="shared" si="1"/>
        <v>78.45847808225102</v>
      </c>
      <c r="G54">
        <f t="shared" ca="1" si="2"/>
        <v>52</v>
      </c>
      <c r="H54">
        <f t="shared" ca="1" si="3"/>
        <v>4079.8408602770533</v>
      </c>
      <c r="I54">
        <f t="shared" ca="1" si="4"/>
        <v>11416.386919130031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55784</v>
      </c>
      <c r="B57" s="66">
        <v>55784</v>
      </c>
      <c r="D57">
        <f t="shared" si="0"/>
        <v>80.411687544145423</v>
      </c>
      <c r="E57">
        <f t="shared" si="1"/>
        <v>80.411687544145423</v>
      </c>
      <c r="G57">
        <f t="shared" ca="1" si="2"/>
        <v>55</v>
      </c>
      <c r="H57">
        <f t="shared" ca="1" si="3"/>
        <v>4422.6428149279982</v>
      </c>
      <c r="I57">
        <f t="shared" ca="1" si="4"/>
        <v>6604.4102953987431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55325</v>
      </c>
      <c r="B59" s="66">
        <v>55325</v>
      </c>
      <c r="D59">
        <f t="shared" si="0"/>
        <v>79.750046848197428</v>
      </c>
      <c r="E59">
        <f t="shared" si="1"/>
        <v>79.750046848197428</v>
      </c>
      <c r="G59">
        <f t="shared" ca="1" si="2"/>
        <v>57</v>
      </c>
      <c r="H59">
        <f t="shared" ca="1" si="3"/>
        <v>4545.7526703472531</v>
      </c>
      <c r="I59">
        <f t="shared" ca="1" si="4"/>
        <v>3978.0664284182571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58957</v>
      </c>
      <c r="B62" s="66">
        <v>58957</v>
      </c>
      <c r="D62">
        <f t="shared" si="0"/>
        <v>84.985513095873031</v>
      </c>
      <c r="E62">
        <f t="shared" si="1"/>
        <v>84.985513095873031</v>
      </c>
      <c r="G62">
        <f t="shared" ca="1" si="2"/>
        <v>60</v>
      </c>
      <c r="H62">
        <f t="shared" ca="1" si="3"/>
        <v>5099.1307857523816</v>
      </c>
      <c r="I62">
        <f t="shared" ca="1" si="4"/>
        <v>1402.7286065934393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65310</v>
      </c>
      <c r="B64" s="66">
        <v>65310</v>
      </c>
      <c r="D64">
        <f t="shared" si="0"/>
        <v>94.143254580312231</v>
      </c>
      <c r="E64">
        <f t="shared" si="1"/>
        <v>94.143254580312231</v>
      </c>
      <c r="G64">
        <f t="shared" ca="1" si="2"/>
        <v>62</v>
      </c>
      <c r="H64">
        <f t="shared" ca="1" si="3"/>
        <v>5836.8817839793583</v>
      </c>
      <c r="I64">
        <f t="shared" ca="1" si="4"/>
        <v>400.55287924407185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66430</v>
      </c>
      <c r="B67" s="66">
        <v>66430</v>
      </c>
      <c r="D67">
        <f t="shared" ref="D67:D130" si="5">IFERROR( 100*A67/MAX(A$2:A$257), 0 )</f>
        <v>95.757715537745227</v>
      </c>
      <c r="E67">
        <f t="shared" ref="E67:E130" si="6">IFERROR( 100*B67/MAX(B$2:B$257), 0 )</f>
        <v>95.757715537745227</v>
      </c>
      <c r="G67">
        <f t="shared" ref="G67:G130" ca="1" si="7">CELL("row",D67)-2</f>
        <v>65</v>
      </c>
      <c r="H67">
        <f t="shared" ref="H67:H130" ca="1" si="8">D67*G67</f>
        <v>6224.2515099534394</v>
      </c>
      <c r="I67">
        <f t="shared" ref="I67:I130" ca="1" si="9">D67*((G67-$L$1)^2)</f>
        <v>84.126783384478145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65720</v>
      </c>
      <c r="B69" s="66">
        <v>65720</v>
      </c>
      <c r="D69">
        <f t="shared" si="5"/>
        <v>94.734262609372522</v>
      </c>
      <c r="E69">
        <f t="shared" si="6"/>
        <v>94.734262609372522</v>
      </c>
      <c r="G69">
        <f t="shared" ca="1" si="7"/>
        <v>67</v>
      </c>
      <c r="H69">
        <f t="shared" ca="1" si="8"/>
        <v>6347.1955948279592</v>
      </c>
      <c r="I69">
        <f t="shared" ca="1" si="9"/>
        <v>817.34372741385789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66371</v>
      </c>
      <c r="B72" s="66">
        <v>66371</v>
      </c>
      <c r="D72">
        <f t="shared" si="5"/>
        <v>95.672668040880453</v>
      </c>
      <c r="E72">
        <f t="shared" si="6"/>
        <v>95.672668040880453</v>
      </c>
      <c r="G72">
        <f t="shared" ca="1" si="7"/>
        <v>70</v>
      </c>
      <c r="H72">
        <f t="shared" ca="1" si="8"/>
        <v>6697.0867628616315</v>
      </c>
      <c r="I72">
        <f t="shared" ca="1" si="9"/>
        <v>3372.6120636848141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69373</v>
      </c>
      <c r="B75" s="66">
        <v>69373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7987.5394423524922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65026</v>
      </c>
      <c r="B77" s="66">
        <v>65026</v>
      </c>
      <c r="D77">
        <f t="shared" si="5"/>
        <v>93.733873408963134</v>
      </c>
      <c r="E77">
        <f t="shared" si="6"/>
        <v>93.733873408963134</v>
      </c>
      <c r="G77">
        <f t="shared" ca="1" si="7"/>
        <v>75</v>
      </c>
      <c r="H77">
        <f t="shared" ca="1" si="8"/>
        <v>7030.0405056722348</v>
      </c>
      <c r="I77">
        <f t="shared" ca="1" si="9"/>
        <v>11212.877914574326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61553</v>
      </c>
      <c r="B80" s="66">
        <v>61553</v>
      </c>
      <c r="D80">
        <f t="shared" si="5"/>
        <v>88.727602957923111</v>
      </c>
      <c r="E80">
        <f t="shared" si="6"/>
        <v>88.727602957923111</v>
      </c>
      <c r="G80">
        <f t="shared" ca="1" si="7"/>
        <v>78</v>
      </c>
      <c r="H80">
        <f t="shared" ca="1" si="8"/>
        <v>6920.7530307180023</v>
      </c>
      <c r="I80">
        <f t="shared" ca="1" si="9"/>
        <v>17235.19754950461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59832</v>
      </c>
      <c r="B82" s="66">
        <v>59832</v>
      </c>
      <c r="D82">
        <f t="shared" si="5"/>
        <v>86.246810718867565</v>
      </c>
      <c r="E82">
        <f t="shared" si="6"/>
        <v>86.246810718867565</v>
      </c>
      <c r="G82">
        <f t="shared" ca="1" si="7"/>
        <v>80</v>
      </c>
      <c r="H82">
        <f t="shared" ca="1" si="8"/>
        <v>6899.7448575094049</v>
      </c>
      <c r="I82">
        <f t="shared" ca="1" si="9"/>
        <v>21906.486714054467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53379</v>
      </c>
      <c r="B85" s="66">
        <v>53379</v>
      </c>
      <c r="D85">
        <f t="shared" si="5"/>
        <v>76.944920934657574</v>
      </c>
      <c r="E85">
        <f t="shared" si="6"/>
        <v>76.944920934657574</v>
      </c>
      <c r="G85">
        <f t="shared" ca="1" si="7"/>
        <v>83</v>
      </c>
      <c r="H85">
        <f t="shared" ca="1" si="8"/>
        <v>6386.4284375765783</v>
      </c>
      <c r="I85">
        <f t="shared" ca="1" si="9"/>
        <v>27594.100274820601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55427</v>
      </c>
      <c r="B88" s="66">
        <v>55427</v>
      </c>
      <c r="D88">
        <f t="shared" si="5"/>
        <v>79.897078113963644</v>
      </c>
      <c r="E88">
        <f t="shared" si="6"/>
        <v>79.897078113963644</v>
      </c>
      <c r="G88">
        <f t="shared" ca="1" si="7"/>
        <v>86</v>
      </c>
      <c r="H88">
        <f t="shared" ca="1" si="8"/>
        <v>6871.1487178008738</v>
      </c>
      <c r="I88">
        <f t="shared" ca="1" si="9"/>
        <v>38450.092227983885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47220</v>
      </c>
      <c r="B90" s="66">
        <v>47220</v>
      </c>
      <c r="D90">
        <f t="shared" si="5"/>
        <v>68.066827151773751</v>
      </c>
      <c r="E90">
        <f t="shared" si="6"/>
        <v>68.066827151773751</v>
      </c>
      <c r="G90">
        <f t="shared" ca="1" si="7"/>
        <v>88</v>
      </c>
      <c r="H90">
        <f t="shared" ca="1" si="8"/>
        <v>5989.8807893560897</v>
      </c>
      <c r="I90">
        <f t="shared" ca="1" si="9"/>
        <v>39001.917616570929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40955</v>
      </c>
      <c r="B93" s="66">
        <v>40955</v>
      </c>
      <c r="D93">
        <f t="shared" si="5"/>
        <v>59.03593617113286</v>
      </c>
      <c r="E93">
        <f t="shared" si="6"/>
        <v>59.03593617113286</v>
      </c>
      <c r="G93">
        <f t="shared" ca="1" si="7"/>
        <v>91</v>
      </c>
      <c r="H93">
        <f t="shared" ca="1" si="8"/>
        <v>5372.2701915730904</v>
      </c>
      <c r="I93">
        <f t="shared" ca="1" si="9"/>
        <v>42837.556917187809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35695</v>
      </c>
      <c r="B95" s="66">
        <v>35695</v>
      </c>
      <c r="D95">
        <f t="shared" si="5"/>
        <v>51.453735603188562</v>
      </c>
      <c r="E95">
        <f t="shared" si="6"/>
        <v>51.453735603188562</v>
      </c>
      <c r="G95">
        <f t="shared" ca="1" si="7"/>
        <v>93</v>
      </c>
      <c r="H95">
        <f t="shared" ca="1" si="8"/>
        <v>4785.1974110965366</v>
      </c>
      <c r="I95">
        <f t="shared" ca="1" si="9"/>
        <v>43085.687784831694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29830</v>
      </c>
      <c r="B98" s="66">
        <v>29830</v>
      </c>
      <c r="D98">
        <f t="shared" si="5"/>
        <v>42.999437821630892</v>
      </c>
      <c r="E98">
        <f t="shared" si="6"/>
        <v>42.999437821630892</v>
      </c>
      <c r="G98">
        <f t="shared" ca="1" si="7"/>
        <v>96</v>
      </c>
      <c r="H98">
        <f t="shared" ca="1" si="8"/>
        <v>4127.9460308765656</v>
      </c>
      <c r="I98">
        <f t="shared" ca="1" si="9"/>
        <v>43859.054929477104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27235</v>
      </c>
      <c r="B100" s="66">
        <v>27235</v>
      </c>
      <c r="D100">
        <f t="shared" si="5"/>
        <v>39.258789442578525</v>
      </c>
      <c r="E100">
        <f t="shared" si="6"/>
        <v>39.258789442578525</v>
      </c>
      <c r="G100">
        <f t="shared" ca="1" si="7"/>
        <v>98</v>
      </c>
      <c r="H100">
        <f t="shared" ca="1" si="8"/>
        <v>3847.3613653726957</v>
      </c>
      <c r="I100">
        <f t="shared" ca="1" si="9"/>
        <v>45215.940570334424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24248</v>
      </c>
      <c r="B103" s="66">
        <v>24248</v>
      </c>
      <c r="D103">
        <f t="shared" si="5"/>
        <v>34.953079728424605</v>
      </c>
      <c r="E103">
        <f t="shared" si="6"/>
        <v>34.953079728424605</v>
      </c>
      <c r="G103">
        <f t="shared" ca="1" si="7"/>
        <v>101</v>
      </c>
      <c r="H103">
        <f t="shared" ca="1" si="8"/>
        <v>3530.2610525708851</v>
      </c>
      <c r="I103">
        <f t="shared" ca="1" si="9"/>
        <v>47688.737379779384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20455</v>
      </c>
      <c r="B106" s="66">
        <v>20455</v>
      </c>
      <c r="D106">
        <f t="shared" si="5"/>
        <v>29.485534718118</v>
      </c>
      <c r="E106">
        <f t="shared" si="6"/>
        <v>29.485534718118</v>
      </c>
      <c r="G106">
        <f t="shared" ca="1" si="7"/>
        <v>104</v>
      </c>
      <c r="H106">
        <f t="shared" ca="1" si="8"/>
        <v>3066.4956106842719</v>
      </c>
      <c r="I106">
        <f t="shared" ca="1" si="9"/>
        <v>47029.080341460067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18926</v>
      </c>
      <c r="B108" s="66">
        <v>18926</v>
      </c>
      <c r="D108">
        <f t="shared" si="5"/>
        <v>27.281507214622405</v>
      </c>
      <c r="E108">
        <f t="shared" si="6"/>
        <v>27.281507214622405</v>
      </c>
      <c r="G108">
        <f t="shared" ca="1" si="7"/>
        <v>106</v>
      </c>
      <c r="H108">
        <f t="shared" ca="1" si="8"/>
        <v>2891.8397647499751</v>
      </c>
      <c r="I108">
        <f t="shared" ca="1" si="9"/>
        <v>47981.007817979706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14610</v>
      </c>
      <c r="B111" s="66">
        <v>14610</v>
      </c>
      <c r="D111">
        <f t="shared" si="5"/>
        <v>21.060066596514496</v>
      </c>
      <c r="E111">
        <f t="shared" si="6"/>
        <v>21.060066596514496</v>
      </c>
      <c r="G111">
        <f t="shared" ca="1" si="7"/>
        <v>109</v>
      </c>
      <c r="H111">
        <f t="shared" ca="1" si="8"/>
        <v>2295.5472590200802</v>
      </c>
      <c r="I111">
        <f t="shared" ca="1" si="9"/>
        <v>42527.882380658419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12915</v>
      </c>
      <c r="B113" s="66">
        <v>12915</v>
      </c>
      <c r="D113">
        <f t="shared" si="5"/>
        <v>18.616752915399363</v>
      </c>
      <c r="E113">
        <f t="shared" si="6"/>
        <v>18.616752915399363</v>
      </c>
      <c r="G113">
        <f t="shared" ca="1" si="7"/>
        <v>111</v>
      </c>
      <c r="H113">
        <f t="shared" ca="1" si="8"/>
        <v>2066.4595736093293</v>
      </c>
      <c r="I113">
        <f t="shared" ca="1" si="9"/>
        <v>41014.763132346096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9556</v>
      </c>
      <c r="B116" s="66">
        <v>9556</v>
      </c>
      <c r="D116">
        <f t="shared" si="5"/>
        <v>13.77481152609805</v>
      </c>
      <c r="E116">
        <f t="shared" si="6"/>
        <v>13.77481152609805</v>
      </c>
      <c r="G116">
        <f t="shared" ca="1" si="7"/>
        <v>114</v>
      </c>
      <c r="H116">
        <f t="shared" ca="1" si="8"/>
        <v>1570.3285139751777</v>
      </c>
      <c r="I116">
        <f t="shared" ca="1" si="9"/>
        <v>34350.719758950589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9925</v>
      </c>
      <c r="B118" s="66">
        <v>9925</v>
      </c>
      <c r="D118">
        <f t="shared" si="5"/>
        <v>14.306718752252317</v>
      </c>
      <c r="E118">
        <f t="shared" si="6"/>
        <v>14.306718752252317</v>
      </c>
      <c r="G118">
        <f t="shared" ca="1" si="7"/>
        <v>116</v>
      </c>
      <c r="H118">
        <f t="shared" ca="1" si="8"/>
        <v>1659.5793752612688</v>
      </c>
      <c r="I118">
        <f t="shared" ca="1" si="9"/>
        <v>38592.137747268229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9213</v>
      </c>
      <c r="B121" s="66">
        <v>9213</v>
      </c>
      <c r="D121">
        <f t="shared" si="5"/>
        <v>13.280382857884192</v>
      </c>
      <c r="E121">
        <f t="shared" si="6"/>
        <v>13.280382857884192</v>
      </c>
      <c r="G121">
        <f t="shared" ca="1" si="7"/>
        <v>119</v>
      </c>
      <c r="H121">
        <f t="shared" ca="1" si="8"/>
        <v>1580.3655600882189</v>
      </c>
      <c r="I121">
        <f t="shared" ca="1" si="9"/>
        <v>40081.620707412352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8290</v>
      </c>
      <c r="B124" s="66">
        <v>8290</v>
      </c>
      <c r="D124">
        <f t="shared" si="5"/>
        <v>11.949894050999669</v>
      </c>
      <c r="E124">
        <f t="shared" si="6"/>
        <v>11.949894050999669</v>
      </c>
      <c r="G124">
        <f t="shared" ca="1" si="7"/>
        <v>122</v>
      </c>
      <c r="H124">
        <f t="shared" ca="1" si="8"/>
        <v>1457.8870742219597</v>
      </c>
      <c r="I124">
        <f t="shared" ca="1" si="9"/>
        <v>40112.581487405463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11840</v>
      </c>
      <c r="B126" s="66">
        <v>11840</v>
      </c>
      <c r="D126">
        <f t="shared" si="5"/>
        <v>17.067158692863217</v>
      </c>
      <c r="E126">
        <f t="shared" si="6"/>
        <v>17.067158692863217</v>
      </c>
      <c r="G126">
        <f t="shared" ca="1" si="7"/>
        <v>124</v>
      </c>
      <c r="H126">
        <f t="shared" ca="1" si="8"/>
        <v>2116.3276779150387</v>
      </c>
      <c r="I126">
        <f t="shared" ca="1" si="9"/>
        <v>61313.432314486941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9621</v>
      </c>
      <c r="B129" s="66">
        <v>9621</v>
      </c>
      <c r="D129">
        <f t="shared" si="5"/>
        <v>13.868507920949073</v>
      </c>
      <c r="E129">
        <f t="shared" si="6"/>
        <v>13.868507920949073</v>
      </c>
      <c r="G129">
        <f t="shared" ca="1" si="7"/>
        <v>127</v>
      </c>
      <c r="H129">
        <f t="shared" ca="1" si="8"/>
        <v>1761.3005059605323</v>
      </c>
      <c r="I129">
        <f t="shared" ca="1" si="9"/>
        <v>54934.604638925273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9165</v>
      </c>
      <c r="B131" s="66">
        <v>9165</v>
      </c>
      <c r="D131">
        <f t="shared" ref="D131:D194" si="10">IFERROR( 100*A131/MAX(A$2:A$257), 0 )</f>
        <v>13.211191673994206</v>
      </c>
      <c r="E131">
        <f t="shared" ref="E131:E194" si="11">IFERROR( 100*B131/MAX(B$2:B$257), 0 )</f>
        <v>13.211191673994206</v>
      </c>
      <c r="G131">
        <f t="shared" ref="G131:G194" ca="1" si="12">CELL("row",D131)-2</f>
        <v>129</v>
      </c>
      <c r="H131">
        <f t="shared" ref="H131:H194" ca="1" si="13">D131*G131</f>
        <v>1704.2437259452524</v>
      </c>
      <c r="I131">
        <f t="shared" ref="I131:I194" ca="1" si="14">D131*((G131-$L$1)^2)</f>
        <v>55709.658396556857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7864</v>
      </c>
      <c r="B134" s="66">
        <v>7864</v>
      </c>
      <c r="D134">
        <f t="shared" si="10"/>
        <v>11.335822293976042</v>
      </c>
      <c r="E134">
        <f t="shared" si="11"/>
        <v>11.335822293976042</v>
      </c>
      <c r="G134">
        <f t="shared" ca="1" si="12"/>
        <v>132</v>
      </c>
      <c r="H134">
        <f t="shared" ca="1" si="13"/>
        <v>1496.3285428048375</v>
      </c>
      <c r="I134">
        <f t="shared" ca="1" si="14"/>
        <v>52320.229468085767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5099</v>
      </c>
      <c r="B136" s="66">
        <v>5099</v>
      </c>
      <c r="D136">
        <f t="shared" si="10"/>
        <v>7.3501218053133064</v>
      </c>
      <c r="E136">
        <f t="shared" si="11"/>
        <v>7.3501218053133064</v>
      </c>
      <c r="G136">
        <f t="shared" ca="1" si="12"/>
        <v>134</v>
      </c>
      <c r="H136">
        <f t="shared" ca="1" si="13"/>
        <v>984.916321911983</v>
      </c>
      <c r="I136">
        <f t="shared" ca="1" si="14"/>
        <v>35951.110003545829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3092</v>
      </c>
      <c r="B139" s="66">
        <v>3092</v>
      </c>
      <c r="D139">
        <f t="shared" si="10"/>
        <v>4.4570654289132658</v>
      </c>
      <c r="E139">
        <f t="shared" si="11"/>
        <v>4.4570654289132658</v>
      </c>
      <c r="G139">
        <f t="shared" ca="1" si="12"/>
        <v>137</v>
      </c>
      <c r="H139">
        <f t="shared" ca="1" si="13"/>
        <v>610.61796376111738</v>
      </c>
      <c r="I139">
        <f t="shared" ca="1" si="14"/>
        <v>23710.920620771463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2827</v>
      </c>
      <c r="B142" s="66">
        <v>2827</v>
      </c>
      <c r="D142">
        <f t="shared" si="10"/>
        <v>4.0750724345206351</v>
      </c>
      <c r="E142">
        <f t="shared" si="11"/>
        <v>4.0750724345206351</v>
      </c>
      <c r="G142">
        <f t="shared" ca="1" si="12"/>
        <v>140</v>
      </c>
      <c r="H142">
        <f t="shared" ca="1" si="13"/>
        <v>570.51014083288896</v>
      </c>
      <c r="I142">
        <f t="shared" ca="1" si="14"/>
        <v>23498.799517722306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1437</v>
      </c>
      <c r="B144" s="66">
        <v>1437</v>
      </c>
      <c r="D144">
        <f t="shared" si="10"/>
        <v>2.0714110677064563</v>
      </c>
      <c r="E144">
        <f t="shared" si="11"/>
        <v>2.0714110677064563</v>
      </c>
      <c r="G144">
        <f t="shared" ca="1" si="12"/>
        <v>142</v>
      </c>
      <c r="H144">
        <f t="shared" ca="1" si="13"/>
        <v>294.14037161431679</v>
      </c>
      <c r="I144">
        <f t="shared" ca="1" si="14"/>
        <v>12582.213333729427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988</v>
      </c>
      <c r="B147" s="66">
        <v>988</v>
      </c>
      <c r="D147">
        <f t="shared" si="10"/>
        <v>1.4241852017355456</v>
      </c>
      <c r="E147">
        <f t="shared" si="11"/>
        <v>1.4241852017355456</v>
      </c>
      <c r="G147">
        <f t="shared" ca="1" si="12"/>
        <v>145</v>
      </c>
      <c r="H147">
        <f t="shared" ca="1" si="13"/>
        <v>206.50685425165412</v>
      </c>
      <c r="I147">
        <f t="shared" ca="1" si="14"/>
        <v>9329.6195029745468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724</v>
      </c>
      <c r="B149" s="66">
        <v>724</v>
      </c>
      <c r="D149">
        <f t="shared" si="10"/>
        <v>1.0436336903406225</v>
      </c>
      <c r="E149">
        <f t="shared" si="11"/>
        <v>1.0436336903406225</v>
      </c>
      <c r="G149">
        <f t="shared" ca="1" si="12"/>
        <v>147</v>
      </c>
      <c r="H149">
        <f t="shared" ca="1" si="13"/>
        <v>153.41415248007149</v>
      </c>
      <c r="I149">
        <f t="shared" ca="1" si="14"/>
        <v>7178.7348588442837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163</v>
      </c>
      <c r="B152" s="66">
        <v>163</v>
      </c>
      <c r="D152">
        <f t="shared" si="10"/>
        <v>0.23496172862641085</v>
      </c>
      <c r="E152">
        <f t="shared" si="11"/>
        <v>0.23496172862641085</v>
      </c>
      <c r="G152">
        <f t="shared" ca="1" si="12"/>
        <v>150</v>
      </c>
      <c r="H152">
        <f t="shared" ca="1" si="13"/>
        <v>35.244259293961626</v>
      </c>
      <c r="I152">
        <f t="shared" ca="1" si="14"/>
        <v>1735.2440899945161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56.540668740015057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1.0916584073775588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0.47857857974425244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4963</v>
      </c>
      <c r="B8" s="66">
        <v>4963</v>
      </c>
      <c r="D8">
        <f t="shared" si="0"/>
        <v>7.079077993952188</v>
      </c>
      <c r="E8">
        <f t="shared" si="1"/>
        <v>7.079077993952188</v>
      </c>
      <c r="G8">
        <f t="shared" ca="1" si="2"/>
        <v>6</v>
      </c>
      <c r="H8">
        <f t="shared" ca="1" si="3"/>
        <v>42.474467963713124</v>
      </c>
      <c r="I8">
        <f t="shared" ca="1" si="4"/>
        <v>18082.507977922953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9688</v>
      </c>
      <c r="B10" s="66">
        <v>9688</v>
      </c>
      <c r="D10">
        <f t="shared" si="0"/>
        <v>13.818679751240943</v>
      </c>
      <c r="E10">
        <f t="shared" si="1"/>
        <v>13.818679751240943</v>
      </c>
      <c r="G10">
        <f t="shared" ca="1" si="2"/>
        <v>8</v>
      </c>
      <c r="H10">
        <f t="shared" ca="1" si="3"/>
        <v>110.54943800992754</v>
      </c>
      <c r="I10">
        <f t="shared" ca="1" si="4"/>
        <v>32559.525164745322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12703</v>
      </c>
      <c r="B13" s="66">
        <v>12703</v>
      </c>
      <c r="D13">
        <f t="shared" si="0"/>
        <v>18.119187539225194</v>
      </c>
      <c r="E13">
        <f t="shared" si="1"/>
        <v>18.119187539225194</v>
      </c>
      <c r="G13">
        <f t="shared" ca="1" si="2"/>
        <v>11</v>
      </c>
      <c r="H13">
        <f t="shared" ca="1" si="3"/>
        <v>199.31106293147712</v>
      </c>
      <c r="I13">
        <f t="shared" ca="1" si="4"/>
        <v>37578.334463232051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23109</v>
      </c>
      <c r="B15" s="66">
        <v>23109</v>
      </c>
      <c r="D15">
        <f t="shared" si="0"/>
        <v>32.962001483425574</v>
      </c>
      <c r="E15">
        <f t="shared" si="1"/>
        <v>32.962001483425574</v>
      </c>
      <c r="G15">
        <f t="shared" ca="1" si="2"/>
        <v>13</v>
      </c>
      <c r="H15">
        <f t="shared" ca="1" si="3"/>
        <v>428.50601928453244</v>
      </c>
      <c r="I15">
        <f t="shared" ca="1" si="4"/>
        <v>62489.027331373574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27228</v>
      </c>
      <c r="B18" s="66">
        <v>27228</v>
      </c>
      <c r="D18">
        <f t="shared" si="0"/>
        <v>38.837222570890624</v>
      </c>
      <c r="E18">
        <f t="shared" si="1"/>
        <v>38.837222570890624</v>
      </c>
      <c r="G18">
        <f t="shared" ca="1" si="2"/>
        <v>16</v>
      </c>
      <c r="H18">
        <f t="shared" ca="1" si="3"/>
        <v>621.39556113424999</v>
      </c>
      <c r="I18">
        <f t="shared" ca="1" si="4"/>
        <v>63830.754890107404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29415</v>
      </c>
      <c r="B21" s="66">
        <v>29415</v>
      </c>
      <c r="D21">
        <f t="shared" si="0"/>
        <v>41.956695384264279</v>
      </c>
      <c r="E21">
        <f t="shared" si="1"/>
        <v>41.956695384264279</v>
      </c>
      <c r="G21">
        <f t="shared" ca="1" si="2"/>
        <v>19</v>
      </c>
      <c r="H21">
        <f t="shared" ca="1" si="3"/>
        <v>797.17721230102131</v>
      </c>
      <c r="I21">
        <f t="shared" ca="1" si="4"/>
        <v>59129.646723483056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33981</v>
      </c>
      <c r="B23" s="66">
        <v>33981</v>
      </c>
      <c r="D23">
        <f t="shared" si="0"/>
        <v>48.469504193529986</v>
      </c>
      <c r="E23">
        <f t="shared" si="1"/>
        <v>48.469504193529986</v>
      </c>
      <c r="G23">
        <f t="shared" ca="1" si="2"/>
        <v>21</v>
      </c>
      <c r="H23">
        <f t="shared" ca="1" si="3"/>
        <v>1017.8595880641296</v>
      </c>
      <c r="I23">
        <f t="shared" ca="1" si="4"/>
        <v>61223.727576052916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37826</v>
      </c>
      <c r="B26" s="66">
        <v>37826</v>
      </c>
      <c r="D26">
        <f t="shared" si="0"/>
        <v>53.953899697609401</v>
      </c>
      <c r="E26">
        <f t="shared" si="1"/>
        <v>53.953899697609401</v>
      </c>
      <c r="G26">
        <f t="shared" ca="1" si="2"/>
        <v>24</v>
      </c>
      <c r="H26">
        <f t="shared" ca="1" si="3"/>
        <v>1294.8935927426255</v>
      </c>
      <c r="I26">
        <f t="shared" ca="1" si="4"/>
        <v>57131.521205232915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45877</v>
      </c>
      <c r="B28" s="66">
        <v>45877</v>
      </c>
      <c r="D28">
        <f t="shared" si="0"/>
        <v>65.437610543732532</v>
      </c>
      <c r="E28">
        <f t="shared" si="1"/>
        <v>65.437610543732532</v>
      </c>
      <c r="G28">
        <f t="shared" ca="1" si="2"/>
        <v>26</v>
      </c>
      <c r="H28">
        <f t="shared" ca="1" si="3"/>
        <v>1701.3778741370459</v>
      </c>
      <c r="I28">
        <f t="shared" ca="1" si="4"/>
        <v>61035.782614003503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54801</v>
      </c>
      <c r="B31" s="66">
        <v>54801</v>
      </c>
      <c r="D31">
        <f t="shared" si="0"/>
        <v>78.166543047868998</v>
      </c>
      <c r="E31">
        <f t="shared" si="1"/>
        <v>78.166543047868998</v>
      </c>
      <c r="G31">
        <f t="shared" ca="1" si="2"/>
        <v>29</v>
      </c>
      <c r="H31">
        <f t="shared" ca="1" si="3"/>
        <v>2266.8297483882011</v>
      </c>
      <c r="I31">
        <f t="shared" ca="1" si="4"/>
        <v>59288.418878164455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53160</v>
      </c>
      <c r="B33" s="66">
        <v>53160</v>
      </c>
      <c r="D33">
        <f t="shared" si="0"/>
        <v>75.825868659782046</v>
      </c>
      <c r="E33">
        <f t="shared" si="1"/>
        <v>75.825868659782046</v>
      </c>
      <c r="G33">
        <f t="shared" ca="1" si="2"/>
        <v>31</v>
      </c>
      <c r="H33">
        <f t="shared" ca="1" si="3"/>
        <v>2350.6019284532435</v>
      </c>
      <c r="I33">
        <f t="shared" ca="1" si="4"/>
        <v>49463.16737743283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54585</v>
      </c>
      <c r="B36" s="66">
        <v>54585</v>
      </c>
      <c r="D36">
        <f t="shared" si="0"/>
        <v>77.858446967535798</v>
      </c>
      <c r="E36">
        <f t="shared" si="1"/>
        <v>77.858446967535798</v>
      </c>
      <c r="G36">
        <f t="shared" ca="1" si="2"/>
        <v>34</v>
      </c>
      <c r="H36">
        <f t="shared" ca="1" si="3"/>
        <v>2647.1871968962173</v>
      </c>
      <c r="I36">
        <f t="shared" ca="1" si="4"/>
        <v>39558.45577321064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53758</v>
      </c>
      <c r="B39" s="66">
        <v>53758</v>
      </c>
      <c r="D39">
        <f t="shared" si="0"/>
        <v>76.678838363667481</v>
      </c>
      <c r="E39">
        <f t="shared" si="1"/>
        <v>76.678838363667481</v>
      </c>
      <c r="G39">
        <f t="shared" ca="1" si="2"/>
        <v>37</v>
      </c>
      <c r="H39">
        <f t="shared" ca="1" si="3"/>
        <v>2837.1170194556967</v>
      </c>
      <c r="I39">
        <f t="shared" ca="1" si="4"/>
        <v>29278.873948415006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54695</v>
      </c>
      <c r="B41" s="66">
        <v>54695</v>
      </c>
      <c r="D41">
        <f t="shared" si="0"/>
        <v>78.015347749186972</v>
      </c>
      <c r="E41">
        <f t="shared" si="1"/>
        <v>78.015347749186972</v>
      </c>
      <c r="G41">
        <f t="shared" ca="1" si="2"/>
        <v>39</v>
      </c>
      <c r="H41">
        <f t="shared" ca="1" si="3"/>
        <v>3042.598562218292</v>
      </c>
      <c r="I41">
        <f t="shared" ca="1" si="4"/>
        <v>24003.376787711048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55759</v>
      </c>
      <c r="B44" s="66">
        <v>55759</v>
      </c>
      <c r="D44">
        <f t="shared" si="0"/>
        <v>79.533006218976439</v>
      </c>
      <c r="E44">
        <f t="shared" si="1"/>
        <v>79.533006218976439</v>
      </c>
      <c r="G44">
        <f t="shared" ca="1" si="2"/>
        <v>42</v>
      </c>
      <c r="H44">
        <f t="shared" ca="1" si="3"/>
        <v>3340.3862611970103</v>
      </c>
      <c r="I44">
        <f t="shared" ca="1" si="4"/>
        <v>16815.746808293788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66594</v>
      </c>
      <c r="B46" s="66">
        <v>66594</v>
      </c>
      <c r="D46">
        <f t="shared" si="0"/>
        <v>94.987733211616359</v>
      </c>
      <c r="E46">
        <f t="shared" si="1"/>
        <v>94.987733211616359</v>
      </c>
      <c r="G46">
        <f t="shared" ca="1" si="2"/>
        <v>44</v>
      </c>
      <c r="H46">
        <f t="shared" ca="1" si="3"/>
        <v>4179.4602613111201</v>
      </c>
      <c r="I46">
        <f t="shared" ca="1" si="4"/>
        <v>14938.566204600886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66998</v>
      </c>
      <c r="B49" s="66">
        <v>66998</v>
      </c>
      <c r="D49">
        <f t="shared" si="0"/>
        <v>95.563986991498837</v>
      </c>
      <c r="E49">
        <f t="shared" si="1"/>
        <v>95.563986991498837</v>
      </c>
      <c r="G49">
        <f t="shared" ca="1" si="2"/>
        <v>47</v>
      </c>
      <c r="H49">
        <f t="shared" ca="1" si="3"/>
        <v>4491.5073886004457</v>
      </c>
      <c r="I49">
        <f t="shared" ca="1" si="4"/>
        <v>8698.6507555898334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64040</v>
      </c>
      <c r="B51" s="66">
        <v>64040</v>
      </c>
      <c r="D51">
        <f t="shared" si="0"/>
        <v>91.344782335824732</v>
      </c>
      <c r="E51">
        <f t="shared" si="1"/>
        <v>91.344782335824732</v>
      </c>
      <c r="G51">
        <f t="shared" ca="1" si="2"/>
        <v>49</v>
      </c>
      <c r="H51">
        <f t="shared" ca="1" si="3"/>
        <v>4475.8943344554118</v>
      </c>
      <c r="I51">
        <f t="shared" ca="1" si="4"/>
        <v>5194.018243833576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67048</v>
      </c>
      <c r="B54" s="66">
        <v>67048</v>
      </c>
      <c r="D54">
        <f t="shared" si="0"/>
        <v>95.635305528613003</v>
      </c>
      <c r="E54">
        <f t="shared" si="1"/>
        <v>95.635305528613003</v>
      </c>
      <c r="G54">
        <f t="shared" ca="1" si="2"/>
        <v>52</v>
      </c>
      <c r="H54">
        <f t="shared" ca="1" si="3"/>
        <v>4973.0358874878766</v>
      </c>
      <c r="I54">
        <f t="shared" ca="1" si="4"/>
        <v>1971.777419016317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70108</v>
      </c>
      <c r="B57" s="66">
        <v>70108</v>
      </c>
      <c r="D57">
        <f t="shared" si="0"/>
        <v>100</v>
      </c>
      <c r="E57">
        <f t="shared" si="1"/>
        <v>100</v>
      </c>
      <c r="G57">
        <f t="shared" ca="1" si="2"/>
        <v>55</v>
      </c>
      <c r="H57">
        <f t="shared" ca="1" si="3"/>
        <v>5500</v>
      </c>
      <c r="I57">
        <f t="shared" ca="1" si="4"/>
        <v>237.36601664595844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69941</v>
      </c>
      <c r="B59" s="66">
        <v>69941</v>
      </c>
      <c r="D59">
        <f t="shared" si="0"/>
        <v>99.761796086038686</v>
      </c>
      <c r="E59">
        <f t="shared" si="1"/>
        <v>99.761796086038686</v>
      </c>
      <c r="G59">
        <f t="shared" ca="1" si="2"/>
        <v>57</v>
      </c>
      <c r="H59">
        <f t="shared" ca="1" si="3"/>
        <v>5686.4223769042055</v>
      </c>
      <c r="I59">
        <f t="shared" ca="1" si="4"/>
        <v>21.048263137983234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68524</v>
      </c>
      <c r="B62" s="66">
        <v>68524</v>
      </c>
      <c r="D62">
        <f t="shared" si="0"/>
        <v>97.740628744223201</v>
      </c>
      <c r="E62">
        <f t="shared" si="1"/>
        <v>97.740628744223201</v>
      </c>
      <c r="G62">
        <f t="shared" ca="1" si="2"/>
        <v>60</v>
      </c>
      <c r="H62">
        <f t="shared" ca="1" si="3"/>
        <v>5864.4377246533923</v>
      </c>
      <c r="I62">
        <f t="shared" ca="1" si="4"/>
        <v>1169.6594423440388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67094</v>
      </c>
      <c r="B64" s="66">
        <v>67094</v>
      </c>
      <c r="D64">
        <f t="shared" si="0"/>
        <v>95.700918582758035</v>
      </c>
      <c r="E64">
        <f t="shared" si="1"/>
        <v>95.700918582758035</v>
      </c>
      <c r="G64">
        <f t="shared" ca="1" si="2"/>
        <v>62</v>
      </c>
      <c r="H64">
        <f t="shared" ca="1" si="3"/>
        <v>5933.4569521309986</v>
      </c>
      <c r="I64">
        <f t="shared" ca="1" si="4"/>
        <v>2852.2986777720885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68647</v>
      </c>
      <c r="B67" s="66">
        <v>68647</v>
      </c>
      <c r="D67">
        <f t="shared" ref="D67:D130" si="5">IFERROR(100*A67/MAX(A$2:A$257), 0 )</f>
        <v>97.916072345524043</v>
      </c>
      <c r="E67">
        <f t="shared" ref="E67:E130" si="6">IFERROR(100*B67/MAX(B$2:B$257), 0 )</f>
        <v>97.916072345524043</v>
      </c>
      <c r="G67">
        <f t="shared" ref="G67:G130" ca="1" si="7">CELL("row",D67)-2</f>
        <v>65</v>
      </c>
      <c r="H67">
        <f t="shared" ref="H67:H130" ca="1" si="8">D67*G67</f>
        <v>6364.544702459063</v>
      </c>
      <c r="I67">
        <f t="shared" ref="I67:I130" ca="1" si="9">D67*((G67-$L$1)^2)</f>
        <v>7006.9020789791148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62090</v>
      </c>
      <c r="B69" s="66">
        <v>62090</v>
      </c>
      <c r="D69">
        <f t="shared" si="5"/>
        <v>88.56335938837222</v>
      </c>
      <c r="E69">
        <f t="shared" si="6"/>
        <v>88.56335938837222</v>
      </c>
      <c r="G69">
        <f t="shared" ca="1" si="7"/>
        <v>67</v>
      </c>
      <c r="H69">
        <f t="shared" ca="1" si="8"/>
        <v>5933.7450790209386</v>
      </c>
      <c r="I69">
        <f t="shared" ca="1" si="9"/>
        <v>9688.6198866244049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59127</v>
      </c>
      <c r="B72" s="66">
        <v>59127</v>
      </c>
      <c r="D72">
        <f t="shared" si="5"/>
        <v>84.337022878986701</v>
      </c>
      <c r="E72">
        <f t="shared" si="6"/>
        <v>84.337022878986701</v>
      </c>
      <c r="G72">
        <f t="shared" ca="1" si="7"/>
        <v>70</v>
      </c>
      <c r="H72">
        <f t="shared" ca="1" si="8"/>
        <v>5903.5916015290695</v>
      </c>
      <c r="I72">
        <f t="shared" ca="1" si="9"/>
        <v>15277.955136269962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54883</v>
      </c>
      <c r="B75" s="66">
        <v>54883</v>
      </c>
      <c r="D75">
        <f t="shared" si="5"/>
        <v>78.283505448736236</v>
      </c>
      <c r="E75">
        <f t="shared" si="6"/>
        <v>78.283505448736236</v>
      </c>
      <c r="G75">
        <f t="shared" ca="1" si="7"/>
        <v>73</v>
      </c>
      <c r="H75">
        <f t="shared" ca="1" si="8"/>
        <v>5714.6958977577451</v>
      </c>
      <c r="I75">
        <f t="shared" ca="1" si="9"/>
        <v>21207.752014633039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56050</v>
      </c>
      <c r="B77" s="66">
        <v>56050</v>
      </c>
      <c r="D77">
        <f t="shared" si="5"/>
        <v>79.948080104980889</v>
      </c>
      <c r="E77">
        <f t="shared" si="6"/>
        <v>79.948080104980889</v>
      </c>
      <c r="G77">
        <f t="shared" ca="1" si="7"/>
        <v>75</v>
      </c>
      <c r="H77">
        <f t="shared" ca="1" si="8"/>
        <v>5996.1060078735663</v>
      </c>
      <c r="I77">
        <f t="shared" ca="1" si="9"/>
        <v>27242.061301443915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51071</v>
      </c>
      <c r="B80" s="66">
        <v>51071</v>
      </c>
      <c r="D80">
        <f t="shared" si="5"/>
        <v>72.846180179152171</v>
      </c>
      <c r="E80">
        <f t="shared" si="6"/>
        <v>72.846180179152171</v>
      </c>
      <c r="G80">
        <f t="shared" ca="1" si="7"/>
        <v>78</v>
      </c>
      <c r="H80">
        <f t="shared" ca="1" si="8"/>
        <v>5682.0020539738689</v>
      </c>
      <c r="I80">
        <f t="shared" ca="1" si="9"/>
        <v>33545.877089891372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47491</v>
      </c>
      <c r="B82" s="66">
        <v>47491</v>
      </c>
      <c r="D82">
        <f t="shared" si="5"/>
        <v>67.739772921777828</v>
      </c>
      <c r="E82">
        <f t="shared" si="6"/>
        <v>67.739772921777828</v>
      </c>
      <c r="G82">
        <f t="shared" ca="1" si="7"/>
        <v>80</v>
      </c>
      <c r="H82">
        <f t="shared" ca="1" si="8"/>
        <v>5419.1818337422264</v>
      </c>
      <c r="I82">
        <f t="shared" ca="1" si="9"/>
        <v>37279.921746965505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39694</v>
      </c>
      <c r="B85" s="66">
        <v>39694</v>
      </c>
      <c r="D85">
        <f t="shared" si="5"/>
        <v>56.618360244194669</v>
      </c>
      <c r="E85">
        <f t="shared" si="6"/>
        <v>56.618360244194669</v>
      </c>
      <c r="G85">
        <f t="shared" ca="1" si="7"/>
        <v>83</v>
      </c>
      <c r="H85">
        <f t="shared" ca="1" si="8"/>
        <v>4699.3239002681576</v>
      </c>
      <c r="I85">
        <f t="shared" ca="1" si="9"/>
        <v>39638.299464458571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34872</v>
      </c>
      <c r="B88" s="66">
        <v>34872</v>
      </c>
      <c r="D88">
        <f t="shared" si="5"/>
        <v>49.74040052490443</v>
      </c>
      <c r="E88">
        <f t="shared" si="6"/>
        <v>49.74040052490443</v>
      </c>
      <c r="G88">
        <f t="shared" ca="1" si="7"/>
        <v>86</v>
      </c>
      <c r="H88">
        <f t="shared" ca="1" si="8"/>
        <v>4277.6744451417808</v>
      </c>
      <c r="I88">
        <f t="shared" ca="1" si="9"/>
        <v>43167.315939140841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32896</v>
      </c>
      <c r="B90" s="66">
        <v>32896</v>
      </c>
      <c r="D90">
        <f t="shared" si="5"/>
        <v>46.921891938152562</v>
      </c>
      <c r="E90">
        <f t="shared" si="6"/>
        <v>46.921891938152562</v>
      </c>
      <c r="G90">
        <f t="shared" ca="1" si="7"/>
        <v>88</v>
      </c>
      <c r="H90">
        <f t="shared" ca="1" si="8"/>
        <v>4129.1264905574253</v>
      </c>
      <c r="I90">
        <f t="shared" ca="1" si="9"/>
        <v>46438.104865799221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24347</v>
      </c>
      <c r="B93" s="66">
        <v>24347</v>
      </c>
      <c r="D93">
        <f t="shared" si="5"/>
        <v>34.727848462372343</v>
      </c>
      <c r="E93">
        <f t="shared" si="6"/>
        <v>34.727848462372343</v>
      </c>
      <c r="G93">
        <f t="shared" ca="1" si="7"/>
        <v>91</v>
      </c>
      <c r="H93">
        <f t="shared" ca="1" si="8"/>
        <v>3160.2342100758833</v>
      </c>
      <c r="I93">
        <f t="shared" ca="1" si="9"/>
        <v>41237.427759351624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21944</v>
      </c>
      <c r="B95" s="66">
        <v>21944</v>
      </c>
      <c r="D95">
        <f t="shared" si="5"/>
        <v>31.300279568665488</v>
      </c>
      <c r="E95">
        <f t="shared" si="6"/>
        <v>31.300279568665488</v>
      </c>
      <c r="G95">
        <f t="shared" ca="1" si="7"/>
        <v>93</v>
      </c>
      <c r="H95">
        <f t="shared" ca="1" si="8"/>
        <v>2910.9259998858902</v>
      </c>
      <c r="I95">
        <f t="shared" ca="1" si="9"/>
        <v>41606.924390290857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17103</v>
      </c>
      <c r="B98" s="66">
        <v>17103</v>
      </c>
      <c r="D98">
        <f t="shared" si="5"/>
        <v>24.395218805271867</v>
      </c>
      <c r="E98">
        <f t="shared" si="6"/>
        <v>24.395218805271867</v>
      </c>
      <c r="G98">
        <f t="shared" ca="1" si="7"/>
        <v>96</v>
      </c>
      <c r="H98">
        <f t="shared" ca="1" si="8"/>
        <v>2341.9410053060992</v>
      </c>
      <c r="I98">
        <f t="shared" ca="1" si="9"/>
        <v>37984.30278722514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14319</v>
      </c>
      <c r="B100" s="66">
        <v>14319</v>
      </c>
      <c r="D100">
        <f t="shared" si="5"/>
        <v>20.424202658755064</v>
      </c>
      <c r="E100">
        <f t="shared" si="6"/>
        <v>20.424202658755064</v>
      </c>
      <c r="G100">
        <f t="shared" ca="1" si="7"/>
        <v>98</v>
      </c>
      <c r="H100">
        <f t="shared" ca="1" si="8"/>
        <v>2001.5718605579964</v>
      </c>
      <c r="I100">
        <f t="shared" ca="1" si="9"/>
        <v>35106.674802778332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12225</v>
      </c>
      <c r="B103" s="66">
        <v>12225</v>
      </c>
      <c r="D103">
        <f t="shared" si="5"/>
        <v>17.437382324413761</v>
      </c>
      <c r="E103">
        <f t="shared" si="6"/>
        <v>17.437382324413761</v>
      </c>
      <c r="G103">
        <f t="shared" ca="1" si="7"/>
        <v>101</v>
      </c>
      <c r="H103">
        <f t="shared" ca="1" si="8"/>
        <v>1761.1756147657898</v>
      </c>
      <c r="I103">
        <f t="shared" ca="1" si="9"/>
        <v>34467.290271638092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11362</v>
      </c>
      <c r="B106" s="66">
        <v>11362</v>
      </c>
      <c r="D106">
        <f t="shared" si="5"/>
        <v>16.206424373823243</v>
      </c>
      <c r="E106">
        <f t="shared" si="6"/>
        <v>16.206424373823243</v>
      </c>
      <c r="G106">
        <f t="shared" ca="1" si="7"/>
        <v>104</v>
      </c>
      <c r="H106">
        <f t="shared" ca="1" si="8"/>
        <v>1685.4681348776173</v>
      </c>
      <c r="I106">
        <f t="shared" ca="1" si="9"/>
        <v>36503.157786350064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7701</v>
      </c>
      <c r="B108" s="66">
        <v>7701</v>
      </c>
      <c r="D108">
        <f t="shared" si="5"/>
        <v>10.984481086323957</v>
      </c>
      <c r="E108">
        <f t="shared" si="6"/>
        <v>10.984481086323957</v>
      </c>
      <c r="G108">
        <f t="shared" ca="1" si="7"/>
        <v>106</v>
      </c>
      <c r="H108">
        <f t="shared" ca="1" si="8"/>
        <v>1164.3549951503394</v>
      </c>
      <c r="I108">
        <f t="shared" ca="1" si="9"/>
        <v>26870.517173963879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6559</v>
      </c>
      <c r="B111" s="66">
        <v>6559</v>
      </c>
      <c r="D111">
        <f t="shared" si="5"/>
        <v>9.35556569863639</v>
      </c>
      <c r="E111">
        <f t="shared" si="6"/>
        <v>9.35556569863639</v>
      </c>
      <c r="G111">
        <f t="shared" ca="1" si="7"/>
        <v>109</v>
      </c>
      <c r="H111">
        <f t="shared" ca="1" si="8"/>
        <v>1019.7566611513665</v>
      </c>
      <c r="I111">
        <f t="shared" ca="1" si="9"/>
        <v>25746.343128216271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7927</v>
      </c>
      <c r="B113" s="66">
        <v>7927</v>
      </c>
      <c r="D113">
        <f t="shared" si="5"/>
        <v>11.306840874079992</v>
      </c>
      <c r="E113">
        <f t="shared" si="6"/>
        <v>11.306840874079992</v>
      </c>
      <c r="G113">
        <f t="shared" ca="1" si="7"/>
        <v>111</v>
      </c>
      <c r="H113">
        <f t="shared" ca="1" si="8"/>
        <v>1255.0593370228792</v>
      </c>
      <c r="I113">
        <f t="shared" ca="1" si="9"/>
        <v>33534.040795207962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7103</v>
      </c>
      <c r="B116" s="66">
        <v>7103</v>
      </c>
      <c r="D116">
        <f t="shared" si="5"/>
        <v>10.131511382438523</v>
      </c>
      <c r="E116">
        <f t="shared" si="6"/>
        <v>10.131511382438523</v>
      </c>
      <c r="G116">
        <f t="shared" ca="1" si="7"/>
        <v>114</v>
      </c>
      <c r="H116">
        <f t="shared" ca="1" si="8"/>
        <v>1154.9922975979916</v>
      </c>
      <c r="I116">
        <f t="shared" ca="1" si="9"/>
        <v>33449.94214789151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6205</v>
      </c>
      <c r="B118" s="66">
        <v>6205</v>
      </c>
      <c r="D118">
        <f t="shared" si="5"/>
        <v>8.8506304558680888</v>
      </c>
      <c r="E118">
        <f t="shared" si="6"/>
        <v>8.8506304558680888</v>
      </c>
      <c r="G118">
        <f t="shared" ca="1" si="7"/>
        <v>116</v>
      </c>
      <c r="H118">
        <f t="shared" ca="1" si="8"/>
        <v>1026.6731328806984</v>
      </c>
      <c r="I118">
        <f t="shared" ca="1" si="9"/>
        <v>31290.625775167005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5567</v>
      </c>
      <c r="B121" s="66">
        <v>5567</v>
      </c>
      <c r="D121">
        <f t="shared" si="5"/>
        <v>7.9406059222913221</v>
      </c>
      <c r="E121">
        <f t="shared" si="6"/>
        <v>7.9406059222913221</v>
      </c>
      <c r="G121">
        <f t="shared" ca="1" si="7"/>
        <v>119</v>
      </c>
      <c r="H121">
        <f t="shared" ca="1" si="8"/>
        <v>944.93210475266733</v>
      </c>
      <c r="I121">
        <f t="shared" ca="1" si="9"/>
        <v>30977.63821256021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4370</v>
      </c>
      <c r="B124" s="66">
        <v>4370</v>
      </c>
      <c r="D124">
        <f t="shared" si="5"/>
        <v>6.233240143778171</v>
      </c>
      <c r="E124">
        <f t="shared" si="6"/>
        <v>6.233240143778171</v>
      </c>
      <c r="G124">
        <f t="shared" ca="1" si="7"/>
        <v>122</v>
      </c>
      <c r="H124">
        <f t="shared" ca="1" si="8"/>
        <v>760.45529754093684</v>
      </c>
      <c r="I124">
        <f t="shared" ca="1" si="9"/>
        <v>26708.960595294986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3819</v>
      </c>
      <c r="B126" s="66">
        <v>3819</v>
      </c>
      <c r="D126">
        <f t="shared" si="5"/>
        <v>5.4473098647800535</v>
      </c>
      <c r="E126">
        <f t="shared" si="6"/>
        <v>5.4473098647800535</v>
      </c>
      <c r="G126">
        <f t="shared" ca="1" si="7"/>
        <v>124</v>
      </c>
      <c r="H126">
        <f t="shared" ca="1" si="8"/>
        <v>675.46642323272658</v>
      </c>
      <c r="I126">
        <f t="shared" ca="1" si="9"/>
        <v>24789.407325091983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3161</v>
      </c>
      <c r="B129" s="66">
        <v>3161</v>
      </c>
      <c r="D129">
        <f t="shared" si="5"/>
        <v>4.5087579163576192</v>
      </c>
      <c r="E129">
        <f t="shared" si="6"/>
        <v>4.5087579163576192</v>
      </c>
      <c r="G129">
        <f t="shared" ca="1" si="7"/>
        <v>127</v>
      </c>
      <c r="H129">
        <f t="shared" ca="1" si="8"/>
        <v>572.61225537741768</v>
      </c>
      <c r="I129">
        <f t="shared" ca="1" si="9"/>
        <v>22383.806955028183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3572</v>
      </c>
      <c r="B131" s="66">
        <v>3572</v>
      </c>
      <c r="D131">
        <f t="shared" ref="D131:D194" si="10">IFERROR(100*A131/MAX(A$2:A$257), 0 )</f>
        <v>5.09499629143607</v>
      </c>
      <c r="E131">
        <f t="shared" ref="E131:E194" si="11">IFERROR(100*B131/MAX(B$2:B$257), 0 )</f>
        <v>5.09499629143607</v>
      </c>
      <c r="G131">
        <f t="shared" ref="G131:G194" ca="1" si="12">CELL("row",D131)-2</f>
        <v>129</v>
      </c>
      <c r="H131">
        <f t="shared" ref="H131:H194" ca="1" si="13">D131*G131</f>
        <v>657.25452159525298</v>
      </c>
      <c r="I131">
        <f t="shared" ref="I131:I194" ca="1" si="14">D131*((G131-$L$1)^2)</f>
        <v>26750.537657176341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2004</v>
      </c>
      <c r="B134" s="66">
        <v>2004</v>
      </c>
      <c r="D134">
        <f t="shared" si="10"/>
        <v>2.858446967535802</v>
      </c>
      <c r="E134">
        <f t="shared" si="11"/>
        <v>2.858446967535802</v>
      </c>
      <c r="G134">
        <f t="shared" ca="1" si="12"/>
        <v>132</v>
      </c>
      <c r="H134">
        <f t="shared" ca="1" si="13"/>
        <v>377.31499971472584</v>
      </c>
      <c r="I134">
        <f t="shared" ca="1" si="14"/>
        <v>16276.313389492063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1792</v>
      </c>
      <c r="B136" s="66">
        <v>1792</v>
      </c>
      <c r="D136">
        <f t="shared" si="10"/>
        <v>2.5560563701717349</v>
      </c>
      <c r="E136">
        <f t="shared" si="11"/>
        <v>2.5560563701717349</v>
      </c>
      <c r="G136">
        <f t="shared" ca="1" si="12"/>
        <v>134</v>
      </c>
      <c r="H136">
        <f t="shared" ca="1" si="13"/>
        <v>342.51155360301249</v>
      </c>
      <c r="I136">
        <f t="shared" ca="1" si="14"/>
        <v>15336.205304166984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932</v>
      </c>
      <c r="B139" s="66">
        <v>932</v>
      </c>
      <c r="D139">
        <f t="shared" si="10"/>
        <v>1.3293775318080676</v>
      </c>
      <c r="E139">
        <f t="shared" si="11"/>
        <v>1.3293775318080676</v>
      </c>
      <c r="G139">
        <f t="shared" ca="1" si="12"/>
        <v>137</v>
      </c>
      <c r="H139">
        <f t="shared" ca="1" si="13"/>
        <v>182.12472185770525</v>
      </c>
      <c r="I139">
        <f t="shared" ca="1" si="14"/>
        <v>8605.9966276335344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406</v>
      </c>
      <c r="B142" s="66">
        <v>406</v>
      </c>
      <c r="D142">
        <f t="shared" si="10"/>
        <v>0.57910652136703367</v>
      </c>
      <c r="E142">
        <f t="shared" si="11"/>
        <v>0.57910652136703367</v>
      </c>
      <c r="G142">
        <f t="shared" ca="1" si="12"/>
        <v>140</v>
      </c>
      <c r="H142">
        <f t="shared" ca="1" si="13"/>
        <v>81.074912991384707</v>
      </c>
      <c r="I142">
        <f t="shared" ca="1" si="14"/>
        <v>4033.7432954751848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100</v>
      </c>
      <c r="B144" s="66">
        <v>100</v>
      </c>
      <c r="D144">
        <f t="shared" si="10"/>
        <v>0.14263707422833344</v>
      </c>
      <c r="E144">
        <f t="shared" si="11"/>
        <v>0.14263707422833344</v>
      </c>
      <c r="G144">
        <f t="shared" ca="1" si="12"/>
        <v>142</v>
      </c>
      <c r="H144">
        <f t="shared" ca="1" si="13"/>
        <v>20.254464540423349</v>
      </c>
      <c r="I144">
        <f t="shared" ca="1" si="14"/>
        <v>1041.7209590066525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134</v>
      </c>
      <c r="B147" s="66">
        <v>134</v>
      </c>
      <c r="D147">
        <f t="shared" si="10"/>
        <v>0.19113367946596679</v>
      </c>
      <c r="E147">
        <f t="shared" si="11"/>
        <v>0.19113367946596679</v>
      </c>
      <c r="G147">
        <f t="shared" ca="1" si="12"/>
        <v>145</v>
      </c>
      <c r="H147">
        <f t="shared" ca="1" si="13"/>
        <v>27.714383522565186</v>
      </c>
      <c r="I147">
        <f t="shared" ca="1" si="14"/>
        <v>1495.6312267546389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34</v>
      </c>
      <c r="B149" s="66">
        <v>34</v>
      </c>
      <c r="D149">
        <f t="shared" si="10"/>
        <v>4.8496605237633363E-2</v>
      </c>
      <c r="E149">
        <f t="shared" si="11"/>
        <v>4.8496605237633363E-2</v>
      </c>
      <c r="G149">
        <f t="shared" ca="1" si="12"/>
        <v>147</v>
      </c>
      <c r="H149">
        <f t="shared" ca="1" si="13"/>
        <v>7.129000969932104</v>
      </c>
      <c r="I149">
        <f t="shared" ca="1" si="14"/>
        <v>396.84241571307894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0.20057700000000001</v>
      </c>
      <c r="B2" s="68">
        <v>0.61444900000000002</v>
      </c>
      <c r="C2" s="68">
        <v>0</v>
      </c>
      <c r="D2" s="68">
        <v>1</v>
      </c>
      <c r="E2" s="68" t="s">
        <v>411</v>
      </c>
    </row>
    <row r="3" spans="1:5">
      <c r="A3" s="68">
        <v>0.204737</v>
      </c>
      <c r="B3" s="68">
        <v>0.60581700000000005</v>
      </c>
      <c r="C3" s="68">
        <v>0.40690300000000001</v>
      </c>
      <c r="D3" s="89">
        <v>1</v>
      </c>
      <c r="E3" s="68" t="s">
        <v>412</v>
      </c>
    </row>
    <row r="4" spans="1:5">
      <c r="A4" s="68">
        <v>0.208755</v>
      </c>
      <c r="B4" s="68">
        <v>0.59764200000000001</v>
      </c>
      <c r="C4" s="68">
        <v>0.81201699999999999</v>
      </c>
      <c r="D4" s="89">
        <v>1</v>
      </c>
      <c r="E4" s="68" t="s">
        <v>413</v>
      </c>
    </row>
    <row r="5" spans="1:5">
      <c r="A5" s="89">
        <v>0.21279600000000001</v>
      </c>
      <c r="B5" s="89">
        <v>0.58959799999999996</v>
      </c>
      <c r="C5" s="89">
        <v>1.2218</v>
      </c>
      <c r="D5" s="89">
        <v>1</v>
      </c>
      <c r="E5" s="68" t="s">
        <v>414</v>
      </c>
    </row>
    <row r="6" spans="1:5">
      <c r="A6" s="68">
        <v>0.21685399999999999</v>
      </c>
      <c r="B6" s="68">
        <v>0.58189800000000003</v>
      </c>
      <c r="C6" s="68">
        <v>1.62557</v>
      </c>
      <c r="D6" s="68">
        <v>1</v>
      </c>
      <c r="E6" s="68" t="s">
        <v>415</v>
      </c>
    </row>
    <row r="7" spans="1:5">
      <c r="A7" s="68">
        <v>0.22101699999999999</v>
      </c>
      <c r="B7" s="68">
        <v>0.57377199999999995</v>
      </c>
      <c r="C7" s="68">
        <v>2.0315099999999999</v>
      </c>
      <c r="D7" s="68">
        <v>1</v>
      </c>
      <c r="E7" s="68" t="s">
        <v>416</v>
      </c>
    </row>
    <row r="8" spans="1:5">
      <c r="A8" s="68">
        <v>0.225132</v>
      </c>
      <c r="B8" s="68">
        <v>0.56638299999999997</v>
      </c>
      <c r="C8" s="68">
        <v>2.4367399999999999</v>
      </c>
      <c r="D8" s="68">
        <v>1</v>
      </c>
      <c r="E8" s="68" t="s">
        <v>417</v>
      </c>
    </row>
    <row r="9" spans="1:5">
      <c r="A9" s="68">
        <v>0.229326</v>
      </c>
      <c r="B9" s="68">
        <v>0.55852199999999996</v>
      </c>
      <c r="C9" s="68">
        <v>2.8430599999999999</v>
      </c>
      <c r="D9" s="68">
        <v>1</v>
      </c>
      <c r="E9" s="68" t="s">
        <v>418</v>
      </c>
    </row>
    <row r="10" spans="1:5">
      <c r="A10" s="68">
        <v>0.23355799999999999</v>
      </c>
      <c r="B10" s="68">
        <v>0.54990000000000006</v>
      </c>
      <c r="C10" s="68">
        <v>3.2522899999999999</v>
      </c>
      <c r="D10" s="68">
        <v>1</v>
      </c>
      <c r="E10" s="68" t="s">
        <v>419</v>
      </c>
    </row>
    <row r="11" spans="1:5">
      <c r="A11" s="68">
        <v>0.23768900000000001</v>
      </c>
      <c r="B11" s="68">
        <v>0.54190000000000005</v>
      </c>
      <c r="C11" s="68">
        <v>3.6571199999999999</v>
      </c>
      <c r="D11" s="68">
        <v>1</v>
      </c>
      <c r="E11" s="68" t="s">
        <v>420</v>
      </c>
    </row>
    <row r="12" spans="1:5">
      <c r="A12" s="68">
        <v>0.241679</v>
      </c>
      <c r="B12" s="68">
        <v>0.53425199999999995</v>
      </c>
      <c r="C12" s="68">
        <v>4.0621499999999999</v>
      </c>
      <c r="D12" s="68">
        <v>1</v>
      </c>
      <c r="E12" s="68" t="s">
        <v>421</v>
      </c>
    </row>
    <row r="13" spans="1:5">
      <c r="A13" s="68">
        <v>0.24542700000000001</v>
      </c>
      <c r="B13" s="68">
        <v>0.52715800000000002</v>
      </c>
      <c r="C13" s="68">
        <v>4.4680400000000002</v>
      </c>
      <c r="D13" s="68">
        <v>1</v>
      </c>
      <c r="E13" s="68" t="s">
        <v>422</v>
      </c>
    </row>
    <row r="14" spans="1:5">
      <c r="A14" s="68">
        <v>0.24859500000000001</v>
      </c>
      <c r="B14" s="68">
        <v>0.52055899999999999</v>
      </c>
      <c r="C14" s="68">
        <v>4.87521</v>
      </c>
      <c r="D14" s="68">
        <v>1</v>
      </c>
      <c r="E14" s="68" t="s">
        <v>423</v>
      </c>
    </row>
    <row r="15" spans="1:5">
      <c r="A15" s="68">
        <v>0.25133899999999998</v>
      </c>
      <c r="B15" s="68">
        <v>0.51505800000000002</v>
      </c>
      <c r="C15" s="68">
        <v>5.2808200000000003</v>
      </c>
      <c r="D15" s="68">
        <v>1</v>
      </c>
      <c r="E15" s="68" t="s">
        <v>424</v>
      </c>
    </row>
    <row r="16" spans="1:5">
      <c r="A16" s="68">
        <v>0.25371100000000002</v>
      </c>
      <c r="B16" s="68">
        <v>0.50927999999999995</v>
      </c>
      <c r="C16" s="68">
        <v>5.6897200000000003</v>
      </c>
      <c r="D16" s="68">
        <v>1</v>
      </c>
      <c r="E16" s="68" t="s">
        <v>425</v>
      </c>
    </row>
    <row r="17" spans="1:5">
      <c r="A17" s="68">
        <v>0.256075</v>
      </c>
      <c r="B17" s="68">
        <v>0.50338499999999997</v>
      </c>
      <c r="C17" s="68">
        <v>6.0936399999999997</v>
      </c>
      <c r="D17" s="68">
        <v>1</v>
      </c>
      <c r="E17" s="68" t="s">
        <v>426</v>
      </c>
    </row>
    <row r="18" spans="1:5">
      <c r="A18" s="68">
        <v>0.25834499999999999</v>
      </c>
      <c r="B18" s="68">
        <v>0.49797200000000003</v>
      </c>
      <c r="C18" s="68">
        <v>6.49756</v>
      </c>
      <c r="D18" s="68">
        <v>1</v>
      </c>
      <c r="E18" s="68" t="s">
        <v>427</v>
      </c>
    </row>
    <row r="19" spans="1:5">
      <c r="A19" s="68">
        <v>0.26045800000000002</v>
      </c>
      <c r="B19" s="68">
        <v>0.49237599999999998</v>
      </c>
      <c r="C19" s="68">
        <v>6.9072300000000002</v>
      </c>
      <c r="D19" s="68">
        <v>1</v>
      </c>
      <c r="E19" s="68" t="s">
        <v>428</v>
      </c>
    </row>
    <row r="20" spans="1:5">
      <c r="A20" s="68">
        <v>0.26257599999999998</v>
      </c>
      <c r="B20" s="68">
        <v>0.48591499999999999</v>
      </c>
      <c r="C20" s="68">
        <v>7.3134199999999998</v>
      </c>
      <c r="D20" s="68">
        <v>1</v>
      </c>
      <c r="E20" s="68" t="s">
        <v>429</v>
      </c>
    </row>
    <row r="21" spans="1:5">
      <c r="A21" s="68">
        <v>0.26461600000000002</v>
      </c>
      <c r="B21" s="68">
        <v>0.47936800000000002</v>
      </c>
      <c r="C21" s="68">
        <v>7.7192699999999999</v>
      </c>
      <c r="D21" s="68">
        <v>1</v>
      </c>
      <c r="E21" s="68" t="s">
        <v>430</v>
      </c>
    </row>
    <row r="22" spans="1:5">
      <c r="A22" s="68">
        <v>0.26670100000000002</v>
      </c>
      <c r="B22" s="68">
        <v>0.47317100000000001</v>
      </c>
      <c r="C22" s="68">
        <v>8.12622</v>
      </c>
      <c r="D22" s="68">
        <v>1</v>
      </c>
      <c r="E22" s="68" t="s">
        <v>431</v>
      </c>
    </row>
    <row r="23" spans="1:5">
      <c r="A23" s="68">
        <v>0.26875300000000002</v>
      </c>
      <c r="B23" s="68">
        <v>0.46714899999999998</v>
      </c>
      <c r="C23" s="68">
        <v>8.5321499999999997</v>
      </c>
      <c r="D23" s="68">
        <v>1</v>
      </c>
      <c r="E23" s="68" t="s">
        <v>432</v>
      </c>
    </row>
    <row r="24" spans="1:5">
      <c r="A24" s="68">
        <v>0.27090999999999998</v>
      </c>
      <c r="B24" s="68">
        <v>0.46108500000000002</v>
      </c>
      <c r="C24" s="68">
        <v>8.9365100000000002</v>
      </c>
      <c r="D24" s="68">
        <v>1</v>
      </c>
      <c r="E24" s="68" t="s">
        <v>433</v>
      </c>
    </row>
    <row r="25" spans="1:5">
      <c r="A25" s="68">
        <v>0.27310099999999998</v>
      </c>
      <c r="B25" s="68">
        <v>0.45498499999999997</v>
      </c>
      <c r="C25" s="68">
        <v>9.3439300000000003</v>
      </c>
      <c r="D25" s="68">
        <v>1</v>
      </c>
      <c r="E25" s="68" t="s">
        <v>434</v>
      </c>
    </row>
    <row r="26" spans="1:5">
      <c r="A26" s="68">
        <v>0.27524700000000002</v>
      </c>
      <c r="B26" s="68">
        <v>0.44919900000000001</v>
      </c>
      <c r="C26" s="68">
        <v>9.7478200000000008</v>
      </c>
      <c r="D26" s="68">
        <v>1</v>
      </c>
      <c r="E26" s="68" t="s">
        <v>435</v>
      </c>
    </row>
    <row r="27" spans="1:5">
      <c r="A27" s="68">
        <v>0.277036</v>
      </c>
      <c r="B27" s="68">
        <v>0.44426199999999999</v>
      </c>
      <c r="C27" s="68">
        <v>10.1568</v>
      </c>
      <c r="D27" s="68">
        <v>1</v>
      </c>
      <c r="E27" s="68" t="s">
        <v>436</v>
      </c>
    </row>
    <row r="28" spans="1:5">
      <c r="A28" s="68">
        <v>0.27849200000000002</v>
      </c>
      <c r="B28" s="68">
        <v>0.439807</v>
      </c>
      <c r="C28" s="68">
        <v>10.5627</v>
      </c>
      <c r="D28" s="68">
        <v>1</v>
      </c>
      <c r="E28" s="68" t="s">
        <v>437</v>
      </c>
    </row>
    <row r="29" spans="1:5">
      <c r="A29" s="68">
        <v>0.27964499999999998</v>
      </c>
      <c r="B29" s="68">
        <v>0.436172</v>
      </c>
      <c r="C29" s="68">
        <v>10.9701</v>
      </c>
      <c r="D29" s="68">
        <v>1</v>
      </c>
      <c r="E29" s="68" t="s">
        <v>438</v>
      </c>
    </row>
    <row r="30" spans="1:5">
      <c r="A30" s="68">
        <v>0.28054099999999998</v>
      </c>
      <c r="B30" s="68">
        <v>0.43279600000000001</v>
      </c>
      <c r="C30" s="68">
        <v>11.375500000000001</v>
      </c>
      <c r="D30" s="68">
        <v>1</v>
      </c>
      <c r="E30" s="68" t="s">
        <v>439</v>
      </c>
    </row>
    <row r="31" spans="1:5">
      <c r="A31" s="68">
        <v>0.28128199999999998</v>
      </c>
      <c r="B31" s="68">
        <v>0.42992200000000003</v>
      </c>
      <c r="C31" s="68">
        <v>11.782500000000001</v>
      </c>
      <c r="D31" s="68">
        <v>1</v>
      </c>
      <c r="E31" s="68" t="s">
        <v>440</v>
      </c>
    </row>
    <row r="32" spans="1:5">
      <c r="A32" s="68">
        <v>0.28195900000000002</v>
      </c>
      <c r="B32" s="68">
        <v>0.42780800000000002</v>
      </c>
      <c r="C32" s="68">
        <v>12.1904</v>
      </c>
      <c r="D32" s="68">
        <v>1</v>
      </c>
      <c r="E32" s="68" t="s">
        <v>441</v>
      </c>
    </row>
    <row r="33" spans="1:5">
      <c r="A33" s="68">
        <v>0.28267799999999998</v>
      </c>
      <c r="B33" s="68">
        <v>0.42610799999999999</v>
      </c>
      <c r="C33" s="68">
        <v>12.593299999999999</v>
      </c>
      <c r="D33" s="68">
        <v>1</v>
      </c>
      <c r="E33" s="68" t="s">
        <v>442</v>
      </c>
    </row>
    <row r="34" spans="1:5">
      <c r="A34" s="68">
        <v>0.28301999999999999</v>
      </c>
      <c r="B34" s="68">
        <v>0.425008</v>
      </c>
      <c r="C34" s="68">
        <v>12.998100000000001</v>
      </c>
      <c r="D34" s="68">
        <v>1</v>
      </c>
      <c r="E34" s="68" t="s">
        <v>443</v>
      </c>
    </row>
    <row r="35" spans="1:5">
      <c r="A35" s="68">
        <v>0.28304400000000002</v>
      </c>
      <c r="B35" s="68">
        <v>0.42461100000000002</v>
      </c>
      <c r="C35" s="68">
        <v>13.4054</v>
      </c>
      <c r="D35" s="68">
        <v>1</v>
      </c>
      <c r="E35" s="68" t="s">
        <v>444</v>
      </c>
    </row>
    <row r="36" spans="1:5">
      <c r="A36" s="68">
        <v>0.28299299999999999</v>
      </c>
      <c r="B36" s="68">
        <v>0.42442999999999997</v>
      </c>
      <c r="C36" s="68">
        <v>13.814</v>
      </c>
      <c r="D36" s="68">
        <v>1</v>
      </c>
      <c r="E36" s="68" t="s">
        <v>445</v>
      </c>
    </row>
    <row r="37" spans="1:5">
      <c r="A37" s="68">
        <v>0.28287600000000002</v>
      </c>
      <c r="B37" s="68">
        <v>0.42447600000000002</v>
      </c>
      <c r="C37" s="68">
        <v>14.2202</v>
      </c>
      <c r="D37" s="68">
        <v>1</v>
      </c>
      <c r="E37" s="68" t="s">
        <v>446</v>
      </c>
    </row>
    <row r="38" spans="1:5">
      <c r="A38" s="68">
        <v>0.282611</v>
      </c>
      <c r="B38" s="68">
        <v>0.424877</v>
      </c>
      <c r="C38" s="68">
        <v>14.6228</v>
      </c>
      <c r="D38" s="68">
        <v>1</v>
      </c>
      <c r="E38" s="68" t="s">
        <v>447</v>
      </c>
    </row>
    <row r="39" spans="1:5">
      <c r="A39" s="68">
        <v>0.28248000000000001</v>
      </c>
      <c r="B39" s="68">
        <v>0.42556300000000002</v>
      </c>
      <c r="C39" s="68">
        <v>15.0288</v>
      </c>
      <c r="D39" s="68">
        <v>1</v>
      </c>
      <c r="E39" s="68" t="s">
        <v>448</v>
      </c>
    </row>
    <row r="40" spans="1:5">
      <c r="A40" s="68">
        <v>0.28253600000000001</v>
      </c>
      <c r="B40" s="68">
        <v>0.426456</v>
      </c>
      <c r="C40" s="68">
        <v>15.4358</v>
      </c>
      <c r="D40" s="68">
        <v>1</v>
      </c>
      <c r="E40" s="68" t="s">
        <v>449</v>
      </c>
    </row>
    <row r="41" spans="1:5">
      <c r="A41" s="68">
        <v>0.28253</v>
      </c>
      <c r="B41" s="68">
        <v>0.42758099999999999</v>
      </c>
      <c r="C41" s="68">
        <v>15.8445</v>
      </c>
      <c r="D41" s="68">
        <v>1</v>
      </c>
      <c r="E41" s="68" t="s">
        <v>450</v>
      </c>
    </row>
    <row r="42" spans="1:5">
      <c r="A42" s="68">
        <v>0.282443</v>
      </c>
      <c r="B42" s="68">
        <v>0.428929</v>
      </c>
      <c r="C42" s="68">
        <v>16.2515</v>
      </c>
      <c r="D42" s="68">
        <v>1</v>
      </c>
      <c r="E42" s="68" t="s">
        <v>451</v>
      </c>
    </row>
    <row r="43" spans="1:5">
      <c r="A43" s="68">
        <v>0.28226699999999999</v>
      </c>
      <c r="B43" s="68">
        <v>0.43022100000000002</v>
      </c>
      <c r="C43" s="68">
        <v>16.6554</v>
      </c>
      <c r="D43" s="68">
        <v>1</v>
      </c>
      <c r="E43" s="68" t="s">
        <v>452</v>
      </c>
    </row>
    <row r="44" spans="1:5">
      <c r="A44" s="68">
        <v>0.28187000000000001</v>
      </c>
      <c r="B44" s="68">
        <v>0.43176999999999999</v>
      </c>
      <c r="C44" s="68">
        <v>17.063400000000001</v>
      </c>
      <c r="D44" s="68">
        <v>1</v>
      </c>
      <c r="E44" s="68" t="s">
        <v>453</v>
      </c>
    </row>
    <row r="45" spans="1:5">
      <c r="A45" s="68">
        <v>0.28070299999999998</v>
      </c>
      <c r="B45" s="68">
        <v>0.43344899999999997</v>
      </c>
      <c r="C45" s="68">
        <v>17.470400000000001</v>
      </c>
      <c r="D45" s="68">
        <v>1</v>
      </c>
      <c r="E45" s="68" t="s">
        <v>454</v>
      </c>
    </row>
    <row r="46" spans="1:5">
      <c r="A46" s="68">
        <v>0.27931</v>
      </c>
      <c r="B46" s="68">
        <v>0.43551899999999999</v>
      </c>
      <c r="C46" s="68">
        <v>17.877099999999999</v>
      </c>
      <c r="D46" s="68">
        <v>1</v>
      </c>
      <c r="E46" s="68" t="s">
        <v>455</v>
      </c>
    </row>
    <row r="47" spans="1:5">
      <c r="A47" s="68">
        <v>0.27776200000000001</v>
      </c>
      <c r="B47" s="68">
        <v>0.43775500000000001</v>
      </c>
      <c r="C47" s="68">
        <v>18.284099999999999</v>
      </c>
      <c r="D47" s="68">
        <v>1</v>
      </c>
      <c r="E47" s="68" t="s">
        <v>456</v>
      </c>
    </row>
    <row r="48" spans="1:5">
      <c r="A48" s="68">
        <v>0.27616499999999999</v>
      </c>
      <c r="B48" s="68">
        <v>0.44011499999999998</v>
      </c>
      <c r="C48" s="68">
        <v>18.690000000000001</v>
      </c>
      <c r="D48" s="68">
        <v>1</v>
      </c>
      <c r="E48" s="68" t="s">
        <v>457</v>
      </c>
    </row>
    <row r="49" spans="1:5">
      <c r="A49" s="68">
        <v>0.27448400000000001</v>
      </c>
      <c r="B49" s="68">
        <v>0.44301099999999999</v>
      </c>
      <c r="C49" s="68">
        <v>19.094999999999999</v>
      </c>
      <c r="D49" s="68">
        <v>1</v>
      </c>
      <c r="E49" s="68" t="s">
        <v>458</v>
      </c>
    </row>
    <row r="50" spans="1:5">
      <c r="A50" s="68">
        <v>0.27260200000000001</v>
      </c>
      <c r="B50" s="68">
        <v>0.446635</v>
      </c>
      <c r="C50" s="68">
        <v>19.496400000000001</v>
      </c>
      <c r="D50" s="68">
        <v>1</v>
      </c>
      <c r="E50" s="68" t="s">
        <v>459</v>
      </c>
    </row>
    <row r="51" spans="1:5">
      <c r="A51" s="68">
        <v>0.27060499999999998</v>
      </c>
      <c r="B51" s="68">
        <v>0.45072899999999999</v>
      </c>
      <c r="C51" s="68">
        <v>19.910699999999999</v>
      </c>
      <c r="D51" s="68">
        <v>1</v>
      </c>
      <c r="E51" s="68" t="s">
        <v>460</v>
      </c>
    </row>
    <row r="52" spans="1:5">
      <c r="A52" s="68">
        <v>0.26921099999999998</v>
      </c>
      <c r="B52" s="68">
        <v>0.45402100000000001</v>
      </c>
      <c r="C52" s="68">
        <v>20.314699999999998</v>
      </c>
      <c r="D52" s="68">
        <v>1</v>
      </c>
      <c r="E52" s="68" t="s">
        <v>461</v>
      </c>
    </row>
    <row r="53" spans="1:5">
      <c r="A53" s="68">
        <v>0.26734799999999997</v>
      </c>
      <c r="B53" s="68">
        <v>0.45801999999999998</v>
      </c>
      <c r="C53" s="68">
        <v>20.718599999999999</v>
      </c>
      <c r="D53" s="68">
        <v>1</v>
      </c>
      <c r="E53" s="68" t="s">
        <v>462</v>
      </c>
    </row>
    <row r="54" spans="1:5">
      <c r="A54" s="68">
        <v>0.26519300000000001</v>
      </c>
      <c r="B54" s="68">
        <v>0.46171499999999999</v>
      </c>
      <c r="C54" s="68">
        <v>21.124500000000001</v>
      </c>
      <c r="D54" s="68">
        <v>1</v>
      </c>
      <c r="E54" s="68" t="s">
        <v>463</v>
      </c>
    </row>
    <row r="55" spans="1:5">
      <c r="A55" s="68">
        <v>0.26415899999999998</v>
      </c>
      <c r="B55" s="68">
        <v>0.46427499999999999</v>
      </c>
      <c r="C55" s="68">
        <v>21.529599999999999</v>
      </c>
      <c r="D55" s="68">
        <v>1</v>
      </c>
      <c r="E55" s="68" t="s">
        <v>464</v>
      </c>
    </row>
    <row r="56" spans="1:5">
      <c r="A56" s="68">
        <v>0.26261899999999999</v>
      </c>
      <c r="B56" s="68">
        <v>0.46715699999999999</v>
      </c>
      <c r="C56" s="68">
        <v>21.9343</v>
      </c>
      <c r="D56" s="68">
        <v>1</v>
      </c>
      <c r="E56" s="68" t="s">
        <v>465</v>
      </c>
    </row>
    <row r="57" spans="1:5">
      <c r="A57" s="68">
        <v>0.26030700000000001</v>
      </c>
      <c r="B57" s="68">
        <v>0.470358</v>
      </c>
      <c r="C57" s="68">
        <v>22.345199999999998</v>
      </c>
      <c r="D57" s="68">
        <v>1</v>
      </c>
      <c r="E57" s="68" t="s">
        <v>466</v>
      </c>
    </row>
    <row r="58" spans="1:5">
      <c r="A58" s="68">
        <v>0.25831900000000002</v>
      </c>
      <c r="B58" s="68">
        <v>0.47309499999999999</v>
      </c>
      <c r="C58" s="68">
        <v>22.7501</v>
      </c>
      <c r="D58" s="68">
        <v>1</v>
      </c>
      <c r="E58" s="68" t="s">
        <v>467</v>
      </c>
    </row>
    <row r="59" spans="1:5">
      <c r="A59" s="68">
        <v>0.25683299999999998</v>
      </c>
      <c r="B59" s="68">
        <v>0.47538000000000002</v>
      </c>
      <c r="C59" s="68">
        <v>23.154199999999999</v>
      </c>
      <c r="D59" s="68">
        <v>1</v>
      </c>
      <c r="E59" s="68" t="s">
        <v>468</v>
      </c>
    </row>
    <row r="60" spans="1:5">
      <c r="A60" s="68">
        <v>0.254853</v>
      </c>
      <c r="B60" s="68">
        <v>0.47790700000000003</v>
      </c>
      <c r="C60" s="68">
        <v>23.5579</v>
      </c>
      <c r="D60" s="68">
        <v>1</v>
      </c>
      <c r="E60" s="68" t="s">
        <v>469</v>
      </c>
    </row>
    <row r="61" spans="1:5">
      <c r="A61" s="68">
        <v>0.25288500000000003</v>
      </c>
      <c r="B61" s="68">
        <v>0.48030800000000001</v>
      </c>
      <c r="C61" s="68">
        <v>23.9679</v>
      </c>
      <c r="D61" s="68">
        <v>1</v>
      </c>
      <c r="E61" s="68" t="s">
        <v>470</v>
      </c>
    </row>
    <row r="62" spans="1:5">
      <c r="A62" s="68">
        <v>0.25095699999999999</v>
      </c>
      <c r="B62" s="68">
        <v>0.48281800000000002</v>
      </c>
      <c r="C62" s="68">
        <v>24.370899999999999</v>
      </c>
      <c r="D62" s="68">
        <v>1</v>
      </c>
      <c r="E62" s="68" t="s">
        <v>471</v>
      </c>
    </row>
    <row r="63" spans="1:5">
      <c r="A63" s="68">
        <v>0.249393</v>
      </c>
      <c r="B63" s="68">
        <v>0.48466700000000001</v>
      </c>
      <c r="C63" s="68">
        <v>24.779800000000002</v>
      </c>
      <c r="D63" s="68">
        <v>1</v>
      </c>
      <c r="E63" s="68" t="s">
        <v>472</v>
      </c>
    </row>
    <row r="64" spans="1:5">
      <c r="A64" s="68">
        <v>0.24795900000000001</v>
      </c>
      <c r="B64" s="68">
        <v>0.48627700000000001</v>
      </c>
      <c r="C64" s="68">
        <v>25.184899999999999</v>
      </c>
      <c r="D64" s="68">
        <v>1</v>
      </c>
      <c r="E64" s="68" t="s">
        <v>473</v>
      </c>
    </row>
    <row r="65" spans="1:5">
      <c r="A65" s="68">
        <v>0.24645900000000001</v>
      </c>
      <c r="B65" s="68">
        <v>0.48727100000000001</v>
      </c>
      <c r="C65" s="68">
        <v>25.595500000000001</v>
      </c>
      <c r="D65" s="68">
        <v>1</v>
      </c>
      <c r="E65" s="68" t="s">
        <v>474</v>
      </c>
    </row>
    <row r="66" spans="1:5">
      <c r="A66" s="68">
        <v>0.245445</v>
      </c>
      <c r="B66" s="68">
        <v>0.48824699999999999</v>
      </c>
      <c r="C66" s="68">
        <v>25.999400000000001</v>
      </c>
      <c r="D66" s="68">
        <v>1</v>
      </c>
      <c r="E66" s="68" t="s">
        <v>475</v>
      </c>
    </row>
    <row r="67" spans="1:5">
      <c r="A67" s="68">
        <v>0.244167</v>
      </c>
      <c r="B67" s="68">
        <v>0.48941800000000002</v>
      </c>
      <c r="C67" s="68">
        <v>26.404399999999999</v>
      </c>
      <c r="D67" s="68">
        <v>1</v>
      </c>
      <c r="E67" s="68" t="s">
        <v>476</v>
      </c>
    </row>
    <row r="68" spans="1:5">
      <c r="A68" s="68">
        <v>0.24263799999999999</v>
      </c>
      <c r="B68" s="68">
        <v>0.490479</v>
      </c>
      <c r="C68" s="68">
        <v>26.811299999999999</v>
      </c>
      <c r="D68" s="68">
        <v>1</v>
      </c>
      <c r="E68" s="68" t="s">
        <v>477</v>
      </c>
    </row>
    <row r="69" spans="1:5">
      <c r="A69" s="68">
        <v>0.24148600000000001</v>
      </c>
      <c r="B69" s="68">
        <v>0.49170599999999998</v>
      </c>
      <c r="C69" s="68">
        <v>27.217199999999998</v>
      </c>
      <c r="D69" s="68">
        <v>1</v>
      </c>
      <c r="E69" s="68" t="s">
        <v>478</v>
      </c>
    </row>
    <row r="70" spans="1:5">
      <c r="A70" s="68">
        <v>0.24057700000000001</v>
      </c>
      <c r="B70" s="68">
        <v>0.491923</v>
      </c>
      <c r="C70" s="68">
        <v>27.626100000000001</v>
      </c>
      <c r="D70" s="68">
        <v>1</v>
      </c>
      <c r="E70" s="68" t="s">
        <v>479</v>
      </c>
    </row>
    <row r="71" spans="1:5">
      <c r="A71" s="68">
        <v>0.240005</v>
      </c>
      <c r="B71" s="68">
        <v>0.49163499999999999</v>
      </c>
      <c r="C71" s="68">
        <v>28.029</v>
      </c>
      <c r="D71" s="68">
        <v>1</v>
      </c>
      <c r="E71" s="68" t="s">
        <v>480</v>
      </c>
    </row>
    <row r="72" spans="1:5">
      <c r="A72" s="68">
        <v>0.23963599999999999</v>
      </c>
      <c r="B72" s="68">
        <v>0.491006</v>
      </c>
      <c r="C72" s="68">
        <v>28.438600000000001</v>
      </c>
      <c r="D72" s="68">
        <v>1</v>
      </c>
      <c r="E72" s="68" t="s">
        <v>481</v>
      </c>
    </row>
    <row r="73" spans="1:5">
      <c r="A73" s="68">
        <v>0.239261</v>
      </c>
      <c r="B73" s="68">
        <v>0.49129</v>
      </c>
      <c r="C73" s="68">
        <v>28.8432</v>
      </c>
      <c r="D73" s="68">
        <v>1</v>
      </c>
      <c r="E73" s="68" t="s">
        <v>482</v>
      </c>
    </row>
    <row r="74" spans="1:5">
      <c r="A74" s="68">
        <v>0.238484</v>
      </c>
      <c r="B74" s="68">
        <v>0.49238300000000002</v>
      </c>
      <c r="C74" s="68">
        <v>29.251799999999999</v>
      </c>
      <c r="D74" s="68">
        <v>1</v>
      </c>
      <c r="E74" s="68" t="s">
        <v>483</v>
      </c>
    </row>
    <row r="75" spans="1:5">
      <c r="A75" s="68">
        <v>0.23771700000000001</v>
      </c>
      <c r="B75" s="68">
        <v>0.49313800000000002</v>
      </c>
      <c r="C75" s="68">
        <v>29.656700000000001</v>
      </c>
      <c r="D75" s="68">
        <v>1</v>
      </c>
      <c r="E75" s="68" t="s">
        <v>484</v>
      </c>
    </row>
    <row r="76" spans="1:5">
      <c r="A76" s="68">
        <v>0.23643500000000001</v>
      </c>
      <c r="B76" s="68">
        <v>0.49415999999999999</v>
      </c>
      <c r="C76" s="68">
        <v>30.064699999999998</v>
      </c>
      <c r="D76" s="68">
        <v>2</v>
      </c>
      <c r="E76" s="68" t="s">
        <v>485</v>
      </c>
    </row>
    <row r="77" spans="1:5">
      <c r="A77" s="68">
        <v>0.235537</v>
      </c>
      <c r="B77" s="68">
        <v>0.49473200000000001</v>
      </c>
      <c r="C77" s="68">
        <v>30.528300000000002</v>
      </c>
      <c r="D77" s="68">
        <v>2</v>
      </c>
      <c r="E77" s="68" t="s">
        <v>486</v>
      </c>
    </row>
    <row r="78" spans="1:5">
      <c r="A78" s="68">
        <v>0.23493800000000001</v>
      </c>
      <c r="B78" s="68">
        <v>0.49474299999999999</v>
      </c>
      <c r="C78" s="68">
        <v>30.936599999999999</v>
      </c>
      <c r="D78" s="68">
        <v>2</v>
      </c>
      <c r="E78" s="68" t="s">
        <v>487</v>
      </c>
    </row>
    <row r="79" spans="1:5">
      <c r="A79" s="68">
        <v>0.234402</v>
      </c>
      <c r="B79" s="68">
        <v>0.49435200000000001</v>
      </c>
      <c r="C79" s="68">
        <v>31.328099999999999</v>
      </c>
      <c r="D79" s="68">
        <v>2</v>
      </c>
      <c r="E79" s="68" t="s">
        <v>488</v>
      </c>
    </row>
    <row r="80" spans="1:5">
      <c r="A80" s="68">
        <v>0.23398099999999999</v>
      </c>
      <c r="B80" s="68">
        <v>0.49385400000000002</v>
      </c>
      <c r="C80" s="68">
        <v>31.7331</v>
      </c>
      <c r="D80" s="68">
        <v>2</v>
      </c>
      <c r="E80" s="68" t="s">
        <v>489</v>
      </c>
    </row>
    <row r="81" spans="1:5">
      <c r="A81" s="68">
        <v>0.2336</v>
      </c>
      <c r="B81" s="68">
        <v>0.49317100000000003</v>
      </c>
      <c r="C81" s="68">
        <v>32.1402</v>
      </c>
      <c r="D81" s="68">
        <v>2</v>
      </c>
      <c r="E81" s="68" t="s">
        <v>490</v>
      </c>
    </row>
    <row r="82" spans="1:5">
      <c r="A82" s="68">
        <v>0.233039</v>
      </c>
      <c r="B82" s="68">
        <v>0.49229499999999998</v>
      </c>
      <c r="C82" s="68">
        <v>32.546999999999997</v>
      </c>
      <c r="D82" s="68">
        <v>2</v>
      </c>
      <c r="E82" s="68" t="s">
        <v>491</v>
      </c>
    </row>
    <row r="83" spans="1:5">
      <c r="A83" s="68">
        <v>0.23249700000000001</v>
      </c>
      <c r="B83" s="68">
        <v>0.49133700000000002</v>
      </c>
      <c r="C83" s="68">
        <v>32.953899999999997</v>
      </c>
      <c r="D83" s="68">
        <v>2</v>
      </c>
      <c r="E83" s="68" t="s">
        <v>492</v>
      </c>
    </row>
    <row r="84" spans="1:5">
      <c r="A84" s="68">
        <v>0.23180899999999999</v>
      </c>
      <c r="B84" s="68">
        <v>0.49060500000000001</v>
      </c>
      <c r="C84" s="68">
        <v>33.356699999999996</v>
      </c>
      <c r="D84" s="68">
        <v>2</v>
      </c>
      <c r="E84" s="68" t="s">
        <v>493</v>
      </c>
    </row>
    <row r="85" spans="1:5">
      <c r="A85" s="68">
        <v>0.23117399999999999</v>
      </c>
      <c r="B85" s="68">
        <v>0.49013200000000001</v>
      </c>
      <c r="C85" s="68">
        <v>33.764600000000002</v>
      </c>
      <c r="D85" s="68">
        <v>2</v>
      </c>
      <c r="E85" s="68" t="s">
        <v>494</v>
      </c>
    </row>
    <row r="86" spans="1:5">
      <c r="A86" s="68">
        <v>0.23066999999999999</v>
      </c>
      <c r="B86" s="68">
        <v>0.489896</v>
      </c>
      <c r="C86" s="68">
        <v>34.171300000000002</v>
      </c>
      <c r="D86" s="68">
        <v>2</v>
      </c>
      <c r="E86" s="68" t="s">
        <v>495</v>
      </c>
    </row>
    <row r="87" spans="1:5">
      <c r="A87" s="68">
        <v>0.23025899999999999</v>
      </c>
      <c r="B87" s="68">
        <v>0.490068</v>
      </c>
      <c r="C87" s="68">
        <v>34.575499999999998</v>
      </c>
      <c r="D87" s="68">
        <v>2</v>
      </c>
      <c r="E87" s="68" t="s">
        <v>496</v>
      </c>
    </row>
    <row r="88" spans="1:5">
      <c r="A88" s="68">
        <v>0.22995199999999999</v>
      </c>
      <c r="B88" s="68">
        <v>0.49033900000000002</v>
      </c>
      <c r="C88" s="68">
        <v>34.986699999999999</v>
      </c>
      <c r="D88" s="68">
        <v>2</v>
      </c>
      <c r="E88" s="68" t="s">
        <v>497</v>
      </c>
    </row>
    <row r="89" spans="1:5">
      <c r="A89" s="68">
        <v>0.22989399999999999</v>
      </c>
      <c r="B89" s="68">
        <v>0.49076500000000001</v>
      </c>
      <c r="C89" s="68">
        <v>35.3904</v>
      </c>
      <c r="D89" s="68">
        <v>2</v>
      </c>
      <c r="E89" s="68" t="s">
        <v>498</v>
      </c>
    </row>
    <row r="90" spans="1:5">
      <c r="A90" s="68">
        <v>0.22986200000000001</v>
      </c>
      <c r="B90" s="68">
        <v>0.49168200000000001</v>
      </c>
      <c r="C90" s="68">
        <v>35.795200000000001</v>
      </c>
      <c r="D90" s="68">
        <v>2</v>
      </c>
      <c r="E90" s="68" t="s">
        <v>499</v>
      </c>
    </row>
    <row r="91" spans="1:5">
      <c r="A91" s="68">
        <v>0.22959399999999999</v>
      </c>
      <c r="B91" s="68">
        <v>0.49318600000000001</v>
      </c>
      <c r="C91" s="68">
        <v>36.203699999999998</v>
      </c>
      <c r="D91" s="68">
        <v>2</v>
      </c>
      <c r="E91" s="68" t="s">
        <v>500</v>
      </c>
    </row>
    <row r="92" spans="1:5">
      <c r="A92" s="68">
        <v>0.229321</v>
      </c>
      <c r="B92" s="68">
        <v>0.49459199999999998</v>
      </c>
      <c r="C92" s="68">
        <v>36.607999999999997</v>
      </c>
      <c r="D92" s="68">
        <v>2</v>
      </c>
      <c r="E92" s="68" t="s">
        <v>501</v>
      </c>
    </row>
    <row r="93" spans="1:5">
      <c r="A93" s="68">
        <v>0.22925400000000001</v>
      </c>
      <c r="B93" s="68">
        <v>0.49553900000000001</v>
      </c>
      <c r="C93" s="68">
        <v>37.018000000000001</v>
      </c>
      <c r="D93" s="68">
        <v>2</v>
      </c>
      <c r="E93" s="68" t="s">
        <v>502</v>
      </c>
    </row>
    <row r="94" spans="1:5">
      <c r="A94" s="68">
        <v>0.22933700000000001</v>
      </c>
      <c r="B94" s="68">
        <v>0.49599300000000002</v>
      </c>
      <c r="C94" s="68">
        <v>37.420200000000001</v>
      </c>
      <c r="D94" s="68">
        <v>2</v>
      </c>
      <c r="E94" s="68" t="s">
        <v>503</v>
      </c>
    </row>
    <row r="95" spans="1:5">
      <c r="A95" s="68">
        <v>0.229296</v>
      </c>
      <c r="B95" s="68">
        <v>0.49693300000000001</v>
      </c>
      <c r="C95" s="68">
        <v>37.826799999999999</v>
      </c>
      <c r="D95" s="68">
        <v>2</v>
      </c>
      <c r="E95" s="68" t="s">
        <v>504</v>
      </c>
    </row>
    <row r="96" spans="1:5">
      <c r="A96" s="68">
        <v>0.228851</v>
      </c>
      <c r="B96" s="68">
        <v>0.49876799999999999</v>
      </c>
      <c r="C96" s="68">
        <v>38.234000000000002</v>
      </c>
      <c r="D96" s="68">
        <v>2</v>
      </c>
      <c r="E96" s="68" t="s">
        <v>505</v>
      </c>
    </row>
    <row r="97" spans="1:5">
      <c r="A97" s="68">
        <v>0.22817200000000001</v>
      </c>
      <c r="B97" s="68">
        <v>0.50064799999999998</v>
      </c>
      <c r="C97" s="68">
        <v>38.642600000000002</v>
      </c>
      <c r="D97" s="68">
        <v>2</v>
      </c>
      <c r="E97" s="68" t="s">
        <v>506</v>
      </c>
    </row>
    <row r="98" spans="1:5">
      <c r="A98" s="68">
        <v>0.22711000000000001</v>
      </c>
      <c r="B98" s="68">
        <v>0.502606</v>
      </c>
      <c r="C98" s="68">
        <v>39.047600000000003</v>
      </c>
      <c r="D98" s="68">
        <v>2</v>
      </c>
      <c r="E98" s="68" t="s">
        <v>507</v>
      </c>
    </row>
    <row r="99" spans="1:5">
      <c r="A99" s="68">
        <v>0.22600700000000001</v>
      </c>
      <c r="B99" s="68">
        <v>0.50457700000000005</v>
      </c>
      <c r="C99" s="68">
        <v>39.455599999999997</v>
      </c>
      <c r="D99" s="68">
        <v>2</v>
      </c>
      <c r="E99" s="68" t="s">
        <v>508</v>
      </c>
    </row>
    <row r="100" spans="1:5">
      <c r="A100" s="68">
        <v>0.22505</v>
      </c>
      <c r="B100" s="68">
        <v>0.50621000000000005</v>
      </c>
      <c r="C100" s="68">
        <v>39.857300000000002</v>
      </c>
      <c r="D100" s="68">
        <v>2</v>
      </c>
      <c r="E100" s="68" t="s">
        <v>509</v>
      </c>
    </row>
    <row r="101" spans="1:5">
      <c r="A101" s="68">
        <v>0.224</v>
      </c>
      <c r="B101" s="68">
        <v>0.50805999999999996</v>
      </c>
      <c r="C101" s="68">
        <v>40.263199999999998</v>
      </c>
      <c r="D101" s="68">
        <v>2</v>
      </c>
      <c r="E101" s="68" t="s">
        <v>510</v>
      </c>
    </row>
    <row r="102" spans="1:5">
      <c r="A102" s="68">
        <v>0.222777</v>
      </c>
      <c r="B102" s="68">
        <v>0.51060300000000003</v>
      </c>
      <c r="C102" s="68">
        <v>40.668199999999999</v>
      </c>
      <c r="D102" s="68">
        <v>2</v>
      </c>
      <c r="E102" s="68" t="s">
        <v>511</v>
      </c>
    </row>
    <row r="103" spans="1:5">
      <c r="A103" s="68">
        <v>0.22170799999999999</v>
      </c>
      <c r="B103" s="68">
        <v>0.51202099999999995</v>
      </c>
      <c r="C103" s="68">
        <v>41.075099999999999</v>
      </c>
      <c r="D103" s="68">
        <v>2</v>
      </c>
      <c r="E103" s="68" t="s">
        <v>512</v>
      </c>
    </row>
    <row r="104" spans="1:5">
      <c r="A104" s="68">
        <v>0.22087000000000001</v>
      </c>
      <c r="B104" s="68">
        <v>0.51313299999999995</v>
      </c>
      <c r="C104" s="68">
        <v>41.482199999999999</v>
      </c>
      <c r="D104" s="68">
        <v>2</v>
      </c>
      <c r="E104" s="68" t="s">
        <v>513</v>
      </c>
    </row>
    <row r="105" spans="1:5">
      <c r="A105" s="68">
        <v>0.21986900000000001</v>
      </c>
      <c r="B105" s="68">
        <v>0.51405699999999999</v>
      </c>
      <c r="C105" s="68">
        <v>41.890999999999998</v>
      </c>
      <c r="D105" s="68">
        <v>2</v>
      </c>
      <c r="E105" s="68" t="s">
        <v>514</v>
      </c>
    </row>
    <row r="106" spans="1:5">
      <c r="A106" s="68">
        <v>0.21854000000000001</v>
      </c>
      <c r="B106" s="68">
        <v>0.51545600000000003</v>
      </c>
      <c r="C106" s="68">
        <v>42.294800000000002</v>
      </c>
      <c r="D106" s="68">
        <v>2</v>
      </c>
      <c r="E106" s="68" t="s">
        <v>515</v>
      </c>
    </row>
    <row r="107" spans="1:5">
      <c r="A107" s="68">
        <v>0.21740699999999999</v>
      </c>
      <c r="B107" s="68">
        <v>0.51715100000000003</v>
      </c>
      <c r="C107" s="68">
        <v>42.7029</v>
      </c>
      <c r="D107" s="68">
        <v>2</v>
      </c>
      <c r="E107" s="68" t="s">
        <v>516</v>
      </c>
    </row>
    <row r="108" spans="1:5">
      <c r="A108" s="68">
        <v>0.21635399999999999</v>
      </c>
      <c r="B108" s="68">
        <v>0.51909300000000003</v>
      </c>
      <c r="C108" s="68">
        <v>43.109699999999997</v>
      </c>
      <c r="D108" s="68">
        <v>2</v>
      </c>
      <c r="E108" s="68" t="s">
        <v>517</v>
      </c>
    </row>
    <row r="109" spans="1:5">
      <c r="A109" s="68">
        <v>0.215502</v>
      </c>
      <c r="B109" s="68">
        <v>0.52030100000000001</v>
      </c>
      <c r="C109" s="68">
        <v>43.5167</v>
      </c>
      <c r="D109" s="68">
        <v>2</v>
      </c>
      <c r="E109" s="68" t="s">
        <v>518</v>
      </c>
    </row>
    <row r="110" spans="1:5">
      <c r="A110" s="68">
        <v>0.21463199999999999</v>
      </c>
      <c r="B110" s="68">
        <v>0.52177600000000002</v>
      </c>
      <c r="C110" s="68">
        <v>43.921500000000002</v>
      </c>
      <c r="D110" s="68">
        <v>2</v>
      </c>
      <c r="E110" s="68" t="s">
        <v>519</v>
      </c>
    </row>
    <row r="111" spans="1:5">
      <c r="A111" s="68">
        <v>0.21364900000000001</v>
      </c>
      <c r="B111" s="68">
        <v>0.52386699999999997</v>
      </c>
      <c r="C111" s="68">
        <v>44.326500000000003</v>
      </c>
      <c r="D111" s="68">
        <v>2</v>
      </c>
      <c r="E111" s="68" t="s">
        <v>520</v>
      </c>
    </row>
    <row r="112" spans="1:5">
      <c r="A112" s="68">
        <v>0.21245800000000001</v>
      </c>
      <c r="B112" s="68">
        <v>0.52634899999999996</v>
      </c>
      <c r="C112" s="68">
        <v>44.737499999999997</v>
      </c>
      <c r="D112" s="68">
        <v>2</v>
      </c>
      <c r="E112" s="68" t="s">
        <v>521</v>
      </c>
    </row>
    <row r="113" spans="1:5">
      <c r="A113" s="68">
        <v>0.211092</v>
      </c>
      <c r="B113" s="68">
        <v>0.52937800000000002</v>
      </c>
      <c r="C113" s="68">
        <v>45.141300000000001</v>
      </c>
      <c r="D113" s="68">
        <v>2</v>
      </c>
      <c r="E113" s="68" t="s">
        <v>522</v>
      </c>
    </row>
    <row r="114" spans="1:5">
      <c r="A114" s="68">
        <v>0.20927599999999999</v>
      </c>
      <c r="B114" s="68">
        <v>0.53342000000000001</v>
      </c>
      <c r="C114" s="68">
        <v>45.5471</v>
      </c>
      <c r="D114" s="68">
        <v>2</v>
      </c>
      <c r="E114" s="68" t="s">
        <v>523</v>
      </c>
    </row>
    <row r="115" spans="1:5">
      <c r="A115" s="68">
        <v>0.20740800000000001</v>
      </c>
      <c r="B115" s="68">
        <v>0.53776599999999997</v>
      </c>
      <c r="C115" s="68">
        <v>45.953400000000002</v>
      </c>
      <c r="D115" s="68">
        <v>2</v>
      </c>
      <c r="E115" s="68" t="s">
        <v>524</v>
      </c>
    </row>
    <row r="116" spans="1:5">
      <c r="A116" s="68">
        <v>0.20563200000000001</v>
      </c>
      <c r="B116" s="68">
        <v>0.54207799999999995</v>
      </c>
      <c r="C116" s="68">
        <v>46.3581</v>
      </c>
      <c r="D116" s="68">
        <v>2</v>
      </c>
      <c r="E116" s="68" t="s">
        <v>525</v>
      </c>
    </row>
    <row r="117" spans="1:5">
      <c r="A117" s="68">
        <v>0.20410700000000001</v>
      </c>
      <c r="B117" s="68">
        <v>0.54602499999999998</v>
      </c>
      <c r="C117" s="68">
        <v>46.765000000000001</v>
      </c>
      <c r="D117" s="68">
        <v>2</v>
      </c>
      <c r="E117" s="68" t="s">
        <v>526</v>
      </c>
    </row>
    <row r="118" spans="1:5">
      <c r="A118" s="68">
        <v>0.202596</v>
      </c>
      <c r="B118" s="68">
        <v>0.55037899999999995</v>
      </c>
      <c r="C118" s="68">
        <v>47.170900000000003</v>
      </c>
      <c r="D118" s="68">
        <v>2</v>
      </c>
      <c r="E118" s="68" t="s">
        <v>527</v>
      </c>
    </row>
    <row r="119" spans="1:5">
      <c r="A119" s="68">
        <v>0.20121900000000001</v>
      </c>
      <c r="B119" s="68">
        <v>0.55483800000000005</v>
      </c>
      <c r="C119" s="68">
        <v>47.573799999999999</v>
      </c>
      <c r="D119" s="68">
        <v>2</v>
      </c>
      <c r="E119" s="68" t="s">
        <v>528</v>
      </c>
    </row>
    <row r="120" spans="1:5">
      <c r="A120" s="68">
        <v>0.19986200000000001</v>
      </c>
      <c r="B120" s="68">
        <v>0.55937300000000001</v>
      </c>
      <c r="C120" s="68">
        <v>47.985700000000001</v>
      </c>
      <c r="D120" s="68">
        <v>2</v>
      </c>
      <c r="E120" s="68" t="s">
        <v>529</v>
      </c>
    </row>
    <row r="121" spans="1:5">
      <c r="A121" s="68">
        <v>0.19892699999999999</v>
      </c>
      <c r="B121" s="68">
        <v>0.56307799999999997</v>
      </c>
      <c r="C121" s="68">
        <v>48.390599999999999</v>
      </c>
      <c r="D121" s="68">
        <v>2</v>
      </c>
      <c r="E121" s="68" t="s">
        <v>530</v>
      </c>
    </row>
    <row r="122" spans="1:5">
      <c r="A122" s="68">
        <v>0.198266</v>
      </c>
      <c r="B122" s="68">
        <v>0.56595499999999999</v>
      </c>
      <c r="C122" s="68">
        <v>48.796500000000002</v>
      </c>
      <c r="D122" s="68">
        <v>2</v>
      </c>
      <c r="E122" s="68" t="s">
        <v>531</v>
      </c>
    </row>
    <row r="123" spans="1:5">
      <c r="A123" s="68">
        <v>0.19808700000000001</v>
      </c>
      <c r="B123" s="68">
        <v>0.56748200000000004</v>
      </c>
      <c r="C123" s="68">
        <v>49.2014</v>
      </c>
      <c r="D123" s="68">
        <v>2</v>
      </c>
      <c r="E123" s="68" t="s">
        <v>532</v>
      </c>
    </row>
    <row r="124" spans="1:5">
      <c r="A124" s="68">
        <v>0.19830700000000001</v>
      </c>
      <c r="B124" s="68">
        <v>0.56781999999999999</v>
      </c>
      <c r="C124" s="68">
        <v>49.606400000000001</v>
      </c>
      <c r="D124" s="68">
        <v>2</v>
      </c>
      <c r="E124" s="68" t="s">
        <v>533</v>
      </c>
    </row>
    <row r="125" spans="1:5">
      <c r="A125" s="68">
        <v>0.19875899999999999</v>
      </c>
      <c r="B125" s="68">
        <v>0.56792100000000001</v>
      </c>
      <c r="C125" s="68">
        <v>50.013199999999998</v>
      </c>
      <c r="D125" s="68">
        <v>2</v>
      </c>
      <c r="E125" s="68" t="s">
        <v>534</v>
      </c>
    </row>
    <row r="126" spans="1:5">
      <c r="A126" s="68">
        <v>0.19863800000000001</v>
      </c>
      <c r="B126" s="68">
        <v>0.56797200000000003</v>
      </c>
      <c r="C126" s="68">
        <v>50.423200000000001</v>
      </c>
      <c r="D126" s="68">
        <v>2</v>
      </c>
      <c r="E126" s="68" t="s">
        <v>535</v>
      </c>
    </row>
    <row r="127" spans="1:5">
      <c r="A127" s="68">
        <v>0.19858600000000001</v>
      </c>
      <c r="B127" s="68">
        <v>0.56758799999999998</v>
      </c>
      <c r="C127" s="68">
        <v>50.829099999999997</v>
      </c>
      <c r="D127" s="68">
        <v>2</v>
      </c>
      <c r="E127" s="68" t="s">
        <v>536</v>
      </c>
    </row>
    <row r="128" spans="1:5">
      <c r="A128" s="68">
        <v>0.198688</v>
      </c>
      <c r="B128" s="68">
        <v>0.56825000000000003</v>
      </c>
      <c r="C128" s="68">
        <v>51.234000000000002</v>
      </c>
      <c r="D128" s="68">
        <v>2</v>
      </c>
      <c r="E128" s="68" t="s">
        <v>537</v>
      </c>
    </row>
    <row r="129" spans="1:5">
      <c r="A129" s="68">
        <v>0.19867099999999999</v>
      </c>
      <c r="B129" s="68">
        <v>0.56989699999999999</v>
      </c>
      <c r="C129" s="68">
        <v>51.6402</v>
      </c>
      <c r="D129" s="68">
        <v>2</v>
      </c>
      <c r="E129" s="68" t="s">
        <v>538</v>
      </c>
    </row>
    <row r="130" spans="1:5">
      <c r="A130" s="68">
        <v>0.19889999999999999</v>
      </c>
      <c r="B130" s="68">
        <v>0.57154400000000005</v>
      </c>
      <c r="C130" s="68">
        <v>52.0488</v>
      </c>
      <c r="D130" s="68">
        <v>2</v>
      </c>
      <c r="E130" s="68" t="s">
        <v>539</v>
      </c>
    </row>
    <row r="131" spans="1:5">
      <c r="A131" s="68">
        <v>0.19944100000000001</v>
      </c>
      <c r="B131" s="68">
        <v>0.57268300000000005</v>
      </c>
      <c r="C131" s="68">
        <v>52.4497</v>
      </c>
      <c r="D131" s="68">
        <v>2</v>
      </c>
      <c r="E131" s="68" t="s">
        <v>540</v>
      </c>
    </row>
    <row r="132" spans="1:5">
      <c r="A132" s="68">
        <v>0.199929</v>
      </c>
      <c r="B132" s="68">
        <v>0.57398199999999999</v>
      </c>
      <c r="C132" s="68">
        <v>52.8596</v>
      </c>
      <c r="D132" s="68">
        <v>2</v>
      </c>
      <c r="E132" s="68" t="s">
        <v>541</v>
      </c>
    </row>
    <row r="133" spans="1:5">
      <c r="A133" s="68">
        <v>0.20039999999999999</v>
      </c>
      <c r="B133" s="68">
        <v>0.57530499999999996</v>
      </c>
      <c r="C133" s="68">
        <v>53.265999999999998</v>
      </c>
      <c r="D133" s="68">
        <v>2</v>
      </c>
      <c r="E133" s="68" t="s">
        <v>542</v>
      </c>
    </row>
    <row r="134" spans="1:5">
      <c r="A134" s="68">
        <v>0.20102100000000001</v>
      </c>
      <c r="B134" s="68">
        <v>0.57665699999999998</v>
      </c>
      <c r="C134" s="68">
        <v>53.6706</v>
      </c>
      <c r="D134" s="68">
        <v>2</v>
      </c>
      <c r="E134" s="68" t="s">
        <v>543</v>
      </c>
    </row>
    <row r="135" spans="1:5">
      <c r="A135" s="68">
        <v>0.20163800000000001</v>
      </c>
      <c r="B135" s="68">
        <v>0.57784000000000002</v>
      </c>
      <c r="C135" s="68">
        <v>54.079300000000003</v>
      </c>
      <c r="D135" s="68">
        <v>2</v>
      </c>
      <c r="E135" s="68" t="s">
        <v>544</v>
      </c>
    </row>
    <row r="136" spans="1:5">
      <c r="A136" s="68">
        <v>0.202184</v>
      </c>
      <c r="B136" s="68">
        <v>0.57853600000000005</v>
      </c>
      <c r="C136" s="68">
        <v>54.482399999999998</v>
      </c>
      <c r="D136" s="68">
        <v>2</v>
      </c>
      <c r="E136" s="68" t="s">
        <v>545</v>
      </c>
    </row>
    <row r="137" spans="1:5">
      <c r="A137" s="68">
        <v>0.20271400000000001</v>
      </c>
      <c r="B137" s="68">
        <v>0.57911999999999997</v>
      </c>
      <c r="C137" s="68">
        <v>54.8874</v>
      </c>
      <c r="D137" s="68">
        <v>2</v>
      </c>
      <c r="E137" s="68" t="s">
        <v>546</v>
      </c>
    </row>
    <row r="138" spans="1:5">
      <c r="A138" s="68">
        <v>0.203234</v>
      </c>
      <c r="B138" s="68">
        <v>0.579434</v>
      </c>
      <c r="C138" s="68">
        <v>55.298099999999998</v>
      </c>
      <c r="D138" s="68">
        <v>2</v>
      </c>
      <c r="E138" s="68" t="s">
        <v>547</v>
      </c>
    </row>
    <row r="139" spans="1:5">
      <c r="A139" s="68">
        <v>0.204013</v>
      </c>
      <c r="B139" s="68">
        <v>0.57908899999999996</v>
      </c>
      <c r="C139" s="68">
        <v>55.702199999999998</v>
      </c>
      <c r="D139" s="68">
        <v>2</v>
      </c>
      <c r="E139" s="68" t="s">
        <v>548</v>
      </c>
    </row>
    <row r="140" spans="1:5">
      <c r="A140" s="68">
        <v>0.204927</v>
      </c>
      <c r="B140" s="68">
        <v>0.57845999999999997</v>
      </c>
      <c r="C140" s="68">
        <v>56.109000000000002</v>
      </c>
      <c r="D140" s="68">
        <v>2</v>
      </c>
      <c r="E140" s="68" t="s">
        <v>549</v>
      </c>
    </row>
    <row r="141" spans="1:5">
      <c r="A141" s="68">
        <v>0.206092</v>
      </c>
      <c r="B141" s="68">
        <v>0.57744600000000001</v>
      </c>
      <c r="C141" s="68">
        <v>56.514800000000001</v>
      </c>
      <c r="D141" s="68">
        <v>2</v>
      </c>
      <c r="E141" s="68" t="s">
        <v>550</v>
      </c>
    </row>
    <row r="142" spans="1:5">
      <c r="A142" s="68">
        <v>0.207201</v>
      </c>
      <c r="B142" s="68">
        <v>0.57651399999999997</v>
      </c>
      <c r="C142" s="68">
        <v>56.923699999999997</v>
      </c>
      <c r="D142" s="68">
        <v>2</v>
      </c>
      <c r="E142" s="68" t="s">
        <v>551</v>
      </c>
    </row>
    <row r="143" spans="1:5">
      <c r="A143" s="68">
        <v>0.208513</v>
      </c>
      <c r="B143" s="68">
        <v>0.57541399999999998</v>
      </c>
      <c r="C143" s="68">
        <v>57.3277</v>
      </c>
      <c r="D143" s="68">
        <v>2</v>
      </c>
      <c r="E143" s="68" t="s">
        <v>552</v>
      </c>
    </row>
    <row r="144" spans="1:5">
      <c r="A144" s="68">
        <v>0.20976600000000001</v>
      </c>
      <c r="B144" s="68">
        <v>0.57422700000000004</v>
      </c>
      <c r="C144" s="68">
        <v>57.7316</v>
      </c>
      <c r="D144" s="68">
        <v>2</v>
      </c>
      <c r="E144" s="68" t="s">
        <v>553</v>
      </c>
    </row>
    <row r="145" spans="1:5">
      <c r="A145" s="68">
        <v>0.21149999999999999</v>
      </c>
      <c r="B145" s="68">
        <v>0.57180200000000003</v>
      </c>
      <c r="C145" s="68">
        <v>58.137599999999999</v>
      </c>
      <c r="D145" s="68">
        <v>2</v>
      </c>
      <c r="E145" s="68" t="s">
        <v>554</v>
      </c>
    </row>
    <row r="146" spans="1:5">
      <c r="A146" s="68">
        <v>0.212371</v>
      </c>
      <c r="B146" s="68">
        <v>0.569739</v>
      </c>
      <c r="C146" s="68">
        <v>58.552500000000002</v>
      </c>
      <c r="D146" s="68">
        <v>2</v>
      </c>
      <c r="E146" s="68" t="s">
        <v>555</v>
      </c>
    </row>
    <row r="147" spans="1:5">
      <c r="A147" s="68">
        <v>0.213197</v>
      </c>
      <c r="B147" s="68">
        <v>0.567824</v>
      </c>
      <c r="C147" s="68">
        <v>58.955399999999997</v>
      </c>
      <c r="D147" s="68">
        <v>2</v>
      </c>
      <c r="E147" s="68" t="s">
        <v>556</v>
      </c>
    </row>
    <row r="148" spans="1:5">
      <c r="A148" s="68">
        <v>0.21403900000000001</v>
      </c>
      <c r="B148" s="68">
        <v>0.56565299999999996</v>
      </c>
      <c r="C148" s="68">
        <v>59.359299999999998</v>
      </c>
      <c r="D148" s="68">
        <v>2</v>
      </c>
      <c r="E148" s="68" t="s">
        <v>557</v>
      </c>
    </row>
    <row r="149" spans="1:5">
      <c r="A149" s="68">
        <v>0.21454300000000001</v>
      </c>
      <c r="B149" s="68">
        <v>0.56422099999999997</v>
      </c>
      <c r="C149" s="68">
        <v>59.764200000000002</v>
      </c>
      <c r="D149" s="68">
        <v>2</v>
      </c>
      <c r="E149" s="68" t="s">
        <v>558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408</v>
      </c>
      <c r="B1" s="66" t="s">
        <v>559</v>
      </c>
      <c r="C1" s="66" t="s">
        <v>561</v>
      </c>
      <c r="D1" s="66" t="s">
        <v>562</v>
      </c>
      <c r="E1" s="66" t="s">
        <v>563</v>
      </c>
      <c r="F1" s="66" t="s">
        <v>293</v>
      </c>
      <c r="G1" s="66" t="s">
        <v>294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43608.384085648147</v>
      </c>
      <c r="B2" s="66" t="s">
        <v>560</v>
      </c>
      <c r="C2" s="66"/>
      <c r="D2" s="66"/>
      <c r="E2" s="66">
        <v>4.9234099999999996</v>
      </c>
      <c r="F2" s="66">
        <v>1.0903400000000001</v>
      </c>
      <c r="G2" s="66">
        <v>0.47969600000000001</v>
      </c>
      <c r="H2" s="66">
        <v>0</v>
      </c>
      <c r="I2" s="66">
        <v>70108</v>
      </c>
      <c r="J2" s="66">
        <v>55</v>
      </c>
      <c r="K2" s="66">
        <v>55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2019-05-23T01:13:37Z</cp:lastPrinted>
  <dcterms:created xsi:type="dcterms:W3CDTF">2010-10-29T12:53:05Z</dcterms:created>
  <dcterms:modified xsi:type="dcterms:W3CDTF">2019-05-23T01:13:55Z</dcterms:modified>
</cp:coreProperties>
</file>