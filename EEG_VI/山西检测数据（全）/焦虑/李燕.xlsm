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R2" i="16" s="1" a="1"/>
  <c r="R2" i="16" s="1"/>
  <c r="S12" i="11"/>
  <c r="J2" i="16" s="1" a="1"/>
  <c r="J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<sst xmlns="http://schemas.openxmlformats.org/spreadsheetml/2006/main" count="701" uniqueCount="571">
  <si>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</si>
  <si>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</si>
  <si>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</si>
  <si>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</si>
  <si>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</si>
  <si>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</si>
  <si>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</si>
  <si>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</si>
  <si>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</si>
  <si>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</si>
  <si>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</si>
  <si>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</si>
  <si>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</si>
  <si>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</si>
  <si>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</si>
  <si>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</si>
  <si>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</si>
  <si>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</si>
  <si>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</si>
  <si>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</si>
  <si>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</si>
  <si>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</si>
  <si>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</si>
  <si>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</si>
  <si>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</si>
  <si>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</si>
  <si>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</si>
  <si>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</si>
  <si>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</si>
  <si>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</si>
  <si>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</si>
  <si>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</si>
  <si>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</si>
  <si>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</si>
  <si>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</si>
  <si>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</si>
  <si>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</si>
  <si>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</si>
  <si>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</si>
  <si>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</si>
  <si>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</si>
  <si>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</si>
  <si>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</si>
  <si>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</si>
  <si>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</si>
  <si>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</si>
  <si>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</si>
  <si>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</si>
  <si>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</si>
  <si>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</si>
  <si>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</si>
  <si>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</si>
  <si>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</si>
  <si>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</si>
  <si>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</si>
  <si>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</si>
  <si>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</si>
  <si>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</si>
  <si>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</si>
  <si>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</si>
  <si>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</si>
  <si>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</si>
  <si>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</si>
  <si>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</si>
  <si>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</si>
  <si>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</si>
  <si>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</si>
  <si>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</si>
  <si>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</si>
  <si>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</si>
  <si>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</si>
  <si>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</si>
  <si>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</si>
  <si>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</si>
  <si>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</si>
  <si>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</si>
  <si>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</si>
  <si>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</si>
  <si>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</si>
  <si>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</si>
  <si>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</si>
  <si>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</si>
  <si>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</si>
  <si>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</si>
  <si>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</si>
  <si>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</si>
  <si>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</si>
  <si>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</si>
  <si>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</si>
  <si>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</si>
  <si>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</si>
  <si>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</si>
  <si>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</si>
  <si>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</si>
  <si>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</si>
  <si>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</si>
  <si>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</si>
  <si>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</si>
  <si>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</si>
  <si>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</si>
  <si>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</si>
  <si>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</si>
  <si>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</si>
  <si>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</si>
  <si>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</si>
  <si>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</si>
  <si>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</si>
  <si>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</si>
  <si>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</si>
  <si>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</si>
  <si>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</si>
  <si>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</si>
  <si>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</si>
  <si>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</si>
  <si>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</si>
  <si>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</si>
  <si>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</si>
  <si>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</si>
  <si>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</si>
  <si>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</si>
  <si>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</si>
  <si>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</si>
  <si>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</si>
  <si>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</si>
  <si>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</si>
  <si>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</si>
  <si>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</si>
  <si>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</si>
  <si>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</si>
  <si>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</si>
  <si>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</si>
  <si>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</si>
  <si>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</si>
  <si>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</si>
  <si>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</si>
  <si>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</si>
  <si>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</si>
  <si>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</si>
  <si>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</si>
  <si>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</si>
  <si>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</si>
  <si>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</si>
  <si>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</si>
  <si>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</si>
  <si>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</si>
  <si>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</si>
  <si>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</si>
  <si>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</si>
  <si>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</si>
  <si>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</si>
  <si>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</si>
  <si>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</si>
  <si>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</si>
  <si>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</si>
  <si>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</si>
  <si>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</si>
  <si>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</si>
  <si>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</si>
  <si>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</si>
  <si>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</si>
  <si>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</si>
  <si>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</si>
  <si>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</si>
  <si>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</si>
  <si>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</si>
  <si>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</si>
  <si>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</si>
  <si>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</si>
  <si>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</si>
  <si>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</si>
  <si>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</si>
  <si>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</si>
  <si>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</si>
  <si>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</si>
  <si>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</si>
  <si>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</si>
  <si>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</si>
  <si>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</si>
  <si>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</si>
  <si>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</si>
  <si>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</si>
  <si>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</si>
  <si>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</si>
  <si>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</si>
  <si>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</si>
  <si>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</si>
  <si>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</si>
  <si>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</si>
  <si>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</si>
  <si>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</si>
  <si>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</si>
  <si>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</si>
  <si>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</si>
  <si>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</si>
  <si>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</si>
  <si>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</si>
  <si>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</si>
  <si>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</si>
  <si>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</si>
  <si>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</si>
  <si>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</si>
  <si>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</si>
  <si>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</si>
  <si>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</si>
  <si>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</si>
  <si>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</si>
  <si>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</si>
  <si>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</si>
  <si>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</si>
  <si>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</si>
  <si>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</si>
  <si>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</si>
  <si>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</si>
  <si>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</si>
  <si>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</si>
  <si>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</si>
  <si>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</si>
  <si>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</si>
  <si>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</si>
  <si>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</si>
  <si>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</si>
  <si>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</si>
  <si>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</si>
  <si>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</si>
  <si>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</si>
  <si>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</si>
  <si>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</si>
  <si>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</si>
  <si>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</si>
  <si>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</si>
  <si>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</si>
  <si>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</si>
  <si>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</si>
  <si>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</si>
  <si>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</si>
  <si>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</si>
  <si>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</si>
  <si>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</si>
  <si>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</si>
  <si>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</si>
  <si>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</si>
  <si>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</si>
  <si>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</si>
  <si>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</si>
  <si>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</si>
  <si>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</si>
  <si>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</si>
  <si>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</si>
  <si>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</si>
  <si>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</si>
  <si>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</si>
  <si>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</si>
  <si>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</si>
  <si>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</si>
  <si>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</si>
  <si>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</si>
  <si>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</si>
  <si>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</si>
  <si>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</si>
  <si>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</si>
  <si>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</si>
  <si>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</si>
  <si>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</si>
  <si>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</si>
  <si>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</si>
  <si>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</si>
  <si>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</si>
  <si>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</si>
  <si>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</si>
  <si>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</si>
  <si>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</si>
  <si>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</si>
  <si>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</si>
  <si>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</si>
  <si>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</si>
  <si>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</si>
  <si>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</si>
  <si>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</si>
  <si>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</si>
  <si>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</si>
  <si>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</si>
  <si>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</si>
  <si>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</si>
  <si>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</si>
  <si>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</si>
  <si>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</si>
  <si>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</si>
  <si>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</si>
  <si>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</si>
  <si>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</si>
  <si>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</si>
  <si>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</si>
  <si>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</si>
  <si>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</si>
  <si>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</si>
  <si>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</si>
  <si>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</si>
  <si>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</si>
  <si>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</si>
  <si>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</si>
  <si>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</si>
  <si>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</si>
  <si>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</si>
  <si>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</si>
  <si>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</si>
  <si>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</si>
  <si>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</si>
  <si>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</si>
  <si>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</si>
  <si>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</si>
  <si>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</si>
  <si>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</si>
  <si>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</si>
  <si>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</si>
  <si>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</si>
  <si>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</si>
  <si>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</si>
  <si>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</si>
  <si>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</si>
  <si>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</si>
  <si>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</si>
  <si>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</si>
  <si>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</si>
  <si>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</si>
  <si>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</si>
  <si>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</si>
  <si>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</si>
  <si>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</si>
  <si>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</si>
  <si>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</si>
  <si>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</si>
  <si>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</si>
  <si>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</si>
  <si>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</si>
  <si>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</si>
  <si>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</si>
  <si>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</si>
  <si>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</si>
  <si>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</si>
  <si>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</si>
  <si>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</si>
  <si>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</si>
  <si>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</si>
  <si>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</si>
  <si>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</si>
  <si>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</si>
  <si>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</si>
  <si>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</si>
  <si>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</si>
  <si>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</si>
  <si>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</si>
  <si>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</si>
  <si>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</si>
  <si>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</si>
  <si>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</si>
  <si>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</si>
  <si>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</si>
  <si>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</si>
  <si>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</si>
  <si>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</si>
  <si>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</si>
  <si>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</si>
  <si>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</si>
  <si>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</si>
  <si>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</si>
  <si>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</si>
  <si>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</si>
  <si>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</si>
  <si>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</si>
  <si>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</si>
  <si>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</si>
  <si>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</si>
  <si>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</si>
  <si>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</si>
  <si>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</si>
  <si>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</si>
  <si>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</si>
  <si>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</si>
  <si>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</si>
  <si>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</si>
  <si>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</si>
  <si>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</si>
  <si>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</si>
  <si>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</si>
  <si>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</si>
  <si>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</si>
  <si>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</si>
  <si>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</si>
  <si>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</si>
  <si>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</si>
  <si>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</si>
  <si>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</si>
  <si>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</si>
  <si>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</si>
  <si>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</si>
  <si>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</si>
  <si>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</si>
  <si>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</si>
  <si>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</si>
  <si>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</si>
  <si>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</si>
  <si>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</si>
  <si>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</si>
  <si>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</si>
  <si>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</si>
  <si>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</si>
  <si>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</si>
  <si>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</si>
  <si>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</si>
  <si>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</si>
  <si>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[0.349455]</t>
  </si>
  <si>
    <t>1 [0.753602]</t>
  </si>
  <si>
    <t>1 [1.159612]</t>
  </si>
  <si>
    <t>1 [1.568279]</t>
  </si>
  <si>
    <t>1 [1.973540]</t>
  </si>
  <si>
    <t>1 [2.379034]</t>
  </si>
  <si>
    <t>1 [2.782513]</t>
  </si>
  <si>
    <t>1 [3.187286]</t>
  </si>
  <si>
    <t>1 [3.598816]</t>
  </si>
  <si>
    <t>1 [4.005374]</t>
  </si>
  <si>
    <t>1 [4.409186]</t>
  </si>
  <si>
    <t>1 [4.815306]</t>
  </si>
  <si>
    <t>1 [5.222601]</t>
  </si>
  <si>
    <t>1 [5.630576]</t>
  </si>
  <si>
    <t>1 [6.036565]</t>
  </si>
  <si>
    <t>1 [6.444654]</t>
  </si>
  <si>
    <t>1 [6.849560]</t>
  </si>
  <si>
    <t>1 [7.254393]</t>
  </si>
  <si>
    <t>1 [7.658094]</t>
  </si>
  <si>
    <t>1 [8.067251]</t>
  </si>
  <si>
    <t>1 [8.475225]</t>
  </si>
  <si>
    <t>1 [8.882254]</t>
  </si>
  <si>
    <t>1 [9.289668]</t>
  </si>
  <si>
    <t>1 [9.691204]</t>
  </si>
  <si>
    <t>1 [10.097180]</t>
  </si>
  <si>
    <t>1 [10.504808]</t>
  </si>
  <si>
    <t>1 [10.914733]</t>
  </si>
  <si>
    <t>1 [11.317363]</t>
  </si>
  <si>
    <t>1 [11.722657]</t>
  </si>
  <si>
    <t>1 [12.130024]</t>
  </si>
  <si>
    <t>1 [12.536357]</t>
  </si>
  <si>
    <t>1 [12.944558]</t>
  </si>
  <si>
    <t>1 [13.347419]</t>
  </si>
  <si>
    <t>1 [13.752711]</t>
  </si>
  <si>
    <t>1 [14.159220]</t>
  </si>
  <si>
    <t>1 [14.570000]</t>
  </si>
  <si>
    <t>1 [14.974334]</t>
  </si>
  <si>
    <t>1 [15.379137]</t>
  </si>
  <si>
    <t>1 [15.785340]</t>
  </si>
  <si>
    <t>1 [16.192289]</t>
  </si>
  <si>
    <t>1 [16.601084]</t>
  </si>
  <si>
    <t>1 [17.005725]</t>
  </si>
  <si>
    <t>1 [17.413129]</t>
  </si>
  <si>
    <t>1 [17.814389]</t>
  </si>
  <si>
    <t>1 [18.222382]</t>
  </si>
  <si>
    <t>1 [18.628769]</t>
  </si>
  <si>
    <t>1 [19.034918]</t>
  </si>
  <si>
    <t>1 [19.443796]</t>
  </si>
  <si>
    <t>1 [19.849081]</t>
  </si>
  <si>
    <t>1 [20.253160]</t>
  </si>
  <si>
    <t>1 [20.660493]</t>
  </si>
  <si>
    <t>1 [21.065062]</t>
  </si>
  <si>
    <t>1 [21.473984]</t>
  </si>
  <si>
    <t>1 [21.878927]</t>
  </si>
  <si>
    <t>1 [22.285300]</t>
  </si>
  <si>
    <t>1 [22.694920]</t>
  </si>
  <si>
    <t>1 [23.099687]</t>
  </si>
  <si>
    <t>1 [23.507730]</t>
  </si>
  <si>
    <t>1 [23.910573]</t>
  </si>
  <si>
    <t>1 [24.314695]</t>
  </si>
  <si>
    <t>1 [24.721942]</t>
  </si>
  <si>
    <t>1 [25.125379]</t>
  </si>
  <si>
    <t>1 [25.534941]</t>
  </si>
  <si>
    <t>1 [25.944775]</t>
  </si>
  <si>
    <t>1 [26.350178]</t>
  </si>
  <si>
    <t>1 [26.756251]</t>
  </si>
  <si>
    <t>1 [27.159099]</t>
  </si>
  <si>
    <t>1 [27.564140]</t>
  </si>
  <si>
    <t>1 [27.972622]</t>
  </si>
  <si>
    <t>1 [28.380550]</t>
  </si>
  <si>
    <t>1 [28.785346]</t>
  </si>
  <si>
    <t>1 [29.192963]</t>
  </si>
  <si>
    <t>1 [29.595860]</t>
  </si>
  <si>
    <t>2 [30.003141]</t>
  </si>
  <si>
    <t>2 [30.599330]</t>
  </si>
  <si>
    <t>2 [30.975102]</t>
  </si>
  <si>
    <t>2 [31.350154]</t>
  </si>
  <si>
    <t>2 [31.722582]</t>
  </si>
  <si>
    <t>2 [32.097765]</t>
  </si>
  <si>
    <t>2 [32.503652]</t>
  </si>
  <si>
    <t>2 [32.912845]</t>
  </si>
  <si>
    <t>2 [33.320535]</t>
  </si>
  <si>
    <t>2 [33.722295]</t>
  </si>
  <si>
    <t>2 [34.134009]</t>
  </si>
  <si>
    <t>2 [34.534780]</t>
  </si>
  <si>
    <t>2 [34.941483]</t>
  </si>
  <si>
    <t>2 [35.347754]</t>
  </si>
  <si>
    <t>2 [35.753015]</t>
  </si>
  <si>
    <t>2 [36.161122]</t>
  </si>
  <si>
    <t>2 [36.567983]</t>
  </si>
  <si>
    <t>2 [36.975670]</t>
  </si>
  <si>
    <t>2 [37.379121]</t>
  </si>
  <si>
    <t>2 [37.786713]</t>
  </si>
  <si>
    <t>2 [38.189993]</t>
  </si>
  <si>
    <t>2 [38.600171]</t>
  </si>
  <si>
    <t>2 [39.004995]</t>
  </si>
  <si>
    <t>2 [39.412659]</t>
  </si>
  <si>
    <t>2 [39.816526]</t>
  </si>
  <si>
    <t>2 [40.227450]</t>
  </si>
  <si>
    <t>2 [40.631247]</t>
  </si>
  <si>
    <t>2 [41.034545]</t>
  </si>
  <si>
    <t>2 [41.445875]</t>
  </si>
  <si>
    <t>2 [41.848192]</t>
  </si>
  <si>
    <t>2 [42.256365]</t>
  </si>
  <si>
    <t>2 [42.662586]</t>
  </si>
  <si>
    <t>2 [43.063701]</t>
  </si>
  <si>
    <t>2 [43.471060]</t>
  </si>
  <si>
    <t>2 [43.880111]</t>
  </si>
  <si>
    <t>2 [44.287820]</t>
  </si>
  <si>
    <t>2 [44.693048]</t>
  </si>
  <si>
    <t>2 [45.096823]</t>
  </si>
  <si>
    <t>2 [45.504127]</t>
  </si>
  <si>
    <t>2 [45.911955]</t>
  </si>
  <si>
    <t>2 [46.317856]</t>
  </si>
  <si>
    <t>2 [46.723606]</t>
  </si>
  <si>
    <t>2 [47.130791]</t>
  </si>
  <si>
    <t>2 [47.534747]</t>
  </si>
  <si>
    <t>2 [47.943326]</t>
  </si>
  <si>
    <t>2 [48.350491]</t>
  </si>
  <si>
    <t>2 [48.755698]</t>
  </si>
  <si>
    <t>2 [49.159360]</t>
  </si>
  <si>
    <t>2 [49.566524]</t>
  </si>
  <si>
    <t>2 [49.972883]</t>
  </si>
  <si>
    <t>2 [50.380804]</t>
  </si>
  <si>
    <t>2 [50.787887]</t>
  </si>
  <si>
    <t>2 [51.191170]</t>
  </si>
  <si>
    <t>2 [51.596886]</t>
  </si>
  <si>
    <t>2 [52.004193]</t>
  </si>
  <si>
    <t>2 [52.414051]</t>
  </si>
  <si>
    <t>2 [52.817772]</t>
  </si>
  <si>
    <t>2 [53.220775]</t>
  </si>
  <si>
    <t>2 [53.626406]</t>
  </si>
  <si>
    <t>2 [54.038858]</t>
  </si>
  <si>
    <t>2 [54.445644]</t>
  </si>
  <si>
    <t>2 [54.849427]</t>
  </si>
  <si>
    <t>2 [55.254021]</t>
  </si>
  <si>
    <t>2 [55.659950]</t>
  </si>
  <si>
    <t>2 [56.068820]</t>
  </si>
  <si>
    <t>2 [56.472841]</t>
  </si>
  <si>
    <t>2 [56.881961]</t>
  </si>
  <si>
    <t>2 [57.286630]</t>
  </si>
  <si>
    <t>2 [57.689355]</t>
  </si>
  <si>
    <t>2 [58.097301]</t>
  </si>
  <si>
    <t>2 [58.506125]</t>
  </si>
  <si>
    <t>2 [58.912097]</t>
  </si>
  <si>
    <t>2 [59.318727]</t>
  </si>
  <si>
    <t>2 [59.724912]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</si>
  <si>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</si>
  <si>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</si>
  <si>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</si>
  <si>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</si>
  <si>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</si>
  <si>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</si>
  <si>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</si>
  <si>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</si>
  <si>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</si>
  <si>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</si>
  <si>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</si>
  <si>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</si>
  <si>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</si>
  <si>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李燕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</si>
</sst>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45.230200000000004</c:v>
                </c:pt>
                <c:pt idx="1">
                  <c:v>23.3995</c:v>
                </c:pt>
                <c:pt idx="2">
                  <c:v>36.087699999999998</c:v>
                </c:pt>
                <c:pt idx="3">
                  <c:v>33.793900000000001</c:v>
                </c:pt>
                <c:pt idx="4">
                  <c:v>63.046399999999998</c:v>
                </c:pt>
                <c:pt idx="5">
                  <c:v>74.442499999999995</c:v>
                </c:pt>
                <c:pt idx="6">
                  <c:v>22.8398</c:v>
                </c:pt>
                <c:pt idx="7">
                  <c:v>68.955299999999994</c:v>
                </c:pt>
                <c:pt idx="8">
                  <c:v>20.976199999999999</c:v>
                </c:pt>
                <c:pt idx="9">
                  <c:v>39.012099999999997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0.47006397867527838</c:v>
                </c:pt>
                <c:pt idx="1">
                  <c:v>0.28396736261354955</c:v>
                </c:pt>
                <c:pt idx="2">
                  <c:v>0.24596865871117218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4364</c:v>
                </c:pt>
                <c:pt idx="7">
                  <c:v>0</c:v>
                </c:pt>
                <c:pt idx="8">
                  <c:v>5964</c:v>
                </c:pt>
                <c:pt idx="9">
                  <c:v>0</c:v>
                </c:pt>
                <c:pt idx="10">
                  <c:v>0</c:v>
                </c:pt>
                <c:pt idx="11">
                  <c:v>5932</c:v>
                </c:pt>
                <c:pt idx="12">
                  <c:v>0</c:v>
                </c:pt>
                <c:pt idx="13">
                  <c:v>10239</c:v>
                </c:pt>
                <c:pt idx="14">
                  <c:v>0</c:v>
                </c:pt>
                <c:pt idx="15">
                  <c:v>0</c:v>
                </c:pt>
                <c:pt idx="16">
                  <c:v>12856</c:v>
                </c:pt>
                <c:pt idx="17">
                  <c:v>0</c:v>
                </c:pt>
                <c:pt idx="18">
                  <c:v>0</c:v>
                </c:pt>
                <c:pt idx="19">
                  <c:v>22852</c:v>
                </c:pt>
                <c:pt idx="20">
                  <c:v>0</c:v>
                </c:pt>
                <c:pt idx="21">
                  <c:v>26964</c:v>
                </c:pt>
                <c:pt idx="22">
                  <c:v>0</c:v>
                </c:pt>
                <c:pt idx="23">
                  <c:v>0</c:v>
                </c:pt>
                <c:pt idx="24">
                  <c:v>38126</c:v>
                </c:pt>
                <c:pt idx="25">
                  <c:v>0</c:v>
                </c:pt>
                <c:pt idx="26">
                  <c:v>47020</c:v>
                </c:pt>
                <c:pt idx="27">
                  <c:v>0</c:v>
                </c:pt>
                <c:pt idx="28">
                  <c:v>0</c:v>
                </c:pt>
                <c:pt idx="29">
                  <c:v>49258</c:v>
                </c:pt>
                <c:pt idx="30">
                  <c:v>0</c:v>
                </c:pt>
                <c:pt idx="31">
                  <c:v>64541</c:v>
                </c:pt>
                <c:pt idx="32">
                  <c:v>0</c:v>
                </c:pt>
                <c:pt idx="33">
                  <c:v>0</c:v>
                </c:pt>
                <c:pt idx="34">
                  <c:v>64144</c:v>
                </c:pt>
                <c:pt idx="35">
                  <c:v>0</c:v>
                </c:pt>
                <c:pt idx="36">
                  <c:v>0</c:v>
                </c:pt>
                <c:pt idx="37">
                  <c:v>76639</c:v>
                </c:pt>
                <c:pt idx="38">
                  <c:v>0</c:v>
                </c:pt>
                <c:pt idx="39">
                  <c:v>85824</c:v>
                </c:pt>
                <c:pt idx="40">
                  <c:v>0</c:v>
                </c:pt>
                <c:pt idx="41">
                  <c:v>0</c:v>
                </c:pt>
                <c:pt idx="42">
                  <c:v>92488</c:v>
                </c:pt>
                <c:pt idx="43">
                  <c:v>0</c:v>
                </c:pt>
                <c:pt idx="44">
                  <c:v>104383</c:v>
                </c:pt>
                <c:pt idx="45">
                  <c:v>0</c:v>
                </c:pt>
                <c:pt idx="46">
                  <c:v>0</c:v>
                </c:pt>
                <c:pt idx="47">
                  <c:v>110714</c:v>
                </c:pt>
                <c:pt idx="48">
                  <c:v>0</c:v>
                </c:pt>
                <c:pt idx="49">
                  <c:v>119636</c:v>
                </c:pt>
                <c:pt idx="50">
                  <c:v>0</c:v>
                </c:pt>
                <c:pt idx="51">
                  <c:v>0</c:v>
                </c:pt>
                <c:pt idx="52">
                  <c:v>119433</c:v>
                </c:pt>
                <c:pt idx="53">
                  <c:v>0</c:v>
                </c:pt>
                <c:pt idx="54">
                  <c:v>0</c:v>
                </c:pt>
                <c:pt idx="55">
                  <c:v>124082</c:v>
                </c:pt>
                <c:pt idx="56">
                  <c:v>0</c:v>
                </c:pt>
                <c:pt idx="57">
                  <c:v>131321</c:v>
                </c:pt>
                <c:pt idx="58">
                  <c:v>0</c:v>
                </c:pt>
                <c:pt idx="59">
                  <c:v>0</c:v>
                </c:pt>
                <c:pt idx="60">
                  <c:v>131518</c:v>
                </c:pt>
                <c:pt idx="61">
                  <c:v>0</c:v>
                </c:pt>
                <c:pt idx="62">
                  <c:v>145393</c:v>
                </c:pt>
                <c:pt idx="63">
                  <c:v>0</c:v>
                </c:pt>
                <c:pt idx="64">
                  <c:v>0</c:v>
                </c:pt>
                <c:pt idx="65">
                  <c:v>144582</c:v>
                </c:pt>
                <c:pt idx="66">
                  <c:v>0</c:v>
                </c:pt>
                <c:pt idx="67">
                  <c:v>166277</c:v>
                </c:pt>
                <c:pt idx="68">
                  <c:v>0</c:v>
                </c:pt>
                <c:pt idx="69">
                  <c:v>0</c:v>
                </c:pt>
                <c:pt idx="70">
                  <c:v>162487</c:v>
                </c:pt>
                <c:pt idx="71">
                  <c:v>0</c:v>
                </c:pt>
                <c:pt idx="72">
                  <c:v>0</c:v>
                </c:pt>
                <c:pt idx="73">
                  <c:v>179674</c:v>
                </c:pt>
                <c:pt idx="74">
                  <c:v>0</c:v>
                </c:pt>
                <c:pt idx="75">
                  <c:v>178648</c:v>
                </c:pt>
                <c:pt idx="76">
                  <c:v>0</c:v>
                </c:pt>
                <c:pt idx="77">
                  <c:v>0</c:v>
                </c:pt>
                <c:pt idx="78">
                  <c:v>179731</c:v>
                </c:pt>
                <c:pt idx="79">
                  <c:v>0</c:v>
                </c:pt>
                <c:pt idx="80">
                  <c:v>178327</c:v>
                </c:pt>
                <c:pt idx="81">
                  <c:v>0</c:v>
                </c:pt>
                <c:pt idx="82">
                  <c:v>0</c:v>
                </c:pt>
                <c:pt idx="83">
                  <c:v>182817</c:v>
                </c:pt>
                <c:pt idx="84">
                  <c:v>0</c:v>
                </c:pt>
                <c:pt idx="85">
                  <c:v>0</c:v>
                </c:pt>
                <c:pt idx="86">
                  <c:v>180019</c:v>
                </c:pt>
                <c:pt idx="87">
                  <c:v>0</c:v>
                </c:pt>
                <c:pt idx="88">
                  <c:v>173433</c:v>
                </c:pt>
                <c:pt idx="89">
                  <c:v>0</c:v>
                </c:pt>
                <c:pt idx="90">
                  <c:v>0</c:v>
                </c:pt>
                <c:pt idx="91">
                  <c:v>172693</c:v>
                </c:pt>
                <c:pt idx="92">
                  <c:v>0</c:v>
                </c:pt>
                <c:pt idx="93">
                  <c:v>172842</c:v>
                </c:pt>
                <c:pt idx="94">
                  <c:v>0</c:v>
                </c:pt>
                <c:pt idx="95">
                  <c:v>0</c:v>
                </c:pt>
                <c:pt idx="96">
                  <c:v>167666</c:v>
                </c:pt>
                <c:pt idx="97">
                  <c:v>0</c:v>
                </c:pt>
                <c:pt idx="98">
                  <c:v>157305</c:v>
                </c:pt>
                <c:pt idx="99">
                  <c:v>0</c:v>
                </c:pt>
                <c:pt idx="100">
                  <c:v>0</c:v>
                </c:pt>
                <c:pt idx="101">
                  <c:v>159437</c:v>
                </c:pt>
                <c:pt idx="102">
                  <c:v>0</c:v>
                </c:pt>
                <c:pt idx="103">
                  <c:v>0</c:v>
                </c:pt>
                <c:pt idx="104">
                  <c:v>161627</c:v>
                </c:pt>
                <c:pt idx="105">
                  <c:v>0</c:v>
                </c:pt>
                <c:pt idx="106">
                  <c:v>181865</c:v>
                </c:pt>
                <c:pt idx="107">
                  <c:v>0</c:v>
                </c:pt>
                <c:pt idx="108">
                  <c:v>0</c:v>
                </c:pt>
                <c:pt idx="109">
                  <c:v>172775</c:v>
                </c:pt>
                <c:pt idx="110">
                  <c:v>0</c:v>
                </c:pt>
                <c:pt idx="111">
                  <c:v>169093</c:v>
                </c:pt>
                <c:pt idx="112">
                  <c:v>0</c:v>
                </c:pt>
                <c:pt idx="113">
                  <c:v>0</c:v>
                </c:pt>
                <c:pt idx="114">
                  <c:v>159514</c:v>
                </c:pt>
                <c:pt idx="115">
                  <c:v>0</c:v>
                </c:pt>
                <c:pt idx="116">
                  <c:v>155715</c:v>
                </c:pt>
                <c:pt idx="117">
                  <c:v>0</c:v>
                </c:pt>
                <c:pt idx="118">
                  <c:v>0</c:v>
                </c:pt>
                <c:pt idx="119">
                  <c:v>150638</c:v>
                </c:pt>
                <c:pt idx="120">
                  <c:v>0</c:v>
                </c:pt>
                <c:pt idx="121">
                  <c:v>0</c:v>
                </c:pt>
                <c:pt idx="122">
                  <c:v>138090</c:v>
                </c:pt>
                <c:pt idx="123">
                  <c:v>0</c:v>
                </c:pt>
                <c:pt idx="124">
                  <c:v>131578</c:v>
                </c:pt>
                <c:pt idx="125">
                  <c:v>0</c:v>
                </c:pt>
                <c:pt idx="126">
                  <c:v>0</c:v>
                </c:pt>
                <c:pt idx="127">
                  <c:v>121354</c:v>
                </c:pt>
                <c:pt idx="128">
                  <c:v>0</c:v>
                </c:pt>
                <c:pt idx="129">
                  <c:v>112964</c:v>
                </c:pt>
                <c:pt idx="130">
                  <c:v>0</c:v>
                </c:pt>
                <c:pt idx="131">
                  <c:v>0</c:v>
                </c:pt>
                <c:pt idx="132">
                  <c:v>100757</c:v>
                </c:pt>
                <c:pt idx="133">
                  <c:v>0</c:v>
                </c:pt>
                <c:pt idx="134">
                  <c:v>95975</c:v>
                </c:pt>
                <c:pt idx="135">
                  <c:v>0</c:v>
                </c:pt>
                <c:pt idx="136">
                  <c:v>0</c:v>
                </c:pt>
                <c:pt idx="137">
                  <c:v>78949</c:v>
                </c:pt>
                <c:pt idx="138">
                  <c:v>0</c:v>
                </c:pt>
                <c:pt idx="139">
                  <c:v>0</c:v>
                </c:pt>
                <c:pt idx="140">
                  <c:v>78397</c:v>
                </c:pt>
                <c:pt idx="141">
                  <c:v>0</c:v>
                </c:pt>
                <c:pt idx="142">
                  <c:v>60159</c:v>
                </c:pt>
                <c:pt idx="143">
                  <c:v>0</c:v>
                </c:pt>
                <c:pt idx="144">
                  <c:v>0</c:v>
                </c:pt>
                <c:pt idx="145">
                  <c:v>54291</c:v>
                </c:pt>
                <c:pt idx="146">
                  <c:v>0</c:v>
                </c:pt>
                <c:pt idx="147">
                  <c:v>45698</c:v>
                </c:pt>
                <c:pt idx="148">
                  <c:v>0</c:v>
                </c:pt>
                <c:pt idx="149">
                  <c:v>0</c:v>
                </c:pt>
                <c:pt idx="150">
                  <c:v>44271</c:v>
                </c:pt>
                <c:pt idx="151">
                  <c:v>0</c:v>
                </c:pt>
                <c:pt idx="152">
                  <c:v>39301</c:v>
                </c:pt>
                <c:pt idx="153">
                  <c:v>0</c:v>
                </c:pt>
                <c:pt idx="154">
                  <c:v>0</c:v>
                </c:pt>
                <c:pt idx="155">
                  <c:v>36185</c:v>
                </c:pt>
                <c:pt idx="156">
                  <c:v>0</c:v>
                </c:pt>
                <c:pt idx="157">
                  <c:v>0</c:v>
                </c:pt>
                <c:pt idx="158">
                  <c:v>35186</c:v>
                </c:pt>
                <c:pt idx="159">
                  <c:v>0</c:v>
                </c:pt>
                <c:pt idx="160">
                  <c:v>35412</c:v>
                </c:pt>
                <c:pt idx="161">
                  <c:v>0</c:v>
                </c:pt>
                <c:pt idx="162">
                  <c:v>0</c:v>
                </c:pt>
                <c:pt idx="163">
                  <c:v>27477</c:v>
                </c:pt>
                <c:pt idx="164">
                  <c:v>0</c:v>
                </c:pt>
                <c:pt idx="165">
                  <c:v>24661</c:v>
                </c:pt>
                <c:pt idx="166">
                  <c:v>0</c:v>
                </c:pt>
                <c:pt idx="167">
                  <c:v>0</c:v>
                </c:pt>
                <c:pt idx="168">
                  <c:v>26904</c:v>
                </c:pt>
                <c:pt idx="169">
                  <c:v>0</c:v>
                </c:pt>
                <c:pt idx="170">
                  <c:v>0</c:v>
                </c:pt>
                <c:pt idx="171">
                  <c:v>24845</c:v>
                </c:pt>
                <c:pt idx="172">
                  <c:v>0</c:v>
                </c:pt>
                <c:pt idx="173">
                  <c:v>21597</c:v>
                </c:pt>
                <c:pt idx="174">
                  <c:v>0</c:v>
                </c:pt>
                <c:pt idx="175">
                  <c:v>0</c:v>
                </c:pt>
                <c:pt idx="176">
                  <c:v>19759</c:v>
                </c:pt>
                <c:pt idx="177">
                  <c:v>0</c:v>
                </c:pt>
                <c:pt idx="178">
                  <c:v>20503</c:v>
                </c:pt>
                <c:pt idx="179">
                  <c:v>0</c:v>
                </c:pt>
                <c:pt idx="180">
                  <c:v>0</c:v>
                </c:pt>
                <c:pt idx="181">
                  <c:v>22153</c:v>
                </c:pt>
                <c:pt idx="182">
                  <c:v>0</c:v>
                </c:pt>
                <c:pt idx="183">
                  <c:v>18310</c:v>
                </c:pt>
                <c:pt idx="184">
                  <c:v>0</c:v>
                </c:pt>
                <c:pt idx="185">
                  <c:v>0</c:v>
                </c:pt>
                <c:pt idx="186">
                  <c:v>17666</c:v>
                </c:pt>
                <c:pt idx="187">
                  <c:v>0</c:v>
                </c:pt>
                <c:pt idx="188">
                  <c:v>0</c:v>
                </c:pt>
                <c:pt idx="189">
                  <c:v>17338</c:v>
                </c:pt>
                <c:pt idx="190">
                  <c:v>0</c:v>
                </c:pt>
                <c:pt idx="191">
                  <c:v>15762</c:v>
                </c:pt>
                <c:pt idx="192">
                  <c:v>0</c:v>
                </c:pt>
                <c:pt idx="193">
                  <c:v>0</c:v>
                </c:pt>
                <c:pt idx="194">
                  <c:v>14311</c:v>
                </c:pt>
                <c:pt idx="195">
                  <c:v>0</c:v>
                </c:pt>
                <c:pt idx="196">
                  <c:v>16699</c:v>
                </c:pt>
                <c:pt idx="197">
                  <c:v>0</c:v>
                </c:pt>
                <c:pt idx="198">
                  <c:v>0</c:v>
                </c:pt>
                <c:pt idx="199">
                  <c:v>20265</c:v>
                </c:pt>
                <c:pt idx="200">
                  <c:v>0</c:v>
                </c:pt>
                <c:pt idx="201">
                  <c:v>16357</c:v>
                </c:pt>
                <c:pt idx="202">
                  <c:v>0</c:v>
                </c:pt>
                <c:pt idx="203">
                  <c:v>0</c:v>
                </c:pt>
                <c:pt idx="204">
                  <c:v>13540</c:v>
                </c:pt>
                <c:pt idx="205">
                  <c:v>0</c:v>
                </c:pt>
                <c:pt idx="206">
                  <c:v>0</c:v>
                </c:pt>
                <c:pt idx="207">
                  <c:v>8970</c:v>
                </c:pt>
                <c:pt idx="208">
                  <c:v>0</c:v>
                </c:pt>
                <c:pt idx="209">
                  <c:v>8247</c:v>
                </c:pt>
                <c:pt idx="210">
                  <c:v>0</c:v>
                </c:pt>
                <c:pt idx="211">
                  <c:v>0</c:v>
                </c:pt>
                <c:pt idx="212">
                  <c:v>7686</c:v>
                </c:pt>
                <c:pt idx="213">
                  <c:v>0</c:v>
                </c:pt>
                <c:pt idx="214">
                  <c:v>3885</c:v>
                </c:pt>
                <c:pt idx="215">
                  <c:v>0</c:v>
                </c:pt>
                <c:pt idx="216">
                  <c:v>0</c:v>
                </c:pt>
                <c:pt idx="217">
                  <c:v>3924</c:v>
                </c:pt>
                <c:pt idx="218">
                  <c:v>0</c:v>
                </c:pt>
                <c:pt idx="219">
                  <c:v>2453</c:v>
                </c:pt>
                <c:pt idx="220">
                  <c:v>0</c:v>
                </c:pt>
                <c:pt idx="221">
                  <c:v>0</c:v>
                </c:pt>
                <c:pt idx="222">
                  <c:v>1464</c:v>
                </c:pt>
                <c:pt idx="223">
                  <c:v>0</c:v>
                </c:pt>
                <c:pt idx="224">
                  <c:v>0</c:v>
                </c:pt>
                <c:pt idx="225">
                  <c:v>282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1.8407299999999998</c:v>
                </c:pt>
                <c:pt idx="1">
                  <c:v>1.8867800000000001</c:v>
                </c:pt>
                <c:pt idx="2">
                  <c:v>1.93411</c:v>
                </c:pt>
                <c:pt idx="3">
                  <c:v>1.98129</c:v>
                </c:pt>
                <c:pt idx="4">
                  <c:v>2.0296500000000002</c:v>
                </c:pt>
                <c:pt idx="5">
                  <c:v>2.08182</c:v>
                </c:pt>
                <c:pt idx="6">
                  <c:v>2.1368300000000002</c:v>
                </c:pt>
                <c:pt idx="7">
                  <c:v>2.1943899999999998</c:v>
                </c:pt>
                <c:pt idx="8">
                  <c:v>2.2543500000000001</c:v>
                </c:pt>
                <c:pt idx="9">
                  <c:v>2.3140200000000002</c:v>
                </c:pt>
                <c:pt idx="10">
                  <c:v>2.37418</c:v>
                </c:pt>
                <c:pt idx="11">
                  <c:v>2.4327800000000002</c:v>
                </c:pt>
                <c:pt idx="12">
                  <c:v>2.49457</c:v>
                </c:pt>
                <c:pt idx="13">
                  <c:v>2.5575900000000003</c:v>
                </c:pt>
                <c:pt idx="14">
                  <c:v>2.6237399999999997</c:v>
                </c:pt>
                <c:pt idx="15">
                  <c:v>2.6910400000000001</c:v>
                </c:pt>
                <c:pt idx="16">
                  <c:v>2.7604299999999999</c:v>
                </c:pt>
                <c:pt idx="17">
                  <c:v>2.8317199999999998</c:v>
                </c:pt>
                <c:pt idx="18">
                  <c:v>2.9015000000000004</c:v>
                </c:pt>
                <c:pt idx="19">
                  <c:v>2.96767</c:v>
                </c:pt>
                <c:pt idx="20">
                  <c:v>3.03064</c:v>
                </c:pt>
                <c:pt idx="21">
                  <c:v>3.09023</c:v>
                </c:pt>
                <c:pt idx="22">
                  <c:v>3.1463799999999997</c:v>
                </c:pt>
                <c:pt idx="23">
                  <c:v>3.2010499999999995</c:v>
                </c:pt>
                <c:pt idx="24">
                  <c:v>3.2566800000000002</c:v>
                </c:pt>
                <c:pt idx="25">
                  <c:v>3.3126100000000003</c:v>
                </c:pt>
                <c:pt idx="26">
                  <c:v>3.36598</c:v>
                </c:pt>
                <c:pt idx="27">
                  <c:v>3.4196599999999999</c:v>
                </c:pt>
                <c:pt idx="28">
                  <c:v>3.4727799999999998</c:v>
                </c:pt>
                <c:pt idx="29">
                  <c:v>3.5266099999999998</c:v>
                </c:pt>
                <c:pt idx="30">
                  <c:v>3.5817999999999999</c:v>
                </c:pt>
                <c:pt idx="31">
                  <c:v>3.6392600000000002</c:v>
                </c:pt>
                <c:pt idx="32">
                  <c:v>3.6971700000000003</c:v>
                </c:pt>
                <c:pt idx="33">
                  <c:v>3.7568299999999999</c:v>
                </c:pt>
                <c:pt idx="34">
                  <c:v>3.8145800000000003</c:v>
                </c:pt>
                <c:pt idx="35">
                  <c:v>3.8711800000000003</c:v>
                </c:pt>
                <c:pt idx="36">
                  <c:v>3.9245600000000005</c:v>
                </c:pt>
                <c:pt idx="37">
                  <c:v>3.9739900000000001</c:v>
                </c:pt>
                <c:pt idx="38">
                  <c:v>4.0211999999999994</c:v>
                </c:pt>
                <c:pt idx="39">
                  <c:v>4.0644299999999998</c:v>
                </c:pt>
                <c:pt idx="40">
                  <c:v>4.1003600000000002</c:v>
                </c:pt>
                <c:pt idx="41">
                  <c:v>4.1291399999999996</c:v>
                </c:pt>
                <c:pt idx="42">
                  <c:v>4.1512799999999999</c:v>
                </c:pt>
                <c:pt idx="43">
                  <c:v>4.1708400000000001</c:v>
                </c:pt>
                <c:pt idx="44">
                  <c:v>4.1880800000000002</c:v>
                </c:pt>
                <c:pt idx="45">
                  <c:v>4.2019700000000002</c:v>
                </c:pt>
                <c:pt idx="46">
                  <c:v>4.21591</c:v>
                </c:pt>
                <c:pt idx="47">
                  <c:v>4.2290400000000004</c:v>
                </c:pt>
                <c:pt idx="48">
                  <c:v>4.2405400000000002</c:v>
                </c:pt>
                <c:pt idx="49">
                  <c:v>4.2492400000000004</c:v>
                </c:pt>
                <c:pt idx="50">
                  <c:v>4.2603200000000001</c:v>
                </c:pt>
                <c:pt idx="51">
                  <c:v>4.2658100000000001</c:v>
                </c:pt>
                <c:pt idx="52">
                  <c:v>4.2686099999999998</c:v>
                </c:pt>
                <c:pt idx="53">
                  <c:v>4.2706200000000001</c:v>
                </c:pt>
                <c:pt idx="54">
                  <c:v>4.2686600000000006</c:v>
                </c:pt>
                <c:pt idx="55">
                  <c:v>4.2598000000000003</c:v>
                </c:pt>
                <c:pt idx="56">
                  <c:v>4.24559</c:v>
                </c:pt>
                <c:pt idx="57">
                  <c:v>4.2274200000000004</c:v>
                </c:pt>
                <c:pt idx="58">
                  <c:v>4.2046999999999999</c:v>
                </c:pt>
                <c:pt idx="59">
                  <c:v>4.1800600000000001</c:v>
                </c:pt>
                <c:pt idx="60">
                  <c:v>4.1523900000000005</c:v>
                </c:pt>
                <c:pt idx="61">
                  <c:v>4.1235200000000001</c:v>
                </c:pt>
                <c:pt idx="62">
                  <c:v>4.0917399999999997</c:v>
                </c:pt>
                <c:pt idx="63">
                  <c:v>4.0588199999999999</c:v>
                </c:pt>
                <c:pt idx="64">
                  <c:v>4.0250700000000004</c:v>
                </c:pt>
                <c:pt idx="65">
                  <c:v>3.9959099999999999</c:v>
                </c:pt>
                <c:pt idx="66">
                  <c:v>3.9699499999999999</c:v>
                </c:pt>
                <c:pt idx="67">
                  <c:v>3.9447100000000002</c:v>
                </c:pt>
                <c:pt idx="68">
                  <c:v>3.9174199999999999</c:v>
                </c:pt>
                <c:pt idx="69">
                  <c:v>3.8917899999999999</c:v>
                </c:pt>
                <c:pt idx="70">
                  <c:v>3.8695499999999998</c:v>
                </c:pt>
                <c:pt idx="71">
                  <c:v>3.8463799999999999</c:v>
                </c:pt>
                <c:pt idx="72">
                  <c:v>3.8228600000000004</c:v>
                </c:pt>
                <c:pt idx="73">
                  <c:v>3.79928</c:v>
                </c:pt>
                <c:pt idx="74">
                  <c:v>3.7750299999999997</c:v>
                </c:pt>
                <c:pt idx="75">
                  <c:v>3.7442099999999998</c:v>
                </c:pt>
                <c:pt idx="76">
                  <c:v>3.7203300000000001</c:v>
                </c:pt>
                <c:pt idx="77">
                  <c:v>3.6957100000000001</c:v>
                </c:pt>
                <c:pt idx="78">
                  <c:v>3.67232</c:v>
                </c:pt>
                <c:pt idx="79">
                  <c:v>3.6530899999999997</c:v>
                </c:pt>
                <c:pt idx="80">
                  <c:v>3.6381899999999998</c:v>
                </c:pt>
                <c:pt idx="81">
                  <c:v>3.6246099999999997</c:v>
                </c:pt>
                <c:pt idx="82">
                  <c:v>3.6127799999999999</c:v>
                </c:pt>
                <c:pt idx="83">
                  <c:v>3.60311</c:v>
                </c:pt>
                <c:pt idx="84">
                  <c:v>3.5972599999999999</c:v>
                </c:pt>
                <c:pt idx="85">
                  <c:v>3.59253</c:v>
                </c:pt>
                <c:pt idx="86">
                  <c:v>3.59077</c:v>
                </c:pt>
                <c:pt idx="87">
                  <c:v>3.5896099999999995</c:v>
                </c:pt>
                <c:pt idx="88">
                  <c:v>3.5883799999999999</c:v>
                </c:pt>
                <c:pt idx="89">
                  <c:v>3.5876700000000001</c:v>
                </c:pt>
                <c:pt idx="90">
                  <c:v>3.5876900000000003</c:v>
                </c:pt>
                <c:pt idx="91">
                  <c:v>3.5898300000000001</c:v>
                </c:pt>
                <c:pt idx="92">
                  <c:v>3.5965000000000003</c:v>
                </c:pt>
                <c:pt idx="93">
                  <c:v>3.6068800000000003</c:v>
                </c:pt>
                <c:pt idx="94">
                  <c:v>3.62168</c:v>
                </c:pt>
                <c:pt idx="95">
                  <c:v>3.6419899999999998</c:v>
                </c:pt>
                <c:pt idx="96">
                  <c:v>3.6669200000000002</c:v>
                </c:pt>
                <c:pt idx="97">
                  <c:v>3.69685</c:v>
                </c:pt>
                <c:pt idx="98">
                  <c:v>3.7313900000000002</c:v>
                </c:pt>
                <c:pt idx="99">
                  <c:v>3.7670199999999996</c:v>
                </c:pt>
                <c:pt idx="100">
                  <c:v>3.8024200000000001</c:v>
                </c:pt>
                <c:pt idx="101">
                  <c:v>3.8372099999999998</c:v>
                </c:pt>
                <c:pt idx="102">
                  <c:v>3.8691300000000002</c:v>
                </c:pt>
                <c:pt idx="103">
                  <c:v>3.8983600000000003</c:v>
                </c:pt>
                <c:pt idx="104">
                  <c:v>3.9249700000000001</c:v>
                </c:pt>
                <c:pt idx="105">
                  <c:v>3.9518399999999998</c:v>
                </c:pt>
                <c:pt idx="106">
                  <c:v>3.9776899999999999</c:v>
                </c:pt>
                <c:pt idx="107">
                  <c:v>4.0025300000000001</c:v>
                </c:pt>
                <c:pt idx="108">
                  <c:v>4.0211999999999994</c:v>
                </c:pt>
                <c:pt idx="109">
                  <c:v>4.0324299999999997</c:v>
                </c:pt>
                <c:pt idx="110">
                  <c:v>4.0428699999999997</c:v>
                </c:pt>
                <c:pt idx="111">
                  <c:v>4.0541999999999998</c:v>
                </c:pt>
                <c:pt idx="112">
                  <c:v>4.0626199999999999</c:v>
                </c:pt>
                <c:pt idx="113">
                  <c:v>4.07226</c:v>
                </c:pt>
                <c:pt idx="114">
                  <c:v>4.0787599999999999</c:v>
                </c:pt>
                <c:pt idx="115">
                  <c:v>4.0833300000000001</c:v>
                </c:pt>
                <c:pt idx="116">
                  <c:v>4.0878899999999998</c:v>
                </c:pt>
                <c:pt idx="117">
                  <c:v>4.0927799999999994</c:v>
                </c:pt>
                <c:pt idx="118">
                  <c:v>4.0972299999999997</c:v>
                </c:pt>
                <c:pt idx="119">
                  <c:v>4.1004399999999999</c:v>
                </c:pt>
                <c:pt idx="120">
                  <c:v>4.1020500000000002</c:v>
                </c:pt>
                <c:pt idx="121">
                  <c:v>4.10379</c:v>
                </c:pt>
                <c:pt idx="122">
                  <c:v>4.10487</c:v>
                </c:pt>
                <c:pt idx="123">
                  <c:v>4.1074299999999999</c:v>
                </c:pt>
                <c:pt idx="124">
                  <c:v>4.1053899999999999</c:v>
                </c:pt>
                <c:pt idx="125">
                  <c:v>4.1026699999999998</c:v>
                </c:pt>
                <c:pt idx="126">
                  <c:v>4.1000700000000005</c:v>
                </c:pt>
                <c:pt idx="127">
                  <c:v>4.0978399999999997</c:v>
                </c:pt>
                <c:pt idx="128">
                  <c:v>4.0953900000000001</c:v>
                </c:pt>
                <c:pt idx="129">
                  <c:v>4.09206</c:v>
                </c:pt>
                <c:pt idx="130">
                  <c:v>4.0861999999999998</c:v>
                </c:pt>
                <c:pt idx="131">
                  <c:v>4.0781799999999997</c:v>
                </c:pt>
                <c:pt idx="132">
                  <c:v>4.0695300000000003</c:v>
                </c:pt>
                <c:pt idx="133">
                  <c:v>4.0635300000000001</c:v>
                </c:pt>
                <c:pt idx="134">
                  <c:v>4.0601599999999998</c:v>
                </c:pt>
                <c:pt idx="135">
                  <c:v>4.0564800000000005</c:v>
                </c:pt>
                <c:pt idx="136">
                  <c:v>4.0500600000000002</c:v>
                </c:pt>
                <c:pt idx="137">
                  <c:v>4.0493600000000001</c:v>
                </c:pt>
                <c:pt idx="138">
                  <c:v>4.0464799999999999</c:v>
                </c:pt>
                <c:pt idx="139">
                  <c:v>4.0489199999999999</c:v>
                </c:pt>
                <c:pt idx="140">
                  <c:v>4.0561400000000001</c:v>
                </c:pt>
                <c:pt idx="141">
                  <c:v>4.0651200000000003</c:v>
                </c:pt>
                <c:pt idx="142">
                  <c:v>4.07545</c:v>
                </c:pt>
                <c:pt idx="143">
                  <c:v>4.08962</c:v>
                </c:pt>
                <c:pt idx="144">
                  <c:v>4.1084500000000004</c:v>
                </c:pt>
                <c:pt idx="145">
                  <c:v>4.13347</c:v>
                </c:pt>
                <c:pt idx="146">
                  <c:v>4.1627999999999998</c:v>
                </c:pt>
                <c:pt idx="147">
                  <c:v>4.1989900000000002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61.367600000000003</c:v>
                </c:pt>
                <c:pt idx="1">
                  <c:v>60.4101</c:v>
                </c:pt>
                <c:pt idx="2">
                  <c:v>59.299599999999998</c:v>
                </c:pt>
                <c:pt idx="3">
                  <c:v>58.153799999999997</c:v>
                </c:pt>
                <c:pt idx="4">
                  <c:v>56.811199999999992</c:v>
                </c:pt>
                <c:pt idx="5">
                  <c:v>55.399100000000004</c:v>
                </c:pt>
                <c:pt idx="6">
                  <c:v>53.951999999999998</c:v>
                </c:pt>
                <c:pt idx="7">
                  <c:v>52.497400000000006</c:v>
                </c:pt>
                <c:pt idx="8">
                  <c:v>50.902899999999995</c:v>
                </c:pt>
                <c:pt idx="9">
                  <c:v>49.266399999999997</c:v>
                </c:pt>
                <c:pt idx="10">
                  <c:v>47.687000000000005</c:v>
                </c:pt>
                <c:pt idx="11">
                  <c:v>46.195399999999999</c:v>
                </c:pt>
                <c:pt idx="12">
                  <c:v>44.655000000000001</c:v>
                </c:pt>
                <c:pt idx="13">
                  <c:v>43.075400000000002</c:v>
                </c:pt>
                <c:pt idx="14">
                  <c:v>41.392099999999999</c:v>
                </c:pt>
                <c:pt idx="15">
                  <c:v>39.719900000000003</c:v>
                </c:pt>
                <c:pt idx="16">
                  <c:v>38.1233</c:v>
                </c:pt>
                <c:pt idx="17">
                  <c:v>36.628399999999999</c:v>
                </c:pt>
                <c:pt idx="18">
                  <c:v>35.326099999999997</c:v>
                </c:pt>
                <c:pt idx="19">
                  <c:v>34.303200000000004</c:v>
                </c:pt>
                <c:pt idx="20">
                  <c:v>33.511600000000001</c:v>
                </c:pt>
                <c:pt idx="21">
                  <c:v>32.893899999999995</c:v>
                </c:pt>
                <c:pt idx="22">
                  <c:v>32.372099999999996</c:v>
                </c:pt>
                <c:pt idx="23">
                  <c:v>31.963900000000002</c:v>
                </c:pt>
                <c:pt idx="24">
                  <c:v>31.610599999999998</c:v>
                </c:pt>
                <c:pt idx="25">
                  <c:v>31.306699999999999</c:v>
                </c:pt>
                <c:pt idx="26">
                  <c:v>31.096299999999999</c:v>
                </c:pt>
                <c:pt idx="27">
                  <c:v>30.926300000000001</c:v>
                </c:pt>
                <c:pt idx="28">
                  <c:v>30.8125</c:v>
                </c:pt>
                <c:pt idx="29">
                  <c:v>30.710500000000003</c:v>
                </c:pt>
                <c:pt idx="30">
                  <c:v>30.512699999999999</c:v>
                </c:pt>
                <c:pt idx="31">
                  <c:v>30.238900000000001</c:v>
                </c:pt>
                <c:pt idx="32">
                  <c:v>29.8522</c:v>
                </c:pt>
                <c:pt idx="33">
                  <c:v>29.433700000000002</c:v>
                </c:pt>
                <c:pt idx="34">
                  <c:v>29.055299999999999</c:v>
                </c:pt>
                <c:pt idx="35">
                  <c:v>28.7761</c:v>
                </c:pt>
                <c:pt idx="36">
                  <c:v>28.632800000000003</c:v>
                </c:pt>
                <c:pt idx="37">
                  <c:v>28.539199999999997</c:v>
                </c:pt>
                <c:pt idx="38">
                  <c:v>28.523799999999998</c:v>
                </c:pt>
                <c:pt idx="39">
                  <c:v>28.565000000000001</c:v>
                </c:pt>
                <c:pt idx="40">
                  <c:v>28.736800000000002</c:v>
                </c:pt>
                <c:pt idx="41">
                  <c:v>28.928900000000002</c:v>
                </c:pt>
                <c:pt idx="42">
                  <c:v>29.082699999999999</c:v>
                </c:pt>
                <c:pt idx="43">
                  <c:v>29.242800000000003</c:v>
                </c:pt>
                <c:pt idx="44">
                  <c:v>29.462199999999999</c:v>
                </c:pt>
                <c:pt idx="45">
                  <c:v>29.700900000000001</c:v>
                </c:pt>
                <c:pt idx="46">
                  <c:v>29.9664</c:v>
                </c:pt>
                <c:pt idx="47">
                  <c:v>30.249199999999998</c:v>
                </c:pt>
                <c:pt idx="48">
                  <c:v>30.425200000000004</c:v>
                </c:pt>
                <c:pt idx="49">
                  <c:v>30.497999999999998</c:v>
                </c:pt>
                <c:pt idx="50">
                  <c:v>30.567</c:v>
                </c:pt>
                <c:pt idx="51">
                  <c:v>30.536600000000004</c:v>
                </c:pt>
                <c:pt idx="52">
                  <c:v>30.4526</c:v>
                </c:pt>
                <c:pt idx="53">
                  <c:v>30.317499999999995</c:v>
                </c:pt>
                <c:pt idx="54">
                  <c:v>30.1267</c:v>
                </c:pt>
                <c:pt idx="55">
                  <c:v>29.845800000000001</c:v>
                </c:pt>
                <c:pt idx="56">
                  <c:v>29.559800000000003</c:v>
                </c:pt>
                <c:pt idx="57">
                  <c:v>29.254300000000001</c:v>
                </c:pt>
                <c:pt idx="58">
                  <c:v>29.0244</c:v>
                </c:pt>
                <c:pt idx="59">
                  <c:v>28.807700000000004</c:v>
                </c:pt>
                <c:pt idx="60">
                  <c:v>28.616000000000003</c:v>
                </c:pt>
                <c:pt idx="61">
                  <c:v>28.382600000000004</c:v>
                </c:pt>
                <c:pt idx="62">
                  <c:v>28.171800000000001</c:v>
                </c:pt>
                <c:pt idx="63">
                  <c:v>28.014699999999998</c:v>
                </c:pt>
                <c:pt idx="64">
                  <c:v>27.842499999999998</c:v>
                </c:pt>
                <c:pt idx="65">
                  <c:v>27.654199999999999</c:v>
                </c:pt>
                <c:pt idx="66">
                  <c:v>27.410899999999998</c:v>
                </c:pt>
                <c:pt idx="67">
                  <c:v>27.138500000000001</c:v>
                </c:pt>
                <c:pt idx="68">
                  <c:v>26.820599999999999</c:v>
                </c:pt>
                <c:pt idx="69">
                  <c:v>26.496799999999997</c:v>
                </c:pt>
                <c:pt idx="70">
                  <c:v>26.084000000000003</c:v>
                </c:pt>
                <c:pt idx="71">
                  <c:v>25.666599999999999</c:v>
                </c:pt>
                <c:pt idx="72">
                  <c:v>25.281399999999998</c:v>
                </c:pt>
                <c:pt idx="73">
                  <c:v>24.9346</c:v>
                </c:pt>
                <c:pt idx="74">
                  <c:v>24.645</c:v>
                </c:pt>
                <c:pt idx="75">
                  <c:v>24.358599999999999</c:v>
                </c:pt>
                <c:pt idx="76">
                  <c:v>24.1752</c:v>
                </c:pt>
                <c:pt idx="77">
                  <c:v>23.997</c:v>
                </c:pt>
                <c:pt idx="78">
                  <c:v>23.9056</c:v>
                </c:pt>
                <c:pt idx="79">
                  <c:v>23.8584</c:v>
                </c:pt>
                <c:pt idx="80">
                  <c:v>23.7925</c:v>
                </c:pt>
                <c:pt idx="81">
                  <c:v>23.789400000000001</c:v>
                </c:pt>
                <c:pt idx="82">
                  <c:v>23.794999999999998</c:v>
                </c:pt>
                <c:pt idx="83">
                  <c:v>23.768800000000002</c:v>
                </c:pt>
                <c:pt idx="84">
                  <c:v>23.662099999999999</c:v>
                </c:pt>
                <c:pt idx="85">
                  <c:v>23.544899999999998</c:v>
                </c:pt>
                <c:pt idx="86">
                  <c:v>23.3416</c:v>
                </c:pt>
                <c:pt idx="87">
                  <c:v>23.0974</c:v>
                </c:pt>
                <c:pt idx="88">
                  <c:v>22.9024</c:v>
                </c:pt>
                <c:pt idx="89">
                  <c:v>22.689899999999998</c:v>
                </c:pt>
                <c:pt idx="90">
                  <c:v>22.498000000000001</c:v>
                </c:pt>
                <c:pt idx="91">
                  <c:v>22.330100000000002</c:v>
                </c:pt>
                <c:pt idx="92">
                  <c:v>22.269500000000001</c:v>
                </c:pt>
                <c:pt idx="93">
                  <c:v>22.249700000000001</c:v>
                </c:pt>
                <c:pt idx="94">
                  <c:v>22.222799999999999</c:v>
                </c:pt>
                <c:pt idx="95">
                  <c:v>22.2378</c:v>
                </c:pt>
                <c:pt idx="96">
                  <c:v>22.305399999999999</c:v>
                </c:pt>
                <c:pt idx="97">
                  <c:v>22.3977</c:v>
                </c:pt>
                <c:pt idx="98">
                  <c:v>22.568099999999998</c:v>
                </c:pt>
                <c:pt idx="99">
                  <c:v>22.766500000000001</c:v>
                </c:pt>
                <c:pt idx="100">
                  <c:v>23.033000000000001</c:v>
                </c:pt>
                <c:pt idx="101">
                  <c:v>23.349900000000002</c:v>
                </c:pt>
                <c:pt idx="102">
                  <c:v>23.8263</c:v>
                </c:pt>
                <c:pt idx="103">
                  <c:v>24.266399999999997</c:v>
                </c:pt>
                <c:pt idx="104">
                  <c:v>24.685399999999998</c:v>
                </c:pt>
                <c:pt idx="105">
                  <c:v>25.160300000000003</c:v>
                </c:pt>
                <c:pt idx="106">
                  <c:v>25.646600000000003</c:v>
                </c:pt>
                <c:pt idx="107">
                  <c:v>26.151400000000002</c:v>
                </c:pt>
                <c:pt idx="108">
                  <c:v>26.693499999999997</c:v>
                </c:pt>
                <c:pt idx="109">
                  <c:v>27.2974</c:v>
                </c:pt>
                <c:pt idx="110">
                  <c:v>27.891700000000004</c:v>
                </c:pt>
                <c:pt idx="111">
                  <c:v>28.540300000000002</c:v>
                </c:pt>
                <c:pt idx="112">
                  <c:v>29.244799999999998</c:v>
                </c:pt>
                <c:pt idx="113">
                  <c:v>29.955100000000002</c:v>
                </c:pt>
                <c:pt idx="114">
                  <c:v>30.727</c:v>
                </c:pt>
                <c:pt idx="115">
                  <c:v>31.483899999999998</c:v>
                </c:pt>
                <c:pt idx="116">
                  <c:v>32.232699999999994</c:v>
                </c:pt>
                <c:pt idx="117">
                  <c:v>32.925600000000003</c:v>
                </c:pt>
                <c:pt idx="118">
                  <c:v>33.564</c:v>
                </c:pt>
                <c:pt idx="119">
                  <c:v>34.213200000000001</c:v>
                </c:pt>
                <c:pt idx="120">
                  <c:v>34.863699999999994</c:v>
                </c:pt>
                <c:pt idx="121">
                  <c:v>35.445399999999999</c:v>
                </c:pt>
                <c:pt idx="122">
                  <c:v>36.016500000000001</c:v>
                </c:pt>
                <c:pt idx="123">
                  <c:v>36.5535</c:v>
                </c:pt>
                <c:pt idx="124">
                  <c:v>36.884799999999998</c:v>
                </c:pt>
                <c:pt idx="125">
                  <c:v>37.2271</c:v>
                </c:pt>
                <c:pt idx="126">
                  <c:v>37.560500000000005</c:v>
                </c:pt>
                <c:pt idx="127">
                  <c:v>37.843900000000005</c:v>
                </c:pt>
                <c:pt idx="128">
                  <c:v>38.139699999999998</c:v>
                </c:pt>
                <c:pt idx="129">
                  <c:v>38.455300000000001</c:v>
                </c:pt>
                <c:pt idx="130">
                  <c:v>38.757799999999996</c:v>
                </c:pt>
                <c:pt idx="131">
                  <c:v>39.093899999999998</c:v>
                </c:pt>
                <c:pt idx="132">
                  <c:v>39.472999999999999</c:v>
                </c:pt>
                <c:pt idx="133">
                  <c:v>39.847200000000001</c:v>
                </c:pt>
                <c:pt idx="134">
                  <c:v>40.185400000000001</c:v>
                </c:pt>
                <c:pt idx="135">
                  <c:v>40.5655</c:v>
                </c:pt>
                <c:pt idx="136">
                  <c:v>41.001199999999997</c:v>
                </c:pt>
                <c:pt idx="137">
                  <c:v>41.347899999999996</c:v>
                </c:pt>
                <c:pt idx="138">
                  <c:v>41.622599999999998</c:v>
                </c:pt>
                <c:pt idx="139">
                  <c:v>41.837200000000003</c:v>
                </c:pt>
                <c:pt idx="140">
                  <c:v>42.009500000000003</c:v>
                </c:pt>
                <c:pt idx="141">
                  <c:v>42.164499999999997</c:v>
                </c:pt>
                <c:pt idx="142">
                  <c:v>42.344900000000003</c:v>
                </c:pt>
                <c:pt idx="143">
                  <c:v>42.578899999999997</c:v>
                </c:pt>
                <c:pt idx="144">
                  <c:v>42.711199999999998</c:v>
                </c:pt>
                <c:pt idx="145">
                  <c:v>42.6419</c:v>
                </c:pt>
                <c:pt idx="146">
                  <c:v>42.597000000000001</c:v>
                </c:pt>
                <c:pt idx="147">
                  <c:v>42.777799999999999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1.8407299999999998</c:v>
                </c:pt>
                <c:pt idx="1">
                  <c:v>1.8867800000000001</c:v>
                </c:pt>
                <c:pt idx="2">
                  <c:v>1.93411</c:v>
                </c:pt>
                <c:pt idx="3">
                  <c:v>1.98129</c:v>
                </c:pt>
                <c:pt idx="4">
                  <c:v>2.0296500000000002</c:v>
                </c:pt>
                <c:pt idx="5">
                  <c:v>2.08182</c:v>
                </c:pt>
                <c:pt idx="6">
                  <c:v>2.1368300000000002</c:v>
                </c:pt>
                <c:pt idx="7">
                  <c:v>2.1943899999999998</c:v>
                </c:pt>
                <c:pt idx="8">
                  <c:v>2.2543500000000001</c:v>
                </c:pt>
                <c:pt idx="9">
                  <c:v>2.3140200000000002</c:v>
                </c:pt>
                <c:pt idx="10">
                  <c:v>2.37418</c:v>
                </c:pt>
                <c:pt idx="11">
                  <c:v>2.4327800000000002</c:v>
                </c:pt>
                <c:pt idx="12">
                  <c:v>2.49457</c:v>
                </c:pt>
                <c:pt idx="13">
                  <c:v>2.5575900000000003</c:v>
                </c:pt>
                <c:pt idx="14">
                  <c:v>2.6237399999999997</c:v>
                </c:pt>
                <c:pt idx="15">
                  <c:v>2.6910400000000001</c:v>
                </c:pt>
                <c:pt idx="16">
                  <c:v>2.7604299999999999</c:v>
                </c:pt>
                <c:pt idx="17">
                  <c:v>2.8317199999999998</c:v>
                </c:pt>
                <c:pt idx="18">
                  <c:v>2.9015000000000004</c:v>
                </c:pt>
                <c:pt idx="19">
                  <c:v>2.96767</c:v>
                </c:pt>
                <c:pt idx="20">
                  <c:v>3.03064</c:v>
                </c:pt>
                <c:pt idx="21">
                  <c:v>3.09023</c:v>
                </c:pt>
                <c:pt idx="22">
                  <c:v>3.1463799999999997</c:v>
                </c:pt>
                <c:pt idx="23">
                  <c:v>3.2010499999999995</c:v>
                </c:pt>
                <c:pt idx="24">
                  <c:v>3.2566800000000002</c:v>
                </c:pt>
                <c:pt idx="25">
                  <c:v>3.3126100000000003</c:v>
                </c:pt>
                <c:pt idx="26">
                  <c:v>3.36598</c:v>
                </c:pt>
                <c:pt idx="27">
                  <c:v>3.4196599999999999</c:v>
                </c:pt>
                <c:pt idx="28">
                  <c:v>3.4727799999999998</c:v>
                </c:pt>
                <c:pt idx="29">
                  <c:v>3.5266099999999998</c:v>
                </c:pt>
                <c:pt idx="30">
                  <c:v>3.5817999999999999</c:v>
                </c:pt>
                <c:pt idx="31">
                  <c:v>3.6392600000000002</c:v>
                </c:pt>
                <c:pt idx="32">
                  <c:v>3.6971700000000003</c:v>
                </c:pt>
                <c:pt idx="33">
                  <c:v>3.7568299999999999</c:v>
                </c:pt>
                <c:pt idx="34">
                  <c:v>3.8145800000000003</c:v>
                </c:pt>
                <c:pt idx="35">
                  <c:v>3.8711800000000003</c:v>
                </c:pt>
                <c:pt idx="36">
                  <c:v>3.9245600000000005</c:v>
                </c:pt>
                <c:pt idx="37">
                  <c:v>3.9739900000000001</c:v>
                </c:pt>
                <c:pt idx="38">
                  <c:v>4.0211999999999994</c:v>
                </c:pt>
                <c:pt idx="39">
                  <c:v>4.0644299999999998</c:v>
                </c:pt>
                <c:pt idx="40">
                  <c:v>4.1003600000000002</c:v>
                </c:pt>
                <c:pt idx="41">
                  <c:v>4.1291399999999996</c:v>
                </c:pt>
                <c:pt idx="42">
                  <c:v>4.1512799999999999</c:v>
                </c:pt>
                <c:pt idx="43">
                  <c:v>4.1708400000000001</c:v>
                </c:pt>
                <c:pt idx="44">
                  <c:v>4.1880800000000002</c:v>
                </c:pt>
                <c:pt idx="45">
                  <c:v>4.2019700000000002</c:v>
                </c:pt>
                <c:pt idx="46">
                  <c:v>4.21591</c:v>
                </c:pt>
                <c:pt idx="47">
                  <c:v>4.2290400000000004</c:v>
                </c:pt>
                <c:pt idx="48">
                  <c:v>4.2405400000000002</c:v>
                </c:pt>
                <c:pt idx="49">
                  <c:v>4.2492400000000004</c:v>
                </c:pt>
                <c:pt idx="50">
                  <c:v>4.2603200000000001</c:v>
                </c:pt>
                <c:pt idx="51">
                  <c:v>4.2658100000000001</c:v>
                </c:pt>
                <c:pt idx="52">
                  <c:v>4.2686099999999998</c:v>
                </c:pt>
                <c:pt idx="53">
                  <c:v>4.2706200000000001</c:v>
                </c:pt>
                <c:pt idx="54">
                  <c:v>4.2686600000000006</c:v>
                </c:pt>
                <c:pt idx="55">
                  <c:v>4.2598000000000003</c:v>
                </c:pt>
                <c:pt idx="56">
                  <c:v>4.24559</c:v>
                </c:pt>
                <c:pt idx="57">
                  <c:v>4.2274200000000004</c:v>
                </c:pt>
                <c:pt idx="58">
                  <c:v>4.2046999999999999</c:v>
                </c:pt>
                <c:pt idx="59">
                  <c:v>4.1800600000000001</c:v>
                </c:pt>
                <c:pt idx="60">
                  <c:v>4.1523900000000005</c:v>
                </c:pt>
                <c:pt idx="61">
                  <c:v>4.1235200000000001</c:v>
                </c:pt>
                <c:pt idx="62">
                  <c:v>4.0917399999999997</c:v>
                </c:pt>
                <c:pt idx="63">
                  <c:v>4.0588199999999999</c:v>
                </c:pt>
                <c:pt idx="64">
                  <c:v>4.0250700000000004</c:v>
                </c:pt>
                <c:pt idx="65">
                  <c:v>3.9959099999999999</c:v>
                </c:pt>
                <c:pt idx="66">
                  <c:v>3.9699499999999999</c:v>
                </c:pt>
                <c:pt idx="67">
                  <c:v>3.9447100000000002</c:v>
                </c:pt>
                <c:pt idx="68">
                  <c:v>3.9174199999999999</c:v>
                </c:pt>
                <c:pt idx="69">
                  <c:v>3.8917899999999999</c:v>
                </c:pt>
                <c:pt idx="70">
                  <c:v>3.8695499999999998</c:v>
                </c:pt>
                <c:pt idx="71">
                  <c:v>3.8463799999999999</c:v>
                </c:pt>
                <c:pt idx="72">
                  <c:v>3.8228600000000004</c:v>
                </c:pt>
                <c:pt idx="73">
                  <c:v>3.79928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61.367600000000003</c:v>
                </c:pt>
                <c:pt idx="1">
                  <c:v>60.4101</c:v>
                </c:pt>
                <c:pt idx="2">
                  <c:v>59.299599999999998</c:v>
                </c:pt>
                <c:pt idx="3">
                  <c:v>58.153799999999997</c:v>
                </c:pt>
                <c:pt idx="4">
                  <c:v>56.811199999999992</c:v>
                </c:pt>
                <c:pt idx="5">
                  <c:v>55.399100000000004</c:v>
                </c:pt>
                <c:pt idx="6">
                  <c:v>53.951999999999998</c:v>
                </c:pt>
                <c:pt idx="7">
                  <c:v>52.497400000000006</c:v>
                </c:pt>
                <c:pt idx="8">
                  <c:v>50.902899999999995</c:v>
                </c:pt>
                <c:pt idx="9">
                  <c:v>49.266399999999997</c:v>
                </c:pt>
                <c:pt idx="10">
                  <c:v>47.687000000000005</c:v>
                </c:pt>
                <c:pt idx="11">
                  <c:v>46.195399999999999</c:v>
                </c:pt>
                <c:pt idx="12">
                  <c:v>44.655000000000001</c:v>
                </c:pt>
                <c:pt idx="13">
                  <c:v>43.075400000000002</c:v>
                </c:pt>
                <c:pt idx="14">
                  <c:v>41.392099999999999</c:v>
                </c:pt>
                <c:pt idx="15">
                  <c:v>39.719900000000003</c:v>
                </c:pt>
                <c:pt idx="16">
                  <c:v>38.1233</c:v>
                </c:pt>
                <c:pt idx="17">
                  <c:v>36.628399999999999</c:v>
                </c:pt>
                <c:pt idx="18">
                  <c:v>35.326099999999997</c:v>
                </c:pt>
                <c:pt idx="19">
                  <c:v>34.303200000000004</c:v>
                </c:pt>
                <c:pt idx="20">
                  <c:v>33.511600000000001</c:v>
                </c:pt>
                <c:pt idx="21">
                  <c:v>32.893899999999995</c:v>
                </c:pt>
                <c:pt idx="22">
                  <c:v>32.372099999999996</c:v>
                </c:pt>
                <c:pt idx="23">
                  <c:v>31.963900000000002</c:v>
                </c:pt>
                <c:pt idx="24">
                  <c:v>31.610599999999998</c:v>
                </c:pt>
                <c:pt idx="25">
                  <c:v>31.306699999999999</c:v>
                </c:pt>
                <c:pt idx="26">
                  <c:v>31.096299999999999</c:v>
                </c:pt>
                <c:pt idx="27">
                  <c:v>30.926300000000001</c:v>
                </c:pt>
                <c:pt idx="28">
                  <c:v>30.8125</c:v>
                </c:pt>
                <c:pt idx="29">
                  <c:v>30.710500000000003</c:v>
                </c:pt>
                <c:pt idx="30">
                  <c:v>30.512699999999999</c:v>
                </c:pt>
                <c:pt idx="31">
                  <c:v>30.238900000000001</c:v>
                </c:pt>
                <c:pt idx="32">
                  <c:v>29.8522</c:v>
                </c:pt>
                <c:pt idx="33">
                  <c:v>29.433700000000002</c:v>
                </c:pt>
                <c:pt idx="34">
                  <c:v>29.055299999999999</c:v>
                </c:pt>
                <c:pt idx="35">
                  <c:v>28.7761</c:v>
                </c:pt>
                <c:pt idx="36">
                  <c:v>28.632800000000003</c:v>
                </c:pt>
                <c:pt idx="37">
                  <c:v>28.539199999999997</c:v>
                </c:pt>
                <c:pt idx="38">
                  <c:v>28.523799999999998</c:v>
                </c:pt>
                <c:pt idx="39">
                  <c:v>28.565000000000001</c:v>
                </c:pt>
                <c:pt idx="40">
                  <c:v>28.736800000000002</c:v>
                </c:pt>
                <c:pt idx="41">
                  <c:v>28.928900000000002</c:v>
                </c:pt>
                <c:pt idx="42">
                  <c:v>29.082699999999999</c:v>
                </c:pt>
                <c:pt idx="43">
                  <c:v>29.242800000000003</c:v>
                </c:pt>
                <c:pt idx="44">
                  <c:v>29.462199999999999</c:v>
                </c:pt>
                <c:pt idx="45">
                  <c:v>29.700900000000001</c:v>
                </c:pt>
                <c:pt idx="46">
                  <c:v>29.9664</c:v>
                </c:pt>
                <c:pt idx="47">
                  <c:v>30.249199999999998</c:v>
                </c:pt>
                <c:pt idx="48">
                  <c:v>30.425200000000004</c:v>
                </c:pt>
                <c:pt idx="49">
                  <c:v>30.497999999999998</c:v>
                </c:pt>
                <c:pt idx="50">
                  <c:v>30.567</c:v>
                </c:pt>
                <c:pt idx="51">
                  <c:v>30.536600000000004</c:v>
                </c:pt>
                <c:pt idx="52">
                  <c:v>30.4526</c:v>
                </c:pt>
                <c:pt idx="53">
                  <c:v>30.317499999999995</c:v>
                </c:pt>
                <c:pt idx="54">
                  <c:v>30.1267</c:v>
                </c:pt>
                <c:pt idx="55">
                  <c:v>29.845800000000001</c:v>
                </c:pt>
                <c:pt idx="56">
                  <c:v>29.559800000000003</c:v>
                </c:pt>
                <c:pt idx="57">
                  <c:v>29.254300000000001</c:v>
                </c:pt>
                <c:pt idx="58">
                  <c:v>29.0244</c:v>
                </c:pt>
                <c:pt idx="59">
                  <c:v>28.807700000000004</c:v>
                </c:pt>
                <c:pt idx="60">
                  <c:v>28.616000000000003</c:v>
                </c:pt>
                <c:pt idx="61">
                  <c:v>28.382600000000004</c:v>
                </c:pt>
                <c:pt idx="62">
                  <c:v>28.171800000000001</c:v>
                </c:pt>
                <c:pt idx="63">
                  <c:v>28.014699999999998</c:v>
                </c:pt>
                <c:pt idx="64">
                  <c:v>27.842499999999998</c:v>
                </c:pt>
                <c:pt idx="65">
                  <c:v>27.654199999999999</c:v>
                </c:pt>
                <c:pt idx="66">
                  <c:v>27.410899999999998</c:v>
                </c:pt>
                <c:pt idx="67">
                  <c:v>27.138500000000001</c:v>
                </c:pt>
                <c:pt idx="68">
                  <c:v>26.820599999999999</c:v>
                </c:pt>
                <c:pt idx="69">
                  <c:v>26.496799999999997</c:v>
                </c:pt>
                <c:pt idx="70">
                  <c:v>26.084000000000003</c:v>
                </c:pt>
                <c:pt idx="71">
                  <c:v>25.666599999999999</c:v>
                </c:pt>
                <c:pt idx="72">
                  <c:v>25.281399999999998</c:v>
                </c:pt>
                <c:pt idx="73">
                  <c:v>24.9346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3.79928</c:v>
                </c:pt>
                <c:pt idx="1">
                  <c:v>3.7750299999999997</c:v>
                </c:pt>
                <c:pt idx="2">
                  <c:v>3.7442099999999998</c:v>
                </c:pt>
                <c:pt idx="3">
                  <c:v>3.7203300000000001</c:v>
                </c:pt>
                <c:pt idx="4">
                  <c:v>3.6957100000000001</c:v>
                </c:pt>
                <c:pt idx="5">
                  <c:v>3.67232</c:v>
                </c:pt>
                <c:pt idx="6">
                  <c:v>3.6530899999999997</c:v>
                </c:pt>
                <c:pt idx="7">
                  <c:v>3.6381899999999998</c:v>
                </c:pt>
                <c:pt idx="8">
                  <c:v>3.6246099999999997</c:v>
                </c:pt>
                <c:pt idx="9">
                  <c:v>3.6127799999999999</c:v>
                </c:pt>
                <c:pt idx="10">
                  <c:v>3.60311</c:v>
                </c:pt>
                <c:pt idx="11">
                  <c:v>3.5972599999999999</c:v>
                </c:pt>
                <c:pt idx="12">
                  <c:v>3.59253</c:v>
                </c:pt>
                <c:pt idx="13">
                  <c:v>3.59077</c:v>
                </c:pt>
                <c:pt idx="14">
                  <c:v>3.5896099999999995</c:v>
                </c:pt>
                <c:pt idx="15">
                  <c:v>3.5883799999999999</c:v>
                </c:pt>
                <c:pt idx="16">
                  <c:v>3.5876700000000001</c:v>
                </c:pt>
                <c:pt idx="17">
                  <c:v>3.5876900000000003</c:v>
                </c:pt>
                <c:pt idx="18">
                  <c:v>3.5898300000000001</c:v>
                </c:pt>
                <c:pt idx="19">
                  <c:v>3.5965000000000003</c:v>
                </c:pt>
                <c:pt idx="20">
                  <c:v>3.6068800000000003</c:v>
                </c:pt>
                <c:pt idx="21">
                  <c:v>3.62168</c:v>
                </c:pt>
                <c:pt idx="22">
                  <c:v>3.6419899999999998</c:v>
                </c:pt>
                <c:pt idx="23">
                  <c:v>3.6669200000000002</c:v>
                </c:pt>
                <c:pt idx="24">
                  <c:v>3.69685</c:v>
                </c:pt>
                <c:pt idx="25">
                  <c:v>3.7313900000000002</c:v>
                </c:pt>
                <c:pt idx="26">
                  <c:v>3.7670199999999996</c:v>
                </c:pt>
                <c:pt idx="27">
                  <c:v>3.8024200000000001</c:v>
                </c:pt>
                <c:pt idx="28">
                  <c:v>3.8372099999999998</c:v>
                </c:pt>
                <c:pt idx="29">
                  <c:v>3.8691300000000002</c:v>
                </c:pt>
                <c:pt idx="30">
                  <c:v>3.8983600000000003</c:v>
                </c:pt>
                <c:pt idx="31">
                  <c:v>3.9249700000000001</c:v>
                </c:pt>
                <c:pt idx="32">
                  <c:v>3.9518399999999998</c:v>
                </c:pt>
                <c:pt idx="33">
                  <c:v>3.9776899999999999</c:v>
                </c:pt>
                <c:pt idx="34">
                  <c:v>4.0025300000000001</c:v>
                </c:pt>
                <c:pt idx="35">
                  <c:v>4.0211999999999994</c:v>
                </c:pt>
                <c:pt idx="36">
                  <c:v>4.0324299999999997</c:v>
                </c:pt>
                <c:pt idx="37">
                  <c:v>4.0428699999999997</c:v>
                </c:pt>
                <c:pt idx="38">
                  <c:v>4.0541999999999998</c:v>
                </c:pt>
                <c:pt idx="39">
                  <c:v>4.0626199999999999</c:v>
                </c:pt>
                <c:pt idx="40">
                  <c:v>4.07226</c:v>
                </c:pt>
                <c:pt idx="41">
                  <c:v>4.0787599999999999</c:v>
                </c:pt>
                <c:pt idx="42">
                  <c:v>4.0833300000000001</c:v>
                </c:pt>
                <c:pt idx="43">
                  <c:v>4.0878899999999998</c:v>
                </c:pt>
                <c:pt idx="44">
                  <c:v>4.0927799999999994</c:v>
                </c:pt>
                <c:pt idx="45">
                  <c:v>4.0972299999999997</c:v>
                </c:pt>
                <c:pt idx="46">
                  <c:v>4.1004399999999999</c:v>
                </c:pt>
                <c:pt idx="47">
                  <c:v>4.1020500000000002</c:v>
                </c:pt>
                <c:pt idx="48">
                  <c:v>4.10379</c:v>
                </c:pt>
                <c:pt idx="49">
                  <c:v>4.10487</c:v>
                </c:pt>
                <c:pt idx="50">
                  <c:v>4.1074299999999999</c:v>
                </c:pt>
                <c:pt idx="51">
                  <c:v>4.1053899999999999</c:v>
                </c:pt>
                <c:pt idx="52">
                  <c:v>4.1026699999999998</c:v>
                </c:pt>
                <c:pt idx="53">
                  <c:v>4.1000700000000005</c:v>
                </c:pt>
                <c:pt idx="54">
                  <c:v>4.0978399999999997</c:v>
                </c:pt>
                <c:pt idx="55">
                  <c:v>4.0953900000000001</c:v>
                </c:pt>
                <c:pt idx="56">
                  <c:v>4.09206</c:v>
                </c:pt>
                <c:pt idx="57">
                  <c:v>4.0861999999999998</c:v>
                </c:pt>
                <c:pt idx="58">
                  <c:v>4.0781799999999997</c:v>
                </c:pt>
                <c:pt idx="59">
                  <c:v>4.0695300000000003</c:v>
                </c:pt>
                <c:pt idx="60">
                  <c:v>4.0635300000000001</c:v>
                </c:pt>
                <c:pt idx="61">
                  <c:v>4.0601599999999998</c:v>
                </c:pt>
                <c:pt idx="62">
                  <c:v>4.0564800000000005</c:v>
                </c:pt>
                <c:pt idx="63">
                  <c:v>4.0500600000000002</c:v>
                </c:pt>
                <c:pt idx="64">
                  <c:v>4.0493600000000001</c:v>
                </c:pt>
                <c:pt idx="65">
                  <c:v>4.0464799999999999</c:v>
                </c:pt>
                <c:pt idx="66">
                  <c:v>4.0489199999999999</c:v>
                </c:pt>
                <c:pt idx="67">
                  <c:v>4.0561400000000001</c:v>
                </c:pt>
                <c:pt idx="68">
                  <c:v>4.0651200000000003</c:v>
                </c:pt>
                <c:pt idx="69">
                  <c:v>4.07545</c:v>
                </c:pt>
                <c:pt idx="70">
                  <c:v>4.08962</c:v>
                </c:pt>
                <c:pt idx="71">
                  <c:v>4.1084500000000004</c:v>
                </c:pt>
                <c:pt idx="72">
                  <c:v>4.13347</c:v>
                </c:pt>
                <c:pt idx="73">
                  <c:v>4.1627999999999998</c:v>
                </c:pt>
                <c:pt idx="74">
                  <c:v>4.1989900000000002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24.9346</c:v>
                </c:pt>
                <c:pt idx="1">
                  <c:v>24.645</c:v>
                </c:pt>
                <c:pt idx="2">
                  <c:v>24.358599999999999</c:v>
                </c:pt>
                <c:pt idx="3">
                  <c:v>24.1752</c:v>
                </c:pt>
                <c:pt idx="4">
                  <c:v>23.997</c:v>
                </c:pt>
                <c:pt idx="5">
                  <c:v>23.9056</c:v>
                </c:pt>
                <c:pt idx="6">
                  <c:v>23.8584</c:v>
                </c:pt>
                <c:pt idx="7">
                  <c:v>23.7925</c:v>
                </c:pt>
                <c:pt idx="8">
                  <c:v>23.789400000000001</c:v>
                </c:pt>
                <c:pt idx="9">
                  <c:v>23.794999999999998</c:v>
                </c:pt>
                <c:pt idx="10">
                  <c:v>23.768800000000002</c:v>
                </c:pt>
                <c:pt idx="11">
                  <c:v>23.662099999999999</c:v>
                </c:pt>
                <c:pt idx="12">
                  <c:v>23.544899999999998</c:v>
                </c:pt>
                <c:pt idx="13">
                  <c:v>23.3416</c:v>
                </c:pt>
                <c:pt idx="14">
                  <c:v>23.0974</c:v>
                </c:pt>
                <c:pt idx="15">
                  <c:v>22.9024</c:v>
                </c:pt>
                <c:pt idx="16">
                  <c:v>22.689899999999998</c:v>
                </c:pt>
                <c:pt idx="17">
                  <c:v>22.498000000000001</c:v>
                </c:pt>
                <c:pt idx="18">
                  <c:v>22.330100000000002</c:v>
                </c:pt>
                <c:pt idx="19">
                  <c:v>22.269500000000001</c:v>
                </c:pt>
                <c:pt idx="20">
                  <c:v>22.249700000000001</c:v>
                </c:pt>
                <c:pt idx="21">
                  <c:v>22.222799999999999</c:v>
                </c:pt>
                <c:pt idx="22">
                  <c:v>22.2378</c:v>
                </c:pt>
                <c:pt idx="23">
                  <c:v>22.305399999999999</c:v>
                </c:pt>
                <c:pt idx="24">
                  <c:v>22.3977</c:v>
                </c:pt>
                <c:pt idx="25">
                  <c:v>22.568099999999998</c:v>
                </c:pt>
                <c:pt idx="26">
                  <c:v>22.766500000000001</c:v>
                </c:pt>
                <c:pt idx="27">
                  <c:v>23.033000000000001</c:v>
                </c:pt>
                <c:pt idx="28">
                  <c:v>23.349900000000002</c:v>
                </c:pt>
                <c:pt idx="29">
                  <c:v>23.8263</c:v>
                </c:pt>
                <c:pt idx="30">
                  <c:v>24.266399999999997</c:v>
                </c:pt>
                <c:pt idx="31">
                  <c:v>24.685399999999998</c:v>
                </c:pt>
                <c:pt idx="32">
                  <c:v>25.160300000000003</c:v>
                </c:pt>
                <c:pt idx="33">
                  <c:v>25.646600000000003</c:v>
                </c:pt>
                <c:pt idx="34">
                  <c:v>26.151400000000002</c:v>
                </c:pt>
                <c:pt idx="35">
                  <c:v>26.693499999999997</c:v>
                </c:pt>
                <c:pt idx="36">
                  <c:v>27.2974</c:v>
                </c:pt>
                <c:pt idx="37">
                  <c:v>27.891700000000004</c:v>
                </c:pt>
                <c:pt idx="38">
                  <c:v>28.540300000000002</c:v>
                </c:pt>
                <c:pt idx="39">
                  <c:v>29.244799999999998</c:v>
                </c:pt>
                <c:pt idx="40">
                  <c:v>29.955100000000002</c:v>
                </c:pt>
                <c:pt idx="41">
                  <c:v>30.727</c:v>
                </c:pt>
                <c:pt idx="42">
                  <c:v>31.483899999999998</c:v>
                </c:pt>
                <c:pt idx="43">
                  <c:v>32.232699999999994</c:v>
                </c:pt>
                <c:pt idx="44">
                  <c:v>32.925600000000003</c:v>
                </c:pt>
                <c:pt idx="45">
                  <c:v>33.564</c:v>
                </c:pt>
                <c:pt idx="46">
                  <c:v>34.213200000000001</c:v>
                </c:pt>
                <c:pt idx="47">
                  <c:v>34.863699999999994</c:v>
                </c:pt>
                <c:pt idx="48">
                  <c:v>35.445399999999999</c:v>
                </c:pt>
                <c:pt idx="49">
                  <c:v>36.016500000000001</c:v>
                </c:pt>
                <c:pt idx="50">
                  <c:v>36.5535</c:v>
                </c:pt>
                <c:pt idx="51">
                  <c:v>36.884799999999998</c:v>
                </c:pt>
                <c:pt idx="52">
                  <c:v>37.2271</c:v>
                </c:pt>
                <c:pt idx="53">
                  <c:v>37.560500000000005</c:v>
                </c:pt>
                <c:pt idx="54">
                  <c:v>37.843900000000005</c:v>
                </c:pt>
                <c:pt idx="55">
                  <c:v>38.139699999999998</c:v>
                </c:pt>
                <c:pt idx="56">
                  <c:v>38.455300000000001</c:v>
                </c:pt>
                <c:pt idx="57">
                  <c:v>38.757799999999996</c:v>
                </c:pt>
                <c:pt idx="58">
                  <c:v>39.093899999999998</c:v>
                </c:pt>
                <c:pt idx="59">
                  <c:v>39.472999999999999</c:v>
                </c:pt>
                <c:pt idx="60">
                  <c:v>39.847200000000001</c:v>
                </c:pt>
                <c:pt idx="61">
                  <c:v>40.185400000000001</c:v>
                </c:pt>
                <c:pt idx="62">
                  <c:v>40.5655</c:v>
                </c:pt>
                <c:pt idx="63">
                  <c:v>41.001199999999997</c:v>
                </c:pt>
                <c:pt idx="64">
                  <c:v>41.347899999999996</c:v>
                </c:pt>
                <c:pt idx="65">
                  <c:v>41.622599999999998</c:v>
                </c:pt>
                <c:pt idx="66">
                  <c:v>41.837200000000003</c:v>
                </c:pt>
                <c:pt idx="67">
                  <c:v>42.009500000000003</c:v>
                </c:pt>
                <c:pt idx="68">
                  <c:v>42.164499999999997</c:v>
                </c:pt>
                <c:pt idx="69">
                  <c:v>42.344900000000003</c:v>
                </c:pt>
                <c:pt idx="70">
                  <c:v>42.578899999999997</c:v>
                </c:pt>
                <c:pt idx="71">
                  <c:v>42.711199999999998</c:v>
                </c:pt>
                <c:pt idx="72">
                  <c:v>42.6419</c:v>
                </c:pt>
                <c:pt idx="73">
                  <c:v>42.597000000000001</c:v>
                </c:pt>
                <c:pt idx="74">
                  <c:v>42.777799999999999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3.4904620270270255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34.429739189189192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3.910716351351351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30.764941891891894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3.910716351351351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30.764941891891894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0.20497688785457666</c:v>
                </c:pt>
                <c:pt idx="1">
                  <c:v>0.30802670462798232</c:v>
                </c:pt>
                <c:pt idx="2">
                  <c:v>0.486996407517441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0.34945500000000002</c:v>
                </c:pt>
                <c:pt idx="2">
                  <c:v>0.75360199999999999</c:v>
                </c:pt>
                <c:pt idx="3">
                  <c:v>1.15961</c:v>
                </c:pt>
                <c:pt idx="4">
                  <c:v>1.5682799999999999</c:v>
                </c:pt>
                <c:pt idx="5">
                  <c:v>1.9735400000000001</c:v>
                </c:pt>
                <c:pt idx="6">
                  <c:v>2.3790300000000002</c:v>
                </c:pt>
                <c:pt idx="7">
                  <c:v>2.7825099999999998</c:v>
                </c:pt>
                <c:pt idx="8">
                  <c:v>3.18729</c:v>
                </c:pt>
                <c:pt idx="9">
                  <c:v>3.5988199999999999</c:v>
                </c:pt>
                <c:pt idx="10">
                  <c:v>4.0053700000000001</c:v>
                </c:pt>
                <c:pt idx="11">
                  <c:v>4.4091899999999997</c:v>
                </c:pt>
                <c:pt idx="12">
                  <c:v>4.8153100000000002</c:v>
                </c:pt>
                <c:pt idx="13">
                  <c:v>5.2225999999999999</c:v>
                </c:pt>
                <c:pt idx="14">
                  <c:v>5.6305800000000001</c:v>
                </c:pt>
                <c:pt idx="15">
                  <c:v>6.0365599999999997</c:v>
                </c:pt>
                <c:pt idx="16">
                  <c:v>6.4446500000000002</c:v>
                </c:pt>
                <c:pt idx="17">
                  <c:v>6.8495600000000003</c:v>
                </c:pt>
                <c:pt idx="18">
                  <c:v>7.2543899999999999</c:v>
                </c:pt>
                <c:pt idx="19">
                  <c:v>7.6580899999999996</c:v>
                </c:pt>
                <c:pt idx="20">
                  <c:v>8.0672499999999996</c:v>
                </c:pt>
                <c:pt idx="21">
                  <c:v>8.4752299999999998</c:v>
                </c:pt>
                <c:pt idx="22">
                  <c:v>8.8822500000000009</c:v>
                </c:pt>
                <c:pt idx="23">
                  <c:v>9.2896699999999992</c:v>
                </c:pt>
                <c:pt idx="24">
                  <c:v>9.6912000000000003</c:v>
                </c:pt>
                <c:pt idx="25">
                  <c:v>10.097200000000001</c:v>
                </c:pt>
                <c:pt idx="26">
                  <c:v>10.504799999999999</c:v>
                </c:pt>
                <c:pt idx="27">
                  <c:v>10.9147</c:v>
                </c:pt>
                <c:pt idx="28">
                  <c:v>11.317399999999999</c:v>
                </c:pt>
                <c:pt idx="29">
                  <c:v>11.7227</c:v>
                </c:pt>
                <c:pt idx="30">
                  <c:v>12.13</c:v>
                </c:pt>
                <c:pt idx="31">
                  <c:v>12.5364</c:v>
                </c:pt>
                <c:pt idx="32">
                  <c:v>12.944599999999999</c:v>
                </c:pt>
                <c:pt idx="33">
                  <c:v>13.3474</c:v>
                </c:pt>
                <c:pt idx="34">
                  <c:v>13.752700000000001</c:v>
                </c:pt>
                <c:pt idx="35">
                  <c:v>14.1592</c:v>
                </c:pt>
                <c:pt idx="36">
                  <c:v>14.57</c:v>
                </c:pt>
                <c:pt idx="37">
                  <c:v>14.974299999999999</c:v>
                </c:pt>
                <c:pt idx="38">
                  <c:v>15.379099999999999</c:v>
                </c:pt>
                <c:pt idx="39">
                  <c:v>15.785299999999999</c:v>
                </c:pt>
                <c:pt idx="40">
                  <c:v>16.192299999999999</c:v>
                </c:pt>
                <c:pt idx="41">
                  <c:v>16.601099999999999</c:v>
                </c:pt>
                <c:pt idx="42">
                  <c:v>17.005700000000001</c:v>
                </c:pt>
                <c:pt idx="43">
                  <c:v>17.4131</c:v>
                </c:pt>
                <c:pt idx="44">
                  <c:v>17.814399999999999</c:v>
                </c:pt>
                <c:pt idx="45">
                  <c:v>18.2224</c:v>
                </c:pt>
                <c:pt idx="46">
                  <c:v>18.628799999999998</c:v>
                </c:pt>
                <c:pt idx="47">
                  <c:v>19.0349</c:v>
                </c:pt>
                <c:pt idx="48">
                  <c:v>19.4438</c:v>
                </c:pt>
                <c:pt idx="49">
                  <c:v>19.8491</c:v>
                </c:pt>
                <c:pt idx="50">
                  <c:v>20.2532</c:v>
                </c:pt>
                <c:pt idx="51">
                  <c:v>20.660499999999999</c:v>
                </c:pt>
                <c:pt idx="52">
                  <c:v>21.065100000000001</c:v>
                </c:pt>
                <c:pt idx="53">
                  <c:v>21.474</c:v>
                </c:pt>
                <c:pt idx="54">
                  <c:v>21.878900000000002</c:v>
                </c:pt>
                <c:pt idx="55">
                  <c:v>22.285299999999999</c:v>
                </c:pt>
                <c:pt idx="56">
                  <c:v>22.694900000000001</c:v>
                </c:pt>
                <c:pt idx="57">
                  <c:v>23.099699999999999</c:v>
                </c:pt>
                <c:pt idx="58">
                  <c:v>23.5077</c:v>
                </c:pt>
                <c:pt idx="59">
                  <c:v>23.910599999999999</c:v>
                </c:pt>
                <c:pt idx="60">
                  <c:v>24.314699999999998</c:v>
                </c:pt>
                <c:pt idx="61">
                  <c:v>24.721900000000002</c:v>
                </c:pt>
                <c:pt idx="62">
                  <c:v>25.125399999999999</c:v>
                </c:pt>
                <c:pt idx="63">
                  <c:v>25.5349</c:v>
                </c:pt>
                <c:pt idx="64">
                  <c:v>25.944800000000001</c:v>
                </c:pt>
                <c:pt idx="65">
                  <c:v>26.350200000000001</c:v>
                </c:pt>
                <c:pt idx="66">
                  <c:v>26.7563</c:v>
                </c:pt>
                <c:pt idx="67">
                  <c:v>27.159099999999999</c:v>
                </c:pt>
                <c:pt idx="68">
                  <c:v>27.5641</c:v>
                </c:pt>
                <c:pt idx="69">
                  <c:v>27.9726</c:v>
                </c:pt>
                <c:pt idx="70">
                  <c:v>28.380500000000001</c:v>
                </c:pt>
                <c:pt idx="71">
                  <c:v>28.785299999999999</c:v>
                </c:pt>
                <c:pt idx="72">
                  <c:v>29.193000000000001</c:v>
                </c:pt>
                <c:pt idx="73">
                  <c:v>29.5959</c:v>
                </c:pt>
                <c:pt idx="74">
                  <c:v>30.0031</c:v>
                </c:pt>
                <c:pt idx="75">
                  <c:v>30.599299999999999</c:v>
                </c:pt>
                <c:pt idx="76">
                  <c:v>30.975100000000001</c:v>
                </c:pt>
                <c:pt idx="77">
                  <c:v>31.350200000000001</c:v>
                </c:pt>
                <c:pt idx="78">
                  <c:v>31.7226</c:v>
                </c:pt>
                <c:pt idx="79">
                  <c:v>32.097799999999999</c:v>
                </c:pt>
                <c:pt idx="80">
                  <c:v>32.503700000000002</c:v>
                </c:pt>
                <c:pt idx="81">
                  <c:v>32.912799999999997</c:v>
                </c:pt>
                <c:pt idx="82">
                  <c:v>33.320500000000003</c:v>
                </c:pt>
                <c:pt idx="83">
                  <c:v>33.722299999999997</c:v>
                </c:pt>
                <c:pt idx="84">
                  <c:v>34.134</c:v>
                </c:pt>
                <c:pt idx="85">
                  <c:v>34.534799999999997</c:v>
                </c:pt>
                <c:pt idx="86">
                  <c:v>34.941499999999998</c:v>
                </c:pt>
                <c:pt idx="87">
                  <c:v>35.347799999999999</c:v>
                </c:pt>
                <c:pt idx="88">
                  <c:v>35.753</c:v>
                </c:pt>
                <c:pt idx="89">
                  <c:v>36.161099999999998</c:v>
                </c:pt>
                <c:pt idx="90">
                  <c:v>36.567999999999998</c:v>
                </c:pt>
                <c:pt idx="91">
                  <c:v>36.975700000000003</c:v>
                </c:pt>
                <c:pt idx="92">
                  <c:v>37.379100000000001</c:v>
                </c:pt>
                <c:pt idx="93">
                  <c:v>37.786700000000003</c:v>
                </c:pt>
                <c:pt idx="94">
                  <c:v>38.19</c:v>
                </c:pt>
                <c:pt idx="95">
                  <c:v>38.600200000000001</c:v>
                </c:pt>
                <c:pt idx="96">
                  <c:v>39.005000000000003</c:v>
                </c:pt>
                <c:pt idx="97">
                  <c:v>39.412700000000001</c:v>
                </c:pt>
                <c:pt idx="98">
                  <c:v>39.816499999999998</c:v>
                </c:pt>
                <c:pt idx="99">
                  <c:v>40.227400000000003</c:v>
                </c:pt>
                <c:pt idx="100">
                  <c:v>40.6312</c:v>
                </c:pt>
                <c:pt idx="101">
                  <c:v>41.034500000000001</c:v>
                </c:pt>
                <c:pt idx="102">
                  <c:v>41.445900000000002</c:v>
                </c:pt>
                <c:pt idx="103">
                  <c:v>41.848199999999999</c:v>
                </c:pt>
                <c:pt idx="104">
                  <c:v>42.256399999999999</c:v>
                </c:pt>
                <c:pt idx="105">
                  <c:v>42.662599999999998</c:v>
                </c:pt>
                <c:pt idx="106">
                  <c:v>43.063699999999997</c:v>
                </c:pt>
                <c:pt idx="107">
                  <c:v>43.4711</c:v>
                </c:pt>
                <c:pt idx="108">
                  <c:v>43.880099999999999</c:v>
                </c:pt>
                <c:pt idx="109">
                  <c:v>44.287799999999997</c:v>
                </c:pt>
                <c:pt idx="110">
                  <c:v>44.692999999999998</c:v>
                </c:pt>
                <c:pt idx="111">
                  <c:v>45.096800000000002</c:v>
                </c:pt>
                <c:pt idx="112">
                  <c:v>45.504100000000001</c:v>
                </c:pt>
                <c:pt idx="113">
                  <c:v>45.911999999999999</c:v>
                </c:pt>
                <c:pt idx="114">
                  <c:v>46.317900000000002</c:v>
                </c:pt>
                <c:pt idx="115">
                  <c:v>46.723599999999998</c:v>
                </c:pt>
                <c:pt idx="116">
                  <c:v>47.130800000000001</c:v>
                </c:pt>
                <c:pt idx="117">
                  <c:v>47.534700000000001</c:v>
                </c:pt>
                <c:pt idx="118">
                  <c:v>47.943300000000001</c:v>
                </c:pt>
                <c:pt idx="119">
                  <c:v>48.350499999999997</c:v>
                </c:pt>
                <c:pt idx="120">
                  <c:v>48.755699999999997</c:v>
                </c:pt>
                <c:pt idx="121">
                  <c:v>49.159399999999998</c:v>
                </c:pt>
                <c:pt idx="122">
                  <c:v>49.566499999999998</c:v>
                </c:pt>
                <c:pt idx="123">
                  <c:v>49.972900000000003</c:v>
                </c:pt>
                <c:pt idx="124">
                  <c:v>50.380800000000001</c:v>
                </c:pt>
                <c:pt idx="125">
                  <c:v>50.7879</c:v>
                </c:pt>
                <c:pt idx="126">
                  <c:v>51.191200000000002</c:v>
                </c:pt>
                <c:pt idx="127">
                  <c:v>51.596899999999998</c:v>
                </c:pt>
                <c:pt idx="128">
                  <c:v>52.004199999999997</c:v>
                </c:pt>
                <c:pt idx="129">
                  <c:v>52.414099999999998</c:v>
                </c:pt>
                <c:pt idx="130">
                  <c:v>52.817799999999998</c:v>
                </c:pt>
                <c:pt idx="131">
                  <c:v>53.220799999999997</c:v>
                </c:pt>
                <c:pt idx="132">
                  <c:v>53.626399999999997</c:v>
                </c:pt>
                <c:pt idx="133">
                  <c:v>54.038899999999998</c:v>
                </c:pt>
                <c:pt idx="134">
                  <c:v>54.445599999999999</c:v>
                </c:pt>
                <c:pt idx="135">
                  <c:v>54.849400000000003</c:v>
                </c:pt>
                <c:pt idx="136">
                  <c:v>55.253999999999998</c:v>
                </c:pt>
                <c:pt idx="137">
                  <c:v>55.6599</c:v>
                </c:pt>
                <c:pt idx="138">
                  <c:v>56.068800000000003</c:v>
                </c:pt>
                <c:pt idx="139">
                  <c:v>56.472799999999999</c:v>
                </c:pt>
                <c:pt idx="140">
                  <c:v>56.881999999999998</c:v>
                </c:pt>
                <c:pt idx="141">
                  <c:v>57.2866</c:v>
                </c:pt>
                <c:pt idx="142">
                  <c:v>57.689399999999999</c:v>
                </c:pt>
                <c:pt idx="143">
                  <c:v>58.097299999999997</c:v>
                </c:pt>
                <c:pt idx="144">
                  <c:v>58.506100000000004</c:v>
                </c:pt>
                <c:pt idx="145">
                  <c:v>58.912100000000002</c:v>
                </c:pt>
                <c:pt idx="146">
                  <c:v>59.3187</c:v>
                </c:pt>
                <c:pt idx="147">
                  <c:v>59.724899999999998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1.8407299999999998</c:v>
                </c:pt>
                <c:pt idx="1">
                  <c:v>1.8867800000000001</c:v>
                </c:pt>
                <c:pt idx="2">
                  <c:v>1.93411</c:v>
                </c:pt>
                <c:pt idx="3">
                  <c:v>1.98129</c:v>
                </c:pt>
                <c:pt idx="4">
                  <c:v>2.0296500000000002</c:v>
                </c:pt>
                <c:pt idx="5">
                  <c:v>2.08182</c:v>
                </c:pt>
                <c:pt idx="6">
                  <c:v>2.1368300000000002</c:v>
                </c:pt>
                <c:pt idx="7">
                  <c:v>2.1943899999999998</c:v>
                </c:pt>
                <c:pt idx="8">
                  <c:v>2.2543500000000001</c:v>
                </c:pt>
                <c:pt idx="9">
                  <c:v>2.3140200000000002</c:v>
                </c:pt>
                <c:pt idx="10">
                  <c:v>2.37418</c:v>
                </c:pt>
                <c:pt idx="11">
                  <c:v>2.4327800000000002</c:v>
                </c:pt>
                <c:pt idx="12">
                  <c:v>2.49457</c:v>
                </c:pt>
                <c:pt idx="13">
                  <c:v>2.5575900000000003</c:v>
                </c:pt>
                <c:pt idx="14">
                  <c:v>2.6237399999999997</c:v>
                </c:pt>
                <c:pt idx="15">
                  <c:v>2.6910400000000001</c:v>
                </c:pt>
                <c:pt idx="16">
                  <c:v>2.7604299999999999</c:v>
                </c:pt>
                <c:pt idx="17">
                  <c:v>2.8317199999999998</c:v>
                </c:pt>
                <c:pt idx="18">
                  <c:v>2.9015000000000004</c:v>
                </c:pt>
                <c:pt idx="19">
                  <c:v>2.96767</c:v>
                </c:pt>
                <c:pt idx="20">
                  <c:v>3.03064</c:v>
                </c:pt>
                <c:pt idx="21">
                  <c:v>3.09023</c:v>
                </c:pt>
                <c:pt idx="22">
                  <c:v>3.1463799999999997</c:v>
                </c:pt>
                <c:pt idx="23">
                  <c:v>3.2010499999999995</c:v>
                </c:pt>
                <c:pt idx="24">
                  <c:v>3.2566800000000002</c:v>
                </c:pt>
                <c:pt idx="25">
                  <c:v>3.3126100000000003</c:v>
                </c:pt>
                <c:pt idx="26">
                  <c:v>3.36598</c:v>
                </c:pt>
                <c:pt idx="27">
                  <c:v>3.4196599999999999</c:v>
                </c:pt>
                <c:pt idx="28">
                  <c:v>3.4727799999999998</c:v>
                </c:pt>
                <c:pt idx="29">
                  <c:v>3.5266099999999998</c:v>
                </c:pt>
                <c:pt idx="30">
                  <c:v>3.5817999999999999</c:v>
                </c:pt>
                <c:pt idx="31">
                  <c:v>3.6392600000000002</c:v>
                </c:pt>
                <c:pt idx="32">
                  <c:v>3.6971700000000003</c:v>
                </c:pt>
                <c:pt idx="33">
                  <c:v>3.7568299999999999</c:v>
                </c:pt>
                <c:pt idx="34">
                  <c:v>3.8145800000000003</c:v>
                </c:pt>
                <c:pt idx="35">
                  <c:v>3.8711800000000003</c:v>
                </c:pt>
                <c:pt idx="36">
                  <c:v>3.9245600000000005</c:v>
                </c:pt>
                <c:pt idx="37">
                  <c:v>3.9739900000000001</c:v>
                </c:pt>
                <c:pt idx="38">
                  <c:v>4.0211999999999994</c:v>
                </c:pt>
                <c:pt idx="39">
                  <c:v>4.0644299999999998</c:v>
                </c:pt>
                <c:pt idx="40">
                  <c:v>4.1003600000000002</c:v>
                </c:pt>
                <c:pt idx="41">
                  <c:v>4.1291399999999996</c:v>
                </c:pt>
                <c:pt idx="42">
                  <c:v>4.1512799999999999</c:v>
                </c:pt>
                <c:pt idx="43">
                  <c:v>4.1708400000000001</c:v>
                </c:pt>
                <c:pt idx="44">
                  <c:v>4.1880800000000002</c:v>
                </c:pt>
                <c:pt idx="45">
                  <c:v>4.2019700000000002</c:v>
                </c:pt>
                <c:pt idx="46">
                  <c:v>4.21591</c:v>
                </c:pt>
                <c:pt idx="47">
                  <c:v>4.2290400000000004</c:v>
                </c:pt>
                <c:pt idx="48">
                  <c:v>4.2405400000000002</c:v>
                </c:pt>
                <c:pt idx="49">
                  <c:v>4.2492400000000004</c:v>
                </c:pt>
                <c:pt idx="50">
                  <c:v>4.2603200000000001</c:v>
                </c:pt>
                <c:pt idx="51">
                  <c:v>4.2658100000000001</c:v>
                </c:pt>
                <c:pt idx="52">
                  <c:v>4.2686099999999998</c:v>
                </c:pt>
                <c:pt idx="53">
                  <c:v>4.2706200000000001</c:v>
                </c:pt>
                <c:pt idx="54">
                  <c:v>4.2686600000000006</c:v>
                </c:pt>
                <c:pt idx="55">
                  <c:v>4.2598000000000003</c:v>
                </c:pt>
                <c:pt idx="56">
                  <c:v>4.24559</c:v>
                </c:pt>
                <c:pt idx="57">
                  <c:v>4.2274200000000004</c:v>
                </c:pt>
                <c:pt idx="58">
                  <c:v>4.2046999999999999</c:v>
                </c:pt>
                <c:pt idx="59">
                  <c:v>4.1800600000000001</c:v>
                </c:pt>
                <c:pt idx="60">
                  <c:v>4.1523900000000005</c:v>
                </c:pt>
                <c:pt idx="61">
                  <c:v>4.1235200000000001</c:v>
                </c:pt>
                <c:pt idx="62">
                  <c:v>4.0917399999999997</c:v>
                </c:pt>
                <c:pt idx="63">
                  <c:v>4.0588199999999999</c:v>
                </c:pt>
                <c:pt idx="64">
                  <c:v>4.0250700000000004</c:v>
                </c:pt>
                <c:pt idx="65">
                  <c:v>3.9959099999999999</c:v>
                </c:pt>
                <c:pt idx="66">
                  <c:v>3.9699499999999999</c:v>
                </c:pt>
                <c:pt idx="67">
                  <c:v>3.9447100000000002</c:v>
                </c:pt>
                <c:pt idx="68">
                  <c:v>3.9174199999999999</c:v>
                </c:pt>
                <c:pt idx="69">
                  <c:v>3.8917899999999999</c:v>
                </c:pt>
                <c:pt idx="70">
                  <c:v>3.8695499999999998</c:v>
                </c:pt>
                <c:pt idx="71">
                  <c:v>3.8463799999999999</c:v>
                </c:pt>
                <c:pt idx="72">
                  <c:v>3.8228600000000004</c:v>
                </c:pt>
                <c:pt idx="73">
                  <c:v>3.79928</c:v>
                </c:pt>
                <c:pt idx="74">
                  <c:v>3.7750299999999997</c:v>
                </c:pt>
                <c:pt idx="75">
                  <c:v>3.7442099999999998</c:v>
                </c:pt>
                <c:pt idx="76">
                  <c:v>3.7203300000000001</c:v>
                </c:pt>
                <c:pt idx="77">
                  <c:v>3.6957100000000001</c:v>
                </c:pt>
                <c:pt idx="78">
                  <c:v>3.67232</c:v>
                </c:pt>
                <c:pt idx="79">
                  <c:v>3.6530899999999997</c:v>
                </c:pt>
                <c:pt idx="80">
                  <c:v>3.6381899999999998</c:v>
                </c:pt>
                <c:pt idx="81">
                  <c:v>3.6246099999999997</c:v>
                </c:pt>
                <c:pt idx="82">
                  <c:v>3.6127799999999999</c:v>
                </c:pt>
                <c:pt idx="83">
                  <c:v>3.60311</c:v>
                </c:pt>
                <c:pt idx="84">
                  <c:v>3.5972599999999999</c:v>
                </c:pt>
                <c:pt idx="85">
                  <c:v>3.59253</c:v>
                </c:pt>
                <c:pt idx="86">
                  <c:v>3.59077</c:v>
                </c:pt>
                <c:pt idx="87">
                  <c:v>3.5896099999999995</c:v>
                </c:pt>
                <c:pt idx="88">
                  <c:v>3.5883799999999999</c:v>
                </c:pt>
                <c:pt idx="89">
                  <c:v>3.5876700000000001</c:v>
                </c:pt>
                <c:pt idx="90">
                  <c:v>3.5876900000000003</c:v>
                </c:pt>
                <c:pt idx="91">
                  <c:v>3.5898300000000001</c:v>
                </c:pt>
                <c:pt idx="92">
                  <c:v>3.5965000000000003</c:v>
                </c:pt>
                <c:pt idx="93">
                  <c:v>3.6068800000000003</c:v>
                </c:pt>
                <c:pt idx="94">
                  <c:v>3.62168</c:v>
                </c:pt>
                <c:pt idx="95">
                  <c:v>3.6419899999999998</c:v>
                </c:pt>
                <c:pt idx="96">
                  <c:v>3.6669200000000002</c:v>
                </c:pt>
                <c:pt idx="97">
                  <c:v>3.69685</c:v>
                </c:pt>
                <c:pt idx="98">
                  <c:v>3.7313900000000002</c:v>
                </c:pt>
                <c:pt idx="99">
                  <c:v>3.7670199999999996</c:v>
                </c:pt>
                <c:pt idx="100">
                  <c:v>3.8024200000000001</c:v>
                </c:pt>
                <c:pt idx="101">
                  <c:v>3.8372099999999998</c:v>
                </c:pt>
                <c:pt idx="102">
                  <c:v>3.8691300000000002</c:v>
                </c:pt>
                <c:pt idx="103">
                  <c:v>3.8983600000000003</c:v>
                </c:pt>
                <c:pt idx="104">
                  <c:v>3.9249700000000001</c:v>
                </c:pt>
                <c:pt idx="105">
                  <c:v>3.9518399999999998</c:v>
                </c:pt>
                <c:pt idx="106">
                  <c:v>3.9776899999999999</c:v>
                </c:pt>
                <c:pt idx="107">
                  <c:v>4.0025300000000001</c:v>
                </c:pt>
                <c:pt idx="108">
                  <c:v>4.0211999999999994</c:v>
                </c:pt>
                <c:pt idx="109">
                  <c:v>4.0324299999999997</c:v>
                </c:pt>
                <c:pt idx="110">
                  <c:v>4.0428699999999997</c:v>
                </c:pt>
                <c:pt idx="111">
                  <c:v>4.0541999999999998</c:v>
                </c:pt>
                <c:pt idx="112">
                  <c:v>4.0626199999999999</c:v>
                </c:pt>
                <c:pt idx="113">
                  <c:v>4.07226</c:v>
                </c:pt>
                <c:pt idx="114">
                  <c:v>4.0787599999999999</c:v>
                </c:pt>
                <c:pt idx="115">
                  <c:v>4.0833300000000001</c:v>
                </c:pt>
                <c:pt idx="116">
                  <c:v>4.0878899999999998</c:v>
                </c:pt>
                <c:pt idx="117">
                  <c:v>4.0927799999999994</c:v>
                </c:pt>
                <c:pt idx="118">
                  <c:v>4.0972299999999997</c:v>
                </c:pt>
                <c:pt idx="119">
                  <c:v>4.1004399999999999</c:v>
                </c:pt>
                <c:pt idx="120">
                  <c:v>4.1020500000000002</c:v>
                </c:pt>
                <c:pt idx="121">
                  <c:v>4.10379</c:v>
                </c:pt>
                <c:pt idx="122">
                  <c:v>4.10487</c:v>
                </c:pt>
                <c:pt idx="123">
                  <c:v>4.1074299999999999</c:v>
                </c:pt>
                <c:pt idx="124">
                  <c:v>4.1053899999999999</c:v>
                </c:pt>
                <c:pt idx="125">
                  <c:v>4.1026699999999998</c:v>
                </c:pt>
                <c:pt idx="126">
                  <c:v>4.1000700000000005</c:v>
                </c:pt>
                <c:pt idx="127">
                  <c:v>4.0978399999999997</c:v>
                </c:pt>
                <c:pt idx="128">
                  <c:v>4.0953900000000001</c:v>
                </c:pt>
                <c:pt idx="129">
                  <c:v>4.09206</c:v>
                </c:pt>
                <c:pt idx="130">
                  <c:v>4.0861999999999998</c:v>
                </c:pt>
                <c:pt idx="131">
                  <c:v>4.0781799999999997</c:v>
                </c:pt>
                <c:pt idx="132">
                  <c:v>4.0695300000000003</c:v>
                </c:pt>
                <c:pt idx="133">
                  <c:v>4.0635300000000001</c:v>
                </c:pt>
                <c:pt idx="134">
                  <c:v>4.0601599999999998</c:v>
                </c:pt>
                <c:pt idx="135">
                  <c:v>4.0564800000000005</c:v>
                </c:pt>
                <c:pt idx="136">
                  <c:v>4.0500600000000002</c:v>
                </c:pt>
                <c:pt idx="137">
                  <c:v>4.0493600000000001</c:v>
                </c:pt>
                <c:pt idx="138">
                  <c:v>4.0464799999999999</c:v>
                </c:pt>
                <c:pt idx="139">
                  <c:v>4.0489199999999999</c:v>
                </c:pt>
                <c:pt idx="140">
                  <c:v>4.0561400000000001</c:v>
                </c:pt>
                <c:pt idx="141">
                  <c:v>4.0651200000000003</c:v>
                </c:pt>
                <c:pt idx="142">
                  <c:v>4.07545</c:v>
                </c:pt>
                <c:pt idx="143">
                  <c:v>4.08962</c:v>
                </c:pt>
                <c:pt idx="144">
                  <c:v>4.1084500000000004</c:v>
                </c:pt>
                <c:pt idx="145">
                  <c:v>4.13347</c:v>
                </c:pt>
                <c:pt idx="146">
                  <c:v>4.1627999999999998</c:v>
                </c:pt>
                <c:pt idx="147">
                  <c:v>4.1989900000000002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0.34945500000000002</c:v>
                </c:pt>
                <c:pt idx="2">
                  <c:v>0.75360199999999999</c:v>
                </c:pt>
                <c:pt idx="3">
                  <c:v>1.15961</c:v>
                </c:pt>
                <c:pt idx="4">
                  <c:v>1.5682799999999999</c:v>
                </c:pt>
                <c:pt idx="5">
                  <c:v>1.9735400000000001</c:v>
                </c:pt>
                <c:pt idx="6">
                  <c:v>2.3790300000000002</c:v>
                </c:pt>
                <c:pt idx="7">
                  <c:v>2.7825099999999998</c:v>
                </c:pt>
                <c:pt idx="8">
                  <c:v>3.18729</c:v>
                </c:pt>
                <c:pt idx="9">
                  <c:v>3.5988199999999999</c:v>
                </c:pt>
                <c:pt idx="10">
                  <c:v>4.0053700000000001</c:v>
                </c:pt>
                <c:pt idx="11">
                  <c:v>4.4091899999999997</c:v>
                </c:pt>
                <c:pt idx="12">
                  <c:v>4.8153100000000002</c:v>
                </c:pt>
                <c:pt idx="13">
                  <c:v>5.2225999999999999</c:v>
                </c:pt>
                <c:pt idx="14">
                  <c:v>5.6305800000000001</c:v>
                </c:pt>
                <c:pt idx="15">
                  <c:v>6.0365599999999997</c:v>
                </c:pt>
                <c:pt idx="16">
                  <c:v>6.4446500000000002</c:v>
                </c:pt>
                <c:pt idx="17">
                  <c:v>6.8495600000000003</c:v>
                </c:pt>
                <c:pt idx="18">
                  <c:v>7.2543899999999999</c:v>
                </c:pt>
                <c:pt idx="19">
                  <c:v>7.6580899999999996</c:v>
                </c:pt>
                <c:pt idx="20">
                  <c:v>8.0672499999999996</c:v>
                </c:pt>
                <c:pt idx="21">
                  <c:v>8.4752299999999998</c:v>
                </c:pt>
                <c:pt idx="22">
                  <c:v>8.8822500000000009</c:v>
                </c:pt>
                <c:pt idx="23">
                  <c:v>9.2896699999999992</c:v>
                </c:pt>
                <c:pt idx="24">
                  <c:v>9.6912000000000003</c:v>
                </c:pt>
                <c:pt idx="25">
                  <c:v>10.097200000000001</c:v>
                </c:pt>
                <c:pt idx="26">
                  <c:v>10.504799999999999</c:v>
                </c:pt>
                <c:pt idx="27">
                  <c:v>10.9147</c:v>
                </c:pt>
                <c:pt idx="28">
                  <c:v>11.317399999999999</c:v>
                </c:pt>
                <c:pt idx="29">
                  <c:v>11.7227</c:v>
                </c:pt>
                <c:pt idx="30">
                  <c:v>12.13</c:v>
                </c:pt>
                <c:pt idx="31">
                  <c:v>12.5364</c:v>
                </c:pt>
                <c:pt idx="32">
                  <c:v>12.944599999999999</c:v>
                </c:pt>
                <c:pt idx="33">
                  <c:v>13.3474</c:v>
                </c:pt>
                <c:pt idx="34">
                  <c:v>13.752700000000001</c:v>
                </c:pt>
                <c:pt idx="35">
                  <c:v>14.1592</c:v>
                </c:pt>
                <c:pt idx="36">
                  <c:v>14.57</c:v>
                </c:pt>
                <c:pt idx="37">
                  <c:v>14.974299999999999</c:v>
                </c:pt>
                <c:pt idx="38">
                  <c:v>15.379099999999999</c:v>
                </c:pt>
                <c:pt idx="39">
                  <c:v>15.785299999999999</c:v>
                </c:pt>
                <c:pt idx="40">
                  <c:v>16.192299999999999</c:v>
                </c:pt>
                <c:pt idx="41">
                  <c:v>16.601099999999999</c:v>
                </c:pt>
                <c:pt idx="42">
                  <c:v>17.005700000000001</c:v>
                </c:pt>
                <c:pt idx="43">
                  <c:v>17.4131</c:v>
                </c:pt>
                <c:pt idx="44">
                  <c:v>17.814399999999999</c:v>
                </c:pt>
                <c:pt idx="45">
                  <c:v>18.2224</c:v>
                </c:pt>
                <c:pt idx="46">
                  <c:v>18.628799999999998</c:v>
                </c:pt>
                <c:pt idx="47">
                  <c:v>19.0349</c:v>
                </c:pt>
                <c:pt idx="48">
                  <c:v>19.4438</c:v>
                </c:pt>
                <c:pt idx="49">
                  <c:v>19.8491</c:v>
                </c:pt>
                <c:pt idx="50">
                  <c:v>20.2532</c:v>
                </c:pt>
                <c:pt idx="51">
                  <c:v>20.660499999999999</c:v>
                </c:pt>
                <c:pt idx="52">
                  <c:v>21.065100000000001</c:v>
                </c:pt>
                <c:pt idx="53">
                  <c:v>21.474</c:v>
                </c:pt>
                <c:pt idx="54">
                  <c:v>21.878900000000002</c:v>
                </c:pt>
                <c:pt idx="55">
                  <c:v>22.285299999999999</c:v>
                </c:pt>
                <c:pt idx="56">
                  <c:v>22.694900000000001</c:v>
                </c:pt>
                <c:pt idx="57">
                  <c:v>23.099699999999999</c:v>
                </c:pt>
                <c:pt idx="58">
                  <c:v>23.5077</c:v>
                </c:pt>
                <c:pt idx="59">
                  <c:v>23.910599999999999</c:v>
                </c:pt>
                <c:pt idx="60">
                  <c:v>24.314699999999998</c:v>
                </c:pt>
                <c:pt idx="61">
                  <c:v>24.721900000000002</c:v>
                </c:pt>
                <c:pt idx="62">
                  <c:v>25.125399999999999</c:v>
                </c:pt>
                <c:pt idx="63">
                  <c:v>25.5349</c:v>
                </c:pt>
                <c:pt idx="64">
                  <c:v>25.944800000000001</c:v>
                </c:pt>
                <c:pt idx="65">
                  <c:v>26.350200000000001</c:v>
                </c:pt>
                <c:pt idx="66">
                  <c:v>26.7563</c:v>
                </c:pt>
                <c:pt idx="67">
                  <c:v>27.159099999999999</c:v>
                </c:pt>
                <c:pt idx="68">
                  <c:v>27.5641</c:v>
                </c:pt>
                <c:pt idx="69">
                  <c:v>27.9726</c:v>
                </c:pt>
                <c:pt idx="70">
                  <c:v>28.380500000000001</c:v>
                </c:pt>
                <c:pt idx="71">
                  <c:v>28.785299999999999</c:v>
                </c:pt>
                <c:pt idx="72">
                  <c:v>29.193000000000001</c:v>
                </c:pt>
                <c:pt idx="73">
                  <c:v>29.5959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1.8407299999999998</c:v>
                </c:pt>
                <c:pt idx="1">
                  <c:v>1.8867800000000001</c:v>
                </c:pt>
                <c:pt idx="2">
                  <c:v>1.93411</c:v>
                </c:pt>
                <c:pt idx="3">
                  <c:v>1.98129</c:v>
                </c:pt>
                <c:pt idx="4">
                  <c:v>2.0296500000000002</c:v>
                </c:pt>
                <c:pt idx="5">
                  <c:v>2.08182</c:v>
                </c:pt>
                <c:pt idx="6">
                  <c:v>2.1368300000000002</c:v>
                </c:pt>
                <c:pt idx="7">
                  <c:v>2.1943899999999998</c:v>
                </c:pt>
                <c:pt idx="8">
                  <c:v>2.2543500000000001</c:v>
                </c:pt>
                <c:pt idx="9">
                  <c:v>2.3140200000000002</c:v>
                </c:pt>
                <c:pt idx="10">
                  <c:v>2.37418</c:v>
                </c:pt>
                <c:pt idx="11">
                  <c:v>2.4327800000000002</c:v>
                </c:pt>
                <c:pt idx="12">
                  <c:v>2.49457</c:v>
                </c:pt>
                <c:pt idx="13">
                  <c:v>2.5575900000000003</c:v>
                </c:pt>
                <c:pt idx="14">
                  <c:v>2.6237399999999997</c:v>
                </c:pt>
                <c:pt idx="15">
                  <c:v>2.6910400000000001</c:v>
                </c:pt>
                <c:pt idx="16">
                  <c:v>2.7604299999999999</c:v>
                </c:pt>
                <c:pt idx="17">
                  <c:v>2.8317199999999998</c:v>
                </c:pt>
                <c:pt idx="18">
                  <c:v>2.9015000000000004</c:v>
                </c:pt>
                <c:pt idx="19">
                  <c:v>2.96767</c:v>
                </c:pt>
                <c:pt idx="20">
                  <c:v>3.03064</c:v>
                </c:pt>
                <c:pt idx="21">
                  <c:v>3.09023</c:v>
                </c:pt>
                <c:pt idx="22">
                  <c:v>3.1463799999999997</c:v>
                </c:pt>
                <c:pt idx="23">
                  <c:v>3.2010499999999995</c:v>
                </c:pt>
                <c:pt idx="24">
                  <c:v>3.2566800000000002</c:v>
                </c:pt>
                <c:pt idx="25">
                  <c:v>3.3126100000000003</c:v>
                </c:pt>
                <c:pt idx="26">
                  <c:v>3.36598</c:v>
                </c:pt>
                <c:pt idx="27">
                  <c:v>3.4196599999999999</c:v>
                </c:pt>
                <c:pt idx="28">
                  <c:v>3.4727799999999998</c:v>
                </c:pt>
                <c:pt idx="29">
                  <c:v>3.5266099999999998</c:v>
                </c:pt>
                <c:pt idx="30">
                  <c:v>3.5817999999999999</c:v>
                </c:pt>
                <c:pt idx="31">
                  <c:v>3.6392600000000002</c:v>
                </c:pt>
                <c:pt idx="32">
                  <c:v>3.6971700000000003</c:v>
                </c:pt>
                <c:pt idx="33">
                  <c:v>3.7568299999999999</c:v>
                </c:pt>
                <c:pt idx="34">
                  <c:v>3.8145800000000003</c:v>
                </c:pt>
                <c:pt idx="35">
                  <c:v>3.8711800000000003</c:v>
                </c:pt>
                <c:pt idx="36">
                  <c:v>3.9245600000000005</c:v>
                </c:pt>
                <c:pt idx="37">
                  <c:v>3.9739900000000001</c:v>
                </c:pt>
                <c:pt idx="38">
                  <c:v>4.0211999999999994</c:v>
                </c:pt>
                <c:pt idx="39">
                  <c:v>4.0644299999999998</c:v>
                </c:pt>
                <c:pt idx="40">
                  <c:v>4.1003600000000002</c:v>
                </c:pt>
                <c:pt idx="41">
                  <c:v>4.1291399999999996</c:v>
                </c:pt>
                <c:pt idx="42">
                  <c:v>4.1512799999999999</c:v>
                </c:pt>
                <c:pt idx="43">
                  <c:v>4.1708400000000001</c:v>
                </c:pt>
                <c:pt idx="44">
                  <c:v>4.1880800000000002</c:v>
                </c:pt>
                <c:pt idx="45">
                  <c:v>4.2019700000000002</c:v>
                </c:pt>
                <c:pt idx="46">
                  <c:v>4.21591</c:v>
                </c:pt>
                <c:pt idx="47">
                  <c:v>4.2290400000000004</c:v>
                </c:pt>
                <c:pt idx="48">
                  <c:v>4.2405400000000002</c:v>
                </c:pt>
                <c:pt idx="49">
                  <c:v>4.2492400000000004</c:v>
                </c:pt>
                <c:pt idx="50">
                  <c:v>4.2603200000000001</c:v>
                </c:pt>
                <c:pt idx="51">
                  <c:v>4.2658100000000001</c:v>
                </c:pt>
                <c:pt idx="52">
                  <c:v>4.2686099999999998</c:v>
                </c:pt>
                <c:pt idx="53">
                  <c:v>4.2706200000000001</c:v>
                </c:pt>
                <c:pt idx="54">
                  <c:v>4.2686600000000006</c:v>
                </c:pt>
                <c:pt idx="55">
                  <c:v>4.2598000000000003</c:v>
                </c:pt>
                <c:pt idx="56">
                  <c:v>4.24559</c:v>
                </c:pt>
                <c:pt idx="57">
                  <c:v>4.2274200000000004</c:v>
                </c:pt>
                <c:pt idx="58">
                  <c:v>4.2046999999999999</c:v>
                </c:pt>
                <c:pt idx="59">
                  <c:v>4.1800600000000001</c:v>
                </c:pt>
                <c:pt idx="60">
                  <c:v>4.1523900000000005</c:v>
                </c:pt>
                <c:pt idx="61">
                  <c:v>4.1235200000000001</c:v>
                </c:pt>
                <c:pt idx="62">
                  <c:v>4.0917399999999997</c:v>
                </c:pt>
                <c:pt idx="63">
                  <c:v>4.0588199999999999</c:v>
                </c:pt>
                <c:pt idx="64">
                  <c:v>4.0250700000000004</c:v>
                </c:pt>
                <c:pt idx="65">
                  <c:v>3.9959099999999999</c:v>
                </c:pt>
                <c:pt idx="66">
                  <c:v>3.9699499999999999</c:v>
                </c:pt>
                <c:pt idx="67">
                  <c:v>3.9447100000000002</c:v>
                </c:pt>
                <c:pt idx="68">
                  <c:v>3.9174199999999999</c:v>
                </c:pt>
                <c:pt idx="69">
                  <c:v>3.8917899999999999</c:v>
                </c:pt>
                <c:pt idx="70">
                  <c:v>3.8695499999999998</c:v>
                </c:pt>
                <c:pt idx="71">
                  <c:v>3.8463799999999999</c:v>
                </c:pt>
                <c:pt idx="72">
                  <c:v>3.8228600000000004</c:v>
                </c:pt>
                <c:pt idx="73">
                  <c:v>3.79928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29.5959</c:v>
                </c:pt>
                <c:pt idx="1">
                  <c:v>30.0031</c:v>
                </c:pt>
                <c:pt idx="2">
                  <c:v>30.599299999999999</c:v>
                </c:pt>
                <c:pt idx="3">
                  <c:v>30.975100000000001</c:v>
                </c:pt>
                <c:pt idx="4">
                  <c:v>31.350200000000001</c:v>
                </c:pt>
                <c:pt idx="5">
                  <c:v>31.7226</c:v>
                </c:pt>
                <c:pt idx="6">
                  <c:v>32.097799999999999</c:v>
                </c:pt>
                <c:pt idx="7">
                  <c:v>32.503700000000002</c:v>
                </c:pt>
                <c:pt idx="8">
                  <c:v>32.912799999999997</c:v>
                </c:pt>
                <c:pt idx="9">
                  <c:v>33.320500000000003</c:v>
                </c:pt>
                <c:pt idx="10">
                  <c:v>33.722299999999997</c:v>
                </c:pt>
                <c:pt idx="11">
                  <c:v>34.134</c:v>
                </c:pt>
                <c:pt idx="12">
                  <c:v>34.534799999999997</c:v>
                </c:pt>
                <c:pt idx="13">
                  <c:v>34.941499999999998</c:v>
                </c:pt>
                <c:pt idx="14">
                  <c:v>35.347799999999999</c:v>
                </c:pt>
                <c:pt idx="15">
                  <c:v>35.753</c:v>
                </c:pt>
                <c:pt idx="16">
                  <c:v>36.161099999999998</c:v>
                </c:pt>
                <c:pt idx="17">
                  <c:v>36.567999999999998</c:v>
                </c:pt>
                <c:pt idx="18">
                  <c:v>36.975700000000003</c:v>
                </c:pt>
                <c:pt idx="19">
                  <c:v>37.379100000000001</c:v>
                </c:pt>
                <c:pt idx="20">
                  <c:v>37.786700000000003</c:v>
                </c:pt>
                <c:pt idx="21">
                  <c:v>38.19</c:v>
                </c:pt>
                <c:pt idx="22">
                  <c:v>38.600200000000001</c:v>
                </c:pt>
                <c:pt idx="23">
                  <c:v>39.005000000000003</c:v>
                </c:pt>
                <c:pt idx="24">
                  <c:v>39.412700000000001</c:v>
                </c:pt>
                <c:pt idx="25">
                  <c:v>39.816499999999998</c:v>
                </c:pt>
                <c:pt idx="26">
                  <c:v>40.227400000000003</c:v>
                </c:pt>
                <c:pt idx="27">
                  <c:v>40.6312</c:v>
                </c:pt>
                <c:pt idx="28">
                  <c:v>41.034500000000001</c:v>
                </c:pt>
                <c:pt idx="29">
                  <c:v>41.445900000000002</c:v>
                </c:pt>
                <c:pt idx="30">
                  <c:v>41.848199999999999</c:v>
                </c:pt>
                <c:pt idx="31">
                  <c:v>42.256399999999999</c:v>
                </c:pt>
                <c:pt idx="32">
                  <c:v>42.662599999999998</c:v>
                </c:pt>
                <c:pt idx="33">
                  <c:v>43.063699999999997</c:v>
                </c:pt>
                <c:pt idx="34">
                  <c:v>43.4711</c:v>
                </c:pt>
                <c:pt idx="35">
                  <c:v>43.880099999999999</c:v>
                </c:pt>
                <c:pt idx="36">
                  <c:v>44.287799999999997</c:v>
                </c:pt>
                <c:pt idx="37">
                  <c:v>44.692999999999998</c:v>
                </c:pt>
                <c:pt idx="38">
                  <c:v>45.096800000000002</c:v>
                </c:pt>
                <c:pt idx="39">
                  <c:v>45.504100000000001</c:v>
                </c:pt>
                <c:pt idx="40">
                  <c:v>45.911999999999999</c:v>
                </c:pt>
                <c:pt idx="41">
                  <c:v>46.317900000000002</c:v>
                </c:pt>
                <c:pt idx="42">
                  <c:v>46.723599999999998</c:v>
                </c:pt>
                <c:pt idx="43">
                  <c:v>47.130800000000001</c:v>
                </c:pt>
                <c:pt idx="44">
                  <c:v>47.534700000000001</c:v>
                </c:pt>
                <c:pt idx="45">
                  <c:v>47.943300000000001</c:v>
                </c:pt>
                <c:pt idx="46">
                  <c:v>48.350499999999997</c:v>
                </c:pt>
                <c:pt idx="47">
                  <c:v>48.755699999999997</c:v>
                </c:pt>
                <c:pt idx="48">
                  <c:v>49.159399999999998</c:v>
                </c:pt>
                <c:pt idx="49">
                  <c:v>49.566499999999998</c:v>
                </c:pt>
                <c:pt idx="50">
                  <c:v>49.972900000000003</c:v>
                </c:pt>
                <c:pt idx="51">
                  <c:v>50.380800000000001</c:v>
                </c:pt>
                <c:pt idx="52">
                  <c:v>50.7879</c:v>
                </c:pt>
                <c:pt idx="53">
                  <c:v>51.191200000000002</c:v>
                </c:pt>
                <c:pt idx="54">
                  <c:v>51.596899999999998</c:v>
                </c:pt>
                <c:pt idx="55">
                  <c:v>52.004199999999997</c:v>
                </c:pt>
                <c:pt idx="56">
                  <c:v>52.414099999999998</c:v>
                </c:pt>
                <c:pt idx="57">
                  <c:v>52.817799999999998</c:v>
                </c:pt>
                <c:pt idx="58">
                  <c:v>53.220799999999997</c:v>
                </c:pt>
                <c:pt idx="59">
                  <c:v>53.626399999999997</c:v>
                </c:pt>
                <c:pt idx="60">
                  <c:v>54.038899999999998</c:v>
                </c:pt>
                <c:pt idx="61">
                  <c:v>54.445599999999999</c:v>
                </c:pt>
                <c:pt idx="62">
                  <c:v>54.849400000000003</c:v>
                </c:pt>
                <c:pt idx="63">
                  <c:v>55.253999999999998</c:v>
                </c:pt>
                <c:pt idx="64">
                  <c:v>55.6599</c:v>
                </c:pt>
                <c:pt idx="65">
                  <c:v>56.068800000000003</c:v>
                </c:pt>
                <c:pt idx="66">
                  <c:v>56.472799999999999</c:v>
                </c:pt>
                <c:pt idx="67">
                  <c:v>56.881999999999998</c:v>
                </c:pt>
                <c:pt idx="68">
                  <c:v>57.2866</c:v>
                </c:pt>
                <c:pt idx="69">
                  <c:v>57.689399999999999</c:v>
                </c:pt>
                <c:pt idx="70">
                  <c:v>58.097299999999997</c:v>
                </c:pt>
                <c:pt idx="71">
                  <c:v>58.506100000000004</c:v>
                </c:pt>
                <c:pt idx="72">
                  <c:v>58.912100000000002</c:v>
                </c:pt>
                <c:pt idx="73">
                  <c:v>59.3187</c:v>
                </c:pt>
                <c:pt idx="74">
                  <c:v>59.724899999999998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3.79928</c:v>
                </c:pt>
                <c:pt idx="1">
                  <c:v>3.7750299999999997</c:v>
                </c:pt>
                <c:pt idx="2">
                  <c:v>3.7442099999999998</c:v>
                </c:pt>
                <c:pt idx="3">
                  <c:v>3.7203300000000001</c:v>
                </c:pt>
                <c:pt idx="4">
                  <c:v>3.6957100000000001</c:v>
                </c:pt>
                <c:pt idx="5">
                  <c:v>3.67232</c:v>
                </c:pt>
                <c:pt idx="6">
                  <c:v>3.6530899999999997</c:v>
                </c:pt>
                <c:pt idx="7">
                  <c:v>3.6381899999999998</c:v>
                </c:pt>
                <c:pt idx="8">
                  <c:v>3.6246099999999997</c:v>
                </c:pt>
                <c:pt idx="9">
                  <c:v>3.6127799999999999</c:v>
                </c:pt>
                <c:pt idx="10">
                  <c:v>3.60311</c:v>
                </c:pt>
                <c:pt idx="11">
                  <c:v>3.5972599999999999</c:v>
                </c:pt>
                <c:pt idx="12">
                  <c:v>3.59253</c:v>
                </c:pt>
                <c:pt idx="13">
                  <c:v>3.59077</c:v>
                </c:pt>
                <c:pt idx="14">
                  <c:v>3.5896099999999995</c:v>
                </c:pt>
                <c:pt idx="15">
                  <c:v>3.5883799999999999</c:v>
                </c:pt>
                <c:pt idx="16">
                  <c:v>3.5876700000000001</c:v>
                </c:pt>
                <c:pt idx="17">
                  <c:v>3.5876900000000003</c:v>
                </c:pt>
                <c:pt idx="18">
                  <c:v>3.5898300000000001</c:v>
                </c:pt>
                <c:pt idx="19">
                  <c:v>3.5965000000000003</c:v>
                </c:pt>
                <c:pt idx="20">
                  <c:v>3.6068800000000003</c:v>
                </c:pt>
                <c:pt idx="21">
                  <c:v>3.62168</c:v>
                </c:pt>
                <c:pt idx="22">
                  <c:v>3.6419899999999998</c:v>
                </c:pt>
                <c:pt idx="23">
                  <c:v>3.6669200000000002</c:v>
                </c:pt>
                <c:pt idx="24">
                  <c:v>3.69685</c:v>
                </c:pt>
                <c:pt idx="25">
                  <c:v>3.7313900000000002</c:v>
                </c:pt>
                <c:pt idx="26">
                  <c:v>3.7670199999999996</c:v>
                </c:pt>
                <c:pt idx="27">
                  <c:v>3.8024200000000001</c:v>
                </c:pt>
                <c:pt idx="28">
                  <c:v>3.8372099999999998</c:v>
                </c:pt>
                <c:pt idx="29">
                  <c:v>3.8691300000000002</c:v>
                </c:pt>
                <c:pt idx="30">
                  <c:v>3.8983600000000003</c:v>
                </c:pt>
                <c:pt idx="31">
                  <c:v>3.9249700000000001</c:v>
                </c:pt>
                <c:pt idx="32">
                  <c:v>3.9518399999999998</c:v>
                </c:pt>
                <c:pt idx="33">
                  <c:v>3.9776899999999999</c:v>
                </c:pt>
                <c:pt idx="34">
                  <c:v>4.0025300000000001</c:v>
                </c:pt>
                <c:pt idx="35">
                  <c:v>4.0211999999999994</c:v>
                </c:pt>
                <c:pt idx="36">
                  <c:v>4.0324299999999997</c:v>
                </c:pt>
                <c:pt idx="37">
                  <c:v>4.0428699999999997</c:v>
                </c:pt>
                <c:pt idx="38">
                  <c:v>4.0541999999999998</c:v>
                </c:pt>
                <c:pt idx="39">
                  <c:v>4.0626199999999999</c:v>
                </c:pt>
                <c:pt idx="40">
                  <c:v>4.07226</c:v>
                </c:pt>
                <c:pt idx="41">
                  <c:v>4.0787599999999999</c:v>
                </c:pt>
                <c:pt idx="42">
                  <c:v>4.0833300000000001</c:v>
                </c:pt>
                <c:pt idx="43">
                  <c:v>4.0878899999999998</c:v>
                </c:pt>
                <c:pt idx="44">
                  <c:v>4.0927799999999994</c:v>
                </c:pt>
                <c:pt idx="45">
                  <c:v>4.0972299999999997</c:v>
                </c:pt>
                <c:pt idx="46">
                  <c:v>4.1004399999999999</c:v>
                </c:pt>
                <c:pt idx="47">
                  <c:v>4.1020500000000002</c:v>
                </c:pt>
                <c:pt idx="48">
                  <c:v>4.10379</c:v>
                </c:pt>
                <c:pt idx="49">
                  <c:v>4.10487</c:v>
                </c:pt>
                <c:pt idx="50">
                  <c:v>4.1074299999999999</c:v>
                </c:pt>
                <c:pt idx="51">
                  <c:v>4.1053899999999999</c:v>
                </c:pt>
                <c:pt idx="52">
                  <c:v>4.1026699999999998</c:v>
                </c:pt>
                <c:pt idx="53">
                  <c:v>4.1000700000000005</c:v>
                </c:pt>
                <c:pt idx="54">
                  <c:v>4.0978399999999997</c:v>
                </c:pt>
                <c:pt idx="55">
                  <c:v>4.0953900000000001</c:v>
                </c:pt>
                <c:pt idx="56">
                  <c:v>4.09206</c:v>
                </c:pt>
                <c:pt idx="57">
                  <c:v>4.0861999999999998</c:v>
                </c:pt>
                <c:pt idx="58">
                  <c:v>4.0781799999999997</c:v>
                </c:pt>
                <c:pt idx="59">
                  <c:v>4.0695300000000003</c:v>
                </c:pt>
                <c:pt idx="60">
                  <c:v>4.0635300000000001</c:v>
                </c:pt>
                <c:pt idx="61">
                  <c:v>4.0601599999999998</c:v>
                </c:pt>
                <c:pt idx="62">
                  <c:v>4.0564800000000005</c:v>
                </c:pt>
                <c:pt idx="63">
                  <c:v>4.0500600000000002</c:v>
                </c:pt>
                <c:pt idx="64">
                  <c:v>4.0493600000000001</c:v>
                </c:pt>
                <c:pt idx="65">
                  <c:v>4.0464799999999999</c:v>
                </c:pt>
                <c:pt idx="66">
                  <c:v>4.0489199999999999</c:v>
                </c:pt>
                <c:pt idx="67">
                  <c:v>4.0561400000000001</c:v>
                </c:pt>
                <c:pt idx="68">
                  <c:v>4.0651200000000003</c:v>
                </c:pt>
                <c:pt idx="69">
                  <c:v>4.07545</c:v>
                </c:pt>
                <c:pt idx="70">
                  <c:v>4.08962</c:v>
                </c:pt>
                <c:pt idx="71">
                  <c:v>4.1084500000000004</c:v>
                </c:pt>
                <c:pt idx="72">
                  <c:v>4.13347</c:v>
                </c:pt>
                <c:pt idx="73">
                  <c:v>4.1627999999999998</c:v>
                </c:pt>
                <c:pt idx="74">
                  <c:v>4.1989900000000002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14.931225</c:v>
                </c:pt>
                <c:pt idx="1">
                  <c:v>44.793675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3.4904620270270255</c:v>
                </c:pt>
                <c:pt idx="1">
                  <c:v>3.910716351351351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0.34945500000000002</c:v>
                </c:pt>
                <c:pt idx="2">
                  <c:v>0.75360199999999999</c:v>
                </c:pt>
                <c:pt idx="3">
                  <c:v>1.15961</c:v>
                </c:pt>
                <c:pt idx="4">
                  <c:v>1.5682799999999999</c:v>
                </c:pt>
                <c:pt idx="5">
                  <c:v>1.9735400000000001</c:v>
                </c:pt>
                <c:pt idx="6">
                  <c:v>2.3790300000000002</c:v>
                </c:pt>
                <c:pt idx="7">
                  <c:v>2.7825099999999998</c:v>
                </c:pt>
                <c:pt idx="8">
                  <c:v>3.18729</c:v>
                </c:pt>
                <c:pt idx="9">
                  <c:v>3.5988199999999999</c:v>
                </c:pt>
                <c:pt idx="10">
                  <c:v>4.0053700000000001</c:v>
                </c:pt>
                <c:pt idx="11">
                  <c:v>4.4091899999999997</c:v>
                </c:pt>
                <c:pt idx="12">
                  <c:v>4.8153100000000002</c:v>
                </c:pt>
                <c:pt idx="13">
                  <c:v>5.2225999999999999</c:v>
                </c:pt>
                <c:pt idx="14">
                  <c:v>5.6305800000000001</c:v>
                </c:pt>
                <c:pt idx="15">
                  <c:v>6.0365599999999997</c:v>
                </c:pt>
                <c:pt idx="16">
                  <c:v>6.4446500000000002</c:v>
                </c:pt>
                <c:pt idx="17">
                  <c:v>6.8495600000000003</c:v>
                </c:pt>
                <c:pt idx="18">
                  <c:v>7.2543899999999999</c:v>
                </c:pt>
                <c:pt idx="19">
                  <c:v>7.6580899999999996</c:v>
                </c:pt>
                <c:pt idx="20">
                  <c:v>8.0672499999999996</c:v>
                </c:pt>
                <c:pt idx="21">
                  <c:v>8.4752299999999998</c:v>
                </c:pt>
                <c:pt idx="22">
                  <c:v>8.8822500000000009</c:v>
                </c:pt>
                <c:pt idx="23">
                  <c:v>9.2896699999999992</c:v>
                </c:pt>
                <c:pt idx="24">
                  <c:v>9.6912000000000003</c:v>
                </c:pt>
                <c:pt idx="25">
                  <c:v>10.097200000000001</c:v>
                </c:pt>
                <c:pt idx="26">
                  <c:v>10.504799999999999</c:v>
                </c:pt>
                <c:pt idx="27">
                  <c:v>10.9147</c:v>
                </c:pt>
                <c:pt idx="28">
                  <c:v>11.317399999999999</c:v>
                </c:pt>
                <c:pt idx="29">
                  <c:v>11.7227</c:v>
                </c:pt>
                <c:pt idx="30">
                  <c:v>12.13</c:v>
                </c:pt>
                <c:pt idx="31">
                  <c:v>12.5364</c:v>
                </c:pt>
                <c:pt idx="32">
                  <c:v>12.944599999999999</c:v>
                </c:pt>
                <c:pt idx="33">
                  <c:v>13.3474</c:v>
                </c:pt>
                <c:pt idx="34">
                  <c:v>13.752700000000001</c:v>
                </c:pt>
                <c:pt idx="35">
                  <c:v>14.1592</c:v>
                </c:pt>
                <c:pt idx="36">
                  <c:v>14.57</c:v>
                </c:pt>
                <c:pt idx="37">
                  <c:v>14.974299999999999</c:v>
                </c:pt>
                <c:pt idx="38">
                  <c:v>15.379099999999999</c:v>
                </c:pt>
                <c:pt idx="39">
                  <c:v>15.785299999999999</c:v>
                </c:pt>
                <c:pt idx="40">
                  <c:v>16.192299999999999</c:v>
                </c:pt>
                <c:pt idx="41">
                  <c:v>16.601099999999999</c:v>
                </c:pt>
                <c:pt idx="42">
                  <c:v>17.005700000000001</c:v>
                </c:pt>
                <c:pt idx="43">
                  <c:v>17.4131</c:v>
                </c:pt>
                <c:pt idx="44">
                  <c:v>17.814399999999999</c:v>
                </c:pt>
                <c:pt idx="45">
                  <c:v>18.2224</c:v>
                </c:pt>
                <c:pt idx="46">
                  <c:v>18.628799999999998</c:v>
                </c:pt>
                <c:pt idx="47">
                  <c:v>19.0349</c:v>
                </c:pt>
                <c:pt idx="48">
                  <c:v>19.4438</c:v>
                </c:pt>
                <c:pt idx="49">
                  <c:v>19.8491</c:v>
                </c:pt>
                <c:pt idx="50">
                  <c:v>20.2532</c:v>
                </c:pt>
                <c:pt idx="51">
                  <c:v>20.660499999999999</c:v>
                </c:pt>
                <c:pt idx="52">
                  <c:v>21.065100000000001</c:v>
                </c:pt>
                <c:pt idx="53">
                  <c:v>21.474</c:v>
                </c:pt>
                <c:pt idx="54">
                  <c:v>21.878900000000002</c:v>
                </c:pt>
                <c:pt idx="55">
                  <c:v>22.285299999999999</c:v>
                </c:pt>
                <c:pt idx="56">
                  <c:v>22.694900000000001</c:v>
                </c:pt>
                <c:pt idx="57">
                  <c:v>23.099699999999999</c:v>
                </c:pt>
                <c:pt idx="58">
                  <c:v>23.5077</c:v>
                </c:pt>
                <c:pt idx="59">
                  <c:v>23.910599999999999</c:v>
                </c:pt>
                <c:pt idx="60">
                  <c:v>24.314699999999998</c:v>
                </c:pt>
                <c:pt idx="61">
                  <c:v>24.721900000000002</c:v>
                </c:pt>
                <c:pt idx="62">
                  <c:v>25.125399999999999</c:v>
                </c:pt>
                <c:pt idx="63">
                  <c:v>25.5349</c:v>
                </c:pt>
                <c:pt idx="64">
                  <c:v>25.944800000000001</c:v>
                </c:pt>
                <c:pt idx="65">
                  <c:v>26.350200000000001</c:v>
                </c:pt>
                <c:pt idx="66">
                  <c:v>26.7563</c:v>
                </c:pt>
                <c:pt idx="67">
                  <c:v>27.159099999999999</c:v>
                </c:pt>
                <c:pt idx="68">
                  <c:v>27.5641</c:v>
                </c:pt>
                <c:pt idx="69">
                  <c:v>27.9726</c:v>
                </c:pt>
                <c:pt idx="70">
                  <c:v>28.380500000000001</c:v>
                </c:pt>
                <c:pt idx="71">
                  <c:v>28.785299999999999</c:v>
                </c:pt>
                <c:pt idx="72">
                  <c:v>29.193000000000001</c:v>
                </c:pt>
                <c:pt idx="73">
                  <c:v>29.5959</c:v>
                </c:pt>
                <c:pt idx="74">
                  <c:v>30.0031</c:v>
                </c:pt>
                <c:pt idx="75">
                  <c:v>30.599299999999999</c:v>
                </c:pt>
                <c:pt idx="76">
                  <c:v>30.975100000000001</c:v>
                </c:pt>
                <c:pt idx="77">
                  <c:v>31.350200000000001</c:v>
                </c:pt>
                <c:pt idx="78">
                  <c:v>31.7226</c:v>
                </c:pt>
                <c:pt idx="79">
                  <c:v>32.097799999999999</c:v>
                </c:pt>
                <c:pt idx="80">
                  <c:v>32.503700000000002</c:v>
                </c:pt>
                <c:pt idx="81">
                  <c:v>32.912799999999997</c:v>
                </c:pt>
                <c:pt idx="82">
                  <c:v>33.320500000000003</c:v>
                </c:pt>
                <c:pt idx="83">
                  <c:v>33.722299999999997</c:v>
                </c:pt>
                <c:pt idx="84">
                  <c:v>34.134</c:v>
                </c:pt>
                <c:pt idx="85">
                  <c:v>34.534799999999997</c:v>
                </c:pt>
                <c:pt idx="86">
                  <c:v>34.941499999999998</c:v>
                </c:pt>
                <c:pt idx="87">
                  <c:v>35.347799999999999</c:v>
                </c:pt>
                <c:pt idx="88">
                  <c:v>35.753</c:v>
                </c:pt>
                <c:pt idx="89">
                  <c:v>36.161099999999998</c:v>
                </c:pt>
                <c:pt idx="90">
                  <c:v>36.567999999999998</c:v>
                </c:pt>
                <c:pt idx="91">
                  <c:v>36.975700000000003</c:v>
                </c:pt>
                <c:pt idx="92">
                  <c:v>37.379100000000001</c:v>
                </c:pt>
                <c:pt idx="93">
                  <c:v>37.786700000000003</c:v>
                </c:pt>
                <c:pt idx="94">
                  <c:v>38.19</c:v>
                </c:pt>
                <c:pt idx="95">
                  <c:v>38.600200000000001</c:v>
                </c:pt>
                <c:pt idx="96">
                  <c:v>39.005000000000003</c:v>
                </c:pt>
                <c:pt idx="97">
                  <c:v>39.412700000000001</c:v>
                </c:pt>
                <c:pt idx="98">
                  <c:v>39.816499999999998</c:v>
                </c:pt>
                <c:pt idx="99">
                  <c:v>40.227400000000003</c:v>
                </c:pt>
                <c:pt idx="100">
                  <c:v>40.6312</c:v>
                </c:pt>
                <c:pt idx="101">
                  <c:v>41.034500000000001</c:v>
                </c:pt>
                <c:pt idx="102">
                  <c:v>41.445900000000002</c:v>
                </c:pt>
                <c:pt idx="103">
                  <c:v>41.848199999999999</c:v>
                </c:pt>
                <c:pt idx="104">
                  <c:v>42.256399999999999</c:v>
                </c:pt>
                <c:pt idx="105">
                  <c:v>42.662599999999998</c:v>
                </c:pt>
                <c:pt idx="106">
                  <c:v>43.063699999999997</c:v>
                </c:pt>
                <c:pt idx="107">
                  <c:v>43.4711</c:v>
                </c:pt>
                <c:pt idx="108">
                  <c:v>43.880099999999999</c:v>
                </c:pt>
                <c:pt idx="109">
                  <c:v>44.287799999999997</c:v>
                </c:pt>
                <c:pt idx="110">
                  <c:v>44.692999999999998</c:v>
                </c:pt>
                <c:pt idx="111">
                  <c:v>45.096800000000002</c:v>
                </c:pt>
                <c:pt idx="112">
                  <c:v>45.504100000000001</c:v>
                </c:pt>
                <c:pt idx="113">
                  <c:v>45.911999999999999</c:v>
                </c:pt>
                <c:pt idx="114">
                  <c:v>46.317900000000002</c:v>
                </c:pt>
                <c:pt idx="115">
                  <c:v>46.723599999999998</c:v>
                </c:pt>
                <c:pt idx="116">
                  <c:v>47.130800000000001</c:v>
                </c:pt>
                <c:pt idx="117">
                  <c:v>47.534700000000001</c:v>
                </c:pt>
                <c:pt idx="118">
                  <c:v>47.943300000000001</c:v>
                </c:pt>
                <c:pt idx="119">
                  <c:v>48.350499999999997</c:v>
                </c:pt>
                <c:pt idx="120">
                  <c:v>48.755699999999997</c:v>
                </c:pt>
                <c:pt idx="121">
                  <c:v>49.159399999999998</c:v>
                </c:pt>
                <c:pt idx="122">
                  <c:v>49.566499999999998</c:v>
                </c:pt>
                <c:pt idx="123">
                  <c:v>49.972900000000003</c:v>
                </c:pt>
                <c:pt idx="124">
                  <c:v>50.380800000000001</c:v>
                </c:pt>
                <c:pt idx="125">
                  <c:v>50.7879</c:v>
                </c:pt>
                <c:pt idx="126">
                  <c:v>51.191200000000002</c:v>
                </c:pt>
                <c:pt idx="127">
                  <c:v>51.596899999999998</c:v>
                </c:pt>
                <c:pt idx="128">
                  <c:v>52.004199999999997</c:v>
                </c:pt>
                <c:pt idx="129">
                  <c:v>52.414099999999998</c:v>
                </c:pt>
                <c:pt idx="130">
                  <c:v>52.817799999999998</c:v>
                </c:pt>
                <c:pt idx="131">
                  <c:v>53.220799999999997</c:v>
                </c:pt>
                <c:pt idx="132">
                  <c:v>53.626399999999997</c:v>
                </c:pt>
                <c:pt idx="133">
                  <c:v>54.038899999999998</c:v>
                </c:pt>
                <c:pt idx="134">
                  <c:v>54.445599999999999</c:v>
                </c:pt>
                <c:pt idx="135">
                  <c:v>54.849400000000003</c:v>
                </c:pt>
                <c:pt idx="136">
                  <c:v>55.253999999999998</c:v>
                </c:pt>
                <c:pt idx="137">
                  <c:v>55.6599</c:v>
                </c:pt>
                <c:pt idx="138">
                  <c:v>56.068800000000003</c:v>
                </c:pt>
                <c:pt idx="139">
                  <c:v>56.472799999999999</c:v>
                </c:pt>
                <c:pt idx="140">
                  <c:v>56.881999999999998</c:v>
                </c:pt>
                <c:pt idx="141">
                  <c:v>57.2866</c:v>
                </c:pt>
                <c:pt idx="142">
                  <c:v>57.689399999999999</c:v>
                </c:pt>
                <c:pt idx="143">
                  <c:v>58.097299999999997</c:v>
                </c:pt>
                <c:pt idx="144">
                  <c:v>58.506100000000004</c:v>
                </c:pt>
                <c:pt idx="145">
                  <c:v>58.912100000000002</c:v>
                </c:pt>
                <c:pt idx="146">
                  <c:v>59.3187</c:v>
                </c:pt>
                <c:pt idx="147">
                  <c:v>59.724899999999998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61.367600000000003</c:v>
                </c:pt>
                <c:pt idx="1">
                  <c:v>60.4101</c:v>
                </c:pt>
                <c:pt idx="2">
                  <c:v>59.299599999999998</c:v>
                </c:pt>
                <c:pt idx="3">
                  <c:v>58.153799999999997</c:v>
                </c:pt>
                <c:pt idx="4">
                  <c:v>56.811199999999992</c:v>
                </c:pt>
                <c:pt idx="5">
                  <c:v>55.399100000000004</c:v>
                </c:pt>
                <c:pt idx="6">
                  <c:v>53.951999999999998</c:v>
                </c:pt>
                <c:pt idx="7">
                  <c:v>52.497400000000006</c:v>
                </c:pt>
                <c:pt idx="8">
                  <c:v>50.902899999999995</c:v>
                </c:pt>
                <c:pt idx="9">
                  <c:v>49.266399999999997</c:v>
                </c:pt>
                <c:pt idx="10">
                  <c:v>47.687000000000005</c:v>
                </c:pt>
                <c:pt idx="11">
                  <c:v>46.195399999999999</c:v>
                </c:pt>
                <c:pt idx="12">
                  <c:v>44.655000000000001</c:v>
                </c:pt>
                <c:pt idx="13">
                  <c:v>43.075400000000002</c:v>
                </c:pt>
                <c:pt idx="14">
                  <c:v>41.392099999999999</c:v>
                </c:pt>
                <c:pt idx="15">
                  <c:v>39.719900000000003</c:v>
                </c:pt>
                <c:pt idx="16">
                  <c:v>38.1233</c:v>
                </c:pt>
                <c:pt idx="17">
                  <c:v>36.628399999999999</c:v>
                </c:pt>
                <c:pt idx="18">
                  <c:v>35.326099999999997</c:v>
                </c:pt>
                <c:pt idx="19">
                  <c:v>34.303200000000004</c:v>
                </c:pt>
                <c:pt idx="20">
                  <c:v>33.511600000000001</c:v>
                </c:pt>
                <c:pt idx="21">
                  <c:v>32.893899999999995</c:v>
                </c:pt>
                <c:pt idx="22">
                  <c:v>32.372099999999996</c:v>
                </c:pt>
                <c:pt idx="23">
                  <c:v>31.963900000000002</c:v>
                </c:pt>
                <c:pt idx="24">
                  <c:v>31.610599999999998</c:v>
                </c:pt>
                <c:pt idx="25">
                  <c:v>31.306699999999999</c:v>
                </c:pt>
                <c:pt idx="26">
                  <c:v>31.096299999999999</c:v>
                </c:pt>
                <c:pt idx="27">
                  <c:v>30.926300000000001</c:v>
                </c:pt>
                <c:pt idx="28">
                  <c:v>30.8125</c:v>
                </c:pt>
                <c:pt idx="29">
                  <c:v>30.710500000000003</c:v>
                </c:pt>
                <c:pt idx="30">
                  <c:v>30.512699999999999</c:v>
                </c:pt>
                <c:pt idx="31">
                  <c:v>30.238900000000001</c:v>
                </c:pt>
                <c:pt idx="32">
                  <c:v>29.8522</c:v>
                </c:pt>
                <c:pt idx="33">
                  <c:v>29.433700000000002</c:v>
                </c:pt>
                <c:pt idx="34">
                  <c:v>29.055299999999999</c:v>
                </c:pt>
                <c:pt idx="35">
                  <c:v>28.7761</c:v>
                </c:pt>
                <c:pt idx="36">
                  <c:v>28.632800000000003</c:v>
                </c:pt>
                <c:pt idx="37">
                  <c:v>28.539199999999997</c:v>
                </c:pt>
                <c:pt idx="38">
                  <c:v>28.523799999999998</c:v>
                </c:pt>
                <c:pt idx="39">
                  <c:v>28.565000000000001</c:v>
                </c:pt>
                <c:pt idx="40">
                  <c:v>28.736800000000002</c:v>
                </c:pt>
                <c:pt idx="41">
                  <c:v>28.928900000000002</c:v>
                </c:pt>
                <c:pt idx="42">
                  <c:v>29.082699999999999</c:v>
                </c:pt>
                <c:pt idx="43">
                  <c:v>29.242800000000003</c:v>
                </c:pt>
                <c:pt idx="44">
                  <c:v>29.462199999999999</c:v>
                </c:pt>
                <c:pt idx="45">
                  <c:v>29.700900000000001</c:v>
                </c:pt>
                <c:pt idx="46">
                  <c:v>29.9664</c:v>
                </c:pt>
                <c:pt idx="47">
                  <c:v>30.249199999999998</c:v>
                </c:pt>
                <c:pt idx="48">
                  <c:v>30.425200000000004</c:v>
                </c:pt>
                <c:pt idx="49">
                  <c:v>30.497999999999998</c:v>
                </c:pt>
                <c:pt idx="50">
                  <c:v>30.567</c:v>
                </c:pt>
                <c:pt idx="51">
                  <c:v>30.536600000000004</c:v>
                </c:pt>
                <c:pt idx="52">
                  <c:v>30.4526</c:v>
                </c:pt>
                <c:pt idx="53">
                  <c:v>30.317499999999995</c:v>
                </c:pt>
                <c:pt idx="54">
                  <c:v>30.1267</c:v>
                </c:pt>
                <c:pt idx="55">
                  <c:v>29.845800000000001</c:v>
                </c:pt>
                <c:pt idx="56">
                  <c:v>29.559800000000003</c:v>
                </c:pt>
                <c:pt idx="57">
                  <c:v>29.254300000000001</c:v>
                </c:pt>
                <c:pt idx="58">
                  <c:v>29.0244</c:v>
                </c:pt>
                <c:pt idx="59">
                  <c:v>28.807700000000004</c:v>
                </c:pt>
                <c:pt idx="60">
                  <c:v>28.616000000000003</c:v>
                </c:pt>
                <c:pt idx="61">
                  <c:v>28.382600000000004</c:v>
                </c:pt>
                <c:pt idx="62">
                  <c:v>28.171800000000001</c:v>
                </c:pt>
                <c:pt idx="63">
                  <c:v>28.014699999999998</c:v>
                </c:pt>
                <c:pt idx="64">
                  <c:v>27.842499999999998</c:v>
                </c:pt>
                <c:pt idx="65">
                  <c:v>27.654199999999999</c:v>
                </c:pt>
                <c:pt idx="66">
                  <c:v>27.410899999999998</c:v>
                </c:pt>
                <c:pt idx="67">
                  <c:v>27.138500000000001</c:v>
                </c:pt>
                <c:pt idx="68">
                  <c:v>26.820599999999999</c:v>
                </c:pt>
                <c:pt idx="69">
                  <c:v>26.496799999999997</c:v>
                </c:pt>
                <c:pt idx="70">
                  <c:v>26.084000000000003</c:v>
                </c:pt>
                <c:pt idx="71">
                  <c:v>25.666599999999999</c:v>
                </c:pt>
                <c:pt idx="72">
                  <c:v>25.281399999999998</c:v>
                </c:pt>
                <c:pt idx="73">
                  <c:v>24.9346</c:v>
                </c:pt>
                <c:pt idx="74">
                  <c:v>24.645</c:v>
                </c:pt>
                <c:pt idx="75">
                  <c:v>24.358599999999999</c:v>
                </c:pt>
                <c:pt idx="76">
                  <c:v>24.1752</c:v>
                </c:pt>
                <c:pt idx="77">
                  <c:v>23.997</c:v>
                </c:pt>
                <c:pt idx="78">
                  <c:v>23.9056</c:v>
                </c:pt>
                <c:pt idx="79">
                  <c:v>23.8584</c:v>
                </c:pt>
                <c:pt idx="80">
                  <c:v>23.7925</c:v>
                </c:pt>
                <c:pt idx="81">
                  <c:v>23.789400000000001</c:v>
                </c:pt>
                <c:pt idx="82">
                  <c:v>23.794999999999998</c:v>
                </c:pt>
                <c:pt idx="83">
                  <c:v>23.768800000000002</c:v>
                </c:pt>
                <c:pt idx="84">
                  <c:v>23.662099999999999</c:v>
                </c:pt>
                <c:pt idx="85">
                  <c:v>23.544899999999998</c:v>
                </c:pt>
                <c:pt idx="86">
                  <c:v>23.3416</c:v>
                </c:pt>
                <c:pt idx="87">
                  <c:v>23.0974</c:v>
                </c:pt>
                <c:pt idx="88">
                  <c:v>22.9024</c:v>
                </c:pt>
                <c:pt idx="89">
                  <c:v>22.689899999999998</c:v>
                </c:pt>
                <c:pt idx="90">
                  <c:v>22.498000000000001</c:v>
                </c:pt>
                <c:pt idx="91">
                  <c:v>22.330100000000002</c:v>
                </c:pt>
                <c:pt idx="92">
                  <c:v>22.269500000000001</c:v>
                </c:pt>
                <c:pt idx="93">
                  <c:v>22.249700000000001</c:v>
                </c:pt>
                <c:pt idx="94">
                  <c:v>22.222799999999999</c:v>
                </c:pt>
                <c:pt idx="95">
                  <c:v>22.2378</c:v>
                </c:pt>
                <c:pt idx="96">
                  <c:v>22.305399999999999</c:v>
                </c:pt>
                <c:pt idx="97">
                  <c:v>22.3977</c:v>
                </c:pt>
                <c:pt idx="98">
                  <c:v>22.568099999999998</c:v>
                </c:pt>
                <c:pt idx="99">
                  <c:v>22.766500000000001</c:v>
                </c:pt>
                <c:pt idx="100">
                  <c:v>23.033000000000001</c:v>
                </c:pt>
                <c:pt idx="101">
                  <c:v>23.349900000000002</c:v>
                </c:pt>
                <c:pt idx="102">
                  <c:v>23.8263</c:v>
                </c:pt>
                <c:pt idx="103">
                  <c:v>24.266399999999997</c:v>
                </c:pt>
                <c:pt idx="104">
                  <c:v>24.685399999999998</c:v>
                </c:pt>
                <c:pt idx="105">
                  <c:v>25.160300000000003</c:v>
                </c:pt>
                <c:pt idx="106">
                  <c:v>25.646600000000003</c:v>
                </c:pt>
                <c:pt idx="107">
                  <c:v>26.151400000000002</c:v>
                </c:pt>
                <c:pt idx="108">
                  <c:v>26.693499999999997</c:v>
                </c:pt>
                <c:pt idx="109">
                  <c:v>27.2974</c:v>
                </c:pt>
                <c:pt idx="110">
                  <c:v>27.891700000000004</c:v>
                </c:pt>
                <c:pt idx="111">
                  <c:v>28.540300000000002</c:v>
                </c:pt>
                <c:pt idx="112">
                  <c:v>29.244799999999998</c:v>
                </c:pt>
                <c:pt idx="113">
                  <c:v>29.955100000000002</c:v>
                </c:pt>
                <c:pt idx="114">
                  <c:v>30.727</c:v>
                </c:pt>
                <c:pt idx="115">
                  <c:v>31.483899999999998</c:v>
                </c:pt>
                <c:pt idx="116">
                  <c:v>32.232699999999994</c:v>
                </c:pt>
                <c:pt idx="117">
                  <c:v>32.925600000000003</c:v>
                </c:pt>
                <c:pt idx="118">
                  <c:v>33.564</c:v>
                </c:pt>
                <c:pt idx="119">
                  <c:v>34.213200000000001</c:v>
                </c:pt>
                <c:pt idx="120">
                  <c:v>34.863699999999994</c:v>
                </c:pt>
                <c:pt idx="121">
                  <c:v>35.445399999999999</c:v>
                </c:pt>
                <c:pt idx="122">
                  <c:v>36.016500000000001</c:v>
                </c:pt>
                <c:pt idx="123">
                  <c:v>36.5535</c:v>
                </c:pt>
                <c:pt idx="124">
                  <c:v>36.884799999999998</c:v>
                </c:pt>
                <c:pt idx="125">
                  <c:v>37.2271</c:v>
                </c:pt>
                <c:pt idx="126">
                  <c:v>37.560500000000005</c:v>
                </c:pt>
                <c:pt idx="127">
                  <c:v>37.843900000000005</c:v>
                </c:pt>
                <c:pt idx="128">
                  <c:v>38.139699999999998</c:v>
                </c:pt>
                <c:pt idx="129">
                  <c:v>38.455300000000001</c:v>
                </c:pt>
                <c:pt idx="130">
                  <c:v>38.757799999999996</c:v>
                </c:pt>
                <c:pt idx="131">
                  <c:v>39.093899999999998</c:v>
                </c:pt>
                <c:pt idx="132">
                  <c:v>39.472999999999999</c:v>
                </c:pt>
                <c:pt idx="133">
                  <c:v>39.847200000000001</c:v>
                </c:pt>
                <c:pt idx="134">
                  <c:v>40.185400000000001</c:v>
                </c:pt>
                <c:pt idx="135">
                  <c:v>40.5655</c:v>
                </c:pt>
                <c:pt idx="136">
                  <c:v>41.001199999999997</c:v>
                </c:pt>
                <c:pt idx="137">
                  <c:v>41.347899999999996</c:v>
                </c:pt>
                <c:pt idx="138">
                  <c:v>41.622599999999998</c:v>
                </c:pt>
                <c:pt idx="139">
                  <c:v>41.837200000000003</c:v>
                </c:pt>
                <c:pt idx="140">
                  <c:v>42.009500000000003</c:v>
                </c:pt>
                <c:pt idx="141">
                  <c:v>42.164499999999997</c:v>
                </c:pt>
                <c:pt idx="142">
                  <c:v>42.344900000000003</c:v>
                </c:pt>
                <c:pt idx="143">
                  <c:v>42.578899999999997</c:v>
                </c:pt>
                <c:pt idx="144">
                  <c:v>42.711199999999998</c:v>
                </c:pt>
                <c:pt idx="145">
                  <c:v>42.6419</c:v>
                </c:pt>
                <c:pt idx="146">
                  <c:v>42.597000000000001</c:v>
                </c:pt>
                <c:pt idx="147">
                  <c:v>42.777799999999999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0.34945500000000002</c:v>
                </c:pt>
                <c:pt idx="2">
                  <c:v>0.75360199999999999</c:v>
                </c:pt>
                <c:pt idx="3">
                  <c:v>1.15961</c:v>
                </c:pt>
                <c:pt idx="4">
                  <c:v>1.5682799999999999</c:v>
                </c:pt>
                <c:pt idx="5">
                  <c:v>1.9735400000000001</c:v>
                </c:pt>
                <c:pt idx="6">
                  <c:v>2.3790300000000002</c:v>
                </c:pt>
                <c:pt idx="7">
                  <c:v>2.7825099999999998</c:v>
                </c:pt>
                <c:pt idx="8">
                  <c:v>3.18729</c:v>
                </c:pt>
                <c:pt idx="9">
                  <c:v>3.5988199999999999</c:v>
                </c:pt>
                <c:pt idx="10">
                  <c:v>4.0053700000000001</c:v>
                </c:pt>
                <c:pt idx="11">
                  <c:v>4.4091899999999997</c:v>
                </c:pt>
                <c:pt idx="12">
                  <c:v>4.8153100000000002</c:v>
                </c:pt>
                <c:pt idx="13">
                  <c:v>5.2225999999999999</c:v>
                </c:pt>
                <c:pt idx="14">
                  <c:v>5.6305800000000001</c:v>
                </c:pt>
                <c:pt idx="15">
                  <c:v>6.0365599999999997</c:v>
                </c:pt>
                <c:pt idx="16">
                  <c:v>6.4446500000000002</c:v>
                </c:pt>
                <c:pt idx="17">
                  <c:v>6.8495600000000003</c:v>
                </c:pt>
                <c:pt idx="18">
                  <c:v>7.2543899999999999</c:v>
                </c:pt>
                <c:pt idx="19">
                  <c:v>7.6580899999999996</c:v>
                </c:pt>
                <c:pt idx="20">
                  <c:v>8.0672499999999996</c:v>
                </c:pt>
                <c:pt idx="21">
                  <c:v>8.4752299999999998</c:v>
                </c:pt>
                <c:pt idx="22">
                  <c:v>8.8822500000000009</c:v>
                </c:pt>
                <c:pt idx="23">
                  <c:v>9.2896699999999992</c:v>
                </c:pt>
                <c:pt idx="24">
                  <c:v>9.6912000000000003</c:v>
                </c:pt>
                <c:pt idx="25">
                  <c:v>10.097200000000001</c:v>
                </c:pt>
                <c:pt idx="26">
                  <c:v>10.504799999999999</c:v>
                </c:pt>
                <c:pt idx="27">
                  <c:v>10.9147</c:v>
                </c:pt>
                <c:pt idx="28">
                  <c:v>11.317399999999999</c:v>
                </c:pt>
                <c:pt idx="29">
                  <c:v>11.7227</c:v>
                </c:pt>
                <c:pt idx="30">
                  <c:v>12.13</c:v>
                </c:pt>
                <c:pt idx="31">
                  <c:v>12.5364</c:v>
                </c:pt>
                <c:pt idx="32">
                  <c:v>12.944599999999999</c:v>
                </c:pt>
                <c:pt idx="33">
                  <c:v>13.3474</c:v>
                </c:pt>
                <c:pt idx="34">
                  <c:v>13.752700000000001</c:v>
                </c:pt>
                <c:pt idx="35">
                  <c:v>14.1592</c:v>
                </c:pt>
                <c:pt idx="36">
                  <c:v>14.57</c:v>
                </c:pt>
                <c:pt idx="37">
                  <c:v>14.974299999999999</c:v>
                </c:pt>
                <c:pt idx="38">
                  <c:v>15.379099999999999</c:v>
                </c:pt>
                <c:pt idx="39">
                  <c:v>15.785299999999999</c:v>
                </c:pt>
                <c:pt idx="40">
                  <c:v>16.192299999999999</c:v>
                </c:pt>
                <c:pt idx="41">
                  <c:v>16.601099999999999</c:v>
                </c:pt>
                <c:pt idx="42">
                  <c:v>17.005700000000001</c:v>
                </c:pt>
                <c:pt idx="43">
                  <c:v>17.4131</c:v>
                </c:pt>
                <c:pt idx="44">
                  <c:v>17.814399999999999</c:v>
                </c:pt>
                <c:pt idx="45">
                  <c:v>18.2224</c:v>
                </c:pt>
                <c:pt idx="46">
                  <c:v>18.628799999999998</c:v>
                </c:pt>
                <c:pt idx="47">
                  <c:v>19.0349</c:v>
                </c:pt>
                <c:pt idx="48">
                  <c:v>19.4438</c:v>
                </c:pt>
                <c:pt idx="49">
                  <c:v>19.8491</c:v>
                </c:pt>
                <c:pt idx="50">
                  <c:v>20.2532</c:v>
                </c:pt>
                <c:pt idx="51">
                  <c:v>20.660499999999999</c:v>
                </c:pt>
                <c:pt idx="52">
                  <c:v>21.065100000000001</c:v>
                </c:pt>
                <c:pt idx="53">
                  <c:v>21.474</c:v>
                </c:pt>
                <c:pt idx="54">
                  <c:v>21.878900000000002</c:v>
                </c:pt>
                <c:pt idx="55">
                  <c:v>22.285299999999999</c:v>
                </c:pt>
                <c:pt idx="56">
                  <c:v>22.694900000000001</c:v>
                </c:pt>
                <c:pt idx="57">
                  <c:v>23.099699999999999</c:v>
                </c:pt>
                <c:pt idx="58">
                  <c:v>23.5077</c:v>
                </c:pt>
                <c:pt idx="59">
                  <c:v>23.910599999999999</c:v>
                </c:pt>
                <c:pt idx="60">
                  <c:v>24.314699999999998</c:v>
                </c:pt>
                <c:pt idx="61">
                  <c:v>24.721900000000002</c:v>
                </c:pt>
                <c:pt idx="62">
                  <c:v>25.125399999999999</c:v>
                </c:pt>
                <c:pt idx="63">
                  <c:v>25.5349</c:v>
                </c:pt>
                <c:pt idx="64">
                  <c:v>25.944800000000001</c:v>
                </c:pt>
                <c:pt idx="65">
                  <c:v>26.350200000000001</c:v>
                </c:pt>
                <c:pt idx="66">
                  <c:v>26.7563</c:v>
                </c:pt>
                <c:pt idx="67">
                  <c:v>27.159099999999999</c:v>
                </c:pt>
                <c:pt idx="68">
                  <c:v>27.5641</c:v>
                </c:pt>
                <c:pt idx="69">
                  <c:v>27.9726</c:v>
                </c:pt>
                <c:pt idx="70">
                  <c:v>28.380500000000001</c:v>
                </c:pt>
                <c:pt idx="71">
                  <c:v>28.785299999999999</c:v>
                </c:pt>
                <c:pt idx="72">
                  <c:v>29.193000000000001</c:v>
                </c:pt>
                <c:pt idx="73">
                  <c:v>29.5959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61.367600000000003</c:v>
                </c:pt>
                <c:pt idx="1">
                  <c:v>60.4101</c:v>
                </c:pt>
                <c:pt idx="2">
                  <c:v>59.299599999999998</c:v>
                </c:pt>
                <c:pt idx="3">
                  <c:v>58.153799999999997</c:v>
                </c:pt>
                <c:pt idx="4">
                  <c:v>56.811199999999992</c:v>
                </c:pt>
                <c:pt idx="5">
                  <c:v>55.399100000000004</c:v>
                </c:pt>
                <c:pt idx="6">
                  <c:v>53.951999999999998</c:v>
                </c:pt>
                <c:pt idx="7">
                  <c:v>52.497400000000006</c:v>
                </c:pt>
                <c:pt idx="8">
                  <c:v>50.902899999999995</c:v>
                </c:pt>
                <c:pt idx="9">
                  <c:v>49.266399999999997</c:v>
                </c:pt>
                <c:pt idx="10">
                  <c:v>47.687000000000005</c:v>
                </c:pt>
                <c:pt idx="11">
                  <c:v>46.195399999999999</c:v>
                </c:pt>
                <c:pt idx="12">
                  <c:v>44.655000000000001</c:v>
                </c:pt>
                <c:pt idx="13">
                  <c:v>43.075400000000002</c:v>
                </c:pt>
                <c:pt idx="14">
                  <c:v>41.392099999999999</c:v>
                </c:pt>
                <c:pt idx="15">
                  <c:v>39.719900000000003</c:v>
                </c:pt>
                <c:pt idx="16">
                  <c:v>38.1233</c:v>
                </c:pt>
                <c:pt idx="17">
                  <c:v>36.628399999999999</c:v>
                </c:pt>
                <c:pt idx="18">
                  <c:v>35.326099999999997</c:v>
                </c:pt>
                <c:pt idx="19">
                  <c:v>34.303200000000004</c:v>
                </c:pt>
                <c:pt idx="20">
                  <c:v>33.511600000000001</c:v>
                </c:pt>
                <c:pt idx="21">
                  <c:v>32.893899999999995</c:v>
                </c:pt>
                <c:pt idx="22">
                  <c:v>32.372099999999996</c:v>
                </c:pt>
                <c:pt idx="23">
                  <c:v>31.963900000000002</c:v>
                </c:pt>
                <c:pt idx="24">
                  <c:v>31.610599999999998</c:v>
                </c:pt>
                <c:pt idx="25">
                  <c:v>31.306699999999999</c:v>
                </c:pt>
                <c:pt idx="26">
                  <c:v>31.096299999999999</c:v>
                </c:pt>
                <c:pt idx="27">
                  <c:v>30.926300000000001</c:v>
                </c:pt>
                <c:pt idx="28">
                  <c:v>30.8125</c:v>
                </c:pt>
                <c:pt idx="29">
                  <c:v>30.710500000000003</c:v>
                </c:pt>
                <c:pt idx="30">
                  <c:v>30.512699999999999</c:v>
                </c:pt>
                <c:pt idx="31">
                  <c:v>30.238900000000001</c:v>
                </c:pt>
                <c:pt idx="32">
                  <c:v>29.8522</c:v>
                </c:pt>
                <c:pt idx="33">
                  <c:v>29.433700000000002</c:v>
                </c:pt>
                <c:pt idx="34">
                  <c:v>29.055299999999999</c:v>
                </c:pt>
                <c:pt idx="35">
                  <c:v>28.7761</c:v>
                </c:pt>
                <c:pt idx="36">
                  <c:v>28.632800000000003</c:v>
                </c:pt>
                <c:pt idx="37">
                  <c:v>28.539199999999997</c:v>
                </c:pt>
                <c:pt idx="38">
                  <c:v>28.523799999999998</c:v>
                </c:pt>
                <c:pt idx="39">
                  <c:v>28.565000000000001</c:v>
                </c:pt>
                <c:pt idx="40">
                  <c:v>28.736800000000002</c:v>
                </c:pt>
                <c:pt idx="41">
                  <c:v>28.928900000000002</c:v>
                </c:pt>
                <c:pt idx="42">
                  <c:v>29.082699999999999</c:v>
                </c:pt>
                <c:pt idx="43">
                  <c:v>29.242800000000003</c:v>
                </c:pt>
                <c:pt idx="44">
                  <c:v>29.462199999999999</c:v>
                </c:pt>
                <c:pt idx="45">
                  <c:v>29.700900000000001</c:v>
                </c:pt>
                <c:pt idx="46">
                  <c:v>29.9664</c:v>
                </c:pt>
                <c:pt idx="47">
                  <c:v>30.249199999999998</c:v>
                </c:pt>
                <c:pt idx="48">
                  <c:v>30.425200000000004</c:v>
                </c:pt>
                <c:pt idx="49">
                  <c:v>30.497999999999998</c:v>
                </c:pt>
                <c:pt idx="50">
                  <c:v>30.567</c:v>
                </c:pt>
                <c:pt idx="51">
                  <c:v>30.536600000000004</c:v>
                </c:pt>
                <c:pt idx="52">
                  <c:v>30.4526</c:v>
                </c:pt>
                <c:pt idx="53">
                  <c:v>30.317499999999995</c:v>
                </c:pt>
                <c:pt idx="54">
                  <c:v>30.1267</c:v>
                </c:pt>
                <c:pt idx="55">
                  <c:v>29.845800000000001</c:v>
                </c:pt>
                <c:pt idx="56">
                  <c:v>29.559800000000003</c:v>
                </c:pt>
                <c:pt idx="57">
                  <c:v>29.254300000000001</c:v>
                </c:pt>
                <c:pt idx="58">
                  <c:v>29.0244</c:v>
                </c:pt>
                <c:pt idx="59">
                  <c:v>28.807700000000004</c:v>
                </c:pt>
                <c:pt idx="60">
                  <c:v>28.616000000000003</c:v>
                </c:pt>
                <c:pt idx="61">
                  <c:v>28.382600000000004</c:v>
                </c:pt>
                <c:pt idx="62">
                  <c:v>28.171800000000001</c:v>
                </c:pt>
                <c:pt idx="63">
                  <c:v>28.014699999999998</c:v>
                </c:pt>
                <c:pt idx="64">
                  <c:v>27.842499999999998</c:v>
                </c:pt>
                <c:pt idx="65">
                  <c:v>27.654199999999999</c:v>
                </c:pt>
                <c:pt idx="66">
                  <c:v>27.410899999999998</c:v>
                </c:pt>
                <c:pt idx="67">
                  <c:v>27.138500000000001</c:v>
                </c:pt>
                <c:pt idx="68">
                  <c:v>26.820599999999999</c:v>
                </c:pt>
                <c:pt idx="69">
                  <c:v>26.496799999999997</c:v>
                </c:pt>
                <c:pt idx="70">
                  <c:v>26.084000000000003</c:v>
                </c:pt>
                <c:pt idx="71">
                  <c:v>25.666599999999999</c:v>
                </c:pt>
                <c:pt idx="72">
                  <c:v>25.281399999999998</c:v>
                </c:pt>
                <c:pt idx="73">
                  <c:v>24.9346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29.5959</c:v>
                </c:pt>
                <c:pt idx="1">
                  <c:v>30.0031</c:v>
                </c:pt>
                <c:pt idx="2">
                  <c:v>30.599299999999999</c:v>
                </c:pt>
                <c:pt idx="3">
                  <c:v>30.975100000000001</c:v>
                </c:pt>
                <c:pt idx="4">
                  <c:v>31.350200000000001</c:v>
                </c:pt>
                <c:pt idx="5">
                  <c:v>31.7226</c:v>
                </c:pt>
                <c:pt idx="6">
                  <c:v>32.097799999999999</c:v>
                </c:pt>
                <c:pt idx="7">
                  <c:v>32.503700000000002</c:v>
                </c:pt>
                <c:pt idx="8">
                  <c:v>32.912799999999997</c:v>
                </c:pt>
                <c:pt idx="9">
                  <c:v>33.320500000000003</c:v>
                </c:pt>
                <c:pt idx="10">
                  <c:v>33.722299999999997</c:v>
                </c:pt>
                <c:pt idx="11">
                  <c:v>34.134</c:v>
                </c:pt>
                <c:pt idx="12">
                  <c:v>34.534799999999997</c:v>
                </c:pt>
                <c:pt idx="13">
                  <c:v>34.941499999999998</c:v>
                </c:pt>
                <c:pt idx="14">
                  <c:v>35.347799999999999</c:v>
                </c:pt>
                <c:pt idx="15">
                  <c:v>35.753</c:v>
                </c:pt>
                <c:pt idx="16">
                  <c:v>36.161099999999998</c:v>
                </c:pt>
                <c:pt idx="17">
                  <c:v>36.567999999999998</c:v>
                </c:pt>
                <c:pt idx="18">
                  <c:v>36.975700000000003</c:v>
                </c:pt>
                <c:pt idx="19">
                  <c:v>37.379100000000001</c:v>
                </c:pt>
                <c:pt idx="20">
                  <c:v>37.786700000000003</c:v>
                </c:pt>
                <c:pt idx="21">
                  <c:v>38.19</c:v>
                </c:pt>
                <c:pt idx="22">
                  <c:v>38.600200000000001</c:v>
                </c:pt>
                <c:pt idx="23">
                  <c:v>39.005000000000003</c:v>
                </c:pt>
                <c:pt idx="24">
                  <c:v>39.412700000000001</c:v>
                </c:pt>
                <c:pt idx="25">
                  <c:v>39.816499999999998</c:v>
                </c:pt>
                <c:pt idx="26">
                  <c:v>40.227400000000003</c:v>
                </c:pt>
                <c:pt idx="27">
                  <c:v>40.6312</c:v>
                </c:pt>
                <c:pt idx="28">
                  <c:v>41.034500000000001</c:v>
                </c:pt>
                <c:pt idx="29">
                  <c:v>41.445900000000002</c:v>
                </c:pt>
                <c:pt idx="30">
                  <c:v>41.848199999999999</c:v>
                </c:pt>
                <c:pt idx="31">
                  <c:v>42.256399999999999</c:v>
                </c:pt>
                <c:pt idx="32">
                  <c:v>42.662599999999998</c:v>
                </c:pt>
                <c:pt idx="33">
                  <c:v>43.063699999999997</c:v>
                </c:pt>
                <c:pt idx="34">
                  <c:v>43.4711</c:v>
                </c:pt>
                <c:pt idx="35">
                  <c:v>43.880099999999999</c:v>
                </c:pt>
                <c:pt idx="36">
                  <c:v>44.287799999999997</c:v>
                </c:pt>
                <c:pt idx="37">
                  <c:v>44.692999999999998</c:v>
                </c:pt>
                <c:pt idx="38">
                  <c:v>45.096800000000002</c:v>
                </c:pt>
                <c:pt idx="39">
                  <c:v>45.504100000000001</c:v>
                </c:pt>
                <c:pt idx="40">
                  <c:v>45.911999999999999</c:v>
                </c:pt>
                <c:pt idx="41">
                  <c:v>46.317900000000002</c:v>
                </c:pt>
                <c:pt idx="42">
                  <c:v>46.723599999999998</c:v>
                </c:pt>
                <c:pt idx="43">
                  <c:v>47.130800000000001</c:v>
                </c:pt>
                <c:pt idx="44">
                  <c:v>47.534700000000001</c:v>
                </c:pt>
                <c:pt idx="45">
                  <c:v>47.943300000000001</c:v>
                </c:pt>
                <c:pt idx="46">
                  <c:v>48.350499999999997</c:v>
                </c:pt>
                <c:pt idx="47">
                  <c:v>48.755699999999997</c:v>
                </c:pt>
                <c:pt idx="48">
                  <c:v>49.159399999999998</c:v>
                </c:pt>
                <c:pt idx="49">
                  <c:v>49.566499999999998</c:v>
                </c:pt>
                <c:pt idx="50">
                  <c:v>49.972900000000003</c:v>
                </c:pt>
                <c:pt idx="51">
                  <c:v>50.380800000000001</c:v>
                </c:pt>
                <c:pt idx="52">
                  <c:v>50.7879</c:v>
                </c:pt>
                <c:pt idx="53">
                  <c:v>51.191200000000002</c:v>
                </c:pt>
                <c:pt idx="54">
                  <c:v>51.596899999999998</c:v>
                </c:pt>
                <c:pt idx="55">
                  <c:v>52.004199999999997</c:v>
                </c:pt>
                <c:pt idx="56">
                  <c:v>52.414099999999998</c:v>
                </c:pt>
                <c:pt idx="57">
                  <c:v>52.817799999999998</c:v>
                </c:pt>
                <c:pt idx="58">
                  <c:v>53.220799999999997</c:v>
                </c:pt>
                <c:pt idx="59">
                  <c:v>53.626399999999997</c:v>
                </c:pt>
                <c:pt idx="60">
                  <c:v>54.038899999999998</c:v>
                </c:pt>
                <c:pt idx="61">
                  <c:v>54.445599999999999</c:v>
                </c:pt>
                <c:pt idx="62">
                  <c:v>54.849400000000003</c:v>
                </c:pt>
                <c:pt idx="63">
                  <c:v>55.253999999999998</c:v>
                </c:pt>
                <c:pt idx="64">
                  <c:v>55.6599</c:v>
                </c:pt>
                <c:pt idx="65">
                  <c:v>56.068800000000003</c:v>
                </c:pt>
                <c:pt idx="66">
                  <c:v>56.472799999999999</c:v>
                </c:pt>
                <c:pt idx="67">
                  <c:v>56.881999999999998</c:v>
                </c:pt>
                <c:pt idx="68">
                  <c:v>57.2866</c:v>
                </c:pt>
                <c:pt idx="69">
                  <c:v>57.689399999999999</c:v>
                </c:pt>
                <c:pt idx="70">
                  <c:v>58.097299999999997</c:v>
                </c:pt>
                <c:pt idx="71">
                  <c:v>58.506100000000004</c:v>
                </c:pt>
                <c:pt idx="72">
                  <c:v>58.912100000000002</c:v>
                </c:pt>
                <c:pt idx="73">
                  <c:v>59.3187</c:v>
                </c:pt>
                <c:pt idx="74">
                  <c:v>59.724899999999998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24.9346</c:v>
                </c:pt>
                <c:pt idx="1">
                  <c:v>24.645</c:v>
                </c:pt>
                <c:pt idx="2">
                  <c:v>24.358599999999999</c:v>
                </c:pt>
                <c:pt idx="3">
                  <c:v>24.1752</c:v>
                </c:pt>
                <c:pt idx="4">
                  <c:v>23.997</c:v>
                </c:pt>
                <c:pt idx="5">
                  <c:v>23.9056</c:v>
                </c:pt>
                <c:pt idx="6">
                  <c:v>23.8584</c:v>
                </c:pt>
                <c:pt idx="7">
                  <c:v>23.7925</c:v>
                </c:pt>
                <c:pt idx="8">
                  <c:v>23.789400000000001</c:v>
                </c:pt>
                <c:pt idx="9">
                  <c:v>23.794999999999998</c:v>
                </c:pt>
                <c:pt idx="10">
                  <c:v>23.768800000000002</c:v>
                </c:pt>
                <c:pt idx="11">
                  <c:v>23.662099999999999</c:v>
                </c:pt>
                <c:pt idx="12">
                  <c:v>23.544899999999998</c:v>
                </c:pt>
                <c:pt idx="13">
                  <c:v>23.3416</c:v>
                </c:pt>
                <c:pt idx="14">
                  <c:v>23.0974</c:v>
                </c:pt>
                <c:pt idx="15">
                  <c:v>22.9024</c:v>
                </c:pt>
                <c:pt idx="16">
                  <c:v>22.689899999999998</c:v>
                </c:pt>
                <c:pt idx="17">
                  <c:v>22.498000000000001</c:v>
                </c:pt>
                <c:pt idx="18">
                  <c:v>22.330100000000002</c:v>
                </c:pt>
                <c:pt idx="19">
                  <c:v>22.269500000000001</c:v>
                </c:pt>
                <c:pt idx="20">
                  <c:v>22.249700000000001</c:v>
                </c:pt>
                <c:pt idx="21">
                  <c:v>22.222799999999999</c:v>
                </c:pt>
                <c:pt idx="22">
                  <c:v>22.2378</c:v>
                </c:pt>
                <c:pt idx="23">
                  <c:v>22.305399999999999</c:v>
                </c:pt>
                <c:pt idx="24">
                  <c:v>22.3977</c:v>
                </c:pt>
                <c:pt idx="25">
                  <c:v>22.568099999999998</c:v>
                </c:pt>
                <c:pt idx="26">
                  <c:v>22.766500000000001</c:v>
                </c:pt>
                <c:pt idx="27">
                  <c:v>23.033000000000001</c:v>
                </c:pt>
                <c:pt idx="28">
                  <c:v>23.349900000000002</c:v>
                </c:pt>
                <c:pt idx="29">
                  <c:v>23.8263</c:v>
                </c:pt>
                <c:pt idx="30">
                  <c:v>24.266399999999997</c:v>
                </c:pt>
                <c:pt idx="31">
                  <c:v>24.685399999999998</c:v>
                </c:pt>
                <c:pt idx="32">
                  <c:v>25.160300000000003</c:v>
                </c:pt>
                <c:pt idx="33">
                  <c:v>25.646600000000003</c:v>
                </c:pt>
                <c:pt idx="34">
                  <c:v>26.151400000000002</c:v>
                </c:pt>
                <c:pt idx="35">
                  <c:v>26.693499999999997</c:v>
                </c:pt>
                <c:pt idx="36">
                  <c:v>27.2974</c:v>
                </c:pt>
                <c:pt idx="37">
                  <c:v>27.891700000000004</c:v>
                </c:pt>
                <c:pt idx="38">
                  <c:v>28.540300000000002</c:v>
                </c:pt>
                <c:pt idx="39">
                  <c:v>29.244799999999998</c:v>
                </c:pt>
                <c:pt idx="40">
                  <c:v>29.955100000000002</c:v>
                </c:pt>
                <c:pt idx="41">
                  <c:v>30.727</c:v>
                </c:pt>
                <c:pt idx="42">
                  <c:v>31.483899999999998</c:v>
                </c:pt>
                <c:pt idx="43">
                  <c:v>32.232699999999994</c:v>
                </c:pt>
                <c:pt idx="44">
                  <c:v>32.925600000000003</c:v>
                </c:pt>
                <c:pt idx="45">
                  <c:v>33.564</c:v>
                </c:pt>
                <c:pt idx="46">
                  <c:v>34.213200000000001</c:v>
                </c:pt>
                <c:pt idx="47">
                  <c:v>34.863699999999994</c:v>
                </c:pt>
                <c:pt idx="48">
                  <c:v>35.445399999999999</c:v>
                </c:pt>
                <c:pt idx="49">
                  <c:v>36.016500000000001</c:v>
                </c:pt>
                <c:pt idx="50">
                  <c:v>36.5535</c:v>
                </c:pt>
                <c:pt idx="51">
                  <c:v>36.884799999999998</c:v>
                </c:pt>
                <c:pt idx="52">
                  <c:v>37.2271</c:v>
                </c:pt>
                <c:pt idx="53">
                  <c:v>37.560500000000005</c:v>
                </c:pt>
                <c:pt idx="54">
                  <c:v>37.843900000000005</c:v>
                </c:pt>
                <c:pt idx="55">
                  <c:v>38.139699999999998</c:v>
                </c:pt>
                <c:pt idx="56">
                  <c:v>38.455300000000001</c:v>
                </c:pt>
                <c:pt idx="57">
                  <c:v>38.757799999999996</c:v>
                </c:pt>
                <c:pt idx="58">
                  <c:v>39.093899999999998</c:v>
                </c:pt>
                <c:pt idx="59">
                  <c:v>39.472999999999999</c:v>
                </c:pt>
                <c:pt idx="60">
                  <c:v>39.847200000000001</c:v>
                </c:pt>
                <c:pt idx="61">
                  <c:v>40.185400000000001</c:v>
                </c:pt>
                <c:pt idx="62">
                  <c:v>40.5655</c:v>
                </c:pt>
                <c:pt idx="63">
                  <c:v>41.001199999999997</c:v>
                </c:pt>
                <c:pt idx="64">
                  <c:v>41.347899999999996</c:v>
                </c:pt>
                <c:pt idx="65">
                  <c:v>41.622599999999998</c:v>
                </c:pt>
                <c:pt idx="66">
                  <c:v>41.837200000000003</c:v>
                </c:pt>
                <c:pt idx="67">
                  <c:v>42.009500000000003</c:v>
                </c:pt>
                <c:pt idx="68">
                  <c:v>42.164499999999997</c:v>
                </c:pt>
                <c:pt idx="69">
                  <c:v>42.344900000000003</c:v>
                </c:pt>
                <c:pt idx="70">
                  <c:v>42.578899999999997</c:v>
                </c:pt>
                <c:pt idx="71">
                  <c:v>42.711199999999998</c:v>
                </c:pt>
                <c:pt idx="72">
                  <c:v>42.6419</c:v>
                </c:pt>
                <c:pt idx="73">
                  <c:v>42.597000000000001</c:v>
                </c:pt>
                <c:pt idx="74">
                  <c:v>42.777799999999999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14.931225</c:v>
                </c:pt>
                <c:pt idx="1">
                  <c:v>44.793675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34.429739189189192</c:v>
                </c:pt>
                <c:pt idx="1">
                  <c:v>30.764941891891894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44.104399999999998</c:v>
                </c:pt>
                <c:pt idx="1">
                  <c:v>22.907699999999998</c:v>
                </c:pt>
                <c:pt idx="2">
                  <c:v>36.893999999999998</c:v>
                </c:pt>
                <c:pt idx="3">
                  <c:v>33.949399999999997</c:v>
                </c:pt>
                <c:pt idx="4">
                  <c:v>65.707099999999997</c:v>
                </c:pt>
                <c:pt idx="5">
                  <c:v>73.443700000000007</c:v>
                </c:pt>
                <c:pt idx="6">
                  <c:v>19.846699999999998</c:v>
                </c:pt>
                <c:pt idx="7">
                  <c:v>69.391900000000007</c:v>
                </c:pt>
                <c:pt idx="8">
                  <c:v>20.6754</c:v>
                </c:pt>
                <c:pt idx="9">
                  <c:v>34.4771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45.410899999999998</c:v>
                </c:pt>
                <c:pt idx="1">
                  <c:v>24.271799999999999</c:v>
                </c:pt>
                <c:pt idx="2">
                  <c:v>34.148800000000001</c:v>
                </c:pt>
                <c:pt idx="3">
                  <c:v>33.399099999999997</c:v>
                </c:pt>
                <c:pt idx="4">
                  <c:v>60.584000000000003</c:v>
                </c:pt>
                <c:pt idx="5">
                  <c:v>77.097300000000004</c:v>
                </c:pt>
                <c:pt idx="6">
                  <c:v>23.737300000000001</c:v>
                </c:pt>
                <c:pt idx="7">
                  <c:v>68.656599999999997</c:v>
                </c:pt>
                <c:pt idx="8">
                  <c:v>21.310099999999998</c:v>
                </c:pt>
                <c:pt idx="9">
                  <c:v>42.676600000000001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0.47925600236197724</c:v>
                </c:pt>
                <c:pt idx="1">
                  <c:v>0.28927820570311735</c:v>
                </c:pt>
                <c:pt idx="2">
                  <c:v>0.23146579193490546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2786</c:v>
                </c:pt>
                <c:pt idx="7">
                  <c:v>0</c:v>
                </c:pt>
                <c:pt idx="8">
                  <c:v>3526</c:v>
                </c:pt>
                <c:pt idx="9">
                  <c:v>0</c:v>
                </c:pt>
                <c:pt idx="10">
                  <c:v>0</c:v>
                </c:pt>
                <c:pt idx="11">
                  <c:v>2973</c:v>
                </c:pt>
                <c:pt idx="12">
                  <c:v>0</c:v>
                </c:pt>
                <c:pt idx="13">
                  <c:v>6144</c:v>
                </c:pt>
                <c:pt idx="14">
                  <c:v>0</c:v>
                </c:pt>
                <c:pt idx="15">
                  <c:v>0</c:v>
                </c:pt>
                <c:pt idx="16">
                  <c:v>9905</c:v>
                </c:pt>
                <c:pt idx="17">
                  <c:v>0</c:v>
                </c:pt>
                <c:pt idx="18">
                  <c:v>0</c:v>
                </c:pt>
                <c:pt idx="19">
                  <c:v>14984</c:v>
                </c:pt>
                <c:pt idx="20">
                  <c:v>0</c:v>
                </c:pt>
                <c:pt idx="21">
                  <c:v>21242</c:v>
                </c:pt>
                <c:pt idx="22">
                  <c:v>0</c:v>
                </c:pt>
                <c:pt idx="23">
                  <c:v>0</c:v>
                </c:pt>
                <c:pt idx="24">
                  <c:v>32268</c:v>
                </c:pt>
                <c:pt idx="25">
                  <c:v>0</c:v>
                </c:pt>
                <c:pt idx="26">
                  <c:v>39624</c:v>
                </c:pt>
                <c:pt idx="27">
                  <c:v>0</c:v>
                </c:pt>
                <c:pt idx="28">
                  <c:v>0</c:v>
                </c:pt>
                <c:pt idx="29">
                  <c:v>40452</c:v>
                </c:pt>
                <c:pt idx="30">
                  <c:v>0</c:v>
                </c:pt>
                <c:pt idx="31">
                  <c:v>54478</c:v>
                </c:pt>
                <c:pt idx="32">
                  <c:v>0</c:v>
                </c:pt>
                <c:pt idx="33">
                  <c:v>0</c:v>
                </c:pt>
                <c:pt idx="34">
                  <c:v>49419</c:v>
                </c:pt>
                <c:pt idx="35">
                  <c:v>0</c:v>
                </c:pt>
                <c:pt idx="36">
                  <c:v>0</c:v>
                </c:pt>
                <c:pt idx="37">
                  <c:v>60159</c:v>
                </c:pt>
                <c:pt idx="38">
                  <c:v>0</c:v>
                </c:pt>
                <c:pt idx="39">
                  <c:v>64301</c:v>
                </c:pt>
                <c:pt idx="40">
                  <c:v>0</c:v>
                </c:pt>
                <c:pt idx="41">
                  <c:v>0</c:v>
                </c:pt>
                <c:pt idx="42">
                  <c:v>63498</c:v>
                </c:pt>
                <c:pt idx="43">
                  <c:v>0</c:v>
                </c:pt>
                <c:pt idx="44">
                  <c:v>66736</c:v>
                </c:pt>
                <c:pt idx="45">
                  <c:v>0</c:v>
                </c:pt>
                <c:pt idx="46">
                  <c:v>0</c:v>
                </c:pt>
                <c:pt idx="47">
                  <c:v>66812</c:v>
                </c:pt>
                <c:pt idx="48">
                  <c:v>0</c:v>
                </c:pt>
                <c:pt idx="49">
                  <c:v>66880</c:v>
                </c:pt>
                <c:pt idx="50">
                  <c:v>0</c:v>
                </c:pt>
                <c:pt idx="51">
                  <c:v>0</c:v>
                </c:pt>
                <c:pt idx="52">
                  <c:v>69254</c:v>
                </c:pt>
                <c:pt idx="53">
                  <c:v>0</c:v>
                </c:pt>
                <c:pt idx="54">
                  <c:v>0</c:v>
                </c:pt>
                <c:pt idx="55">
                  <c:v>69728</c:v>
                </c:pt>
                <c:pt idx="56">
                  <c:v>0</c:v>
                </c:pt>
                <c:pt idx="57">
                  <c:v>71140</c:v>
                </c:pt>
                <c:pt idx="58">
                  <c:v>0</c:v>
                </c:pt>
                <c:pt idx="59">
                  <c:v>0</c:v>
                </c:pt>
                <c:pt idx="60">
                  <c:v>63861</c:v>
                </c:pt>
                <c:pt idx="61">
                  <c:v>0</c:v>
                </c:pt>
                <c:pt idx="62">
                  <c:v>70373</c:v>
                </c:pt>
                <c:pt idx="63">
                  <c:v>0</c:v>
                </c:pt>
                <c:pt idx="64">
                  <c:v>0</c:v>
                </c:pt>
                <c:pt idx="65">
                  <c:v>68741</c:v>
                </c:pt>
                <c:pt idx="66">
                  <c:v>0</c:v>
                </c:pt>
                <c:pt idx="67">
                  <c:v>70571</c:v>
                </c:pt>
                <c:pt idx="68">
                  <c:v>0</c:v>
                </c:pt>
                <c:pt idx="69">
                  <c:v>0</c:v>
                </c:pt>
                <c:pt idx="70">
                  <c:v>66633</c:v>
                </c:pt>
                <c:pt idx="71">
                  <c:v>0</c:v>
                </c:pt>
                <c:pt idx="72">
                  <c:v>0</c:v>
                </c:pt>
                <c:pt idx="73">
                  <c:v>73702</c:v>
                </c:pt>
                <c:pt idx="74">
                  <c:v>0</c:v>
                </c:pt>
                <c:pt idx="75">
                  <c:v>65128</c:v>
                </c:pt>
                <c:pt idx="76">
                  <c:v>0</c:v>
                </c:pt>
                <c:pt idx="77">
                  <c:v>0</c:v>
                </c:pt>
                <c:pt idx="78">
                  <c:v>64726</c:v>
                </c:pt>
                <c:pt idx="79">
                  <c:v>0</c:v>
                </c:pt>
                <c:pt idx="80">
                  <c:v>68413</c:v>
                </c:pt>
                <c:pt idx="81">
                  <c:v>0</c:v>
                </c:pt>
                <c:pt idx="82">
                  <c:v>0</c:v>
                </c:pt>
                <c:pt idx="83">
                  <c:v>63752</c:v>
                </c:pt>
                <c:pt idx="84">
                  <c:v>0</c:v>
                </c:pt>
                <c:pt idx="85">
                  <c:v>0</c:v>
                </c:pt>
                <c:pt idx="86">
                  <c:v>64804</c:v>
                </c:pt>
                <c:pt idx="87">
                  <c:v>0</c:v>
                </c:pt>
                <c:pt idx="88">
                  <c:v>72533</c:v>
                </c:pt>
                <c:pt idx="89">
                  <c:v>0</c:v>
                </c:pt>
                <c:pt idx="90">
                  <c:v>0</c:v>
                </c:pt>
                <c:pt idx="91">
                  <c:v>64932</c:v>
                </c:pt>
                <c:pt idx="92">
                  <c:v>0</c:v>
                </c:pt>
                <c:pt idx="93">
                  <c:v>68202</c:v>
                </c:pt>
                <c:pt idx="94">
                  <c:v>0</c:v>
                </c:pt>
                <c:pt idx="95">
                  <c:v>0</c:v>
                </c:pt>
                <c:pt idx="96">
                  <c:v>63762</c:v>
                </c:pt>
                <c:pt idx="97">
                  <c:v>0</c:v>
                </c:pt>
                <c:pt idx="98">
                  <c:v>64876</c:v>
                </c:pt>
                <c:pt idx="99">
                  <c:v>0</c:v>
                </c:pt>
                <c:pt idx="100">
                  <c:v>0</c:v>
                </c:pt>
                <c:pt idx="101">
                  <c:v>62095</c:v>
                </c:pt>
                <c:pt idx="102">
                  <c:v>0</c:v>
                </c:pt>
                <c:pt idx="103">
                  <c:v>0</c:v>
                </c:pt>
                <c:pt idx="104">
                  <c:v>66509</c:v>
                </c:pt>
                <c:pt idx="105">
                  <c:v>0</c:v>
                </c:pt>
                <c:pt idx="106">
                  <c:v>78162</c:v>
                </c:pt>
                <c:pt idx="107">
                  <c:v>0</c:v>
                </c:pt>
                <c:pt idx="108">
                  <c:v>0</c:v>
                </c:pt>
                <c:pt idx="109">
                  <c:v>77283</c:v>
                </c:pt>
                <c:pt idx="110">
                  <c:v>0</c:v>
                </c:pt>
                <c:pt idx="111">
                  <c:v>66577</c:v>
                </c:pt>
                <c:pt idx="112">
                  <c:v>0</c:v>
                </c:pt>
                <c:pt idx="113">
                  <c:v>0</c:v>
                </c:pt>
                <c:pt idx="114">
                  <c:v>63639</c:v>
                </c:pt>
                <c:pt idx="115">
                  <c:v>0</c:v>
                </c:pt>
                <c:pt idx="116">
                  <c:v>60052</c:v>
                </c:pt>
                <c:pt idx="117">
                  <c:v>0</c:v>
                </c:pt>
                <c:pt idx="118">
                  <c:v>0</c:v>
                </c:pt>
                <c:pt idx="119">
                  <c:v>56737</c:v>
                </c:pt>
                <c:pt idx="120">
                  <c:v>0</c:v>
                </c:pt>
                <c:pt idx="121">
                  <c:v>0</c:v>
                </c:pt>
                <c:pt idx="122">
                  <c:v>49498</c:v>
                </c:pt>
                <c:pt idx="123">
                  <c:v>0</c:v>
                </c:pt>
                <c:pt idx="124">
                  <c:v>46720</c:v>
                </c:pt>
                <c:pt idx="125">
                  <c:v>0</c:v>
                </c:pt>
                <c:pt idx="126">
                  <c:v>0</c:v>
                </c:pt>
                <c:pt idx="127">
                  <c:v>44647</c:v>
                </c:pt>
                <c:pt idx="128">
                  <c:v>0</c:v>
                </c:pt>
                <c:pt idx="129">
                  <c:v>44646</c:v>
                </c:pt>
                <c:pt idx="130">
                  <c:v>0</c:v>
                </c:pt>
                <c:pt idx="131">
                  <c:v>0</c:v>
                </c:pt>
                <c:pt idx="132">
                  <c:v>41121</c:v>
                </c:pt>
                <c:pt idx="133">
                  <c:v>0</c:v>
                </c:pt>
                <c:pt idx="134">
                  <c:v>45883</c:v>
                </c:pt>
                <c:pt idx="135">
                  <c:v>0</c:v>
                </c:pt>
                <c:pt idx="136">
                  <c:v>0</c:v>
                </c:pt>
                <c:pt idx="137">
                  <c:v>35347</c:v>
                </c:pt>
                <c:pt idx="138">
                  <c:v>0</c:v>
                </c:pt>
                <c:pt idx="139">
                  <c:v>0</c:v>
                </c:pt>
                <c:pt idx="140">
                  <c:v>35904</c:v>
                </c:pt>
                <c:pt idx="141">
                  <c:v>0</c:v>
                </c:pt>
                <c:pt idx="142">
                  <c:v>28341</c:v>
                </c:pt>
                <c:pt idx="143">
                  <c:v>0</c:v>
                </c:pt>
                <c:pt idx="144">
                  <c:v>0</c:v>
                </c:pt>
                <c:pt idx="145">
                  <c:v>24596</c:v>
                </c:pt>
                <c:pt idx="146">
                  <c:v>0</c:v>
                </c:pt>
                <c:pt idx="147">
                  <c:v>20635</c:v>
                </c:pt>
                <c:pt idx="148">
                  <c:v>0</c:v>
                </c:pt>
                <c:pt idx="149">
                  <c:v>0</c:v>
                </c:pt>
                <c:pt idx="150">
                  <c:v>18052</c:v>
                </c:pt>
                <c:pt idx="151">
                  <c:v>0</c:v>
                </c:pt>
                <c:pt idx="152">
                  <c:v>15193</c:v>
                </c:pt>
                <c:pt idx="153">
                  <c:v>0</c:v>
                </c:pt>
                <c:pt idx="154">
                  <c:v>0</c:v>
                </c:pt>
                <c:pt idx="155">
                  <c:v>12730</c:v>
                </c:pt>
                <c:pt idx="156">
                  <c:v>0</c:v>
                </c:pt>
                <c:pt idx="157">
                  <c:v>0</c:v>
                </c:pt>
                <c:pt idx="158">
                  <c:v>11198</c:v>
                </c:pt>
                <c:pt idx="159">
                  <c:v>0</c:v>
                </c:pt>
                <c:pt idx="160">
                  <c:v>8388</c:v>
                </c:pt>
                <c:pt idx="161">
                  <c:v>0</c:v>
                </c:pt>
                <c:pt idx="162">
                  <c:v>0</c:v>
                </c:pt>
                <c:pt idx="163">
                  <c:v>8278</c:v>
                </c:pt>
                <c:pt idx="164">
                  <c:v>0</c:v>
                </c:pt>
                <c:pt idx="165">
                  <c:v>10182</c:v>
                </c:pt>
                <c:pt idx="166">
                  <c:v>0</c:v>
                </c:pt>
                <c:pt idx="167">
                  <c:v>0</c:v>
                </c:pt>
                <c:pt idx="168">
                  <c:v>11821</c:v>
                </c:pt>
                <c:pt idx="169">
                  <c:v>0</c:v>
                </c:pt>
                <c:pt idx="170">
                  <c:v>0</c:v>
                </c:pt>
                <c:pt idx="171">
                  <c:v>8978</c:v>
                </c:pt>
                <c:pt idx="172">
                  <c:v>0</c:v>
                </c:pt>
                <c:pt idx="173">
                  <c:v>6162</c:v>
                </c:pt>
                <c:pt idx="174">
                  <c:v>0</c:v>
                </c:pt>
                <c:pt idx="175">
                  <c:v>0</c:v>
                </c:pt>
                <c:pt idx="176">
                  <c:v>5093</c:v>
                </c:pt>
                <c:pt idx="177">
                  <c:v>0</c:v>
                </c:pt>
                <c:pt idx="178">
                  <c:v>5469</c:v>
                </c:pt>
                <c:pt idx="179">
                  <c:v>0</c:v>
                </c:pt>
                <c:pt idx="180">
                  <c:v>0</c:v>
                </c:pt>
                <c:pt idx="181">
                  <c:v>6793</c:v>
                </c:pt>
                <c:pt idx="182">
                  <c:v>0</c:v>
                </c:pt>
                <c:pt idx="183">
                  <c:v>6778</c:v>
                </c:pt>
                <c:pt idx="184">
                  <c:v>0</c:v>
                </c:pt>
                <c:pt idx="185">
                  <c:v>0</c:v>
                </c:pt>
                <c:pt idx="186">
                  <c:v>4725</c:v>
                </c:pt>
                <c:pt idx="187">
                  <c:v>0</c:v>
                </c:pt>
                <c:pt idx="188">
                  <c:v>0</c:v>
                </c:pt>
                <c:pt idx="189">
                  <c:v>5169</c:v>
                </c:pt>
                <c:pt idx="190">
                  <c:v>0</c:v>
                </c:pt>
                <c:pt idx="191">
                  <c:v>6440</c:v>
                </c:pt>
                <c:pt idx="192">
                  <c:v>0</c:v>
                </c:pt>
                <c:pt idx="193">
                  <c:v>0</c:v>
                </c:pt>
                <c:pt idx="194">
                  <c:v>6030</c:v>
                </c:pt>
                <c:pt idx="195">
                  <c:v>0</c:v>
                </c:pt>
                <c:pt idx="196">
                  <c:v>7046</c:v>
                </c:pt>
                <c:pt idx="197">
                  <c:v>0</c:v>
                </c:pt>
                <c:pt idx="198">
                  <c:v>0</c:v>
                </c:pt>
                <c:pt idx="199">
                  <c:v>9684</c:v>
                </c:pt>
                <c:pt idx="200">
                  <c:v>0</c:v>
                </c:pt>
                <c:pt idx="201">
                  <c:v>8603</c:v>
                </c:pt>
                <c:pt idx="202">
                  <c:v>0</c:v>
                </c:pt>
                <c:pt idx="203">
                  <c:v>0</c:v>
                </c:pt>
                <c:pt idx="204">
                  <c:v>4236</c:v>
                </c:pt>
                <c:pt idx="205">
                  <c:v>0</c:v>
                </c:pt>
                <c:pt idx="206">
                  <c:v>0</c:v>
                </c:pt>
                <c:pt idx="207">
                  <c:v>3436</c:v>
                </c:pt>
                <c:pt idx="208">
                  <c:v>0</c:v>
                </c:pt>
                <c:pt idx="209">
                  <c:v>3082</c:v>
                </c:pt>
                <c:pt idx="210">
                  <c:v>0</c:v>
                </c:pt>
                <c:pt idx="211">
                  <c:v>0</c:v>
                </c:pt>
                <c:pt idx="212">
                  <c:v>1132</c:v>
                </c:pt>
                <c:pt idx="213">
                  <c:v>0</c:v>
                </c:pt>
                <c:pt idx="214">
                  <c:v>1138</c:v>
                </c:pt>
                <c:pt idx="215">
                  <c:v>0</c:v>
                </c:pt>
                <c:pt idx="216">
                  <c:v>0</c:v>
                </c:pt>
                <c:pt idx="217">
                  <c:v>1230</c:v>
                </c:pt>
                <c:pt idx="218">
                  <c:v>0</c:v>
                </c:pt>
                <c:pt idx="219">
                  <c:v>802</c:v>
                </c:pt>
                <c:pt idx="220">
                  <c:v>0</c:v>
                </c:pt>
                <c:pt idx="221">
                  <c:v>0</c:v>
                </c:pt>
                <c:pt idx="222">
                  <c:v>133</c:v>
                </c:pt>
                <c:pt idx="223">
                  <c:v>0</c:v>
                </c:pt>
                <c:pt idx="224">
                  <c:v>0</c:v>
                </c:pt>
                <c:pt idx="225">
                  <c:v>212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1578</c:v>
                </c:pt>
                <c:pt idx="7">
                  <c:v>0</c:v>
                </c:pt>
                <c:pt idx="8">
                  <c:v>2486</c:v>
                </c:pt>
                <c:pt idx="9">
                  <c:v>0</c:v>
                </c:pt>
                <c:pt idx="10">
                  <c:v>0</c:v>
                </c:pt>
                <c:pt idx="11">
                  <c:v>2969</c:v>
                </c:pt>
                <c:pt idx="12">
                  <c:v>0</c:v>
                </c:pt>
                <c:pt idx="13">
                  <c:v>4107</c:v>
                </c:pt>
                <c:pt idx="14">
                  <c:v>0</c:v>
                </c:pt>
                <c:pt idx="15">
                  <c:v>0</c:v>
                </c:pt>
                <c:pt idx="16">
                  <c:v>2985</c:v>
                </c:pt>
                <c:pt idx="17">
                  <c:v>0</c:v>
                </c:pt>
                <c:pt idx="18">
                  <c:v>0</c:v>
                </c:pt>
                <c:pt idx="19">
                  <c:v>7916</c:v>
                </c:pt>
                <c:pt idx="20">
                  <c:v>0</c:v>
                </c:pt>
                <c:pt idx="21">
                  <c:v>5722</c:v>
                </c:pt>
                <c:pt idx="22">
                  <c:v>0</c:v>
                </c:pt>
                <c:pt idx="23">
                  <c:v>0</c:v>
                </c:pt>
                <c:pt idx="24">
                  <c:v>5930</c:v>
                </c:pt>
                <c:pt idx="25">
                  <c:v>0</c:v>
                </c:pt>
                <c:pt idx="26">
                  <c:v>7464</c:v>
                </c:pt>
                <c:pt idx="27">
                  <c:v>0</c:v>
                </c:pt>
                <c:pt idx="28">
                  <c:v>0</c:v>
                </c:pt>
                <c:pt idx="29">
                  <c:v>8960</c:v>
                </c:pt>
                <c:pt idx="30">
                  <c:v>0</c:v>
                </c:pt>
                <c:pt idx="31">
                  <c:v>10209</c:v>
                </c:pt>
                <c:pt idx="32">
                  <c:v>0</c:v>
                </c:pt>
                <c:pt idx="33">
                  <c:v>0</c:v>
                </c:pt>
                <c:pt idx="34">
                  <c:v>14919</c:v>
                </c:pt>
                <c:pt idx="35">
                  <c:v>0</c:v>
                </c:pt>
                <c:pt idx="36">
                  <c:v>0</c:v>
                </c:pt>
                <c:pt idx="37">
                  <c:v>16732</c:v>
                </c:pt>
                <c:pt idx="38">
                  <c:v>0</c:v>
                </c:pt>
                <c:pt idx="39">
                  <c:v>21625</c:v>
                </c:pt>
                <c:pt idx="40">
                  <c:v>0</c:v>
                </c:pt>
                <c:pt idx="41">
                  <c:v>0</c:v>
                </c:pt>
                <c:pt idx="42">
                  <c:v>29186</c:v>
                </c:pt>
                <c:pt idx="43">
                  <c:v>0</c:v>
                </c:pt>
                <c:pt idx="44">
                  <c:v>37966</c:v>
                </c:pt>
                <c:pt idx="45">
                  <c:v>0</c:v>
                </c:pt>
                <c:pt idx="46">
                  <c:v>0</c:v>
                </c:pt>
                <c:pt idx="47">
                  <c:v>44263</c:v>
                </c:pt>
                <c:pt idx="48">
                  <c:v>0</c:v>
                </c:pt>
                <c:pt idx="49">
                  <c:v>53097</c:v>
                </c:pt>
                <c:pt idx="50">
                  <c:v>0</c:v>
                </c:pt>
                <c:pt idx="51">
                  <c:v>0</c:v>
                </c:pt>
                <c:pt idx="52">
                  <c:v>50697</c:v>
                </c:pt>
                <c:pt idx="53">
                  <c:v>0</c:v>
                </c:pt>
                <c:pt idx="54">
                  <c:v>0</c:v>
                </c:pt>
                <c:pt idx="55">
                  <c:v>54952</c:v>
                </c:pt>
                <c:pt idx="56">
                  <c:v>0</c:v>
                </c:pt>
                <c:pt idx="57">
                  <c:v>60744</c:v>
                </c:pt>
                <c:pt idx="58">
                  <c:v>0</c:v>
                </c:pt>
                <c:pt idx="59">
                  <c:v>0</c:v>
                </c:pt>
                <c:pt idx="60">
                  <c:v>68370</c:v>
                </c:pt>
                <c:pt idx="61">
                  <c:v>0</c:v>
                </c:pt>
                <c:pt idx="62">
                  <c:v>76129</c:v>
                </c:pt>
                <c:pt idx="63">
                  <c:v>0</c:v>
                </c:pt>
                <c:pt idx="64">
                  <c:v>0</c:v>
                </c:pt>
                <c:pt idx="65">
                  <c:v>76710</c:v>
                </c:pt>
                <c:pt idx="66">
                  <c:v>0</c:v>
                </c:pt>
                <c:pt idx="67">
                  <c:v>96754</c:v>
                </c:pt>
                <c:pt idx="68">
                  <c:v>0</c:v>
                </c:pt>
                <c:pt idx="69">
                  <c:v>0</c:v>
                </c:pt>
                <c:pt idx="70">
                  <c:v>96842</c:v>
                </c:pt>
                <c:pt idx="71">
                  <c:v>0</c:v>
                </c:pt>
                <c:pt idx="72">
                  <c:v>0</c:v>
                </c:pt>
                <c:pt idx="73">
                  <c:v>107597</c:v>
                </c:pt>
                <c:pt idx="74">
                  <c:v>0</c:v>
                </c:pt>
                <c:pt idx="75">
                  <c:v>114835</c:v>
                </c:pt>
                <c:pt idx="76">
                  <c:v>0</c:v>
                </c:pt>
                <c:pt idx="77">
                  <c:v>0</c:v>
                </c:pt>
                <c:pt idx="78">
                  <c:v>116445</c:v>
                </c:pt>
                <c:pt idx="79">
                  <c:v>0</c:v>
                </c:pt>
                <c:pt idx="80">
                  <c:v>112096</c:v>
                </c:pt>
                <c:pt idx="81">
                  <c:v>0</c:v>
                </c:pt>
                <c:pt idx="82">
                  <c:v>0</c:v>
                </c:pt>
                <c:pt idx="83">
                  <c:v>121188</c:v>
                </c:pt>
                <c:pt idx="84">
                  <c:v>0</c:v>
                </c:pt>
                <c:pt idx="85">
                  <c:v>0</c:v>
                </c:pt>
                <c:pt idx="86">
                  <c:v>117555</c:v>
                </c:pt>
                <c:pt idx="87">
                  <c:v>0</c:v>
                </c:pt>
                <c:pt idx="88">
                  <c:v>103335</c:v>
                </c:pt>
                <c:pt idx="89">
                  <c:v>0</c:v>
                </c:pt>
                <c:pt idx="90">
                  <c:v>0</c:v>
                </c:pt>
                <c:pt idx="91">
                  <c:v>109476</c:v>
                </c:pt>
                <c:pt idx="92">
                  <c:v>0</c:v>
                </c:pt>
                <c:pt idx="93">
                  <c:v>106095</c:v>
                </c:pt>
                <c:pt idx="94">
                  <c:v>0</c:v>
                </c:pt>
                <c:pt idx="95">
                  <c:v>0</c:v>
                </c:pt>
                <c:pt idx="96">
                  <c:v>105012</c:v>
                </c:pt>
                <c:pt idx="97">
                  <c:v>0</c:v>
                </c:pt>
                <c:pt idx="98">
                  <c:v>93984</c:v>
                </c:pt>
                <c:pt idx="99">
                  <c:v>0</c:v>
                </c:pt>
                <c:pt idx="100">
                  <c:v>0</c:v>
                </c:pt>
                <c:pt idx="101">
                  <c:v>98323</c:v>
                </c:pt>
                <c:pt idx="102">
                  <c:v>0</c:v>
                </c:pt>
                <c:pt idx="103">
                  <c:v>0</c:v>
                </c:pt>
                <c:pt idx="104">
                  <c:v>96968</c:v>
                </c:pt>
                <c:pt idx="105">
                  <c:v>0</c:v>
                </c:pt>
                <c:pt idx="106">
                  <c:v>105611</c:v>
                </c:pt>
                <c:pt idx="107">
                  <c:v>0</c:v>
                </c:pt>
                <c:pt idx="108">
                  <c:v>0</c:v>
                </c:pt>
                <c:pt idx="109">
                  <c:v>97836</c:v>
                </c:pt>
                <c:pt idx="110">
                  <c:v>0</c:v>
                </c:pt>
                <c:pt idx="111">
                  <c:v>103997</c:v>
                </c:pt>
                <c:pt idx="112">
                  <c:v>0</c:v>
                </c:pt>
                <c:pt idx="113">
                  <c:v>0</c:v>
                </c:pt>
                <c:pt idx="114">
                  <c:v>97471</c:v>
                </c:pt>
                <c:pt idx="115">
                  <c:v>0</c:v>
                </c:pt>
                <c:pt idx="116">
                  <c:v>97245</c:v>
                </c:pt>
                <c:pt idx="117">
                  <c:v>0</c:v>
                </c:pt>
                <c:pt idx="118">
                  <c:v>0</c:v>
                </c:pt>
                <c:pt idx="119">
                  <c:v>95332</c:v>
                </c:pt>
                <c:pt idx="120">
                  <c:v>0</c:v>
                </c:pt>
                <c:pt idx="121">
                  <c:v>0</c:v>
                </c:pt>
                <c:pt idx="122">
                  <c:v>90353</c:v>
                </c:pt>
                <c:pt idx="123">
                  <c:v>0</c:v>
                </c:pt>
                <c:pt idx="124">
                  <c:v>85744</c:v>
                </c:pt>
                <c:pt idx="125">
                  <c:v>0</c:v>
                </c:pt>
                <c:pt idx="126">
                  <c:v>0</c:v>
                </c:pt>
                <c:pt idx="127">
                  <c:v>77696</c:v>
                </c:pt>
                <c:pt idx="128">
                  <c:v>0</c:v>
                </c:pt>
                <c:pt idx="129">
                  <c:v>69574</c:v>
                </c:pt>
                <c:pt idx="130">
                  <c:v>0</c:v>
                </c:pt>
                <c:pt idx="131">
                  <c:v>0</c:v>
                </c:pt>
                <c:pt idx="132">
                  <c:v>60743</c:v>
                </c:pt>
                <c:pt idx="133">
                  <c:v>0</c:v>
                </c:pt>
                <c:pt idx="134">
                  <c:v>50692</c:v>
                </c:pt>
                <c:pt idx="135">
                  <c:v>0</c:v>
                </c:pt>
                <c:pt idx="136">
                  <c:v>0</c:v>
                </c:pt>
                <c:pt idx="137">
                  <c:v>44158</c:v>
                </c:pt>
                <c:pt idx="138">
                  <c:v>0</c:v>
                </c:pt>
                <c:pt idx="139">
                  <c:v>0</c:v>
                </c:pt>
                <c:pt idx="140">
                  <c:v>43301</c:v>
                </c:pt>
                <c:pt idx="141">
                  <c:v>0</c:v>
                </c:pt>
                <c:pt idx="142">
                  <c:v>32245</c:v>
                </c:pt>
                <c:pt idx="143">
                  <c:v>0</c:v>
                </c:pt>
                <c:pt idx="144">
                  <c:v>0</c:v>
                </c:pt>
                <c:pt idx="145">
                  <c:v>30077</c:v>
                </c:pt>
                <c:pt idx="146">
                  <c:v>0</c:v>
                </c:pt>
                <c:pt idx="147">
                  <c:v>25267</c:v>
                </c:pt>
                <c:pt idx="148">
                  <c:v>0</c:v>
                </c:pt>
                <c:pt idx="149">
                  <c:v>0</c:v>
                </c:pt>
                <c:pt idx="150">
                  <c:v>26458</c:v>
                </c:pt>
                <c:pt idx="151">
                  <c:v>0</c:v>
                </c:pt>
                <c:pt idx="152">
                  <c:v>24549</c:v>
                </c:pt>
                <c:pt idx="153">
                  <c:v>0</c:v>
                </c:pt>
                <c:pt idx="154">
                  <c:v>0</c:v>
                </c:pt>
                <c:pt idx="155">
                  <c:v>23623</c:v>
                </c:pt>
                <c:pt idx="156">
                  <c:v>0</c:v>
                </c:pt>
                <c:pt idx="157">
                  <c:v>0</c:v>
                </c:pt>
                <c:pt idx="158">
                  <c:v>23988</c:v>
                </c:pt>
                <c:pt idx="159">
                  <c:v>0</c:v>
                </c:pt>
                <c:pt idx="160">
                  <c:v>27418</c:v>
                </c:pt>
                <c:pt idx="161">
                  <c:v>0</c:v>
                </c:pt>
                <c:pt idx="162">
                  <c:v>0</c:v>
                </c:pt>
                <c:pt idx="163">
                  <c:v>19446</c:v>
                </c:pt>
                <c:pt idx="164">
                  <c:v>0</c:v>
                </c:pt>
                <c:pt idx="165">
                  <c:v>14607</c:v>
                </c:pt>
                <c:pt idx="166">
                  <c:v>0</c:v>
                </c:pt>
                <c:pt idx="167">
                  <c:v>0</c:v>
                </c:pt>
                <c:pt idx="168">
                  <c:v>15153</c:v>
                </c:pt>
                <c:pt idx="169">
                  <c:v>0</c:v>
                </c:pt>
                <c:pt idx="170">
                  <c:v>0</c:v>
                </c:pt>
                <c:pt idx="171">
                  <c:v>16081</c:v>
                </c:pt>
                <c:pt idx="172">
                  <c:v>0</c:v>
                </c:pt>
                <c:pt idx="173">
                  <c:v>15724</c:v>
                </c:pt>
                <c:pt idx="174">
                  <c:v>0</c:v>
                </c:pt>
                <c:pt idx="175">
                  <c:v>0</c:v>
                </c:pt>
                <c:pt idx="176">
                  <c:v>14885</c:v>
                </c:pt>
                <c:pt idx="177">
                  <c:v>0</c:v>
                </c:pt>
                <c:pt idx="178">
                  <c:v>15186</c:v>
                </c:pt>
                <c:pt idx="179">
                  <c:v>0</c:v>
                </c:pt>
                <c:pt idx="180">
                  <c:v>0</c:v>
                </c:pt>
                <c:pt idx="181">
                  <c:v>15438</c:v>
                </c:pt>
                <c:pt idx="182">
                  <c:v>0</c:v>
                </c:pt>
                <c:pt idx="183">
                  <c:v>11532</c:v>
                </c:pt>
                <c:pt idx="184">
                  <c:v>0</c:v>
                </c:pt>
                <c:pt idx="185">
                  <c:v>0</c:v>
                </c:pt>
                <c:pt idx="186">
                  <c:v>13015</c:v>
                </c:pt>
                <c:pt idx="187">
                  <c:v>0</c:v>
                </c:pt>
                <c:pt idx="188">
                  <c:v>0</c:v>
                </c:pt>
                <c:pt idx="189">
                  <c:v>12379</c:v>
                </c:pt>
                <c:pt idx="190">
                  <c:v>0</c:v>
                </c:pt>
                <c:pt idx="191">
                  <c:v>9392</c:v>
                </c:pt>
                <c:pt idx="192">
                  <c:v>0</c:v>
                </c:pt>
                <c:pt idx="193">
                  <c:v>0</c:v>
                </c:pt>
                <c:pt idx="194">
                  <c:v>8352</c:v>
                </c:pt>
                <c:pt idx="195">
                  <c:v>0</c:v>
                </c:pt>
                <c:pt idx="196">
                  <c:v>9653</c:v>
                </c:pt>
                <c:pt idx="197">
                  <c:v>0</c:v>
                </c:pt>
                <c:pt idx="198">
                  <c:v>0</c:v>
                </c:pt>
                <c:pt idx="199">
                  <c:v>10581</c:v>
                </c:pt>
                <c:pt idx="200">
                  <c:v>0</c:v>
                </c:pt>
                <c:pt idx="201">
                  <c:v>8238</c:v>
                </c:pt>
                <c:pt idx="202">
                  <c:v>0</c:v>
                </c:pt>
                <c:pt idx="203">
                  <c:v>0</c:v>
                </c:pt>
                <c:pt idx="204">
                  <c:v>9583</c:v>
                </c:pt>
                <c:pt idx="205">
                  <c:v>0</c:v>
                </c:pt>
                <c:pt idx="206">
                  <c:v>0</c:v>
                </c:pt>
                <c:pt idx="207">
                  <c:v>5973</c:v>
                </c:pt>
                <c:pt idx="208">
                  <c:v>0</c:v>
                </c:pt>
                <c:pt idx="209">
                  <c:v>5378</c:v>
                </c:pt>
                <c:pt idx="210">
                  <c:v>0</c:v>
                </c:pt>
                <c:pt idx="211">
                  <c:v>0</c:v>
                </c:pt>
                <c:pt idx="212">
                  <c:v>6554</c:v>
                </c:pt>
                <c:pt idx="213">
                  <c:v>0</c:v>
                </c:pt>
                <c:pt idx="214">
                  <c:v>2879</c:v>
                </c:pt>
                <c:pt idx="215">
                  <c:v>0</c:v>
                </c:pt>
                <c:pt idx="216">
                  <c:v>0</c:v>
                </c:pt>
                <c:pt idx="217">
                  <c:v>2755</c:v>
                </c:pt>
                <c:pt idx="218">
                  <c:v>0</c:v>
                </c:pt>
                <c:pt idx="219">
                  <c:v>1776</c:v>
                </c:pt>
                <c:pt idx="220">
                  <c:v>0</c:v>
                </c:pt>
                <c:pt idx="221">
                  <c:v>0</c:v>
                </c:pt>
                <c:pt idx="222">
                  <c:v>1394</c:v>
                </c:pt>
                <c:pt idx="223">
                  <c:v>0</c:v>
                </c:pt>
                <c:pt idx="224">
                  <c:v>0</c:v>
                </c:pt>
                <c:pt idx="225">
                  <c:v>212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0.24007899665639273</c:v>
                </c:pt>
                <c:pt idx="1">
                  <c:v>0.2444051545827928</c:v>
                </c:pt>
                <c:pt idx="2">
                  <c:v>0.51551584876081447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0.46453636655849873</c:v>
                </c:pt>
                <c:pt idx="1">
                  <c:v>0.27707725258803517</c:v>
                </c:pt>
                <c:pt idx="2">
                  <c:v>0.25838638085346605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7.6745299999999999</c:v>
                </c:pt>
                <c:pt idx="1">
                  <c:v>15.21481</c:v>
                </c:pt>
                <c:pt idx="2">
                  <c:v>25.365400000000001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0.34945500000000002</c:v>
                </c:pt>
                <c:pt idx="2">
                  <c:v>0.75360199999999999</c:v>
                </c:pt>
                <c:pt idx="3">
                  <c:v>1.15961</c:v>
                </c:pt>
                <c:pt idx="4">
                  <c:v>1.5682799999999999</c:v>
                </c:pt>
                <c:pt idx="5">
                  <c:v>1.9735400000000001</c:v>
                </c:pt>
                <c:pt idx="6">
                  <c:v>2.3790300000000002</c:v>
                </c:pt>
                <c:pt idx="7">
                  <c:v>2.7825099999999998</c:v>
                </c:pt>
                <c:pt idx="8">
                  <c:v>3.18729</c:v>
                </c:pt>
                <c:pt idx="9">
                  <c:v>3.5988199999999999</c:v>
                </c:pt>
                <c:pt idx="10">
                  <c:v>4.0053700000000001</c:v>
                </c:pt>
                <c:pt idx="11">
                  <c:v>4.4091899999999997</c:v>
                </c:pt>
                <c:pt idx="12">
                  <c:v>4.8153100000000002</c:v>
                </c:pt>
                <c:pt idx="13">
                  <c:v>5.2225999999999999</c:v>
                </c:pt>
                <c:pt idx="14">
                  <c:v>5.6305800000000001</c:v>
                </c:pt>
                <c:pt idx="15">
                  <c:v>6.0365599999999997</c:v>
                </c:pt>
                <c:pt idx="16">
                  <c:v>6.4446500000000002</c:v>
                </c:pt>
                <c:pt idx="17">
                  <c:v>6.8495600000000003</c:v>
                </c:pt>
                <c:pt idx="18">
                  <c:v>7.2543899999999999</c:v>
                </c:pt>
                <c:pt idx="19">
                  <c:v>7.6580899999999996</c:v>
                </c:pt>
                <c:pt idx="20">
                  <c:v>8.0672499999999996</c:v>
                </c:pt>
                <c:pt idx="21">
                  <c:v>8.4752299999999998</c:v>
                </c:pt>
                <c:pt idx="22">
                  <c:v>8.8822500000000009</c:v>
                </c:pt>
                <c:pt idx="23">
                  <c:v>9.2896699999999992</c:v>
                </c:pt>
                <c:pt idx="24">
                  <c:v>9.6912000000000003</c:v>
                </c:pt>
                <c:pt idx="25">
                  <c:v>10.097200000000001</c:v>
                </c:pt>
                <c:pt idx="26">
                  <c:v>10.504799999999999</c:v>
                </c:pt>
                <c:pt idx="27">
                  <c:v>10.9147</c:v>
                </c:pt>
                <c:pt idx="28">
                  <c:v>11.317399999999999</c:v>
                </c:pt>
                <c:pt idx="29">
                  <c:v>11.7227</c:v>
                </c:pt>
                <c:pt idx="30">
                  <c:v>12.13</c:v>
                </c:pt>
                <c:pt idx="31">
                  <c:v>12.5364</c:v>
                </c:pt>
                <c:pt idx="32">
                  <c:v>12.944599999999999</c:v>
                </c:pt>
                <c:pt idx="33">
                  <c:v>13.3474</c:v>
                </c:pt>
                <c:pt idx="34">
                  <c:v>13.752700000000001</c:v>
                </c:pt>
                <c:pt idx="35">
                  <c:v>14.1592</c:v>
                </c:pt>
                <c:pt idx="36">
                  <c:v>14.57</c:v>
                </c:pt>
                <c:pt idx="37">
                  <c:v>14.974299999999999</c:v>
                </c:pt>
                <c:pt idx="38">
                  <c:v>15.379099999999999</c:v>
                </c:pt>
                <c:pt idx="39">
                  <c:v>15.785299999999999</c:v>
                </c:pt>
                <c:pt idx="40">
                  <c:v>16.192299999999999</c:v>
                </c:pt>
                <c:pt idx="41">
                  <c:v>16.601099999999999</c:v>
                </c:pt>
                <c:pt idx="42">
                  <c:v>17.005700000000001</c:v>
                </c:pt>
                <c:pt idx="43">
                  <c:v>17.4131</c:v>
                </c:pt>
                <c:pt idx="44">
                  <c:v>17.814399999999999</c:v>
                </c:pt>
                <c:pt idx="45">
                  <c:v>18.2224</c:v>
                </c:pt>
                <c:pt idx="46">
                  <c:v>18.628799999999998</c:v>
                </c:pt>
                <c:pt idx="47">
                  <c:v>19.0349</c:v>
                </c:pt>
                <c:pt idx="48">
                  <c:v>19.4438</c:v>
                </c:pt>
                <c:pt idx="49">
                  <c:v>19.8491</c:v>
                </c:pt>
                <c:pt idx="50">
                  <c:v>20.2532</c:v>
                </c:pt>
                <c:pt idx="51">
                  <c:v>20.660499999999999</c:v>
                </c:pt>
                <c:pt idx="52">
                  <c:v>21.065100000000001</c:v>
                </c:pt>
                <c:pt idx="53">
                  <c:v>21.474</c:v>
                </c:pt>
                <c:pt idx="54">
                  <c:v>21.878900000000002</c:v>
                </c:pt>
                <c:pt idx="55">
                  <c:v>22.285299999999999</c:v>
                </c:pt>
                <c:pt idx="56">
                  <c:v>22.694900000000001</c:v>
                </c:pt>
                <c:pt idx="57">
                  <c:v>23.099699999999999</c:v>
                </c:pt>
                <c:pt idx="58">
                  <c:v>23.5077</c:v>
                </c:pt>
                <c:pt idx="59">
                  <c:v>23.910599999999999</c:v>
                </c:pt>
                <c:pt idx="60">
                  <c:v>24.314699999999998</c:v>
                </c:pt>
                <c:pt idx="61">
                  <c:v>24.721900000000002</c:v>
                </c:pt>
                <c:pt idx="62">
                  <c:v>25.125399999999999</c:v>
                </c:pt>
                <c:pt idx="63">
                  <c:v>25.5349</c:v>
                </c:pt>
                <c:pt idx="64">
                  <c:v>25.944800000000001</c:v>
                </c:pt>
                <c:pt idx="65">
                  <c:v>26.350200000000001</c:v>
                </c:pt>
                <c:pt idx="66">
                  <c:v>26.7563</c:v>
                </c:pt>
                <c:pt idx="67">
                  <c:v>27.159099999999999</c:v>
                </c:pt>
                <c:pt idx="68">
                  <c:v>27.5641</c:v>
                </c:pt>
                <c:pt idx="69">
                  <c:v>27.9726</c:v>
                </c:pt>
                <c:pt idx="70">
                  <c:v>28.380500000000001</c:v>
                </c:pt>
                <c:pt idx="71">
                  <c:v>28.785299999999999</c:v>
                </c:pt>
                <c:pt idx="72">
                  <c:v>29.193000000000001</c:v>
                </c:pt>
                <c:pt idx="73">
                  <c:v>29.5959</c:v>
                </c:pt>
                <c:pt idx="74">
                  <c:v>30.0031</c:v>
                </c:pt>
                <c:pt idx="75">
                  <c:v>30.599299999999999</c:v>
                </c:pt>
                <c:pt idx="76">
                  <c:v>30.975100000000001</c:v>
                </c:pt>
                <c:pt idx="77">
                  <c:v>31.350200000000001</c:v>
                </c:pt>
                <c:pt idx="78">
                  <c:v>31.7226</c:v>
                </c:pt>
                <c:pt idx="79">
                  <c:v>32.097799999999999</c:v>
                </c:pt>
                <c:pt idx="80">
                  <c:v>32.503700000000002</c:v>
                </c:pt>
                <c:pt idx="81">
                  <c:v>32.912799999999997</c:v>
                </c:pt>
                <c:pt idx="82">
                  <c:v>33.320500000000003</c:v>
                </c:pt>
                <c:pt idx="83">
                  <c:v>33.722299999999997</c:v>
                </c:pt>
                <c:pt idx="84">
                  <c:v>34.134</c:v>
                </c:pt>
                <c:pt idx="85">
                  <c:v>34.534799999999997</c:v>
                </c:pt>
                <c:pt idx="86">
                  <c:v>34.941499999999998</c:v>
                </c:pt>
                <c:pt idx="87">
                  <c:v>35.347799999999999</c:v>
                </c:pt>
                <c:pt idx="88">
                  <c:v>35.753</c:v>
                </c:pt>
                <c:pt idx="89">
                  <c:v>36.161099999999998</c:v>
                </c:pt>
                <c:pt idx="90">
                  <c:v>36.567999999999998</c:v>
                </c:pt>
                <c:pt idx="91">
                  <c:v>36.975700000000003</c:v>
                </c:pt>
                <c:pt idx="92">
                  <c:v>37.379100000000001</c:v>
                </c:pt>
                <c:pt idx="93">
                  <c:v>37.786700000000003</c:v>
                </c:pt>
                <c:pt idx="94">
                  <c:v>38.19</c:v>
                </c:pt>
                <c:pt idx="95">
                  <c:v>38.600200000000001</c:v>
                </c:pt>
                <c:pt idx="96">
                  <c:v>39.005000000000003</c:v>
                </c:pt>
                <c:pt idx="97">
                  <c:v>39.412700000000001</c:v>
                </c:pt>
                <c:pt idx="98">
                  <c:v>39.816499999999998</c:v>
                </c:pt>
                <c:pt idx="99">
                  <c:v>40.227400000000003</c:v>
                </c:pt>
                <c:pt idx="100">
                  <c:v>40.6312</c:v>
                </c:pt>
                <c:pt idx="101">
                  <c:v>41.034500000000001</c:v>
                </c:pt>
                <c:pt idx="102">
                  <c:v>41.445900000000002</c:v>
                </c:pt>
                <c:pt idx="103">
                  <c:v>41.848199999999999</c:v>
                </c:pt>
                <c:pt idx="104">
                  <c:v>42.256399999999999</c:v>
                </c:pt>
                <c:pt idx="105">
                  <c:v>42.662599999999998</c:v>
                </c:pt>
                <c:pt idx="106">
                  <c:v>43.063699999999997</c:v>
                </c:pt>
                <c:pt idx="107">
                  <c:v>43.4711</c:v>
                </c:pt>
                <c:pt idx="108">
                  <c:v>43.880099999999999</c:v>
                </c:pt>
                <c:pt idx="109">
                  <c:v>44.287799999999997</c:v>
                </c:pt>
                <c:pt idx="110">
                  <c:v>44.692999999999998</c:v>
                </c:pt>
                <c:pt idx="111">
                  <c:v>45.096800000000002</c:v>
                </c:pt>
                <c:pt idx="112">
                  <c:v>45.504100000000001</c:v>
                </c:pt>
                <c:pt idx="113">
                  <c:v>45.911999999999999</c:v>
                </c:pt>
                <c:pt idx="114">
                  <c:v>46.317900000000002</c:v>
                </c:pt>
                <c:pt idx="115">
                  <c:v>46.723599999999998</c:v>
                </c:pt>
                <c:pt idx="116">
                  <c:v>47.130800000000001</c:v>
                </c:pt>
                <c:pt idx="117">
                  <c:v>47.534700000000001</c:v>
                </c:pt>
                <c:pt idx="118">
                  <c:v>47.943300000000001</c:v>
                </c:pt>
                <c:pt idx="119">
                  <c:v>48.350499999999997</c:v>
                </c:pt>
                <c:pt idx="120">
                  <c:v>48.755699999999997</c:v>
                </c:pt>
                <c:pt idx="121">
                  <c:v>49.159399999999998</c:v>
                </c:pt>
                <c:pt idx="122">
                  <c:v>49.566499999999998</c:v>
                </c:pt>
                <c:pt idx="123">
                  <c:v>49.972900000000003</c:v>
                </c:pt>
                <c:pt idx="124">
                  <c:v>50.380800000000001</c:v>
                </c:pt>
                <c:pt idx="125">
                  <c:v>50.7879</c:v>
                </c:pt>
                <c:pt idx="126">
                  <c:v>51.191200000000002</c:v>
                </c:pt>
                <c:pt idx="127">
                  <c:v>51.596899999999998</c:v>
                </c:pt>
                <c:pt idx="128">
                  <c:v>52.004199999999997</c:v>
                </c:pt>
                <c:pt idx="129">
                  <c:v>52.414099999999998</c:v>
                </c:pt>
                <c:pt idx="130">
                  <c:v>52.817799999999998</c:v>
                </c:pt>
                <c:pt idx="131">
                  <c:v>53.220799999999997</c:v>
                </c:pt>
                <c:pt idx="132">
                  <c:v>53.626399999999997</c:v>
                </c:pt>
                <c:pt idx="133">
                  <c:v>54.038899999999998</c:v>
                </c:pt>
                <c:pt idx="134">
                  <c:v>54.445599999999999</c:v>
                </c:pt>
                <c:pt idx="135">
                  <c:v>54.849400000000003</c:v>
                </c:pt>
                <c:pt idx="136">
                  <c:v>55.253999999999998</c:v>
                </c:pt>
                <c:pt idx="137">
                  <c:v>55.6599</c:v>
                </c:pt>
                <c:pt idx="138">
                  <c:v>56.068800000000003</c:v>
                </c:pt>
                <c:pt idx="139">
                  <c:v>56.472799999999999</c:v>
                </c:pt>
                <c:pt idx="140">
                  <c:v>56.881999999999998</c:v>
                </c:pt>
                <c:pt idx="141">
                  <c:v>57.2866</c:v>
                </c:pt>
                <c:pt idx="142">
                  <c:v>57.689399999999999</c:v>
                </c:pt>
                <c:pt idx="143">
                  <c:v>58.097299999999997</c:v>
                </c:pt>
                <c:pt idx="144">
                  <c:v>58.506100000000004</c:v>
                </c:pt>
                <c:pt idx="145">
                  <c:v>58.912100000000002</c:v>
                </c:pt>
                <c:pt idx="146">
                  <c:v>59.3187</c:v>
                </c:pt>
                <c:pt idx="147">
                  <c:v>59.724899999999998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1.8407299999999998</c:v>
                </c:pt>
                <c:pt idx="1">
                  <c:v>1.8867800000000001</c:v>
                </c:pt>
                <c:pt idx="2">
                  <c:v>1.93411</c:v>
                </c:pt>
                <c:pt idx="3">
                  <c:v>1.98129</c:v>
                </c:pt>
                <c:pt idx="4">
                  <c:v>2.0296500000000002</c:v>
                </c:pt>
                <c:pt idx="5">
                  <c:v>2.08182</c:v>
                </c:pt>
                <c:pt idx="6">
                  <c:v>2.1368300000000002</c:v>
                </c:pt>
                <c:pt idx="7">
                  <c:v>2.1943899999999998</c:v>
                </c:pt>
                <c:pt idx="8">
                  <c:v>2.2543500000000001</c:v>
                </c:pt>
                <c:pt idx="9">
                  <c:v>2.3140200000000002</c:v>
                </c:pt>
                <c:pt idx="10">
                  <c:v>2.37418</c:v>
                </c:pt>
                <c:pt idx="11">
                  <c:v>2.4327800000000002</c:v>
                </c:pt>
                <c:pt idx="12">
                  <c:v>2.49457</c:v>
                </c:pt>
                <c:pt idx="13">
                  <c:v>2.5575900000000003</c:v>
                </c:pt>
                <c:pt idx="14">
                  <c:v>2.6237399999999997</c:v>
                </c:pt>
                <c:pt idx="15">
                  <c:v>2.6910400000000001</c:v>
                </c:pt>
                <c:pt idx="16">
                  <c:v>2.7604299999999999</c:v>
                </c:pt>
                <c:pt idx="17">
                  <c:v>2.8317199999999998</c:v>
                </c:pt>
                <c:pt idx="18">
                  <c:v>2.9015000000000004</c:v>
                </c:pt>
                <c:pt idx="19">
                  <c:v>2.96767</c:v>
                </c:pt>
                <c:pt idx="20">
                  <c:v>3.03064</c:v>
                </c:pt>
                <c:pt idx="21">
                  <c:v>3.09023</c:v>
                </c:pt>
                <c:pt idx="22">
                  <c:v>3.1463799999999997</c:v>
                </c:pt>
                <c:pt idx="23">
                  <c:v>3.2010499999999995</c:v>
                </c:pt>
                <c:pt idx="24">
                  <c:v>3.2566800000000002</c:v>
                </c:pt>
                <c:pt idx="25">
                  <c:v>3.3126100000000003</c:v>
                </c:pt>
                <c:pt idx="26">
                  <c:v>3.36598</c:v>
                </c:pt>
                <c:pt idx="27">
                  <c:v>3.4196599999999999</c:v>
                </c:pt>
                <c:pt idx="28">
                  <c:v>3.4727799999999998</c:v>
                </c:pt>
                <c:pt idx="29">
                  <c:v>3.5266099999999998</c:v>
                </c:pt>
                <c:pt idx="30">
                  <c:v>3.5817999999999999</c:v>
                </c:pt>
                <c:pt idx="31">
                  <c:v>3.6392600000000002</c:v>
                </c:pt>
                <c:pt idx="32">
                  <c:v>3.6971700000000003</c:v>
                </c:pt>
                <c:pt idx="33">
                  <c:v>3.7568299999999999</c:v>
                </c:pt>
                <c:pt idx="34">
                  <c:v>3.8145800000000003</c:v>
                </c:pt>
                <c:pt idx="35">
                  <c:v>3.8711800000000003</c:v>
                </c:pt>
                <c:pt idx="36">
                  <c:v>3.9245600000000005</c:v>
                </c:pt>
                <c:pt idx="37">
                  <c:v>3.9739900000000001</c:v>
                </c:pt>
                <c:pt idx="38">
                  <c:v>4.0211999999999994</c:v>
                </c:pt>
                <c:pt idx="39">
                  <c:v>4.0644299999999998</c:v>
                </c:pt>
                <c:pt idx="40">
                  <c:v>4.1003600000000002</c:v>
                </c:pt>
                <c:pt idx="41">
                  <c:v>4.1291399999999996</c:v>
                </c:pt>
                <c:pt idx="42">
                  <c:v>4.1512799999999999</c:v>
                </c:pt>
                <c:pt idx="43">
                  <c:v>4.1708400000000001</c:v>
                </c:pt>
                <c:pt idx="44">
                  <c:v>4.1880800000000002</c:v>
                </c:pt>
                <c:pt idx="45">
                  <c:v>4.2019700000000002</c:v>
                </c:pt>
                <c:pt idx="46">
                  <c:v>4.21591</c:v>
                </c:pt>
                <c:pt idx="47">
                  <c:v>4.2290400000000004</c:v>
                </c:pt>
                <c:pt idx="48">
                  <c:v>4.2405400000000002</c:v>
                </c:pt>
                <c:pt idx="49">
                  <c:v>4.2492400000000004</c:v>
                </c:pt>
                <c:pt idx="50">
                  <c:v>4.2603200000000001</c:v>
                </c:pt>
                <c:pt idx="51">
                  <c:v>4.2658100000000001</c:v>
                </c:pt>
                <c:pt idx="52">
                  <c:v>4.2686099999999998</c:v>
                </c:pt>
                <c:pt idx="53">
                  <c:v>4.2706200000000001</c:v>
                </c:pt>
                <c:pt idx="54">
                  <c:v>4.2686600000000006</c:v>
                </c:pt>
                <c:pt idx="55">
                  <c:v>4.2598000000000003</c:v>
                </c:pt>
                <c:pt idx="56">
                  <c:v>4.24559</c:v>
                </c:pt>
                <c:pt idx="57">
                  <c:v>4.2274200000000004</c:v>
                </c:pt>
                <c:pt idx="58">
                  <c:v>4.2046999999999999</c:v>
                </c:pt>
                <c:pt idx="59">
                  <c:v>4.1800600000000001</c:v>
                </c:pt>
                <c:pt idx="60">
                  <c:v>4.1523900000000005</c:v>
                </c:pt>
                <c:pt idx="61">
                  <c:v>4.1235200000000001</c:v>
                </c:pt>
                <c:pt idx="62">
                  <c:v>4.0917399999999997</c:v>
                </c:pt>
                <c:pt idx="63">
                  <c:v>4.0588199999999999</c:v>
                </c:pt>
                <c:pt idx="64">
                  <c:v>4.0250700000000004</c:v>
                </c:pt>
                <c:pt idx="65">
                  <c:v>3.9959099999999999</c:v>
                </c:pt>
                <c:pt idx="66">
                  <c:v>3.9699499999999999</c:v>
                </c:pt>
                <c:pt idx="67">
                  <c:v>3.9447100000000002</c:v>
                </c:pt>
                <c:pt idx="68">
                  <c:v>3.9174199999999999</c:v>
                </c:pt>
                <c:pt idx="69">
                  <c:v>3.8917899999999999</c:v>
                </c:pt>
                <c:pt idx="70">
                  <c:v>3.8695499999999998</c:v>
                </c:pt>
                <c:pt idx="71">
                  <c:v>3.8463799999999999</c:v>
                </c:pt>
                <c:pt idx="72">
                  <c:v>3.8228600000000004</c:v>
                </c:pt>
                <c:pt idx="73">
                  <c:v>3.79928</c:v>
                </c:pt>
                <c:pt idx="74">
                  <c:v>3.7750299999999997</c:v>
                </c:pt>
                <c:pt idx="75">
                  <c:v>3.7442099999999998</c:v>
                </c:pt>
                <c:pt idx="76">
                  <c:v>3.7203300000000001</c:v>
                </c:pt>
                <c:pt idx="77">
                  <c:v>3.6957100000000001</c:v>
                </c:pt>
                <c:pt idx="78">
                  <c:v>3.67232</c:v>
                </c:pt>
                <c:pt idx="79">
                  <c:v>3.6530899999999997</c:v>
                </c:pt>
                <c:pt idx="80">
                  <c:v>3.6381899999999998</c:v>
                </c:pt>
                <c:pt idx="81">
                  <c:v>3.6246099999999997</c:v>
                </c:pt>
                <c:pt idx="82">
                  <c:v>3.6127799999999999</c:v>
                </c:pt>
                <c:pt idx="83">
                  <c:v>3.60311</c:v>
                </c:pt>
                <c:pt idx="84">
                  <c:v>3.5972599999999999</c:v>
                </c:pt>
                <c:pt idx="85">
                  <c:v>3.59253</c:v>
                </c:pt>
                <c:pt idx="86">
                  <c:v>3.59077</c:v>
                </c:pt>
                <c:pt idx="87">
                  <c:v>3.5896099999999995</c:v>
                </c:pt>
                <c:pt idx="88">
                  <c:v>3.5883799999999999</c:v>
                </c:pt>
                <c:pt idx="89">
                  <c:v>3.5876700000000001</c:v>
                </c:pt>
                <c:pt idx="90">
                  <c:v>3.5876900000000003</c:v>
                </c:pt>
                <c:pt idx="91">
                  <c:v>3.5898300000000001</c:v>
                </c:pt>
                <c:pt idx="92">
                  <c:v>3.5965000000000003</c:v>
                </c:pt>
                <c:pt idx="93">
                  <c:v>3.6068800000000003</c:v>
                </c:pt>
                <c:pt idx="94">
                  <c:v>3.62168</c:v>
                </c:pt>
                <c:pt idx="95">
                  <c:v>3.6419899999999998</c:v>
                </c:pt>
                <c:pt idx="96">
                  <c:v>3.6669200000000002</c:v>
                </c:pt>
                <c:pt idx="97">
                  <c:v>3.69685</c:v>
                </c:pt>
                <c:pt idx="98">
                  <c:v>3.7313900000000002</c:v>
                </c:pt>
                <c:pt idx="99">
                  <c:v>3.7670199999999996</c:v>
                </c:pt>
                <c:pt idx="100">
                  <c:v>3.8024200000000001</c:v>
                </c:pt>
                <c:pt idx="101">
                  <c:v>3.8372099999999998</c:v>
                </c:pt>
                <c:pt idx="102">
                  <c:v>3.8691300000000002</c:v>
                </c:pt>
                <c:pt idx="103">
                  <c:v>3.8983600000000003</c:v>
                </c:pt>
                <c:pt idx="104">
                  <c:v>3.9249700000000001</c:v>
                </c:pt>
                <c:pt idx="105">
                  <c:v>3.9518399999999998</c:v>
                </c:pt>
                <c:pt idx="106">
                  <c:v>3.9776899999999999</c:v>
                </c:pt>
                <c:pt idx="107">
                  <c:v>4.0025300000000001</c:v>
                </c:pt>
                <c:pt idx="108">
                  <c:v>4.0211999999999994</c:v>
                </c:pt>
                <c:pt idx="109">
                  <c:v>4.0324299999999997</c:v>
                </c:pt>
                <c:pt idx="110">
                  <c:v>4.0428699999999997</c:v>
                </c:pt>
                <c:pt idx="111">
                  <c:v>4.0541999999999998</c:v>
                </c:pt>
                <c:pt idx="112">
                  <c:v>4.0626199999999999</c:v>
                </c:pt>
                <c:pt idx="113">
                  <c:v>4.07226</c:v>
                </c:pt>
                <c:pt idx="114">
                  <c:v>4.0787599999999999</c:v>
                </c:pt>
                <c:pt idx="115">
                  <c:v>4.0833300000000001</c:v>
                </c:pt>
                <c:pt idx="116">
                  <c:v>4.0878899999999998</c:v>
                </c:pt>
                <c:pt idx="117">
                  <c:v>4.0927799999999994</c:v>
                </c:pt>
                <c:pt idx="118">
                  <c:v>4.0972299999999997</c:v>
                </c:pt>
                <c:pt idx="119">
                  <c:v>4.1004399999999999</c:v>
                </c:pt>
                <c:pt idx="120">
                  <c:v>4.1020500000000002</c:v>
                </c:pt>
                <c:pt idx="121">
                  <c:v>4.10379</c:v>
                </c:pt>
                <c:pt idx="122">
                  <c:v>4.10487</c:v>
                </c:pt>
                <c:pt idx="123">
                  <c:v>4.1074299999999999</c:v>
                </c:pt>
                <c:pt idx="124">
                  <c:v>4.1053899999999999</c:v>
                </c:pt>
                <c:pt idx="125">
                  <c:v>4.1026699999999998</c:v>
                </c:pt>
                <c:pt idx="126">
                  <c:v>4.1000700000000005</c:v>
                </c:pt>
                <c:pt idx="127">
                  <c:v>4.0978399999999997</c:v>
                </c:pt>
                <c:pt idx="128">
                  <c:v>4.0953900000000001</c:v>
                </c:pt>
                <c:pt idx="129">
                  <c:v>4.09206</c:v>
                </c:pt>
                <c:pt idx="130">
                  <c:v>4.0861999999999998</c:v>
                </c:pt>
                <c:pt idx="131">
                  <c:v>4.0781799999999997</c:v>
                </c:pt>
                <c:pt idx="132">
                  <c:v>4.0695300000000003</c:v>
                </c:pt>
                <c:pt idx="133">
                  <c:v>4.0635300000000001</c:v>
                </c:pt>
                <c:pt idx="134">
                  <c:v>4.0601599999999998</c:v>
                </c:pt>
                <c:pt idx="135">
                  <c:v>4.0564800000000005</c:v>
                </c:pt>
                <c:pt idx="136">
                  <c:v>4.0500600000000002</c:v>
                </c:pt>
                <c:pt idx="137">
                  <c:v>4.0493600000000001</c:v>
                </c:pt>
                <c:pt idx="138">
                  <c:v>4.0464799999999999</c:v>
                </c:pt>
                <c:pt idx="139">
                  <c:v>4.0489199999999999</c:v>
                </c:pt>
                <c:pt idx="140">
                  <c:v>4.0561400000000001</c:v>
                </c:pt>
                <c:pt idx="141">
                  <c:v>4.0651200000000003</c:v>
                </c:pt>
                <c:pt idx="142">
                  <c:v>4.07545</c:v>
                </c:pt>
                <c:pt idx="143">
                  <c:v>4.08962</c:v>
                </c:pt>
                <c:pt idx="144">
                  <c:v>4.1084500000000004</c:v>
                </c:pt>
                <c:pt idx="145">
                  <c:v>4.13347</c:v>
                </c:pt>
                <c:pt idx="146">
                  <c:v>4.1627999999999998</c:v>
                </c:pt>
                <c:pt idx="147">
                  <c:v>4.1989900000000002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0.34945500000000002</c:v>
                </c:pt>
                <c:pt idx="2">
                  <c:v>0.75360199999999999</c:v>
                </c:pt>
                <c:pt idx="3">
                  <c:v>1.15961</c:v>
                </c:pt>
                <c:pt idx="4">
                  <c:v>1.5682799999999999</c:v>
                </c:pt>
                <c:pt idx="5">
                  <c:v>1.9735400000000001</c:v>
                </c:pt>
                <c:pt idx="6">
                  <c:v>2.3790300000000002</c:v>
                </c:pt>
                <c:pt idx="7">
                  <c:v>2.7825099999999998</c:v>
                </c:pt>
                <c:pt idx="8">
                  <c:v>3.18729</c:v>
                </c:pt>
                <c:pt idx="9">
                  <c:v>3.5988199999999999</c:v>
                </c:pt>
                <c:pt idx="10">
                  <c:v>4.0053700000000001</c:v>
                </c:pt>
                <c:pt idx="11">
                  <c:v>4.4091899999999997</c:v>
                </c:pt>
                <c:pt idx="12">
                  <c:v>4.8153100000000002</c:v>
                </c:pt>
                <c:pt idx="13">
                  <c:v>5.2225999999999999</c:v>
                </c:pt>
                <c:pt idx="14">
                  <c:v>5.6305800000000001</c:v>
                </c:pt>
                <c:pt idx="15">
                  <c:v>6.0365599999999997</c:v>
                </c:pt>
                <c:pt idx="16">
                  <c:v>6.4446500000000002</c:v>
                </c:pt>
                <c:pt idx="17">
                  <c:v>6.8495600000000003</c:v>
                </c:pt>
                <c:pt idx="18">
                  <c:v>7.2543899999999999</c:v>
                </c:pt>
                <c:pt idx="19">
                  <c:v>7.6580899999999996</c:v>
                </c:pt>
                <c:pt idx="20">
                  <c:v>8.0672499999999996</c:v>
                </c:pt>
                <c:pt idx="21">
                  <c:v>8.4752299999999998</c:v>
                </c:pt>
                <c:pt idx="22">
                  <c:v>8.8822500000000009</c:v>
                </c:pt>
                <c:pt idx="23">
                  <c:v>9.2896699999999992</c:v>
                </c:pt>
                <c:pt idx="24">
                  <c:v>9.6912000000000003</c:v>
                </c:pt>
                <c:pt idx="25">
                  <c:v>10.097200000000001</c:v>
                </c:pt>
                <c:pt idx="26">
                  <c:v>10.504799999999999</c:v>
                </c:pt>
                <c:pt idx="27">
                  <c:v>10.9147</c:v>
                </c:pt>
                <c:pt idx="28">
                  <c:v>11.317399999999999</c:v>
                </c:pt>
                <c:pt idx="29">
                  <c:v>11.7227</c:v>
                </c:pt>
                <c:pt idx="30">
                  <c:v>12.13</c:v>
                </c:pt>
                <c:pt idx="31">
                  <c:v>12.5364</c:v>
                </c:pt>
                <c:pt idx="32">
                  <c:v>12.944599999999999</c:v>
                </c:pt>
                <c:pt idx="33">
                  <c:v>13.3474</c:v>
                </c:pt>
                <c:pt idx="34">
                  <c:v>13.752700000000001</c:v>
                </c:pt>
                <c:pt idx="35">
                  <c:v>14.1592</c:v>
                </c:pt>
                <c:pt idx="36">
                  <c:v>14.57</c:v>
                </c:pt>
                <c:pt idx="37">
                  <c:v>14.974299999999999</c:v>
                </c:pt>
                <c:pt idx="38">
                  <c:v>15.379099999999999</c:v>
                </c:pt>
                <c:pt idx="39">
                  <c:v>15.785299999999999</c:v>
                </c:pt>
                <c:pt idx="40">
                  <c:v>16.192299999999999</c:v>
                </c:pt>
                <c:pt idx="41">
                  <c:v>16.601099999999999</c:v>
                </c:pt>
                <c:pt idx="42">
                  <c:v>17.005700000000001</c:v>
                </c:pt>
                <c:pt idx="43">
                  <c:v>17.4131</c:v>
                </c:pt>
                <c:pt idx="44">
                  <c:v>17.814399999999999</c:v>
                </c:pt>
                <c:pt idx="45">
                  <c:v>18.2224</c:v>
                </c:pt>
                <c:pt idx="46">
                  <c:v>18.628799999999998</c:v>
                </c:pt>
                <c:pt idx="47">
                  <c:v>19.0349</c:v>
                </c:pt>
                <c:pt idx="48">
                  <c:v>19.4438</c:v>
                </c:pt>
                <c:pt idx="49">
                  <c:v>19.8491</c:v>
                </c:pt>
                <c:pt idx="50">
                  <c:v>20.2532</c:v>
                </c:pt>
                <c:pt idx="51">
                  <c:v>20.660499999999999</c:v>
                </c:pt>
                <c:pt idx="52">
                  <c:v>21.065100000000001</c:v>
                </c:pt>
                <c:pt idx="53">
                  <c:v>21.474</c:v>
                </c:pt>
                <c:pt idx="54">
                  <c:v>21.878900000000002</c:v>
                </c:pt>
                <c:pt idx="55">
                  <c:v>22.285299999999999</c:v>
                </c:pt>
                <c:pt idx="56">
                  <c:v>22.694900000000001</c:v>
                </c:pt>
                <c:pt idx="57">
                  <c:v>23.099699999999999</c:v>
                </c:pt>
                <c:pt idx="58">
                  <c:v>23.5077</c:v>
                </c:pt>
                <c:pt idx="59">
                  <c:v>23.910599999999999</c:v>
                </c:pt>
                <c:pt idx="60">
                  <c:v>24.314699999999998</c:v>
                </c:pt>
                <c:pt idx="61">
                  <c:v>24.721900000000002</c:v>
                </c:pt>
                <c:pt idx="62">
                  <c:v>25.125399999999999</c:v>
                </c:pt>
                <c:pt idx="63">
                  <c:v>25.5349</c:v>
                </c:pt>
                <c:pt idx="64">
                  <c:v>25.944800000000001</c:v>
                </c:pt>
                <c:pt idx="65">
                  <c:v>26.350200000000001</c:v>
                </c:pt>
                <c:pt idx="66">
                  <c:v>26.7563</c:v>
                </c:pt>
                <c:pt idx="67">
                  <c:v>27.159099999999999</c:v>
                </c:pt>
                <c:pt idx="68">
                  <c:v>27.5641</c:v>
                </c:pt>
                <c:pt idx="69">
                  <c:v>27.9726</c:v>
                </c:pt>
                <c:pt idx="70">
                  <c:v>28.380500000000001</c:v>
                </c:pt>
                <c:pt idx="71">
                  <c:v>28.785299999999999</c:v>
                </c:pt>
                <c:pt idx="72">
                  <c:v>29.193000000000001</c:v>
                </c:pt>
                <c:pt idx="73">
                  <c:v>29.5959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1.8407299999999998</c:v>
                </c:pt>
                <c:pt idx="1">
                  <c:v>1.8867800000000001</c:v>
                </c:pt>
                <c:pt idx="2">
                  <c:v>1.93411</c:v>
                </c:pt>
                <c:pt idx="3">
                  <c:v>1.98129</c:v>
                </c:pt>
                <c:pt idx="4">
                  <c:v>2.0296500000000002</c:v>
                </c:pt>
                <c:pt idx="5">
                  <c:v>2.08182</c:v>
                </c:pt>
                <c:pt idx="6">
                  <c:v>2.1368300000000002</c:v>
                </c:pt>
                <c:pt idx="7">
                  <c:v>2.1943899999999998</c:v>
                </c:pt>
                <c:pt idx="8">
                  <c:v>2.2543500000000001</c:v>
                </c:pt>
                <c:pt idx="9">
                  <c:v>2.3140200000000002</c:v>
                </c:pt>
                <c:pt idx="10">
                  <c:v>2.37418</c:v>
                </c:pt>
                <c:pt idx="11">
                  <c:v>2.4327800000000002</c:v>
                </c:pt>
                <c:pt idx="12">
                  <c:v>2.49457</c:v>
                </c:pt>
                <c:pt idx="13">
                  <c:v>2.5575900000000003</c:v>
                </c:pt>
                <c:pt idx="14">
                  <c:v>2.6237399999999997</c:v>
                </c:pt>
                <c:pt idx="15">
                  <c:v>2.6910400000000001</c:v>
                </c:pt>
                <c:pt idx="16">
                  <c:v>2.7604299999999999</c:v>
                </c:pt>
                <c:pt idx="17">
                  <c:v>2.8317199999999998</c:v>
                </c:pt>
                <c:pt idx="18">
                  <c:v>2.9015000000000004</c:v>
                </c:pt>
                <c:pt idx="19">
                  <c:v>2.96767</c:v>
                </c:pt>
                <c:pt idx="20">
                  <c:v>3.03064</c:v>
                </c:pt>
                <c:pt idx="21">
                  <c:v>3.09023</c:v>
                </c:pt>
                <c:pt idx="22">
                  <c:v>3.1463799999999997</c:v>
                </c:pt>
                <c:pt idx="23">
                  <c:v>3.2010499999999995</c:v>
                </c:pt>
                <c:pt idx="24">
                  <c:v>3.2566800000000002</c:v>
                </c:pt>
                <c:pt idx="25">
                  <c:v>3.3126100000000003</c:v>
                </c:pt>
                <c:pt idx="26">
                  <c:v>3.36598</c:v>
                </c:pt>
                <c:pt idx="27">
                  <c:v>3.4196599999999999</c:v>
                </c:pt>
                <c:pt idx="28">
                  <c:v>3.4727799999999998</c:v>
                </c:pt>
                <c:pt idx="29">
                  <c:v>3.5266099999999998</c:v>
                </c:pt>
                <c:pt idx="30">
                  <c:v>3.5817999999999999</c:v>
                </c:pt>
                <c:pt idx="31">
                  <c:v>3.6392600000000002</c:v>
                </c:pt>
                <c:pt idx="32">
                  <c:v>3.6971700000000003</c:v>
                </c:pt>
                <c:pt idx="33">
                  <c:v>3.7568299999999999</c:v>
                </c:pt>
                <c:pt idx="34">
                  <c:v>3.8145800000000003</c:v>
                </c:pt>
                <c:pt idx="35">
                  <c:v>3.8711800000000003</c:v>
                </c:pt>
                <c:pt idx="36">
                  <c:v>3.9245600000000005</c:v>
                </c:pt>
                <c:pt idx="37">
                  <c:v>3.9739900000000001</c:v>
                </c:pt>
                <c:pt idx="38">
                  <c:v>4.0211999999999994</c:v>
                </c:pt>
                <c:pt idx="39">
                  <c:v>4.0644299999999998</c:v>
                </c:pt>
                <c:pt idx="40">
                  <c:v>4.1003600000000002</c:v>
                </c:pt>
                <c:pt idx="41">
                  <c:v>4.1291399999999996</c:v>
                </c:pt>
                <c:pt idx="42">
                  <c:v>4.1512799999999999</c:v>
                </c:pt>
                <c:pt idx="43">
                  <c:v>4.1708400000000001</c:v>
                </c:pt>
                <c:pt idx="44">
                  <c:v>4.1880800000000002</c:v>
                </c:pt>
                <c:pt idx="45">
                  <c:v>4.2019700000000002</c:v>
                </c:pt>
                <c:pt idx="46">
                  <c:v>4.21591</c:v>
                </c:pt>
                <c:pt idx="47">
                  <c:v>4.2290400000000004</c:v>
                </c:pt>
                <c:pt idx="48">
                  <c:v>4.2405400000000002</c:v>
                </c:pt>
                <c:pt idx="49">
                  <c:v>4.2492400000000004</c:v>
                </c:pt>
                <c:pt idx="50">
                  <c:v>4.2603200000000001</c:v>
                </c:pt>
                <c:pt idx="51">
                  <c:v>4.2658100000000001</c:v>
                </c:pt>
                <c:pt idx="52">
                  <c:v>4.2686099999999998</c:v>
                </c:pt>
                <c:pt idx="53">
                  <c:v>4.2706200000000001</c:v>
                </c:pt>
                <c:pt idx="54">
                  <c:v>4.2686600000000006</c:v>
                </c:pt>
                <c:pt idx="55">
                  <c:v>4.2598000000000003</c:v>
                </c:pt>
                <c:pt idx="56">
                  <c:v>4.24559</c:v>
                </c:pt>
                <c:pt idx="57">
                  <c:v>4.2274200000000004</c:v>
                </c:pt>
                <c:pt idx="58">
                  <c:v>4.2046999999999999</c:v>
                </c:pt>
                <c:pt idx="59">
                  <c:v>4.1800600000000001</c:v>
                </c:pt>
                <c:pt idx="60">
                  <c:v>4.1523900000000005</c:v>
                </c:pt>
                <c:pt idx="61">
                  <c:v>4.1235200000000001</c:v>
                </c:pt>
                <c:pt idx="62">
                  <c:v>4.0917399999999997</c:v>
                </c:pt>
                <c:pt idx="63">
                  <c:v>4.0588199999999999</c:v>
                </c:pt>
                <c:pt idx="64">
                  <c:v>4.0250700000000004</c:v>
                </c:pt>
                <c:pt idx="65">
                  <c:v>3.9959099999999999</c:v>
                </c:pt>
                <c:pt idx="66">
                  <c:v>3.9699499999999999</c:v>
                </c:pt>
                <c:pt idx="67">
                  <c:v>3.9447100000000002</c:v>
                </c:pt>
                <c:pt idx="68">
                  <c:v>3.9174199999999999</c:v>
                </c:pt>
                <c:pt idx="69">
                  <c:v>3.8917899999999999</c:v>
                </c:pt>
                <c:pt idx="70">
                  <c:v>3.8695499999999998</c:v>
                </c:pt>
                <c:pt idx="71">
                  <c:v>3.8463799999999999</c:v>
                </c:pt>
                <c:pt idx="72">
                  <c:v>3.8228600000000004</c:v>
                </c:pt>
                <c:pt idx="73">
                  <c:v>3.79928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29.5959</c:v>
                </c:pt>
                <c:pt idx="1">
                  <c:v>30.0031</c:v>
                </c:pt>
                <c:pt idx="2">
                  <c:v>30.599299999999999</c:v>
                </c:pt>
                <c:pt idx="3">
                  <c:v>30.975100000000001</c:v>
                </c:pt>
                <c:pt idx="4">
                  <c:v>31.350200000000001</c:v>
                </c:pt>
                <c:pt idx="5">
                  <c:v>31.7226</c:v>
                </c:pt>
                <c:pt idx="6">
                  <c:v>32.097799999999999</c:v>
                </c:pt>
                <c:pt idx="7">
                  <c:v>32.503700000000002</c:v>
                </c:pt>
                <c:pt idx="8">
                  <c:v>32.912799999999997</c:v>
                </c:pt>
                <c:pt idx="9">
                  <c:v>33.320500000000003</c:v>
                </c:pt>
                <c:pt idx="10">
                  <c:v>33.722299999999997</c:v>
                </c:pt>
                <c:pt idx="11">
                  <c:v>34.134</c:v>
                </c:pt>
                <c:pt idx="12">
                  <c:v>34.534799999999997</c:v>
                </c:pt>
                <c:pt idx="13">
                  <c:v>34.941499999999998</c:v>
                </c:pt>
                <c:pt idx="14">
                  <c:v>35.347799999999999</c:v>
                </c:pt>
                <c:pt idx="15">
                  <c:v>35.753</c:v>
                </c:pt>
                <c:pt idx="16">
                  <c:v>36.161099999999998</c:v>
                </c:pt>
                <c:pt idx="17">
                  <c:v>36.567999999999998</c:v>
                </c:pt>
                <c:pt idx="18">
                  <c:v>36.975700000000003</c:v>
                </c:pt>
                <c:pt idx="19">
                  <c:v>37.379100000000001</c:v>
                </c:pt>
                <c:pt idx="20">
                  <c:v>37.786700000000003</c:v>
                </c:pt>
                <c:pt idx="21">
                  <c:v>38.19</c:v>
                </c:pt>
                <c:pt idx="22">
                  <c:v>38.600200000000001</c:v>
                </c:pt>
                <c:pt idx="23">
                  <c:v>39.005000000000003</c:v>
                </c:pt>
                <c:pt idx="24">
                  <c:v>39.412700000000001</c:v>
                </c:pt>
                <c:pt idx="25">
                  <c:v>39.816499999999998</c:v>
                </c:pt>
                <c:pt idx="26">
                  <c:v>40.227400000000003</c:v>
                </c:pt>
                <c:pt idx="27">
                  <c:v>40.6312</c:v>
                </c:pt>
                <c:pt idx="28">
                  <c:v>41.034500000000001</c:v>
                </c:pt>
                <c:pt idx="29">
                  <c:v>41.445900000000002</c:v>
                </c:pt>
                <c:pt idx="30">
                  <c:v>41.848199999999999</c:v>
                </c:pt>
                <c:pt idx="31">
                  <c:v>42.256399999999999</c:v>
                </c:pt>
                <c:pt idx="32">
                  <c:v>42.662599999999998</c:v>
                </c:pt>
                <c:pt idx="33">
                  <c:v>43.063699999999997</c:v>
                </c:pt>
                <c:pt idx="34">
                  <c:v>43.4711</c:v>
                </c:pt>
                <c:pt idx="35">
                  <c:v>43.880099999999999</c:v>
                </c:pt>
                <c:pt idx="36">
                  <c:v>44.287799999999997</c:v>
                </c:pt>
                <c:pt idx="37">
                  <c:v>44.692999999999998</c:v>
                </c:pt>
                <c:pt idx="38">
                  <c:v>45.096800000000002</c:v>
                </c:pt>
                <c:pt idx="39">
                  <c:v>45.504100000000001</c:v>
                </c:pt>
                <c:pt idx="40">
                  <c:v>45.911999999999999</c:v>
                </c:pt>
                <c:pt idx="41">
                  <c:v>46.317900000000002</c:v>
                </c:pt>
                <c:pt idx="42">
                  <c:v>46.723599999999998</c:v>
                </c:pt>
                <c:pt idx="43">
                  <c:v>47.130800000000001</c:v>
                </c:pt>
                <c:pt idx="44">
                  <c:v>47.534700000000001</c:v>
                </c:pt>
                <c:pt idx="45">
                  <c:v>47.943300000000001</c:v>
                </c:pt>
                <c:pt idx="46">
                  <c:v>48.350499999999997</c:v>
                </c:pt>
                <c:pt idx="47">
                  <c:v>48.755699999999997</c:v>
                </c:pt>
                <c:pt idx="48">
                  <c:v>49.159399999999998</c:v>
                </c:pt>
                <c:pt idx="49">
                  <c:v>49.566499999999998</c:v>
                </c:pt>
                <c:pt idx="50">
                  <c:v>49.972900000000003</c:v>
                </c:pt>
                <c:pt idx="51">
                  <c:v>50.380800000000001</c:v>
                </c:pt>
                <c:pt idx="52">
                  <c:v>50.7879</c:v>
                </c:pt>
                <c:pt idx="53">
                  <c:v>51.191200000000002</c:v>
                </c:pt>
                <c:pt idx="54">
                  <c:v>51.596899999999998</c:v>
                </c:pt>
                <c:pt idx="55">
                  <c:v>52.004199999999997</c:v>
                </c:pt>
                <c:pt idx="56">
                  <c:v>52.414099999999998</c:v>
                </c:pt>
                <c:pt idx="57">
                  <c:v>52.817799999999998</c:v>
                </c:pt>
                <c:pt idx="58">
                  <c:v>53.220799999999997</c:v>
                </c:pt>
                <c:pt idx="59">
                  <c:v>53.626399999999997</c:v>
                </c:pt>
                <c:pt idx="60">
                  <c:v>54.038899999999998</c:v>
                </c:pt>
                <c:pt idx="61">
                  <c:v>54.445599999999999</c:v>
                </c:pt>
                <c:pt idx="62">
                  <c:v>54.849400000000003</c:v>
                </c:pt>
                <c:pt idx="63">
                  <c:v>55.253999999999998</c:v>
                </c:pt>
                <c:pt idx="64">
                  <c:v>55.6599</c:v>
                </c:pt>
                <c:pt idx="65">
                  <c:v>56.068800000000003</c:v>
                </c:pt>
                <c:pt idx="66">
                  <c:v>56.472799999999999</c:v>
                </c:pt>
                <c:pt idx="67">
                  <c:v>56.881999999999998</c:v>
                </c:pt>
                <c:pt idx="68">
                  <c:v>57.2866</c:v>
                </c:pt>
                <c:pt idx="69">
                  <c:v>57.689399999999999</c:v>
                </c:pt>
                <c:pt idx="70">
                  <c:v>58.097299999999997</c:v>
                </c:pt>
                <c:pt idx="71">
                  <c:v>58.506100000000004</c:v>
                </c:pt>
                <c:pt idx="72">
                  <c:v>58.912100000000002</c:v>
                </c:pt>
                <c:pt idx="73">
                  <c:v>59.3187</c:v>
                </c:pt>
                <c:pt idx="74">
                  <c:v>59.724899999999998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3.79928</c:v>
                </c:pt>
                <c:pt idx="1">
                  <c:v>3.7750299999999997</c:v>
                </c:pt>
                <c:pt idx="2">
                  <c:v>3.7442099999999998</c:v>
                </c:pt>
                <c:pt idx="3">
                  <c:v>3.7203300000000001</c:v>
                </c:pt>
                <c:pt idx="4">
                  <c:v>3.6957100000000001</c:v>
                </c:pt>
                <c:pt idx="5">
                  <c:v>3.67232</c:v>
                </c:pt>
                <c:pt idx="6">
                  <c:v>3.6530899999999997</c:v>
                </c:pt>
                <c:pt idx="7">
                  <c:v>3.6381899999999998</c:v>
                </c:pt>
                <c:pt idx="8">
                  <c:v>3.6246099999999997</c:v>
                </c:pt>
                <c:pt idx="9">
                  <c:v>3.6127799999999999</c:v>
                </c:pt>
                <c:pt idx="10">
                  <c:v>3.60311</c:v>
                </c:pt>
                <c:pt idx="11">
                  <c:v>3.5972599999999999</c:v>
                </c:pt>
                <c:pt idx="12">
                  <c:v>3.59253</c:v>
                </c:pt>
                <c:pt idx="13">
                  <c:v>3.59077</c:v>
                </c:pt>
                <c:pt idx="14">
                  <c:v>3.5896099999999995</c:v>
                </c:pt>
                <c:pt idx="15">
                  <c:v>3.5883799999999999</c:v>
                </c:pt>
                <c:pt idx="16">
                  <c:v>3.5876700000000001</c:v>
                </c:pt>
                <c:pt idx="17">
                  <c:v>3.5876900000000003</c:v>
                </c:pt>
                <c:pt idx="18">
                  <c:v>3.5898300000000001</c:v>
                </c:pt>
                <c:pt idx="19">
                  <c:v>3.5965000000000003</c:v>
                </c:pt>
                <c:pt idx="20">
                  <c:v>3.6068800000000003</c:v>
                </c:pt>
                <c:pt idx="21">
                  <c:v>3.62168</c:v>
                </c:pt>
                <c:pt idx="22">
                  <c:v>3.6419899999999998</c:v>
                </c:pt>
                <c:pt idx="23">
                  <c:v>3.6669200000000002</c:v>
                </c:pt>
                <c:pt idx="24">
                  <c:v>3.69685</c:v>
                </c:pt>
                <c:pt idx="25">
                  <c:v>3.7313900000000002</c:v>
                </c:pt>
                <c:pt idx="26">
                  <c:v>3.7670199999999996</c:v>
                </c:pt>
                <c:pt idx="27">
                  <c:v>3.8024200000000001</c:v>
                </c:pt>
                <c:pt idx="28">
                  <c:v>3.8372099999999998</c:v>
                </c:pt>
                <c:pt idx="29">
                  <c:v>3.8691300000000002</c:v>
                </c:pt>
                <c:pt idx="30">
                  <c:v>3.8983600000000003</c:v>
                </c:pt>
                <c:pt idx="31">
                  <c:v>3.9249700000000001</c:v>
                </c:pt>
                <c:pt idx="32">
                  <c:v>3.9518399999999998</c:v>
                </c:pt>
                <c:pt idx="33">
                  <c:v>3.9776899999999999</c:v>
                </c:pt>
                <c:pt idx="34">
                  <c:v>4.0025300000000001</c:v>
                </c:pt>
                <c:pt idx="35">
                  <c:v>4.0211999999999994</c:v>
                </c:pt>
                <c:pt idx="36">
                  <c:v>4.0324299999999997</c:v>
                </c:pt>
                <c:pt idx="37">
                  <c:v>4.0428699999999997</c:v>
                </c:pt>
                <c:pt idx="38">
                  <c:v>4.0541999999999998</c:v>
                </c:pt>
                <c:pt idx="39">
                  <c:v>4.0626199999999999</c:v>
                </c:pt>
                <c:pt idx="40">
                  <c:v>4.07226</c:v>
                </c:pt>
                <c:pt idx="41">
                  <c:v>4.0787599999999999</c:v>
                </c:pt>
                <c:pt idx="42">
                  <c:v>4.0833300000000001</c:v>
                </c:pt>
                <c:pt idx="43">
                  <c:v>4.0878899999999998</c:v>
                </c:pt>
                <c:pt idx="44">
                  <c:v>4.0927799999999994</c:v>
                </c:pt>
                <c:pt idx="45">
                  <c:v>4.0972299999999997</c:v>
                </c:pt>
                <c:pt idx="46">
                  <c:v>4.1004399999999999</c:v>
                </c:pt>
                <c:pt idx="47">
                  <c:v>4.1020500000000002</c:v>
                </c:pt>
                <c:pt idx="48">
                  <c:v>4.10379</c:v>
                </c:pt>
                <c:pt idx="49">
                  <c:v>4.10487</c:v>
                </c:pt>
                <c:pt idx="50">
                  <c:v>4.1074299999999999</c:v>
                </c:pt>
                <c:pt idx="51">
                  <c:v>4.1053899999999999</c:v>
                </c:pt>
                <c:pt idx="52">
                  <c:v>4.1026699999999998</c:v>
                </c:pt>
                <c:pt idx="53">
                  <c:v>4.1000700000000005</c:v>
                </c:pt>
                <c:pt idx="54">
                  <c:v>4.0978399999999997</c:v>
                </c:pt>
                <c:pt idx="55">
                  <c:v>4.0953900000000001</c:v>
                </c:pt>
                <c:pt idx="56">
                  <c:v>4.09206</c:v>
                </c:pt>
                <c:pt idx="57">
                  <c:v>4.0861999999999998</c:v>
                </c:pt>
                <c:pt idx="58">
                  <c:v>4.0781799999999997</c:v>
                </c:pt>
                <c:pt idx="59">
                  <c:v>4.0695300000000003</c:v>
                </c:pt>
                <c:pt idx="60">
                  <c:v>4.0635300000000001</c:v>
                </c:pt>
                <c:pt idx="61">
                  <c:v>4.0601599999999998</c:v>
                </c:pt>
                <c:pt idx="62">
                  <c:v>4.0564800000000005</c:v>
                </c:pt>
                <c:pt idx="63">
                  <c:v>4.0500600000000002</c:v>
                </c:pt>
                <c:pt idx="64">
                  <c:v>4.0493600000000001</c:v>
                </c:pt>
                <c:pt idx="65">
                  <c:v>4.0464799999999999</c:v>
                </c:pt>
                <c:pt idx="66">
                  <c:v>4.0489199999999999</c:v>
                </c:pt>
                <c:pt idx="67">
                  <c:v>4.0561400000000001</c:v>
                </c:pt>
                <c:pt idx="68">
                  <c:v>4.0651200000000003</c:v>
                </c:pt>
                <c:pt idx="69">
                  <c:v>4.07545</c:v>
                </c:pt>
                <c:pt idx="70">
                  <c:v>4.08962</c:v>
                </c:pt>
                <c:pt idx="71">
                  <c:v>4.1084500000000004</c:v>
                </c:pt>
                <c:pt idx="72">
                  <c:v>4.13347</c:v>
                </c:pt>
                <c:pt idx="73">
                  <c:v>4.1627999999999998</c:v>
                </c:pt>
                <c:pt idx="74">
                  <c:v>4.1989900000000002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14.931225</c:v>
                </c:pt>
                <c:pt idx="1">
                  <c:v>44.793675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3.4904620270270255</c:v>
                </c:pt>
                <c:pt idx="1">
                  <c:v>3.910716351351351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0.34945500000000002</c:v>
                </c:pt>
                <c:pt idx="2">
                  <c:v>0.75360199999999999</c:v>
                </c:pt>
                <c:pt idx="3">
                  <c:v>1.15961</c:v>
                </c:pt>
                <c:pt idx="4">
                  <c:v>1.5682799999999999</c:v>
                </c:pt>
                <c:pt idx="5">
                  <c:v>1.9735400000000001</c:v>
                </c:pt>
                <c:pt idx="6">
                  <c:v>2.3790300000000002</c:v>
                </c:pt>
                <c:pt idx="7">
                  <c:v>2.7825099999999998</c:v>
                </c:pt>
                <c:pt idx="8">
                  <c:v>3.18729</c:v>
                </c:pt>
                <c:pt idx="9">
                  <c:v>3.5988199999999999</c:v>
                </c:pt>
                <c:pt idx="10">
                  <c:v>4.0053700000000001</c:v>
                </c:pt>
                <c:pt idx="11">
                  <c:v>4.4091899999999997</c:v>
                </c:pt>
                <c:pt idx="12">
                  <c:v>4.8153100000000002</c:v>
                </c:pt>
                <c:pt idx="13">
                  <c:v>5.2225999999999999</c:v>
                </c:pt>
                <c:pt idx="14">
                  <c:v>5.6305800000000001</c:v>
                </c:pt>
                <c:pt idx="15">
                  <c:v>6.0365599999999997</c:v>
                </c:pt>
                <c:pt idx="16">
                  <c:v>6.4446500000000002</c:v>
                </c:pt>
                <c:pt idx="17">
                  <c:v>6.8495600000000003</c:v>
                </c:pt>
                <c:pt idx="18">
                  <c:v>7.2543899999999999</c:v>
                </c:pt>
                <c:pt idx="19">
                  <c:v>7.6580899999999996</c:v>
                </c:pt>
                <c:pt idx="20">
                  <c:v>8.0672499999999996</c:v>
                </c:pt>
                <c:pt idx="21">
                  <c:v>8.4752299999999998</c:v>
                </c:pt>
                <c:pt idx="22">
                  <c:v>8.8822500000000009</c:v>
                </c:pt>
                <c:pt idx="23">
                  <c:v>9.2896699999999992</c:v>
                </c:pt>
                <c:pt idx="24">
                  <c:v>9.6912000000000003</c:v>
                </c:pt>
                <c:pt idx="25">
                  <c:v>10.097200000000001</c:v>
                </c:pt>
                <c:pt idx="26">
                  <c:v>10.504799999999999</c:v>
                </c:pt>
                <c:pt idx="27">
                  <c:v>10.9147</c:v>
                </c:pt>
                <c:pt idx="28">
                  <c:v>11.317399999999999</c:v>
                </c:pt>
                <c:pt idx="29">
                  <c:v>11.7227</c:v>
                </c:pt>
                <c:pt idx="30">
                  <c:v>12.13</c:v>
                </c:pt>
                <c:pt idx="31">
                  <c:v>12.5364</c:v>
                </c:pt>
                <c:pt idx="32">
                  <c:v>12.944599999999999</c:v>
                </c:pt>
                <c:pt idx="33">
                  <c:v>13.3474</c:v>
                </c:pt>
                <c:pt idx="34">
                  <c:v>13.752700000000001</c:v>
                </c:pt>
                <c:pt idx="35">
                  <c:v>14.1592</c:v>
                </c:pt>
                <c:pt idx="36">
                  <c:v>14.57</c:v>
                </c:pt>
                <c:pt idx="37">
                  <c:v>14.974299999999999</c:v>
                </c:pt>
                <c:pt idx="38">
                  <c:v>15.379099999999999</c:v>
                </c:pt>
                <c:pt idx="39">
                  <c:v>15.785299999999999</c:v>
                </c:pt>
                <c:pt idx="40">
                  <c:v>16.192299999999999</c:v>
                </c:pt>
                <c:pt idx="41">
                  <c:v>16.601099999999999</c:v>
                </c:pt>
                <c:pt idx="42">
                  <c:v>17.005700000000001</c:v>
                </c:pt>
                <c:pt idx="43">
                  <c:v>17.4131</c:v>
                </c:pt>
                <c:pt idx="44">
                  <c:v>17.814399999999999</c:v>
                </c:pt>
                <c:pt idx="45">
                  <c:v>18.2224</c:v>
                </c:pt>
                <c:pt idx="46">
                  <c:v>18.628799999999998</c:v>
                </c:pt>
                <c:pt idx="47">
                  <c:v>19.0349</c:v>
                </c:pt>
                <c:pt idx="48">
                  <c:v>19.4438</c:v>
                </c:pt>
                <c:pt idx="49">
                  <c:v>19.8491</c:v>
                </c:pt>
                <c:pt idx="50">
                  <c:v>20.2532</c:v>
                </c:pt>
                <c:pt idx="51">
                  <c:v>20.660499999999999</c:v>
                </c:pt>
                <c:pt idx="52">
                  <c:v>21.065100000000001</c:v>
                </c:pt>
                <c:pt idx="53">
                  <c:v>21.474</c:v>
                </c:pt>
                <c:pt idx="54">
                  <c:v>21.878900000000002</c:v>
                </c:pt>
                <c:pt idx="55">
                  <c:v>22.285299999999999</c:v>
                </c:pt>
                <c:pt idx="56">
                  <c:v>22.694900000000001</c:v>
                </c:pt>
                <c:pt idx="57">
                  <c:v>23.099699999999999</c:v>
                </c:pt>
                <c:pt idx="58">
                  <c:v>23.5077</c:v>
                </c:pt>
                <c:pt idx="59">
                  <c:v>23.910599999999999</c:v>
                </c:pt>
                <c:pt idx="60">
                  <c:v>24.314699999999998</c:v>
                </c:pt>
                <c:pt idx="61">
                  <c:v>24.721900000000002</c:v>
                </c:pt>
                <c:pt idx="62">
                  <c:v>25.125399999999999</c:v>
                </c:pt>
                <c:pt idx="63">
                  <c:v>25.5349</c:v>
                </c:pt>
                <c:pt idx="64">
                  <c:v>25.944800000000001</c:v>
                </c:pt>
                <c:pt idx="65">
                  <c:v>26.350200000000001</c:v>
                </c:pt>
                <c:pt idx="66">
                  <c:v>26.7563</c:v>
                </c:pt>
                <c:pt idx="67">
                  <c:v>27.159099999999999</c:v>
                </c:pt>
                <c:pt idx="68">
                  <c:v>27.5641</c:v>
                </c:pt>
                <c:pt idx="69">
                  <c:v>27.9726</c:v>
                </c:pt>
                <c:pt idx="70">
                  <c:v>28.380500000000001</c:v>
                </c:pt>
                <c:pt idx="71">
                  <c:v>28.785299999999999</c:v>
                </c:pt>
                <c:pt idx="72">
                  <c:v>29.193000000000001</c:v>
                </c:pt>
                <c:pt idx="73">
                  <c:v>29.5959</c:v>
                </c:pt>
                <c:pt idx="74">
                  <c:v>30.0031</c:v>
                </c:pt>
                <c:pt idx="75">
                  <c:v>30.599299999999999</c:v>
                </c:pt>
                <c:pt idx="76">
                  <c:v>30.975100000000001</c:v>
                </c:pt>
                <c:pt idx="77">
                  <c:v>31.350200000000001</c:v>
                </c:pt>
                <c:pt idx="78">
                  <c:v>31.7226</c:v>
                </c:pt>
                <c:pt idx="79">
                  <c:v>32.097799999999999</c:v>
                </c:pt>
                <c:pt idx="80">
                  <c:v>32.503700000000002</c:v>
                </c:pt>
                <c:pt idx="81">
                  <c:v>32.912799999999997</c:v>
                </c:pt>
                <c:pt idx="82">
                  <c:v>33.320500000000003</c:v>
                </c:pt>
                <c:pt idx="83">
                  <c:v>33.722299999999997</c:v>
                </c:pt>
                <c:pt idx="84">
                  <c:v>34.134</c:v>
                </c:pt>
                <c:pt idx="85">
                  <c:v>34.534799999999997</c:v>
                </c:pt>
                <c:pt idx="86">
                  <c:v>34.941499999999998</c:v>
                </c:pt>
                <c:pt idx="87">
                  <c:v>35.347799999999999</c:v>
                </c:pt>
                <c:pt idx="88">
                  <c:v>35.753</c:v>
                </c:pt>
                <c:pt idx="89">
                  <c:v>36.161099999999998</c:v>
                </c:pt>
                <c:pt idx="90">
                  <c:v>36.567999999999998</c:v>
                </c:pt>
                <c:pt idx="91">
                  <c:v>36.975700000000003</c:v>
                </c:pt>
                <c:pt idx="92">
                  <c:v>37.379100000000001</c:v>
                </c:pt>
                <c:pt idx="93">
                  <c:v>37.786700000000003</c:v>
                </c:pt>
                <c:pt idx="94">
                  <c:v>38.19</c:v>
                </c:pt>
                <c:pt idx="95">
                  <c:v>38.600200000000001</c:v>
                </c:pt>
                <c:pt idx="96">
                  <c:v>39.005000000000003</c:v>
                </c:pt>
                <c:pt idx="97">
                  <c:v>39.412700000000001</c:v>
                </c:pt>
                <c:pt idx="98">
                  <c:v>39.816499999999998</c:v>
                </c:pt>
                <c:pt idx="99">
                  <c:v>40.227400000000003</c:v>
                </c:pt>
                <c:pt idx="100">
                  <c:v>40.6312</c:v>
                </c:pt>
                <c:pt idx="101">
                  <c:v>41.034500000000001</c:v>
                </c:pt>
                <c:pt idx="102">
                  <c:v>41.445900000000002</c:v>
                </c:pt>
                <c:pt idx="103">
                  <c:v>41.848199999999999</c:v>
                </c:pt>
                <c:pt idx="104">
                  <c:v>42.256399999999999</c:v>
                </c:pt>
                <c:pt idx="105">
                  <c:v>42.662599999999998</c:v>
                </c:pt>
                <c:pt idx="106">
                  <c:v>43.063699999999997</c:v>
                </c:pt>
                <c:pt idx="107">
                  <c:v>43.4711</c:v>
                </c:pt>
                <c:pt idx="108">
                  <c:v>43.880099999999999</c:v>
                </c:pt>
                <c:pt idx="109">
                  <c:v>44.287799999999997</c:v>
                </c:pt>
                <c:pt idx="110">
                  <c:v>44.692999999999998</c:v>
                </c:pt>
                <c:pt idx="111">
                  <c:v>45.096800000000002</c:v>
                </c:pt>
                <c:pt idx="112">
                  <c:v>45.504100000000001</c:v>
                </c:pt>
                <c:pt idx="113">
                  <c:v>45.911999999999999</c:v>
                </c:pt>
                <c:pt idx="114">
                  <c:v>46.317900000000002</c:v>
                </c:pt>
                <c:pt idx="115">
                  <c:v>46.723599999999998</c:v>
                </c:pt>
                <c:pt idx="116">
                  <c:v>47.130800000000001</c:v>
                </c:pt>
                <c:pt idx="117">
                  <c:v>47.534700000000001</c:v>
                </c:pt>
                <c:pt idx="118">
                  <c:v>47.943300000000001</c:v>
                </c:pt>
                <c:pt idx="119">
                  <c:v>48.350499999999997</c:v>
                </c:pt>
                <c:pt idx="120">
                  <c:v>48.755699999999997</c:v>
                </c:pt>
                <c:pt idx="121">
                  <c:v>49.159399999999998</c:v>
                </c:pt>
                <c:pt idx="122">
                  <c:v>49.566499999999998</c:v>
                </c:pt>
                <c:pt idx="123">
                  <c:v>49.972900000000003</c:v>
                </c:pt>
                <c:pt idx="124">
                  <c:v>50.380800000000001</c:v>
                </c:pt>
                <c:pt idx="125">
                  <c:v>50.7879</c:v>
                </c:pt>
                <c:pt idx="126">
                  <c:v>51.191200000000002</c:v>
                </c:pt>
                <c:pt idx="127">
                  <c:v>51.596899999999998</c:v>
                </c:pt>
                <c:pt idx="128">
                  <c:v>52.004199999999997</c:v>
                </c:pt>
                <c:pt idx="129">
                  <c:v>52.414099999999998</c:v>
                </c:pt>
                <c:pt idx="130">
                  <c:v>52.817799999999998</c:v>
                </c:pt>
                <c:pt idx="131">
                  <c:v>53.220799999999997</c:v>
                </c:pt>
                <c:pt idx="132">
                  <c:v>53.626399999999997</c:v>
                </c:pt>
                <c:pt idx="133">
                  <c:v>54.038899999999998</c:v>
                </c:pt>
                <c:pt idx="134">
                  <c:v>54.445599999999999</c:v>
                </c:pt>
                <c:pt idx="135">
                  <c:v>54.849400000000003</c:v>
                </c:pt>
                <c:pt idx="136">
                  <c:v>55.253999999999998</c:v>
                </c:pt>
                <c:pt idx="137">
                  <c:v>55.6599</c:v>
                </c:pt>
                <c:pt idx="138">
                  <c:v>56.068800000000003</c:v>
                </c:pt>
                <c:pt idx="139">
                  <c:v>56.472799999999999</c:v>
                </c:pt>
                <c:pt idx="140">
                  <c:v>56.881999999999998</c:v>
                </c:pt>
                <c:pt idx="141">
                  <c:v>57.2866</c:v>
                </c:pt>
                <c:pt idx="142">
                  <c:v>57.689399999999999</c:v>
                </c:pt>
                <c:pt idx="143">
                  <c:v>58.097299999999997</c:v>
                </c:pt>
                <c:pt idx="144">
                  <c:v>58.506100000000004</c:v>
                </c:pt>
                <c:pt idx="145">
                  <c:v>58.912100000000002</c:v>
                </c:pt>
                <c:pt idx="146">
                  <c:v>59.3187</c:v>
                </c:pt>
                <c:pt idx="147">
                  <c:v>59.724899999999998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61.367600000000003</c:v>
                </c:pt>
                <c:pt idx="1">
                  <c:v>60.4101</c:v>
                </c:pt>
                <c:pt idx="2">
                  <c:v>59.299599999999998</c:v>
                </c:pt>
                <c:pt idx="3">
                  <c:v>58.153799999999997</c:v>
                </c:pt>
                <c:pt idx="4">
                  <c:v>56.811199999999992</c:v>
                </c:pt>
                <c:pt idx="5">
                  <c:v>55.399100000000004</c:v>
                </c:pt>
                <c:pt idx="6">
                  <c:v>53.951999999999998</c:v>
                </c:pt>
                <c:pt idx="7">
                  <c:v>52.497400000000006</c:v>
                </c:pt>
                <c:pt idx="8">
                  <c:v>50.902899999999995</c:v>
                </c:pt>
                <c:pt idx="9">
                  <c:v>49.266399999999997</c:v>
                </c:pt>
                <c:pt idx="10">
                  <c:v>47.687000000000005</c:v>
                </c:pt>
                <c:pt idx="11">
                  <c:v>46.195399999999999</c:v>
                </c:pt>
                <c:pt idx="12">
                  <c:v>44.655000000000001</c:v>
                </c:pt>
                <c:pt idx="13">
                  <c:v>43.075400000000002</c:v>
                </c:pt>
                <c:pt idx="14">
                  <c:v>41.392099999999999</c:v>
                </c:pt>
                <c:pt idx="15">
                  <c:v>39.719900000000003</c:v>
                </c:pt>
                <c:pt idx="16">
                  <c:v>38.1233</c:v>
                </c:pt>
                <c:pt idx="17">
                  <c:v>36.628399999999999</c:v>
                </c:pt>
                <c:pt idx="18">
                  <c:v>35.326099999999997</c:v>
                </c:pt>
                <c:pt idx="19">
                  <c:v>34.303200000000004</c:v>
                </c:pt>
                <c:pt idx="20">
                  <c:v>33.511600000000001</c:v>
                </c:pt>
                <c:pt idx="21">
                  <c:v>32.893899999999995</c:v>
                </c:pt>
                <c:pt idx="22">
                  <c:v>32.372099999999996</c:v>
                </c:pt>
                <c:pt idx="23">
                  <c:v>31.963900000000002</c:v>
                </c:pt>
                <c:pt idx="24">
                  <c:v>31.610599999999998</c:v>
                </c:pt>
                <c:pt idx="25">
                  <c:v>31.306699999999999</c:v>
                </c:pt>
                <c:pt idx="26">
                  <c:v>31.096299999999999</c:v>
                </c:pt>
                <c:pt idx="27">
                  <c:v>30.926300000000001</c:v>
                </c:pt>
                <c:pt idx="28">
                  <c:v>30.8125</c:v>
                </c:pt>
                <c:pt idx="29">
                  <c:v>30.710500000000003</c:v>
                </c:pt>
                <c:pt idx="30">
                  <c:v>30.512699999999999</c:v>
                </c:pt>
                <c:pt idx="31">
                  <c:v>30.238900000000001</c:v>
                </c:pt>
                <c:pt idx="32">
                  <c:v>29.8522</c:v>
                </c:pt>
                <c:pt idx="33">
                  <c:v>29.433700000000002</c:v>
                </c:pt>
                <c:pt idx="34">
                  <c:v>29.055299999999999</c:v>
                </c:pt>
                <c:pt idx="35">
                  <c:v>28.7761</c:v>
                </c:pt>
                <c:pt idx="36">
                  <c:v>28.632800000000003</c:v>
                </c:pt>
                <c:pt idx="37">
                  <c:v>28.539199999999997</c:v>
                </c:pt>
                <c:pt idx="38">
                  <c:v>28.523799999999998</c:v>
                </c:pt>
                <c:pt idx="39">
                  <c:v>28.565000000000001</c:v>
                </c:pt>
                <c:pt idx="40">
                  <c:v>28.736800000000002</c:v>
                </c:pt>
                <c:pt idx="41">
                  <c:v>28.928900000000002</c:v>
                </c:pt>
                <c:pt idx="42">
                  <c:v>29.082699999999999</c:v>
                </c:pt>
                <c:pt idx="43">
                  <c:v>29.242800000000003</c:v>
                </c:pt>
                <c:pt idx="44">
                  <c:v>29.462199999999999</c:v>
                </c:pt>
                <c:pt idx="45">
                  <c:v>29.700900000000001</c:v>
                </c:pt>
                <c:pt idx="46">
                  <c:v>29.9664</c:v>
                </c:pt>
                <c:pt idx="47">
                  <c:v>30.249199999999998</c:v>
                </c:pt>
                <c:pt idx="48">
                  <c:v>30.425200000000004</c:v>
                </c:pt>
                <c:pt idx="49">
                  <c:v>30.497999999999998</c:v>
                </c:pt>
                <c:pt idx="50">
                  <c:v>30.567</c:v>
                </c:pt>
                <c:pt idx="51">
                  <c:v>30.536600000000004</c:v>
                </c:pt>
                <c:pt idx="52">
                  <c:v>30.4526</c:v>
                </c:pt>
                <c:pt idx="53">
                  <c:v>30.317499999999995</c:v>
                </c:pt>
                <c:pt idx="54">
                  <c:v>30.1267</c:v>
                </c:pt>
                <c:pt idx="55">
                  <c:v>29.845800000000001</c:v>
                </c:pt>
                <c:pt idx="56">
                  <c:v>29.559800000000003</c:v>
                </c:pt>
                <c:pt idx="57">
                  <c:v>29.254300000000001</c:v>
                </c:pt>
                <c:pt idx="58">
                  <c:v>29.0244</c:v>
                </c:pt>
                <c:pt idx="59">
                  <c:v>28.807700000000004</c:v>
                </c:pt>
                <c:pt idx="60">
                  <c:v>28.616000000000003</c:v>
                </c:pt>
                <c:pt idx="61">
                  <c:v>28.382600000000004</c:v>
                </c:pt>
                <c:pt idx="62">
                  <c:v>28.171800000000001</c:v>
                </c:pt>
                <c:pt idx="63">
                  <c:v>28.014699999999998</c:v>
                </c:pt>
                <c:pt idx="64">
                  <c:v>27.842499999999998</c:v>
                </c:pt>
                <c:pt idx="65">
                  <c:v>27.654199999999999</c:v>
                </c:pt>
                <c:pt idx="66">
                  <c:v>27.410899999999998</c:v>
                </c:pt>
                <c:pt idx="67">
                  <c:v>27.138500000000001</c:v>
                </c:pt>
                <c:pt idx="68">
                  <c:v>26.820599999999999</c:v>
                </c:pt>
                <c:pt idx="69">
                  <c:v>26.496799999999997</c:v>
                </c:pt>
                <c:pt idx="70">
                  <c:v>26.084000000000003</c:v>
                </c:pt>
                <c:pt idx="71">
                  <c:v>25.666599999999999</c:v>
                </c:pt>
                <c:pt idx="72">
                  <c:v>25.281399999999998</c:v>
                </c:pt>
                <c:pt idx="73">
                  <c:v>24.9346</c:v>
                </c:pt>
                <c:pt idx="74">
                  <c:v>24.645</c:v>
                </c:pt>
                <c:pt idx="75">
                  <c:v>24.358599999999999</c:v>
                </c:pt>
                <c:pt idx="76">
                  <c:v>24.1752</c:v>
                </c:pt>
                <c:pt idx="77">
                  <c:v>23.997</c:v>
                </c:pt>
                <c:pt idx="78">
                  <c:v>23.9056</c:v>
                </c:pt>
                <c:pt idx="79">
                  <c:v>23.8584</c:v>
                </c:pt>
                <c:pt idx="80">
                  <c:v>23.7925</c:v>
                </c:pt>
                <c:pt idx="81">
                  <c:v>23.789400000000001</c:v>
                </c:pt>
                <c:pt idx="82">
                  <c:v>23.794999999999998</c:v>
                </c:pt>
                <c:pt idx="83">
                  <c:v>23.768800000000002</c:v>
                </c:pt>
                <c:pt idx="84">
                  <c:v>23.662099999999999</c:v>
                </c:pt>
                <c:pt idx="85">
                  <c:v>23.544899999999998</c:v>
                </c:pt>
                <c:pt idx="86">
                  <c:v>23.3416</c:v>
                </c:pt>
                <c:pt idx="87">
                  <c:v>23.0974</c:v>
                </c:pt>
                <c:pt idx="88">
                  <c:v>22.9024</c:v>
                </c:pt>
                <c:pt idx="89">
                  <c:v>22.689899999999998</c:v>
                </c:pt>
                <c:pt idx="90">
                  <c:v>22.498000000000001</c:v>
                </c:pt>
                <c:pt idx="91">
                  <c:v>22.330100000000002</c:v>
                </c:pt>
                <c:pt idx="92">
                  <c:v>22.269500000000001</c:v>
                </c:pt>
                <c:pt idx="93">
                  <c:v>22.249700000000001</c:v>
                </c:pt>
                <c:pt idx="94">
                  <c:v>22.222799999999999</c:v>
                </c:pt>
                <c:pt idx="95">
                  <c:v>22.2378</c:v>
                </c:pt>
                <c:pt idx="96">
                  <c:v>22.305399999999999</c:v>
                </c:pt>
                <c:pt idx="97">
                  <c:v>22.3977</c:v>
                </c:pt>
                <c:pt idx="98">
                  <c:v>22.568099999999998</c:v>
                </c:pt>
                <c:pt idx="99">
                  <c:v>22.766500000000001</c:v>
                </c:pt>
                <c:pt idx="100">
                  <c:v>23.033000000000001</c:v>
                </c:pt>
                <c:pt idx="101">
                  <c:v>23.349900000000002</c:v>
                </c:pt>
                <c:pt idx="102">
                  <c:v>23.8263</c:v>
                </c:pt>
                <c:pt idx="103">
                  <c:v>24.266399999999997</c:v>
                </c:pt>
                <c:pt idx="104">
                  <c:v>24.685399999999998</c:v>
                </c:pt>
                <c:pt idx="105">
                  <c:v>25.160300000000003</c:v>
                </c:pt>
                <c:pt idx="106">
                  <c:v>25.646600000000003</c:v>
                </c:pt>
                <c:pt idx="107">
                  <c:v>26.151400000000002</c:v>
                </c:pt>
                <c:pt idx="108">
                  <c:v>26.693499999999997</c:v>
                </c:pt>
                <c:pt idx="109">
                  <c:v>27.2974</c:v>
                </c:pt>
                <c:pt idx="110">
                  <c:v>27.891700000000004</c:v>
                </c:pt>
                <c:pt idx="111">
                  <c:v>28.540300000000002</c:v>
                </c:pt>
                <c:pt idx="112">
                  <c:v>29.244799999999998</c:v>
                </c:pt>
                <c:pt idx="113">
                  <c:v>29.955100000000002</c:v>
                </c:pt>
                <c:pt idx="114">
                  <c:v>30.727</c:v>
                </c:pt>
                <c:pt idx="115">
                  <c:v>31.483899999999998</c:v>
                </c:pt>
                <c:pt idx="116">
                  <c:v>32.232699999999994</c:v>
                </c:pt>
                <c:pt idx="117">
                  <c:v>32.925600000000003</c:v>
                </c:pt>
                <c:pt idx="118">
                  <c:v>33.564</c:v>
                </c:pt>
                <c:pt idx="119">
                  <c:v>34.213200000000001</c:v>
                </c:pt>
                <c:pt idx="120">
                  <c:v>34.863699999999994</c:v>
                </c:pt>
                <c:pt idx="121">
                  <c:v>35.445399999999999</c:v>
                </c:pt>
                <c:pt idx="122">
                  <c:v>36.016500000000001</c:v>
                </c:pt>
                <c:pt idx="123">
                  <c:v>36.5535</c:v>
                </c:pt>
                <c:pt idx="124">
                  <c:v>36.884799999999998</c:v>
                </c:pt>
                <c:pt idx="125">
                  <c:v>37.2271</c:v>
                </c:pt>
                <c:pt idx="126">
                  <c:v>37.560500000000005</c:v>
                </c:pt>
                <c:pt idx="127">
                  <c:v>37.843900000000005</c:v>
                </c:pt>
                <c:pt idx="128">
                  <c:v>38.139699999999998</c:v>
                </c:pt>
                <c:pt idx="129">
                  <c:v>38.455300000000001</c:v>
                </c:pt>
                <c:pt idx="130">
                  <c:v>38.757799999999996</c:v>
                </c:pt>
                <c:pt idx="131">
                  <c:v>39.093899999999998</c:v>
                </c:pt>
                <c:pt idx="132">
                  <c:v>39.472999999999999</c:v>
                </c:pt>
                <c:pt idx="133">
                  <c:v>39.847200000000001</c:v>
                </c:pt>
                <c:pt idx="134">
                  <c:v>40.185400000000001</c:v>
                </c:pt>
                <c:pt idx="135">
                  <c:v>40.5655</c:v>
                </c:pt>
                <c:pt idx="136">
                  <c:v>41.001199999999997</c:v>
                </c:pt>
                <c:pt idx="137">
                  <c:v>41.347899999999996</c:v>
                </c:pt>
                <c:pt idx="138">
                  <c:v>41.622599999999998</c:v>
                </c:pt>
                <c:pt idx="139">
                  <c:v>41.837200000000003</c:v>
                </c:pt>
                <c:pt idx="140">
                  <c:v>42.009500000000003</c:v>
                </c:pt>
                <c:pt idx="141">
                  <c:v>42.164499999999997</c:v>
                </c:pt>
                <c:pt idx="142">
                  <c:v>42.344900000000003</c:v>
                </c:pt>
                <c:pt idx="143">
                  <c:v>42.578899999999997</c:v>
                </c:pt>
                <c:pt idx="144">
                  <c:v>42.711199999999998</c:v>
                </c:pt>
                <c:pt idx="145">
                  <c:v>42.6419</c:v>
                </c:pt>
                <c:pt idx="146">
                  <c:v>42.597000000000001</c:v>
                </c:pt>
                <c:pt idx="147">
                  <c:v>42.777799999999999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0.34945500000000002</c:v>
                </c:pt>
                <c:pt idx="2">
                  <c:v>0.75360199999999999</c:v>
                </c:pt>
                <c:pt idx="3">
                  <c:v>1.15961</c:v>
                </c:pt>
                <c:pt idx="4">
                  <c:v>1.5682799999999999</c:v>
                </c:pt>
                <c:pt idx="5">
                  <c:v>1.9735400000000001</c:v>
                </c:pt>
                <c:pt idx="6">
                  <c:v>2.3790300000000002</c:v>
                </c:pt>
                <c:pt idx="7">
                  <c:v>2.7825099999999998</c:v>
                </c:pt>
                <c:pt idx="8">
                  <c:v>3.18729</c:v>
                </c:pt>
                <c:pt idx="9">
                  <c:v>3.5988199999999999</c:v>
                </c:pt>
                <c:pt idx="10">
                  <c:v>4.0053700000000001</c:v>
                </c:pt>
                <c:pt idx="11">
                  <c:v>4.4091899999999997</c:v>
                </c:pt>
                <c:pt idx="12">
                  <c:v>4.8153100000000002</c:v>
                </c:pt>
                <c:pt idx="13">
                  <c:v>5.2225999999999999</c:v>
                </c:pt>
                <c:pt idx="14">
                  <c:v>5.6305800000000001</c:v>
                </c:pt>
                <c:pt idx="15">
                  <c:v>6.0365599999999997</c:v>
                </c:pt>
                <c:pt idx="16">
                  <c:v>6.4446500000000002</c:v>
                </c:pt>
                <c:pt idx="17">
                  <c:v>6.8495600000000003</c:v>
                </c:pt>
                <c:pt idx="18">
                  <c:v>7.2543899999999999</c:v>
                </c:pt>
                <c:pt idx="19">
                  <c:v>7.6580899999999996</c:v>
                </c:pt>
                <c:pt idx="20">
                  <c:v>8.0672499999999996</c:v>
                </c:pt>
                <c:pt idx="21">
                  <c:v>8.4752299999999998</c:v>
                </c:pt>
                <c:pt idx="22">
                  <c:v>8.8822500000000009</c:v>
                </c:pt>
                <c:pt idx="23">
                  <c:v>9.2896699999999992</c:v>
                </c:pt>
                <c:pt idx="24">
                  <c:v>9.6912000000000003</c:v>
                </c:pt>
                <c:pt idx="25">
                  <c:v>10.097200000000001</c:v>
                </c:pt>
                <c:pt idx="26">
                  <c:v>10.504799999999999</c:v>
                </c:pt>
                <c:pt idx="27">
                  <c:v>10.9147</c:v>
                </c:pt>
                <c:pt idx="28">
                  <c:v>11.317399999999999</c:v>
                </c:pt>
                <c:pt idx="29">
                  <c:v>11.7227</c:v>
                </c:pt>
                <c:pt idx="30">
                  <c:v>12.13</c:v>
                </c:pt>
                <c:pt idx="31">
                  <c:v>12.5364</c:v>
                </c:pt>
                <c:pt idx="32">
                  <c:v>12.944599999999999</c:v>
                </c:pt>
                <c:pt idx="33">
                  <c:v>13.3474</c:v>
                </c:pt>
                <c:pt idx="34">
                  <c:v>13.752700000000001</c:v>
                </c:pt>
                <c:pt idx="35">
                  <c:v>14.1592</c:v>
                </c:pt>
                <c:pt idx="36">
                  <c:v>14.57</c:v>
                </c:pt>
                <c:pt idx="37">
                  <c:v>14.974299999999999</c:v>
                </c:pt>
                <c:pt idx="38">
                  <c:v>15.379099999999999</c:v>
                </c:pt>
                <c:pt idx="39">
                  <c:v>15.785299999999999</c:v>
                </c:pt>
                <c:pt idx="40">
                  <c:v>16.192299999999999</c:v>
                </c:pt>
                <c:pt idx="41">
                  <c:v>16.601099999999999</c:v>
                </c:pt>
                <c:pt idx="42">
                  <c:v>17.005700000000001</c:v>
                </c:pt>
                <c:pt idx="43">
                  <c:v>17.4131</c:v>
                </c:pt>
                <c:pt idx="44">
                  <c:v>17.814399999999999</c:v>
                </c:pt>
                <c:pt idx="45">
                  <c:v>18.2224</c:v>
                </c:pt>
                <c:pt idx="46">
                  <c:v>18.628799999999998</c:v>
                </c:pt>
                <c:pt idx="47">
                  <c:v>19.0349</c:v>
                </c:pt>
                <c:pt idx="48">
                  <c:v>19.4438</c:v>
                </c:pt>
                <c:pt idx="49">
                  <c:v>19.8491</c:v>
                </c:pt>
                <c:pt idx="50">
                  <c:v>20.2532</c:v>
                </c:pt>
                <c:pt idx="51">
                  <c:v>20.660499999999999</c:v>
                </c:pt>
                <c:pt idx="52">
                  <c:v>21.065100000000001</c:v>
                </c:pt>
                <c:pt idx="53">
                  <c:v>21.474</c:v>
                </c:pt>
                <c:pt idx="54">
                  <c:v>21.878900000000002</c:v>
                </c:pt>
                <c:pt idx="55">
                  <c:v>22.285299999999999</c:v>
                </c:pt>
                <c:pt idx="56">
                  <c:v>22.694900000000001</c:v>
                </c:pt>
                <c:pt idx="57">
                  <c:v>23.099699999999999</c:v>
                </c:pt>
                <c:pt idx="58">
                  <c:v>23.5077</c:v>
                </c:pt>
                <c:pt idx="59">
                  <c:v>23.910599999999999</c:v>
                </c:pt>
                <c:pt idx="60">
                  <c:v>24.314699999999998</c:v>
                </c:pt>
                <c:pt idx="61">
                  <c:v>24.721900000000002</c:v>
                </c:pt>
                <c:pt idx="62">
                  <c:v>25.125399999999999</c:v>
                </c:pt>
                <c:pt idx="63">
                  <c:v>25.5349</c:v>
                </c:pt>
                <c:pt idx="64">
                  <c:v>25.944800000000001</c:v>
                </c:pt>
                <c:pt idx="65">
                  <c:v>26.350200000000001</c:v>
                </c:pt>
                <c:pt idx="66">
                  <c:v>26.7563</c:v>
                </c:pt>
                <c:pt idx="67">
                  <c:v>27.159099999999999</c:v>
                </c:pt>
                <c:pt idx="68">
                  <c:v>27.5641</c:v>
                </c:pt>
                <c:pt idx="69">
                  <c:v>27.9726</c:v>
                </c:pt>
                <c:pt idx="70">
                  <c:v>28.380500000000001</c:v>
                </c:pt>
                <c:pt idx="71">
                  <c:v>28.785299999999999</c:v>
                </c:pt>
                <c:pt idx="72">
                  <c:v>29.193000000000001</c:v>
                </c:pt>
                <c:pt idx="73">
                  <c:v>29.5959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61.367600000000003</c:v>
                </c:pt>
                <c:pt idx="1">
                  <c:v>60.4101</c:v>
                </c:pt>
                <c:pt idx="2">
                  <c:v>59.299599999999998</c:v>
                </c:pt>
                <c:pt idx="3">
                  <c:v>58.153799999999997</c:v>
                </c:pt>
                <c:pt idx="4">
                  <c:v>56.811199999999992</c:v>
                </c:pt>
                <c:pt idx="5">
                  <c:v>55.399100000000004</c:v>
                </c:pt>
                <c:pt idx="6">
                  <c:v>53.951999999999998</c:v>
                </c:pt>
                <c:pt idx="7">
                  <c:v>52.497400000000006</c:v>
                </c:pt>
                <c:pt idx="8">
                  <c:v>50.902899999999995</c:v>
                </c:pt>
                <c:pt idx="9">
                  <c:v>49.266399999999997</c:v>
                </c:pt>
                <c:pt idx="10">
                  <c:v>47.687000000000005</c:v>
                </c:pt>
                <c:pt idx="11">
                  <c:v>46.195399999999999</c:v>
                </c:pt>
                <c:pt idx="12">
                  <c:v>44.655000000000001</c:v>
                </c:pt>
                <c:pt idx="13">
                  <c:v>43.075400000000002</c:v>
                </c:pt>
                <c:pt idx="14">
                  <c:v>41.392099999999999</c:v>
                </c:pt>
                <c:pt idx="15">
                  <c:v>39.719900000000003</c:v>
                </c:pt>
                <c:pt idx="16">
                  <c:v>38.1233</c:v>
                </c:pt>
                <c:pt idx="17">
                  <c:v>36.628399999999999</c:v>
                </c:pt>
                <c:pt idx="18">
                  <c:v>35.326099999999997</c:v>
                </c:pt>
                <c:pt idx="19">
                  <c:v>34.303200000000004</c:v>
                </c:pt>
                <c:pt idx="20">
                  <c:v>33.511600000000001</c:v>
                </c:pt>
                <c:pt idx="21">
                  <c:v>32.893899999999995</c:v>
                </c:pt>
                <c:pt idx="22">
                  <c:v>32.372099999999996</c:v>
                </c:pt>
                <c:pt idx="23">
                  <c:v>31.963900000000002</c:v>
                </c:pt>
                <c:pt idx="24">
                  <c:v>31.610599999999998</c:v>
                </c:pt>
                <c:pt idx="25">
                  <c:v>31.306699999999999</c:v>
                </c:pt>
                <c:pt idx="26">
                  <c:v>31.096299999999999</c:v>
                </c:pt>
                <c:pt idx="27">
                  <c:v>30.926300000000001</c:v>
                </c:pt>
                <c:pt idx="28">
                  <c:v>30.8125</c:v>
                </c:pt>
                <c:pt idx="29">
                  <c:v>30.710500000000003</c:v>
                </c:pt>
                <c:pt idx="30">
                  <c:v>30.512699999999999</c:v>
                </c:pt>
                <c:pt idx="31">
                  <c:v>30.238900000000001</c:v>
                </c:pt>
                <c:pt idx="32">
                  <c:v>29.8522</c:v>
                </c:pt>
                <c:pt idx="33">
                  <c:v>29.433700000000002</c:v>
                </c:pt>
                <c:pt idx="34">
                  <c:v>29.055299999999999</c:v>
                </c:pt>
                <c:pt idx="35">
                  <c:v>28.7761</c:v>
                </c:pt>
                <c:pt idx="36">
                  <c:v>28.632800000000003</c:v>
                </c:pt>
                <c:pt idx="37">
                  <c:v>28.539199999999997</c:v>
                </c:pt>
                <c:pt idx="38">
                  <c:v>28.523799999999998</c:v>
                </c:pt>
                <c:pt idx="39">
                  <c:v>28.565000000000001</c:v>
                </c:pt>
                <c:pt idx="40">
                  <c:v>28.736800000000002</c:v>
                </c:pt>
                <c:pt idx="41">
                  <c:v>28.928900000000002</c:v>
                </c:pt>
                <c:pt idx="42">
                  <c:v>29.082699999999999</c:v>
                </c:pt>
                <c:pt idx="43">
                  <c:v>29.242800000000003</c:v>
                </c:pt>
                <c:pt idx="44">
                  <c:v>29.462199999999999</c:v>
                </c:pt>
                <c:pt idx="45">
                  <c:v>29.700900000000001</c:v>
                </c:pt>
                <c:pt idx="46">
                  <c:v>29.9664</c:v>
                </c:pt>
                <c:pt idx="47">
                  <c:v>30.249199999999998</c:v>
                </c:pt>
                <c:pt idx="48">
                  <c:v>30.425200000000004</c:v>
                </c:pt>
                <c:pt idx="49">
                  <c:v>30.497999999999998</c:v>
                </c:pt>
                <c:pt idx="50">
                  <c:v>30.567</c:v>
                </c:pt>
                <c:pt idx="51">
                  <c:v>30.536600000000004</c:v>
                </c:pt>
                <c:pt idx="52">
                  <c:v>30.4526</c:v>
                </c:pt>
                <c:pt idx="53">
                  <c:v>30.317499999999995</c:v>
                </c:pt>
                <c:pt idx="54">
                  <c:v>30.1267</c:v>
                </c:pt>
                <c:pt idx="55">
                  <c:v>29.845800000000001</c:v>
                </c:pt>
                <c:pt idx="56">
                  <c:v>29.559800000000003</c:v>
                </c:pt>
                <c:pt idx="57">
                  <c:v>29.254300000000001</c:v>
                </c:pt>
                <c:pt idx="58">
                  <c:v>29.0244</c:v>
                </c:pt>
                <c:pt idx="59">
                  <c:v>28.807700000000004</c:v>
                </c:pt>
                <c:pt idx="60">
                  <c:v>28.616000000000003</c:v>
                </c:pt>
                <c:pt idx="61">
                  <c:v>28.382600000000004</c:v>
                </c:pt>
                <c:pt idx="62">
                  <c:v>28.171800000000001</c:v>
                </c:pt>
                <c:pt idx="63">
                  <c:v>28.014699999999998</c:v>
                </c:pt>
                <c:pt idx="64">
                  <c:v>27.842499999999998</c:v>
                </c:pt>
                <c:pt idx="65">
                  <c:v>27.654199999999999</c:v>
                </c:pt>
                <c:pt idx="66">
                  <c:v>27.410899999999998</c:v>
                </c:pt>
                <c:pt idx="67">
                  <c:v>27.138500000000001</c:v>
                </c:pt>
                <c:pt idx="68">
                  <c:v>26.820599999999999</c:v>
                </c:pt>
                <c:pt idx="69">
                  <c:v>26.496799999999997</c:v>
                </c:pt>
                <c:pt idx="70">
                  <c:v>26.084000000000003</c:v>
                </c:pt>
                <c:pt idx="71">
                  <c:v>25.666599999999999</c:v>
                </c:pt>
                <c:pt idx="72">
                  <c:v>25.281399999999998</c:v>
                </c:pt>
                <c:pt idx="73">
                  <c:v>24.9346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29.5959</c:v>
                </c:pt>
                <c:pt idx="1">
                  <c:v>30.0031</c:v>
                </c:pt>
                <c:pt idx="2">
                  <c:v>30.599299999999999</c:v>
                </c:pt>
                <c:pt idx="3">
                  <c:v>30.975100000000001</c:v>
                </c:pt>
                <c:pt idx="4">
                  <c:v>31.350200000000001</c:v>
                </c:pt>
                <c:pt idx="5">
                  <c:v>31.7226</c:v>
                </c:pt>
                <c:pt idx="6">
                  <c:v>32.097799999999999</c:v>
                </c:pt>
                <c:pt idx="7">
                  <c:v>32.503700000000002</c:v>
                </c:pt>
                <c:pt idx="8">
                  <c:v>32.912799999999997</c:v>
                </c:pt>
                <c:pt idx="9">
                  <c:v>33.320500000000003</c:v>
                </c:pt>
                <c:pt idx="10">
                  <c:v>33.722299999999997</c:v>
                </c:pt>
                <c:pt idx="11">
                  <c:v>34.134</c:v>
                </c:pt>
                <c:pt idx="12">
                  <c:v>34.534799999999997</c:v>
                </c:pt>
                <c:pt idx="13">
                  <c:v>34.941499999999998</c:v>
                </c:pt>
                <c:pt idx="14">
                  <c:v>35.347799999999999</c:v>
                </c:pt>
                <c:pt idx="15">
                  <c:v>35.753</c:v>
                </c:pt>
                <c:pt idx="16">
                  <c:v>36.161099999999998</c:v>
                </c:pt>
                <c:pt idx="17">
                  <c:v>36.567999999999998</c:v>
                </c:pt>
                <c:pt idx="18">
                  <c:v>36.975700000000003</c:v>
                </c:pt>
                <c:pt idx="19">
                  <c:v>37.379100000000001</c:v>
                </c:pt>
                <c:pt idx="20">
                  <c:v>37.786700000000003</c:v>
                </c:pt>
                <c:pt idx="21">
                  <c:v>38.19</c:v>
                </c:pt>
                <c:pt idx="22">
                  <c:v>38.600200000000001</c:v>
                </c:pt>
                <c:pt idx="23">
                  <c:v>39.005000000000003</c:v>
                </c:pt>
                <c:pt idx="24">
                  <c:v>39.412700000000001</c:v>
                </c:pt>
                <c:pt idx="25">
                  <c:v>39.816499999999998</c:v>
                </c:pt>
                <c:pt idx="26">
                  <c:v>40.227400000000003</c:v>
                </c:pt>
                <c:pt idx="27">
                  <c:v>40.6312</c:v>
                </c:pt>
                <c:pt idx="28">
                  <c:v>41.034500000000001</c:v>
                </c:pt>
                <c:pt idx="29">
                  <c:v>41.445900000000002</c:v>
                </c:pt>
                <c:pt idx="30">
                  <c:v>41.848199999999999</c:v>
                </c:pt>
                <c:pt idx="31">
                  <c:v>42.256399999999999</c:v>
                </c:pt>
                <c:pt idx="32">
                  <c:v>42.662599999999998</c:v>
                </c:pt>
                <c:pt idx="33">
                  <c:v>43.063699999999997</c:v>
                </c:pt>
                <c:pt idx="34">
                  <c:v>43.4711</c:v>
                </c:pt>
                <c:pt idx="35">
                  <c:v>43.880099999999999</c:v>
                </c:pt>
                <c:pt idx="36">
                  <c:v>44.287799999999997</c:v>
                </c:pt>
                <c:pt idx="37">
                  <c:v>44.692999999999998</c:v>
                </c:pt>
                <c:pt idx="38">
                  <c:v>45.096800000000002</c:v>
                </c:pt>
                <c:pt idx="39">
                  <c:v>45.504100000000001</c:v>
                </c:pt>
                <c:pt idx="40">
                  <c:v>45.911999999999999</c:v>
                </c:pt>
                <c:pt idx="41">
                  <c:v>46.317900000000002</c:v>
                </c:pt>
                <c:pt idx="42">
                  <c:v>46.723599999999998</c:v>
                </c:pt>
                <c:pt idx="43">
                  <c:v>47.130800000000001</c:v>
                </c:pt>
                <c:pt idx="44">
                  <c:v>47.534700000000001</c:v>
                </c:pt>
                <c:pt idx="45">
                  <c:v>47.943300000000001</c:v>
                </c:pt>
                <c:pt idx="46">
                  <c:v>48.350499999999997</c:v>
                </c:pt>
                <c:pt idx="47">
                  <c:v>48.755699999999997</c:v>
                </c:pt>
                <c:pt idx="48">
                  <c:v>49.159399999999998</c:v>
                </c:pt>
                <c:pt idx="49">
                  <c:v>49.566499999999998</c:v>
                </c:pt>
                <c:pt idx="50">
                  <c:v>49.972900000000003</c:v>
                </c:pt>
                <c:pt idx="51">
                  <c:v>50.380800000000001</c:v>
                </c:pt>
                <c:pt idx="52">
                  <c:v>50.7879</c:v>
                </c:pt>
                <c:pt idx="53">
                  <c:v>51.191200000000002</c:v>
                </c:pt>
                <c:pt idx="54">
                  <c:v>51.596899999999998</c:v>
                </c:pt>
                <c:pt idx="55">
                  <c:v>52.004199999999997</c:v>
                </c:pt>
                <c:pt idx="56">
                  <c:v>52.414099999999998</c:v>
                </c:pt>
                <c:pt idx="57">
                  <c:v>52.817799999999998</c:v>
                </c:pt>
                <c:pt idx="58">
                  <c:v>53.220799999999997</c:v>
                </c:pt>
                <c:pt idx="59">
                  <c:v>53.626399999999997</c:v>
                </c:pt>
                <c:pt idx="60">
                  <c:v>54.038899999999998</c:v>
                </c:pt>
                <c:pt idx="61">
                  <c:v>54.445599999999999</c:v>
                </c:pt>
                <c:pt idx="62">
                  <c:v>54.849400000000003</c:v>
                </c:pt>
                <c:pt idx="63">
                  <c:v>55.253999999999998</c:v>
                </c:pt>
                <c:pt idx="64">
                  <c:v>55.6599</c:v>
                </c:pt>
                <c:pt idx="65">
                  <c:v>56.068800000000003</c:v>
                </c:pt>
                <c:pt idx="66">
                  <c:v>56.472799999999999</c:v>
                </c:pt>
                <c:pt idx="67">
                  <c:v>56.881999999999998</c:v>
                </c:pt>
                <c:pt idx="68">
                  <c:v>57.2866</c:v>
                </c:pt>
                <c:pt idx="69">
                  <c:v>57.689399999999999</c:v>
                </c:pt>
                <c:pt idx="70">
                  <c:v>58.097299999999997</c:v>
                </c:pt>
                <c:pt idx="71">
                  <c:v>58.506100000000004</c:v>
                </c:pt>
                <c:pt idx="72">
                  <c:v>58.912100000000002</c:v>
                </c:pt>
                <c:pt idx="73">
                  <c:v>59.3187</c:v>
                </c:pt>
                <c:pt idx="74">
                  <c:v>59.724899999999998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24.9346</c:v>
                </c:pt>
                <c:pt idx="1">
                  <c:v>24.645</c:v>
                </c:pt>
                <c:pt idx="2">
                  <c:v>24.358599999999999</c:v>
                </c:pt>
                <c:pt idx="3">
                  <c:v>24.1752</c:v>
                </c:pt>
                <c:pt idx="4">
                  <c:v>23.997</c:v>
                </c:pt>
                <c:pt idx="5">
                  <c:v>23.9056</c:v>
                </c:pt>
                <c:pt idx="6">
                  <c:v>23.8584</c:v>
                </c:pt>
                <c:pt idx="7">
                  <c:v>23.7925</c:v>
                </c:pt>
                <c:pt idx="8">
                  <c:v>23.789400000000001</c:v>
                </c:pt>
                <c:pt idx="9">
                  <c:v>23.794999999999998</c:v>
                </c:pt>
                <c:pt idx="10">
                  <c:v>23.768800000000002</c:v>
                </c:pt>
                <c:pt idx="11">
                  <c:v>23.662099999999999</c:v>
                </c:pt>
                <c:pt idx="12">
                  <c:v>23.544899999999998</c:v>
                </c:pt>
                <c:pt idx="13">
                  <c:v>23.3416</c:v>
                </c:pt>
                <c:pt idx="14">
                  <c:v>23.0974</c:v>
                </c:pt>
                <c:pt idx="15">
                  <c:v>22.9024</c:v>
                </c:pt>
                <c:pt idx="16">
                  <c:v>22.689899999999998</c:v>
                </c:pt>
                <c:pt idx="17">
                  <c:v>22.498000000000001</c:v>
                </c:pt>
                <c:pt idx="18">
                  <c:v>22.330100000000002</c:v>
                </c:pt>
                <c:pt idx="19">
                  <c:v>22.269500000000001</c:v>
                </c:pt>
                <c:pt idx="20">
                  <c:v>22.249700000000001</c:v>
                </c:pt>
                <c:pt idx="21">
                  <c:v>22.222799999999999</c:v>
                </c:pt>
                <c:pt idx="22">
                  <c:v>22.2378</c:v>
                </c:pt>
                <c:pt idx="23">
                  <c:v>22.305399999999999</c:v>
                </c:pt>
                <c:pt idx="24">
                  <c:v>22.3977</c:v>
                </c:pt>
                <c:pt idx="25">
                  <c:v>22.568099999999998</c:v>
                </c:pt>
                <c:pt idx="26">
                  <c:v>22.766500000000001</c:v>
                </c:pt>
                <c:pt idx="27">
                  <c:v>23.033000000000001</c:v>
                </c:pt>
                <c:pt idx="28">
                  <c:v>23.349900000000002</c:v>
                </c:pt>
                <c:pt idx="29">
                  <c:v>23.8263</c:v>
                </c:pt>
                <c:pt idx="30">
                  <c:v>24.266399999999997</c:v>
                </c:pt>
                <c:pt idx="31">
                  <c:v>24.685399999999998</c:v>
                </c:pt>
                <c:pt idx="32">
                  <c:v>25.160300000000003</c:v>
                </c:pt>
                <c:pt idx="33">
                  <c:v>25.646600000000003</c:v>
                </c:pt>
                <c:pt idx="34">
                  <c:v>26.151400000000002</c:v>
                </c:pt>
                <c:pt idx="35">
                  <c:v>26.693499999999997</c:v>
                </c:pt>
                <c:pt idx="36">
                  <c:v>27.2974</c:v>
                </c:pt>
                <c:pt idx="37">
                  <c:v>27.891700000000004</c:v>
                </c:pt>
                <c:pt idx="38">
                  <c:v>28.540300000000002</c:v>
                </c:pt>
                <c:pt idx="39">
                  <c:v>29.244799999999998</c:v>
                </c:pt>
                <c:pt idx="40">
                  <c:v>29.955100000000002</c:v>
                </c:pt>
                <c:pt idx="41">
                  <c:v>30.727</c:v>
                </c:pt>
                <c:pt idx="42">
                  <c:v>31.483899999999998</c:v>
                </c:pt>
                <c:pt idx="43">
                  <c:v>32.232699999999994</c:v>
                </c:pt>
                <c:pt idx="44">
                  <c:v>32.925600000000003</c:v>
                </c:pt>
                <c:pt idx="45">
                  <c:v>33.564</c:v>
                </c:pt>
                <c:pt idx="46">
                  <c:v>34.213200000000001</c:v>
                </c:pt>
                <c:pt idx="47">
                  <c:v>34.863699999999994</c:v>
                </c:pt>
                <c:pt idx="48">
                  <c:v>35.445399999999999</c:v>
                </c:pt>
                <c:pt idx="49">
                  <c:v>36.016500000000001</c:v>
                </c:pt>
                <c:pt idx="50">
                  <c:v>36.5535</c:v>
                </c:pt>
                <c:pt idx="51">
                  <c:v>36.884799999999998</c:v>
                </c:pt>
                <c:pt idx="52">
                  <c:v>37.2271</c:v>
                </c:pt>
                <c:pt idx="53">
                  <c:v>37.560500000000005</c:v>
                </c:pt>
                <c:pt idx="54">
                  <c:v>37.843900000000005</c:v>
                </c:pt>
                <c:pt idx="55">
                  <c:v>38.139699999999998</c:v>
                </c:pt>
                <c:pt idx="56">
                  <c:v>38.455300000000001</c:v>
                </c:pt>
                <c:pt idx="57">
                  <c:v>38.757799999999996</c:v>
                </c:pt>
                <c:pt idx="58">
                  <c:v>39.093899999999998</c:v>
                </c:pt>
                <c:pt idx="59">
                  <c:v>39.472999999999999</c:v>
                </c:pt>
                <c:pt idx="60">
                  <c:v>39.847200000000001</c:v>
                </c:pt>
                <c:pt idx="61">
                  <c:v>40.185400000000001</c:v>
                </c:pt>
                <c:pt idx="62">
                  <c:v>40.5655</c:v>
                </c:pt>
                <c:pt idx="63">
                  <c:v>41.001199999999997</c:v>
                </c:pt>
                <c:pt idx="64">
                  <c:v>41.347899999999996</c:v>
                </c:pt>
                <c:pt idx="65">
                  <c:v>41.622599999999998</c:v>
                </c:pt>
                <c:pt idx="66">
                  <c:v>41.837200000000003</c:v>
                </c:pt>
                <c:pt idx="67">
                  <c:v>42.009500000000003</c:v>
                </c:pt>
                <c:pt idx="68">
                  <c:v>42.164499999999997</c:v>
                </c:pt>
                <c:pt idx="69">
                  <c:v>42.344900000000003</c:v>
                </c:pt>
                <c:pt idx="70">
                  <c:v>42.578899999999997</c:v>
                </c:pt>
                <c:pt idx="71">
                  <c:v>42.711199999999998</c:v>
                </c:pt>
                <c:pt idx="72">
                  <c:v>42.6419</c:v>
                </c:pt>
                <c:pt idx="73">
                  <c:v>42.597000000000001</c:v>
                </c:pt>
                <c:pt idx="74">
                  <c:v>42.777799999999999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14.931225</c:v>
                </c:pt>
                <c:pt idx="1">
                  <c:v>44.793675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34.429739189189192</c:v>
                </c:pt>
                <c:pt idx="1">
                  <c:v>30.764941891891894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1.8407299999999998</c:v>
                </c:pt>
                <c:pt idx="1">
                  <c:v>1.8867800000000001</c:v>
                </c:pt>
                <c:pt idx="2">
                  <c:v>1.93411</c:v>
                </c:pt>
                <c:pt idx="3">
                  <c:v>1.98129</c:v>
                </c:pt>
                <c:pt idx="4">
                  <c:v>2.0296500000000002</c:v>
                </c:pt>
                <c:pt idx="5">
                  <c:v>2.08182</c:v>
                </c:pt>
                <c:pt idx="6">
                  <c:v>2.1368300000000002</c:v>
                </c:pt>
                <c:pt idx="7">
                  <c:v>2.1943899999999998</c:v>
                </c:pt>
                <c:pt idx="8">
                  <c:v>2.2543500000000001</c:v>
                </c:pt>
                <c:pt idx="9">
                  <c:v>2.3140200000000002</c:v>
                </c:pt>
                <c:pt idx="10">
                  <c:v>2.37418</c:v>
                </c:pt>
                <c:pt idx="11">
                  <c:v>2.4327800000000002</c:v>
                </c:pt>
                <c:pt idx="12">
                  <c:v>2.49457</c:v>
                </c:pt>
                <c:pt idx="13">
                  <c:v>2.5575900000000003</c:v>
                </c:pt>
                <c:pt idx="14">
                  <c:v>2.6237399999999997</c:v>
                </c:pt>
                <c:pt idx="15">
                  <c:v>2.6910400000000001</c:v>
                </c:pt>
                <c:pt idx="16">
                  <c:v>2.7604299999999999</c:v>
                </c:pt>
                <c:pt idx="17">
                  <c:v>2.8317199999999998</c:v>
                </c:pt>
                <c:pt idx="18">
                  <c:v>2.9015000000000004</c:v>
                </c:pt>
                <c:pt idx="19">
                  <c:v>2.96767</c:v>
                </c:pt>
                <c:pt idx="20">
                  <c:v>3.03064</c:v>
                </c:pt>
                <c:pt idx="21">
                  <c:v>3.09023</c:v>
                </c:pt>
                <c:pt idx="22">
                  <c:v>3.1463799999999997</c:v>
                </c:pt>
                <c:pt idx="23">
                  <c:v>3.2010499999999995</c:v>
                </c:pt>
                <c:pt idx="24">
                  <c:v>3.2566800000000002</c:v>
                </c:pt>
                <c:pt idx="25">
                  <c:v>3.3126100000000003</c:v>
                </c:pt>
                <c:pt idx="26">
                  <c:v>3.36598</c:v>
                </c:pt>
                <c:pt idx="27">
                  <c:v>3.4196599999999999</c:v>
                </c:pt>
                <c:pt idx="28">
                  <c:v>3.4727799999999998</c:v>
                </c:pt>
                <c:pt idx="29">
                  <c:v>3.5266099999999998</c:v>
                </c:pt>
                <c:pt idx="30">
                  <c:v>3.5817999999999999</c:v>
                </c:pt>
                <c:pt idx="31">
                  <c:v>3.6392600000000002</c:v>
                </c:pt>
                <c:pt idx="32">
                  <c:v>3.6971700000000003</c:v>
                </c:pt>
                <c:pt idx="33">
                  <c:v>3.7568299999999999</c:v>
                </c:pt>
                <c:pt idx="34">
                  <c:v>3.8145800000000003</c:v>
                </c:pt>
                <c:pt idx="35">
                  <c:v>3.8711800000000003</c:v>
                </c:pt>
                <c:pt idx="36">
                  <c:v>3.9245600000000005</c:v>
                </c:pt>
                <c:pt idx="37">
                  <c:v>3.9739900000000001</c:v>
                </c:pt>
                <c:pt idx="38">
                  <c:v>4.0211999999999994</c:v>
                </c:pt>
                <c:pt idx="39">
                  <c:v>4.0644299999999998</c:v>
                </c:pt>
                <c:pt idx="40">
                  <c:v>4.1003600000000002</c:v>
                </c:pt>
                <c:pt idx="41">
                  <c:v>4.1291399999999996</c:v>
                </c:pt>
                <c:pt idx="42">
                  <c:v>4.1512799999999999</c:v>
                </c:pt>
                <c:pt idx="43">
                  <c:v>4.1708400000000001</c:v>
                </c:pt>
                <c:pt idx="44">
                  <c:v>4.1880800000000002</c:v>
                </c:pt>
                <c:pt idx="45">
                  <c:v>4.2019700000000002</c:v>
                </c:pt>
                <c:pt idx="46">
                  <c:v>4.21591</c:v>
                </c:pt>
                <c:pt idx="47">
                  <c:v>4.2290400000000004</c:v>
                </c:pt>
                <c:pt idx="48">
                  <c:v>4.2405400000000002</c:v>
                </c:pt>
                <c:pt idx="49">
                  <c:v>4.2492400000000004</c:v>
                </c:pt>
                <c:pt idx="50">
                  <c:v>4.2603200000000001</c:v>
                </c:pt>
                <c:pt idx="51">
                  <c:v>4.2658100000000001</c:v>
                </c:pt>
                <c:pt idx="52">
                  <c:v>4.2686099999999998</c:v>
                </c:pt>
                <c:pt idx="53">
                  <c:v>4.2706200000000001</c:v>
                </c:pt>
                <c:pt idx="54">
                  <c:v>4.2686600000000006</c:v>
                </c:pt>
                <c:pt idx="55">
                  <c:v>4.2598000000000003</c:v>
                </c:pt>
                <c:pt idx="56">
                  <c:v>4.24559</c:v>
                </c:pt>
                <c:pt idx="57">
                  <c:v>4.2274200000000004</c:v>
                </c:pt>
                <c:pt idx="58">
                  <c:v>4.2046999999999999</c:v>
                </c:pt>
                <c:pt idx="59">
                  <c:v>4.1800600000000001</c:v>
                </c:pt>
                <c:pt idx="60">
                  <c:v>4.1523900000000005</c:v>
                </c:pt>
                <c:pt idx="61">
                  <c:v>4.1235200000000001</c:v>
                </c:pt>
                <c:pt idx="62">
                  <c:v>4.0917399999999997</c:v>
                </c:pt>
                <c:pt idx="63">
                  <c:v>4.0588199999999999</c:v>
                </c:pt>
                <c:pt idx="64">
                  <c:v>4.0250700000000004</c:v>
                </c:pt>
                <c:pt idx="65">
                  <c:v>3.9959099999999999</c:v>
                </c:pt>
                <c:pt idx="66">
                  <c:v>3.9699499999999999</c:v>
                </c:pt>
                <c:pt idx="67">
                  <c:v>3.9447100000000002</c:v>
                </c:pt>
                <c:pt idx="68">
                  <c:v>3.9174199999999999</c:v>
                </c:pt>
                <c:pt idx="69">
                  <c:v>3.8917899999999999</c:v>
                </c:pt>
                <c:pt idx="70">
                  <c:v>3.8695499999999998</c:v>
                </c:pt>
                <c:pt idx="71">
                  <c:v>3.8463799999999999</c:v>
                </c:pt>
                <c:pt idx="72">
                  <c:v>3.8228600000000004</c:v>
                </c:pt>
                <c:pt idx="73">
                  <c:v>3.79928</c:v>
                </c:pt>
                <c:pt idx="74">
                  <c:v>3.7750299999999997</c:v>
                </c:pt>
                <c:pt idx="75">
                  <c:v>3.7442099999999998</c:v>
                </c:pt>
                <c:pt idx="76">
                  <c:v>3.7203300000000001</c:v>
                </c:pt>
                <c:pt idx="77">
                  <c:v>3.6957100000000001</c:v>
                </c:pt>
                <c:pt idx="78">
                  <c:v>3.67232</c:v>
                </c:pt>
                <c:pt idx="79">
                  <c:v>3.6530899999999997</c:v>
                </c:pt>
                <c:pt idx="80">
                  <c:v>3.6381899999999998</c:v>
                </c:pt>
                <c:pt idx="81">
                  <c:v>3.6246099999999997</c:v>
                </c:pt>
                <c:pt idx="82">
                  <c:v>3.6127799999999999</c:v>
                </c:pt>
                <c:pt idx="83">
                  <c:v>3.60311</c:v>
                </c:pt>
                <c:pt idx="84">
                  <c:v>3.5972599999999999</c:v>
                </c:pt>
                <c:pt idx="85">
                  <c:v>3.59253</c:v>
                </c:pt>
                <c:pt idx="86">
                  <c:v>3.59077</c:v>
                </c:pt>
                <c:pt idx="87">
                  <c:v>3.5896099999999995</c:v>
                </c:pt>
                <c:pt idx="88">
                  <c:v>3.5883799999999999</c:v>
                </c:pt>
                <c:pt idx="89">
                  <c:v>3.5876700000000001</c:v>
                </c:pt>
                <c:pt idx="90">
                  <c:v>3.5876900000000003</c:v>
                </c:pt>
                <c:pt idx="91">
                  <c:v>3.5898300000000001</c:v>
                </c:pt>
                <c:pt idx="92">
                  <c:v>3.5965000000000003</c:v>
                </c:pt>
                <c:pt idx="93">
                  <c:v>3.6068800000000003</c:v>
                </c:pt>
                <c:pt idx="94">
                  <c:v>3.62168</c:v>
                </c:pt>
                <c:pt idx="95">
                  <c:v>3.6419899999999998</c:v>
                </c:pt>
                <c:pt idx="96">
                  <c:v>3.6669200000000002</c:v>
                </c:pt>
                <c:pt idx="97">
                  <c:v>3.69685</c:v>
                </c:pt>
                <c:pt idx="98">
                  <c:v>3.7313900000000002</c:v>
                </c:pt>
                <c:pt idx="99">
                  <c:v>3.7670199999999996</c:v>
                </c:pt>
                <c:pt idx="100">
                  <c:v>3.8024200000000001</c:v>
                </c:pt>
                <c:pt idx="101">
                  <c:v>3.8372099999999998</c:v>
                </c:pt>
                <c:pt idx="102">
                  <c:v>3.8691300000000002</c:v>
                </c:pt>
                <c:pt idx="103">
                  <c:v>3.8983600000000003</c:v>
                </c:pt>
                <c:pt idx="104">
                  <c:v>3.9249700000000001</c:v>
                </c:pt>
                <c:pt idx="105">
                  <c:v>3.9518399999999998</c:v>
                </c:pt>
                <c:pt idx="106">
                  <c:v>3.9776899999999999</c:v>
                </c:pt>
                <c:pt idx="107">
                  <c:v>4.0025300000000001</c:v>
                </c:pt>
                <c:pt idx="108">
                  <c:v>4.0211999999999994</c:v>
                </c:pt>
                <c:pt idx="109">
                  <c:v>4.0324299999999997</c:v>
                </c:pt>
                <c:pt idx="110">
                  <c:v>4.0428699999999997</c:v>
                </c:pt>
                <c:pt idx="111">
                  <c:v>4.0541999999999998</c:v>
                </c:pt>
                <c:pt idx="112">
                  <c:v>4.0626199999999999</c:v>
                </c:pt>
                <c:pt idx="113">
                  <c:v>4.07226</c:v>
                </c:pt>
                <c:pt idx="114">
                  <c:v>4.0787599999999999</c:v>
                </c:pt>
                <c:pt idx="115">
                  <c:v>4.0833300000000001</c:v>
                </c:pt>
                <c:pt idx="116">
                  <c:v>4.0878899999999998</c:v>
                </c:pt>
                <c:pt idx="117">
                  <c:v>4.0927799999999994</c:v>
                </c:pt>
                <c:pt idx="118">
                  <c:v>4.0972299999999997</c:v>
                </c:pt>
                <c:pt idx="119">
                  <c:v>4.1004399999999999</c:v>
                </c:pt>
                <c:pt idx="120">
                  <c:v>4.1020500000000002</c:v>
                </c:pt>
                <c:pt idx="121">
                  <c:v>4.10379</c:v>
                </c:pt>
                <c:pt idx="122">
                  <c:v>4.10487</c:v>
                </c:pt>
                <c:pt idx="123">
                  <c:v>4.1074299999999999</c:v>
                </c:pt>
                <c:pt idx="124">
                  <c:v>4.1053899999999999</c:v>
                </c:pt>
                <c:pt idx="125">
                  <c:v>4.1026699999999998</c:v>
                </c:pt>
                <c:pt idx="126">
                  <c:v>4.1000700000000005</c:v>
                </c:pt>
                <c:pt idx="127">
                  <c:v>4.0978399999999997</c:v>
                </c:pt>
                <c:pt idx="128">
                  <c:v>4.0953900000000001</c:v>
                </c:pt>
                <c:pt idx="129">
                  <c:v>4.09206</c:v>
                </c:pt>
                <c:pt idx="130">
                  <c:v>4.0861999999999998</c:v>
                </c:pt>
                <c:pt idx="131">
                  <c:v>4.0781799999999997</c:v>
                </c:pt>
                <c:pt idx="132">
                  <c:v>4.0695300000000003</c:v>
                </c:pt>
                <c:pt idx="133">
                  <c:v>4.0635300000000001</c:v>
                </c:pt>
                <c:pt idx="134">
                  <c:v>4.0601599999999998</c:v>
                </c:pt>
                <c:pt idx="135">
                  <c:v>4.0564800000000005</c:v>
                </c:pt>
                <c:pt idx="136">
                  <c:v>4.0500600000000002</c:v>
                </c:pt>
                <c:pt idx="137">
                  <c:v>4.0493600000000001</c:v>
                </c:pt>
                <c:pt idx="138">
                  <c:v>4.0464799999999999</c:v>
                </c:pt>
                <c:pt idx="139">
                  <c:v>4.0489199999999999</c:v>
                </c:pt>
                <c:pt idx="140">
                  <c:v>4.0561400000000001</c:v>
                </c:pt>
                <c:pt idx="141">
                  <c:v>4.0651200000000003</c:v>
                </c:pt>
                <c:pt idx="142">
                  <c:v>4.07545</c:v>
                </c:pt>
                <c:pt idx="143">
                  <c:v>4.08962</c:v>
                </c:pt>
                <c:pt idx="144">
                  <c:v>4.1084500000000004</c:v>
                </c:pt>
                <c:pt idx="145">
                  <c:v>4.13347</c:v>
                </c:pt>
                <c:pt idx="146">
                  <c:v>4.1627999999999998</c:v>
                </c:pt>
                <c:pt idx="147">
                  <c:v>4.1989900000000002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61.367600000000003</c:v>
                </c:pt>
                <c:pt idx="1">
                  <c:v>60.4101</c:v>
                </c:pt>
                <c:pt idx="2">
                  <c:v>59.299599999999998</c:v>
                </c:pt>
                <c:pt idx="3">
                  <c:v>58.153799999999997</c:v>
                </c:pt>
                <c:pt idx="4">
                  <c:v>56.811199999999992</c:v>
                </c:pt>
                <c:pt idx="5">
                  <c:v>55.399100000000004</c:v>
                </c:pt>
                <c:pt idx="6">
                  <c:v>53.951999999999998</c:v>
                </c:pt>
                <c:pt idx="7">
                  <c:v>52.497400000000006</c:v>
                </c:pt>
                <c:pt idx="8">
                  <c:v>50.902899999999995</c:v>
                </c:pt>
                <c:pt idx="9">
                  <c:v>49.266399999999997</c:v>
                </c:pt>
                <c:pt idx="10">
                  <c:v>47.687000000000005</c:v>
                </c:pt>
                <c:pt idx="11">
                  <c:v>46.195399999999999</c:v>
                </c:pt>
                <c:pt idx="12">
                  <c:v>44.655000000000001</c:v>
                </c:pt>
                <c:pt idx="13">
                  <c:v>43.075400000000002</c:v>
                </c:pt>
                <c:pt idx="14">
                  <c:v>41.392099999999999</c:v>
                </c:pt>
                <c:pt idx="15">
                  <c:v>39.719900000000003</c:v>
                </c:pt>
                <c:pt idx="16">
                  <c:v>38.1233</c:v>
                </c:pt>
                <c:pt idx="17">
                  <c:v>36.628399999999999</c:v>
                </c:pt>
                <c:pt idx="18">
                  <c:v>35.326099999999997</c:v>
                </c:pt>
                <c:pt idx="19">
                  <c:v>34.303200000000004</c:v>
                </c:pt>
                <c:pt idx="20">
                  <c:v>33.511600000000001</c:v>
                </c:pt>
                <c:pt idx="21">
                  <c:v>32.893899999999995</c:v>
                </c:pt>
                <c:pt idx="22">
                  <c:v>32.372099999999996</c:v>
                </c:pt>
                <c:pt idx="23">
                  <c:v>31.963900000000002</c:v>
                </c:pt>
                <c:pt idx="24">
                  <c:v>31.610599999999998</c:v>
                </c:pt>
                <c:pt idx="25">
                  <c:v>31.306699999999999</c:v>
                </c:pt>
                <c:pt idx="26">
                  <c:v>31.096299999999999</c:v>
                </c:pt>
                <c:pt idx="27">
                  <c:v>30.926300000000001</c:v>
                </c:pt>
                <c:pt idx="28">
                  <c:v>30.8125</c:v>
                </c:pt>
                <c:pt idx="29">
                  <c:v>30.710500000000003</c:v>
                </c:pt>
                <c:pt idx="30">
                  <c:v>30.512699999999999</c:v>
                </c:pt>
                <c:pt idx="31">
                  <c:v>30.238900000000001</c:v>
                </c:pt>
                <c:pt idx="32">
                  <c:v>29.8522</c:v>
                </c:pt>
                <c:pt idx="33">
                  <c:v>29.433700000000002</c:v>
                </c:pt>
                <c:pt idx="34">
                  <c:v>29.055299999999999</c:v>
                </c:pt>
                <c:pt idx="35">
                  <c:v>28.7761</c:v>
                </c:pt>
                <c:pt idx="36">
                  <c:v>28.632800000000003</c:v>
                </c:pt>
                <c:pt idx="37">
                  <c:v>28.539199999999997</c:v>
                </c:pt>
                <c:pt idx="38">
                  <c:v>28.523799999999998</c:v>
                </c:pt>
                <c:pt idx="39">
                  <c:v>28.565000000000001</c:v>
                </c:pt>
                <c:pt idx="40">
                  <c:v>28.736800000000002</c:v>
                </c:pt>
                <c:pt idx="41">
                  <c:v>28.928900000000002</c:v>
                </c:pt>
                <c:pt idx="42">
                  <c:v>29.082699999999999</c:v>
                </c:pt>
                <c:pt idx="43">
                  <c:v>29.242800000000003</c:v>
                </c:pt>
                <c:pt idx="44">
                  <c:v>29.462199999999999</c:v>
                </c:pt>
                <c:pt idx="45">
                  <c:v>29.700900000000001</c:v>
                </c:pt>
                <c:pt idx="46">
                  <c:v>29.9664</c:v>
                </c:pt>
                <c:pt idx="47">
                  <c:v>30.249199999999998</c:v>
                </c:pt>
                <c:pt idx="48">
                  <c:v>30.425200000000004</c:v>
                </c:pt>
                <c:pt idx="49">
                  <c:v>30.497999999999998</c:v>
                </c:pt>
                <c:pt idx="50">
                  <c:v>30.567</c:v>
                </c:pt>
                <c:pt idx="51">
                  <c:v>30.536600000000004</c:v>
                </c:pt>
                <c:pt idx="52">
                  <c:v>30.4526</c:v>
                </c:pt>
                <c:pt idx="53">
                  <c:v>30.317499999999995</c:v>
                </c:pt>
                <c:pt idx="54">
                  <c:v>30.1267</c:v>
                </c:pt>
                <c:pt idx="55">
                  <c:v>29.845800000000001</c:v>
                </c:pt>
                <c:pt idx="56">
                  <c:v>29.559800000000003</c:v>
                </c:pt>
                <c:pt idx="57">
                  <c:v>29.254300000000001</c:v>
                </c:pt>
                <c:pt idx="58">
                  <c:v>29.0244</c:v>
                </c:pt>
                <c:pt idx="59">
                  <c:v>28.807700000000004</c:v>
                </c:pt>
                <c:pt idx="60">
                  <c:v>28.616000000000003</c:v>
                </c:pt>
                <c:pt idx="61">
                  <c:v>28.382600000000004</c:v>
                </c:pt>
                <c:pt idx="62">
                  <c:v>28.171800000000001</c:v>
                </c:pt>
                <c:pt idx="63">
                  <c:v>28.014699999999998</c:v>
                </c:pt>
                <c:pt idx="64">
                  <c:v>27.842499999999998</c:v>
                </c:pt>
                <c:pt idx="65">
                  <c:v>27.654199999999999</c:v>
                </c:pt>
                <c:pt idx="66">
                  <c:v>27.410899999999998</c:v>
                </c:pt>
                <c:pt idx="67">
                  <c:v>27.138500000000001</c:v>
                </c:pt>
                <c:pt idx="68">
                  <c:v>26.820599999999999</c:v>
                </c:pt>
                <c:pt idx="69">
                  <c:v>26.496799999999997</c:v>
                </c:pt>
                <c:pt idx="70">
                  <c:v>26.084000000000003</c:v>
                </c:pt>
                <c:pt idx="71">
                  <c:v>25.666599999999999</c:v>
                </c:pt>
                <c:pt idx="72">
                  <c:v>25.281399999999998</c:v>
                </c:pt>
                <c:pt idx="73">
                  <c:v>24.9346</c:v>
                </c:pt>
                <c:pt idx="74">
                  <c:v>24.645</c:v>
                </c:pt>
                <c:pt idx="75">
                  <c:v>24.358599999999999</c:v>
                </c:pt>
                <c:pt idx="76">
                  <c:v>24.1752</c:v>
                </c:pt>
                <c:pt idx="77">
                  <c:v>23.997</c:v>
                </c:pt>
                <c:pt idx="78">
                  <c:v>23.9056</c:v>
                </c:pt>
                <c:pt idx="79">
                  <c:v>23.8584</c:v>
                </c:pt>
                <c:pt idx="80">
                  <c:v>23.7925</c:v>
                </c:pt>
                <c:pt idx="81">
                  <c:v>23.789400000000001</c:v>
                </c:pt>
                <c:pt idx="82">
                  <c:v>23.794999999999998</c:v>
                </c:pt>
                <c:pt idx="83">
                  <c:v>23.768800000000002</c:v>
                </c:pt>
                <c:pt idx="84">
                  <c:v>23.662099999999999</c:v>
                </c:pt>
                <c:pt idx="85">
                  <c:v>23.544899999999998</c:v>
                </c:pt>
                <c:pt idx="86">
                  <c:v>23.3416</c:v>
                </c:pt>
                <c:pt idx="87">
                  <c:v>23.0974</c:v>
                </c:pt>
                <c:pt idx="88">
                  <c:v>22.9024</c:v>
                </c:pt>
                <c:pt idx="89">
                  <c:v>22.689899999999998</c:v>
                </c:pt>
                <c:pt idx="90">
                  <c:v>22.498000000000001</c:v>
                </c:pt>
                <c:pt idx="91">
                  <c:v>22.330100000000002</c:v>
                </c:pt>
                <c:pt idx="92">
                  <c:v>22.269500000000001</c:v>
                </c:pt>
                <c:pt idx="93">
                  <c:v>22.249700000000001</c:v>
                </c:pt>
                <c:pt idx="94">
                  <c:v>22.222799999999999</c:v>
                </c:pt>
                <c:pt idx="95">
                  <c:v>22.2378</c:v>
                </c:pt>
                <c:pt idx="96">
                  <c:v>22.305399999999999</c:v>
                </c:pt>
                <c:pt idx="97">
                  <c:v>22.3977</c:v>
                </c:pt>
                <c:pt idx="98">
                  <c:v>22.568099999999998</c:v>
                </c:pt>
                <c:pt idx="99">
                  <c:v>22.766500000000001</c:v>
                </c:pt>
                <c:pt idx="100">
                  <c:v>23.033000000000001</c:v>
                </c:pt>
                <c:pt idx="101">
                  <c:v>23.349900000000002</c:v>
                </c:pt>
                <c:pt idx="102">
                  <c:v>23.8263</c:v>
                </c:pt>
                <c:pt idx="103">
                  <c:v>24.266399999999997</c:v>
                </c:pt>
                <c:pt idx="104">
                  <c:v>24.685399999999998</c:v>
                </c:pt>
                <c:pt idx="105">
                  <c:v>25.160300000000003</c:v>
                </c:pt>
                <c:pt idx="106">
                  <c:v>25.646600000000003</c:v>
                </c:pt>
                <c:pt idx="107">
                  <c:v>26.151400000000002</c:v>
                </c:pt>
                <c:pt idx="108">
                  <c:v>26.693499999999997</c:v>
                </c:pt>
                <c:pt idx="109">
                  <c:v>27.2974</c:v>
                </c:pt>
                <c:pt idx="110">
                  <c:v>27.891700000000004</c:v>
                </c:pt>
                <c:pt idx="111">
                  <c:v>28.540300000000002</c:v>
                </c:pt>
                <c:pt idx="112">
                  <c:v>29.244799999999998</c:v>
                </c:pt>
                <c:pt idx="113">
                  <c:v>29.955100000000002</c:v>
                </c:pt>
                <c:pt idx="114">
                  <c:v>30.727</c:v>
                </c:pt>
                <c:pt idx="115">
                  <c:v>31.483899999999998</c:v>
                </c:pt>
                <c:pt idx="116">
                  <c:v>32.232699999999994</c:v>
                </c:pt>
                <c:pt idx="117">
                  <c:v>32.925600000000003</c:v>
                </c:pt>
                <c:pt idx="118">
                  <c:v>33.564</c:v>
                </c:pt>
                <c:pt idx="119">
                  <c:v>34.213200000000001</c:v>
                </c:pt>
                <c:pt idx="120">
                  <c:v>34.863699999999994</c:v>
                </c:pt>
                <c:pt idx="121">
                  <c:v>35.445399999999999</c:v>
                </c:pt>
                <c:pt idx="122">
                  <c:v>36.016500000000001</c:v>
                </c:pt>
                <c:pt idx="123">
                  <c:v>36.5535</c:v>
                </c:pt>
                <c:pt idx="124">
                  <c:v>36.884799999999998</c:v>
                </c:pt>
                <c:pt idx="125">
                  <c:v>37.2271</c:v>
                </c:pt>
                <c:pt idx="126">
                  <c:v>37.560500000000005</c:v>
                </c:pt>
                <c:pt idx="127">
                  <c:v>37.843900000000005</c:v>
                </c:pt>
                <c:pt idx="128">
                  <c:v>38.139699999999998</c:v>
                </c:pt>
                <c:pt idx="129">
                  <c:v>38.455300000000001</c:v>
                </c:pt>
                <c:pt idx="130">
                  <c:v>38.757799999999996</c:v>
                </c:pt>
                <c:pt idx="131">
                  <c:v>39.093899999999998</c:v>
                </c:pt>
                <c:pt idx="132">
                  <c:v>39.472999999999999</c:v>
                </c:pt>
                <c:pt idx="133">
                  <c:v>39.847200000000001</c:v>
                </c:pt>
                <c:pt idx="134">
                  <c:v>40.185400000000001</c:v>
                </c:pt>
                <c:pt idx="135">
                  <c:v>40.5655</c:v>
                </c:pt>
                <c:pt idx="136">
                  <c:v>41.001199999999997</c:v>
                </c:pt>
                <c:pt idx="137">
                  <c:v>41.347899999999996</c:v>
                </c:pt>
                <c:pt idx="138">
                  <c:v>41.622599999999998</c:v>
                </c:pt>
                <c:pt idx="139">
                  <c:v>41.837200000000003</c:v>
                </c:pt>
                <c:pt idx="140">
                  <c:v>42.009500000000003</c:v>
                </c:pt>
                <c:pt idx="141">
                  <c:v>42.164499999999997</c:v>
                </c:pt>
                <c:pt idx="142">
                  <c:v>42.344900000000003</c:v>
                </c:pt>
                <c:pt idx="143">
                  <c:v>42.578899999999997</c:v>
                </c:pt>
                <c:pt idx="144">
                  <c:v>42.711199999999998</c:v>
                </c:pt>
                <c:pt idx="145">
                  <c:v>42.6419</c:v>
                </c:pt>
                <c:pt idx="146">
                  <c:v>42.597000000000001</c:v>
                </c:pt>
                <c:pt idx="147">
                  <c:v>42.777799999999999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1.8407299999999998</c:v>
                </c:pt>
                <c:pt idx="1">
                  <c:v>1.8867800000000001</c:v>
                </c:pt>
                <c:pt idx="2">
                  <c:v>1.93411</c:v>
                </c:pt>
                <c:pt idx="3">
                  <c:v>1.98129</c:v>
                </c:pt>
                <c:pt idx="4">
                  <c:v>2.0296500000000002</c:v>
                </c:pt>
                <c:pt idx="5">
                  <c:v>2.08182</c:v>
                </c:pt>
                <c:pt idx="6">
                  <c:v>2.1368300000000002</c:v>
                </c:pt>
                <c:pt idx="7">
                  <c:v>2.1943899999999998</c:v>
                </c:pt>
                <c:pt idx="8">
                  <c:v>2.2543500000000001</c:v>
                </c:pt>
                <c:pt idx="9">
                  <c:v>2.3140200000000002</c:v>
                </c:pt>
                <c:pt idx="10">
                  <c:v>2.37418</c:v>
                </c:pt>
                <c:pt idx="11">
                  <c:v>2.4327800000000002</c:v>
                </c:pt>
                <c:pt idx="12">
                  <c:v>2.49457</c:v>
                </c:pt>
                <c:pt idx="13">
                  <c:v>2.5575900000000003</c:v>
                </c:pt>
                <c:pt idx="14">
                  <c:v>2.6237399999999997</c:v>
                </c:pt>
                <c:pt idx="15">
                  <c:v>2.6910400000000001</c:v>
                </c:pt>
                <c:pt idx="16">
                  <c:v>2.7604299999999999</c:v>
                </c:pt>
                <c:pt idx="17">
                  <c:v>2.8317199999999998</c:v>
                </c:pt>
                <c:pt idx="18">
                  <c:v>2.9015000000000004</c:v>
                </c:pt>
                <c:pt idx="19">
                  <c:v>2.96767</c:v>
                </c:pt>
                <c:pt idx="20">
                  <c:v>3.03064</c:v>
                </c:pt>
                <c:pt idx="21">
                  <c:v>3.09023</c:v>
                </c:pt>
                <c:pt idx="22">
                  <c:v>3.1463799999999997</c:v>
                </c:pt>
                <c:pt idx="23">
                  <c:v>3.2010499999999995</c:v>
                </c:pt>
                <c:pt idx="24">
                  <c:v>3.2566800000000002</c:v>
                </c:pt>
                <c:pt idx="25">
                  <c:v>3.3126100000000003</c:v>
                </c:pt>
                <c:pt idx="26">
                  <c:v>3.36598</c:v>
                </c:pt>
                <c:pt idx="27">
                  <c:v>3.4196599999999999</c:v>
                </c:pt>
                <c:pt idx="28">
                  <c:v>3.4727799999999998</c:v>
                </c:pt>
                <c:pt idx="29">
                  <c:v>3.5266099999999998</c:v>
                </c:pt>
                <c:pt idx="30">
                  <c:v>3.5817999999999999</c:v>
                </c:pt>
                <c:pt idx="31">
                  <c:v>3.6392600000000002</c:v>
                </c:pt>
                <c:pt idx="32">
                  <c:v>3.6971700000000003</c:v>
                </c:pt>
                <c:pt idx="33">
                  <c:v>3.7568299999999999</c:v>
                </c:pt>
                <c:pt idx="34">
                  <c:v>3.8145800000000003</c:v>
                </c:pt>
                <c:pt idx="35">
                  <c:v>3.8711800000000003</c:v>
                </c:pt>
                <c:pt idx="36">
                  <c:v>3.9245600000000005</c:v>
                </c:pt>
                <c:pt idx="37">
                  <c:v>3.9739900000000001</c:v>
                </c:pt>
                <c:pt idx="38">
                  <c:v>4.0211999999999994</c:v>
                </c:pt>
                <c:pt idx="39">
                  <c:v>4.0644299999999998</c:v>
                </c:pt>
                <c:pt idx="40">
                  <c:v>4.1003600000000002</c:v>
                </c:pt>
                <c:pt idx="41">
                  <c:v>4.1291399999999996</c:v>
                </c:pt>
                <c:pt idx="42">
                  <c:v>4.1512799999999999</c:v>
                </c:pt>
                <c:pt idx="43">
                  <c:v>4.1708400000000001</c:v>
                </c:pt>
                <c:pt idx="44">
                  <c:v>4.1880800000000002</c:v>
                </c:pt>
                <c:pt idx="45">
                  <c:v>4.2019700000000002</c:v>
                </c:pt>
                <c:pt idx="46">
                  <c:v>4.21591</c:v>
                </c:pt>
                <c:pt idx="47">
                  <c:v>4.2290400000000004</c:v>
                </c:pt>
                <c:pt idx="48">
                  <c:v>4.2405400000000002</c:v>
                </c:pt>
                <c:pt idx="49">
                  <c:v>4.2492400000000004</c:v>
                </c:pt>
                <c:pt idx="50">
                  <c:v>4.2603200000000001</c:v>
                </c:pt>
                <c:pt idx="51">
                  <c:v>4.2658100000000001</c:v>
                </c:pt>
                <c:pt idx="52">
                  <c:v>4.2686099999999998</c:v>
                </c:pt>
                <c:pt idx="53">
                  <c:v>4.2706200000000001</c:v>
                </c:pt>
                <c:pt idx="54">
                  <c:v>4.2686600000000006</c:v>
                </c:pt>
                <c:pt idx="55">
                  <c:v>4.2598000000000003</c:v>
                </c:pt>
                <c:pt idx="56">
                  <c:v>4.24559</c:v>
                </c:pt>
                <c:pt idx="57">
                  <c:v>4.2274200000000004</c:v>
                </c:pt>
                <c:pt idx="58">
                  <c:v>4.2046999999999999</c:v>
                </c:pt>
                <c:pt idx="59">
                  <c:v>4.1800600000000001</c:v>
                </c:pt>
                <c:pt idx="60">
                  <c:v>4.1523900000000005</c:v>
                </c:pt>
                <c:pt idx="61">
                  <c:v>4.1235200000000001</c:v>
                </c:pt>
                <c:pt idx="62">
                  <c:v>4.0917399999999997</c:v>
                </c:pt>
                <c:pt idx="63">
                  <c:v>4.0588199999999999</c:v>
                </c:pt>
                <c:pt idx="64">
                  <c:v>4.0250700000000004</c:v>
                </c:pt>
                <c:pt idx="65">
                  <c:v>3.9959099999999999</c:v>
                </c:pt>
                <c:pt idx="66">
                  <c:v>3.9699499999999999</c:v>
                </c:pt>
                <c:pt idx="67">
                  <c:v>3.9447100000000002</c:v>
                </c:pt>
                <c:pt idx="68">
                  <c:v>3.9174199999999999</c:v>
                </c:pt>
                <c:pt idx="69">
                  <c:v>3.8917899999999999</c:v>
                </c:pt>
                <c:pt idx="70">
                  <c:v>3.8695499999999998</c:v>
                </c:pt>
                <c:pt idx="71">
                  <c:v>3.8463799999999999</c:v>
                </c:pt>
                <c:pt idx="72">
                  <c:v>3.8228600000000004</c:v>
                </c:pt>
                <c:pt idx="73">
                  <c:v>3.79928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61.367600000000003</c:v>
                </c:pt>
                <c:pt idx="1">
                  <c:v>60.4101</c:v>
                </c:pt>
                <c:pt idx="2">
                  <c:v>59.299599999999998</c:v>
                </c:pt>
                <c:pt idx="3">
                  <c:v>58.153799999999997</c:v>
                </c:pt>
                <c:pt idx="4">
                  <c:v>56.811199999999992</c:v>
                </c:pt>
                <c:pt idx="5">
                  <c:v>55.399100000000004</c:v>
                </c:pt>
                <c:pt idx="6">
                  <c:v>53.951999999999998</c:v>
                </c:pt>
                <c:pt idx="7">
                  <c:v>52.497400000000006</c:v>
                </c:pt>
                <c:pt idx="8">
                  <c:v>50.902899999999995</c:v>
                </c:pt>
                <c:pt idx="9">
                  <c:v>49.266399999999997</c:v>
                </c:pt>
                <c:pt idx="10">
                  <c:v>47.687000000000005</c:v>
                </c:pt>
                <c:pt idx="11">
                  <c:v>46.195399999999999</c:v>
                </c:pt>
                <c:pt idx="12">
                  <c:v>44.655000000000001</c:v>
                </c:pt>
                <c:pt idx="13">
                  <c:v>43.075400000000002</c:v>
                </c:pt>
                <c:pt idx="14">
                  <c:v>41.392099999999999</c:v>
                </c:pt>
                <c:pt idx="15">
                  <c:v>39.719900000000003</c:v>
                </c:pt>
                <c:pt idx="16">
                  <c:v>38.1233</c:v>
                </c:pt>
                <c:pt idx="17">
                  <c:v>36.628399999999999</c:v>
                </c:pt>
                <c:pt idx="18">
                  <c:v>35.326099999999997</c:v>
                </c:pt>
                <c:pt idx="19">
                  <c:v>34.303200000000004</c:v>
                </c:pt>
                <c:pt idx="20">
                  <c:v>33.511600000000001</c:v>
                </c:pt>
                <c:pt idx="21">
                  <c:v>32.893899999999995</c:v>
                </c:pt>
                <c:pt idx="22">
                  <c:v>32.372099999999996</c:v>
                </c:pt>
                <c:pt idx="23">
                  <c:v>31.963900000000002</c:v>
                </c:pt>
                <c:pt idx="24">
                  <c:v>31.610599999999998</c:v>
                </c:pt>
                <c:pt idx="25">
                  <c:v>31.306699999999999</c:v>
                </c:pt>
                <c:pt idx="26">
                  <c:v>31.096299999999999</c:v>
                </c:pt>
                <c:pt idx="27">
                  <c:v>30.926300000000001</c:v>
                </c:pt>
                <c:pt idx="28">
                  <c:v>30.8125</c:v>
                </c:pt>
                <c:pt idx="29">
                  <c:v>30.710500000000003</c:v>
                </c:pt>
                <c:pt idx="30">
                  <c:v>30.512699999999999</c:v>
                </c:pt>
                <c:pt idx="31">
                  <c:v>30.238900000000001</c:v>
                </c:pt>
                <c:pt idx="32">
                  <c:v>29.8522</c:v>
                </c:pt>
                <c:pt idx="33">
                  <c:v>29.433700000000002</c:v>
                </c:pt>
                <c:pt idx="34">
                  <c:v>29.055299999999999</c:v>
                </c:pt>
                <c:pt idx="35">
                  <c:v>28.7761</c:v>
                </c:pt>
                <c:pt idx="36">
                  <c:v>28.632800000000003</c:v>
                </c:pt>
                <c:pt idx="37">
                  <c:v>28.539199999999997</c:v>
                </c:pt>
                <c:pt idx="38">
                  <c:v>28.523799999999998</c:v>
                </c:pt>
                <c:pt idx="39">
                  <c:v>28.565000000000001</c:v>
                </c:pt>
                <c:pt idx="40">
                  <c:v>28.736800000000002</c:v>
                </c:pt>
                <c:pt idx="41">
                  <c:v>28.928900000000002</c:v>
                </c:pt>
                <c:pt idx="42">
                  <c:v>29.082699999999999</c:v>
                </c:pt>
                <c:pt idx="43">
                  <c:v>29.242800000000003</c:v>
                </c:pt>
                <c:pt idx="44">
                  <c:v>29.462199999999999</c:v>
                </c:pt>
                <c:pt idx="45">
                  <c:v>29.700900000000001</c:v>
                </c:pt>
                <c:pt idx="46">
                  <c:v>29.9664</c:v>
                </c:pt>
                <c:pt idx="47">
                  <c:v>30.249199999999998</c:v>
                </c:pt>
                <c:pt idx="48">
                  <c:v>30.425200000000004</c:v>
                </c:pt>
                <c:pt idx="49">
                  <c:v>30.497999999999998</c:v>
                </c:pt>
                <c:pt idx="50">
                  <c:v>30.567</c:v>
                </c:pt>
                <c:pt idx="51">
                  <c:v>30.536600000000004</c:v>
                </c:pt>
                <c:pt idx="52">
                  <c:v>30.4526</c:v>
                </c:pt>
                <c:pt idx="53">
                  <c:v>30.317499999999995</c:v>
                </c:pt>
                <c:pt idx="54">
                  <c:v>30.1267</c:v>
                </c:pt>
                <c:pt idx="55">
                  <c:v>29.845800000000001</c:v>
                </c:pt>
                <c:pt idx="56">
                  <c:v>29.559800000000003</c:v>
                </c:pt>
                <c:pt idx="57">
                  <c:v>29.254300000000001</c:v>
                </c:pt>
                <c:pt idx="58">
                  <c:v>29.0244</c:v>
                </c:pt>
                <c:pt idx="59">
                  <c:v>28.807700000000004</c:v>
                </c:pt>
                <c:pt idx="60">
                  <c:v>28.616000000000003</c:v>
                </c:pt>
                <c:pt idx="61">
                  <c:v>28.382600000000004</c:v>
                </c:pt>
                <c:pt idx="62">
                  <c:v>28.171800000000001</c:v>
                </c:pt>
                <c:pt idx="63">
                  <c:v>28.014699999999998</c:v>
                </c:pt>
                <c:pt idx="64">
                  <c:v>27.842499999999998</c:v>
                </c:pt>
                <c:pt idx="65">
                  <c:v>27.654199999999999</c:v>
                </c:pt>
                <c:pt idx="66">
                  <c:v>27.410899999999998</c:v>
                </c:pt>
                <c:pt idx="67">
                  <c:v>27.138500000000001</c:v>
                </c:pt>
                <c:pt idx="68">
                  <c:v>26.820599999999999</c:v>
                </c:pt>
                <c:pt idx="69">
                  <c:v>26.496799999999997</c:v>
                </c:pt>
                <c:pt idx="70">
                  <c:v>26.084000000000003</c:v>
                </c:pt>
                <c:pt idx="71">
                  <c:v>25.666599999999999</c:v>
                </c:pt>
                <c:pt idx="72">
                  <c:v>25.281399999999998</c:v>
                </c:pt>
                <c:pt idx="73">
                  <c:v>24.9346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3.79928</c:v>
                </c:pt>
                <c:pt idx="1">
                  <c:v>3.7750299999999997</c:v>
                </c:pt>
                <c:pt idx="2">
                  <c:v>3.7442099999999998</c:v>
                </c:pt>
                <c:pt idx="3">
                  <c:v>3.7203300000000001</c:v>
                </c:pt>
                <c:pt idx="4">
                  <c:v>3.6957100000000001</c:v>
                </c:pt>
                <c:pt idx="5">
                  <c:v>3.67232</c:v>
                </c:pt>
                <c:pt idx="6">
                  <c:v>3.6530899999999997</c:v>
                </c:pt>
                <c:pt idx="7">
                  <c:v>3.6381899999999998</c:v>
                </c:pt>
                <c:pt idx="8">
                  <c:v>3.6246099999999997</c:v>
                </c:pt>
                <c:pt idx="9">
                  <c:v>3.6127799999999999</c:v>
                </c:pt>
                <c:pt idx="10">
                  <c:v>3.60311</c:v>
                </c:pt>
                <c:pt idx="11">
                  <c:v>3.5972599999999999</c:v>
                </c:pt>
                <c:pt idx="12">
                  <c:v>3.59253</c:v>
                </c:pt>
                <c:pt idx="13">
                  <c:v>3.59077</c:v>
                </c:pt>
                <c:pt idx="14">
                  <c:v>3.5896099999999995</c:v>
                </c:pt>
                <c:pt idx="15">
                  <c:v>3.5883799999999999</c:v>
                </c:pt>
                <c:pt idx="16">
                  <c:v>3.5876700000000001</c:v>
                </c:pt>
                <c:pt idx="17">
                  <c:v>3.5876900000000003</c:v>
                </c:pt>
                <c:pt idx="18">
                  <c:v>3.5898300000000001</c:v>
                </c:pt>
                <c:pt idx="19">
                  <c:v>3.5965000000000003</c:v>
                </c:pt>
                <c:pt idx="20">
                  <c:v>3.6068800000000003</c:v>
                </c:pt>
                <c:pt idx="21">
                  <c:v>3.62168</c:v>
                </c:pt>
                <c:pt idx="22">
                  <c:v>3.6419899999999998</c:v>
                </c:pt>
                <c:pt idx="23">
                  <c:v>3.6669200000000002</c:v>
                </c:pt>
                <c:pt idx="24">
                  <c:v>3.69685</c:v>
                </c:pt>
                <c:pt idx="25">
                  <c:v>3.7313900000000002</c:v>
                </c:pt>
                <c:pt idx="26">
                  <c:v>3.7670199999999996</c:v>
                </c:pt>
                <c:pt idx="27">
                  <c:v>3.8024200000000001</c:v>
                </c:pt>
                <c:pt idx="28">
                  <c:v>3.8372099999999998</c:v>
                </c:pt>
                <c:pt idx="29">
                  <c:v>3.8691300000000002</c:v>
                </c:pt>
                <c:pt idx="30">
                  <c:v>3.8983600000000003</c:v>
                </c:pt>
                <c:pt idx="31">
                  <c:v>3.9249700000000001</c:v>
                </c:pt>
                <c:pt idx="32">
                  <c:v>3.9518399999999998</c:v>
                </c:pt>
                <c:pt idx="33">
                  <c:v>3.9776899999999999</c:v>
                </c:pt>
                <c:pt idx="34">
                  <c:v>4.0025300000000001</c:v>
                </c:pt>
                <c:pt idx="35">
                  <c:v>4.0211999999999994</c:v>
                </c:pt>
                <c:pt idx="36">
                  <c:v>4.0324299999999997</c:v>
                </c:pt>
                <c:pt idx="37">
                  <c:v>4.0428699999999997</c:v>
                </c:pt>
                <c:pt idx="38">
                  <c:v>4.0541999999999998</c:v>
                </c:pt>
                <c:pt idx="39">
                  <c:v>4.0626199999999999</c:v>
                </c:pt>
                <c:pt idx="40">
                  <c:v>4.07226</c:v>
                </c:pt>
                <c:pt idx="41">
                  <c:v>4.0787599999999999</c:v>
                </c:pt>
                <c:pt idx="42">
                  <c:v>4.0833300000000001</c:v>
                </c:pt>
                <c:pt idx="43">
                  <c:v>4.0878899999999998</c:v>
                </c:pt>
                <c:pt idx="44">
                  <c:v>4.0927799999999994</c:v>
                </c:pt>
                <c:pt idx="45">
                  <c:v>4.0972299999999997</c:v>
                </c:pt>
                <c:pt idx="46">
                  <c:v>4.1004399999999999</c:v>
                </c:pt>
                <c:pt idx="47">
                  <c:v>4.1020500000000002</c:v>
                </c:pt>
                <c:pt idx="48">
                  <c:v>4.10379</c:v>
                </c:pt>
                <c:pt idx="49">
                  <c:v>4.10487</c:v>
                </c:pt>
                <c:pt idx="50">
                  <c:v>4.1074299999999999</c:v>
                </c:pt>
                <c:pt idx="51">
                  <c:v>4.1053899999999999</c:v>
                </c:pt>
                <c:pt idx="52">
                  <c:v>4.1026699999999998</c:v>
                </c:pt>
                <c:pt idx="53">
                  <c:v>4.1000700000000005</c:v>
                </c:pt>
                <c:pt idx="54">
                  <c:v>4.0978399999999997</c:v>
                </c:pt>
                <c:pt idx="55">
                  <c:v>4.0953900000000001</c:v>
                </c:pt>
                <c:pt idx="56">
                  <c:v>4.09206</c:v>
                </c:pt>
                <c:pt idx="57">
                  <c:v>4.0861999999999998</c:v>
                </c:pt>
                <c:pt idx="58">
                  <c:v>4.0781799999999997</c:v>
                </c:pt>
                <c:pt idx="59">
                  <c:v>4.0695300000000003</c:v>
                </c:pt>
                <c:pt idx="60">
                  <c:v>4.0635300000000001</c:v>
                </c:pt>
                <c:pt idx="61">
                  <c:v>4.0601599999999998</c:v>
                </c:pt>
                <c:pt idx="62">
                  <c:v>4.0564800000000005</c:v>
                </c:pt>
                <c:pt idx="63">
                  <c:v>4.0500600000000002</c:v>
                </c:pt>
                <c:pt idx="64">
                  <c:v>4.0493600000000001</c:v>
                </c:pt>
                <c:pt idx="65">
                  <c:v>4.0464799999999999</c:v>
                </c:pt>
                <c:pt idx="66">
                  <c:v>4.0489199999999999</c:v>
                </c:pt>
                <c:pt idx="67">
                  <c:v>4.0561400000000001</c:v>
                </c:pt>
                <c:pt idx="68">
                  <c:v>4.0651200000000003</c:v>
                </c:pt>
                <c:pt idx="69">
                  <c:v>4.07545</c:v>
                </c:pt>
                <c:pt idx="70">
                  <c:v>4.08962</c:v>
                </c:pt>
                <c:pt idx="71">
                  <c:v>4.1084500000000004</c:v>
                </c:pt>
                <c:pt idx="72">
                  <c:v>4.13347</c:v>
                </c:pt>
                <c:pt idx="73">
                  <c:v>4.1627999999999998</c:v>
                </c:pt>
                <c:pt idx="74">
                  <c:v>4.1989900000000002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24.9346</c:v>
                </c:pt>
                <c:pt idx="1">
                  <c:v>24.645</c:v>
                </c:pt>
                <c:pt idx="2">
                  <c:v>24.358599999999999</c:v>
                </c:pt>
                <c:pt idx="3">
                  <c:v>24.1752</c:v>
                </c:pt>
                <c:pt idx="4">
                  <c:v>23.997</c:v>
                </c:pt>
                <c:pt idx="5">
                  <c:v>23.9056</c:v>
                </c:pt>
                <c:pt idx="6">
                  <c:v>23.8584</c:v>
                </c:pt>
                <c:pt idx="7">
                  <c:v>23.7925</c:v>
                </c:pt>
                <c:pt idx="8">
                  <c:v>23.789400000000001</c:v>
                </c:pt>
                <c:pt idx="9">
                  <c:v>23.794999999999998</c:v>
                </c:pt>
                <c:pt idx="10">
                  <c:v>23.768800000000002</c:v>
                </c:pt>
                <c:pt idx="11">
                  <c:v>23.662099999999999</c:v>
                </c:pt>
                <c:pt idx="12">
                  <c:v>23.544899999999998</c:v>
                </c:pt>
                <c:pt idx="13">
                  <c:v>23.3416</c:v>
                </c:pt>
                <c:pt idx="14">
                  <c:v>23.0974</c:v>
                </c:pt>
                <c:pt idx="15">
                  <c:v>22.9024</c:v>
                </c:pt>
                <c:pt idx="16">
                  <c:v>22.689899999999998</c:v>
                </c:pt>
                <c:pt idx="17">
                  <c:v>22.498000000000001</c:v>
                </c:pt>
                <c:pt idx="18">
                  <c:v>22.330100000000002</c:v>
                </c:pt>
                <c:pt idx="19">
                  <c:v>22.269500000000001</c:v>
                </c:pt>
                <c:pt idx="20">
                  <c:v>22.249700000000001</c:v>
                </c:pt>
                <c:pt idx="21">
                  <c:v>22.222799999999999</c:v>
                </c:pt>
                <c:pt idx="22">
                  <c:v>22.2378</c:v>
                </c:pt>
                <c:pt idx="23">
                  <c:v>22.305399999999999</c:v>
                </c:pt>
                <c:pt idx="24">
                  <c:v>22.3977</c:v>
                </c:pt>
                <c:pt idx="25">
                  <c:v>22.568099999999998</c:v>
                </c:pt>
                <c:pt idx="26">
                  <c:v>22.766500000000001</c:v>
                </c:pt>
                <c:pt idx="27">
                  <c:v>23.033000000000001</c:v>
                </c:pt>
                <c:pt idx="28">
                  <c:v>23.349900000000002</c:v>
                </c:pt>
                <c:pt idx="29">
                  <c:v>23.8263</c:v>
                </c:pt>
                <c:pt idx="30">
                  <c:v>24.266399999999997</c:v>
                </c:pt>
                <c:pt idx="31">
                  <c:v>24.685399999999998</c:v>
                </c:pt>
                <c:pt idx="32">
                  <c:v>25.160300000000003</c:v>
                </c:pt>
                <c:pt idx="33">
                  <c:v>25.646600000000003</c:v>
                </c:pt>
                <c:pt idx="34">
                  <c:v>26.151400000000002</c:v>
                </c:pt>
                <c:pt idx="35">
                  <c:v>26.693499999999997</c:v>
                </c:pt>
                <c:pt idx="36">
                  <c:v>27.2974</c:v>
                </c:pt>
                <c:pt idx="37">
                  <c:v>27.891700000000004</c:v>
                </c:pt>
                <c:pt idx="38">
                  <c:v>28.540300000000002</c:v>
                </c:pt>
                <c:pt idx="39">
                  <c:v>29.244799999999998</c:v>
                </c:pt>
                <c:pt idx="40">
                  <c:v>29.955100000000002</c:v>
                </c:pt>
                <c:pt idx="41">
                  <c:v>30.727</c:v>
                </c:pt>
                <c:pt idx="42">
                  <c:v>31.483899999999998</c:v>
                </c:pt>
                <c:pt idx="43">
                  <c:v>32.232699999999994</c:v>
                </c:pt>
                <c:pt idx="44">
                  <c:v>32.925600000000003</c:v>
                </c:pt>
                <c:pt idx="45">
                  <c:v>33.564</c:v>
                </c:pt>
                <c:pt idx="46">
                  <c:v>34.213200000000001</c:v>
                </c:pt>
                <c:pt idx="47">
                  <c:v>34.863699999999994</c:v>
                </c:pt>
                <c:pt idx="48">
                  <c:v>35.445399999999999</c:v>
                </c:pt>
                <c:pt idx="49">
                  <c:v>36.016500000000001</c:v>
                </c:pt>
                <c:pt idx="50">
                  <c:v>36.5535</c:v>
                </c:pt>
                <c:pt idx="51">
                  <c:v>36.884799999999998</c:v>
                </c:pt>
                <c:pt idx="52">
                  <c:v>37.2271</c:v>
                </c:pt>
                <c:pt idx="53">
                  <c:v>37.560500000000005</c:v>
                </c:pt>
                <c:pt idx="54">
                  <c:v>37.843900000000005</c:v>
                </c:pt>
                <c:pt idx="55">
                  <c:v>38.139699999999998</c:v>
                </c:pt>
                <c:pt idx="56">
                  <c:v>38.455300000000001</c:v>
                </c:pt>
                <c:pt idx="57">
                  <c:v>38.757799999999996</c:v>
                </c:pt>
                <c:pt idx="58">
                  <c:v>39.093899999999998</c:v>
                </c:pt>
                <c:pt idx="59">
                  <c:v>39.472999999999999</c:v>
                </c:pt>
                <c:pt idx="60">
                  <c:v>39.847200000000001</c:v>
                </c:pt>
                <c:pt idx="61">
                  <c:v>40.185400000000001</c:v>
                </c:pt>
                <c:pt idx="62">
                  <c:v>40.5655</c:v>
                </c:pt>
                <c:pt idx="63">
                  <c:v>41.001199999999997</c:v>
                </c:pt>
                <c:pt idx="64">
                  <c:v>41.347899999999996</c:v>
                </c:pt>
                <c:pt idx="65">
                  <c:v>41.622599999999998</c:v>
                </c:pt>
                <c:pt idx="66">
                  <c:v>41.837200000000003</c:v>
                </c:pt>
                <c:pt idx="67">
                  <c:v>42.009500000000003</c:v>
                </c:pt>
                <c:pt idx="68">
                  <c:v>42.164499999999997</c:v>
                </c:pt>
                <c:pt idx="69">
                  <c:v>42.344900000000003</c:v>
                </c:pt>
                <c:pt idx="70">
                  <c:v>42.578899999999997</c:v>
                </c:pt>
                <c:pt idx="71">
                  <c:v>42.711199999999998</c:v>
                </c:pt>
                <c:pt idx="72">
                  <c:v>42.6419</c:v>
                </c:pt>
                <c:pt idx="73">
                  <c:v>42.597000000000001</c:v>
                </c:pt>
                <c:pt idx="74">
                  <c:v>42.777799999999999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1.8407299999999998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61.367600000000003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3.4904620270270255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34.429739189189192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3.910716351351351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30.764941891891894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3.910716351351351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30.764941891891894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7" t="s">
        <v>570</v>
      </c>
      <c r="D5" s="191"/>
      <c r="E5" s="191"/>
      <c r="F5" s="192"/>
      <c r="G5" s="48" t="str">
        <f>lang!B27</f>
        <v>编号</v>
      </c>
      <c r="H5" s="190">
        <v>12</v>
      </c>
      <c r="I5" s="191"/>
      <c r="J5" s="191"/>
      <c r="K5" s="193"/>
    </row>
    <row r="6" spans="2:21" ht="17.25" customHeight="1">
      <c r="B6" s="46" t="str">
        <f>lang!B25</f>
        <v>性别</v>
      </c>
      <c r="C6" s="198" t="s">
        <v>569</v>
      </c>
      <c r="D6" s="145"/>
      <c r="E6" s="145"/>
      <c r="F6" s="146"/>
      <c r="G6" s="49" t="str">
        <f>lang!B28</f>
        <v xml:space="preserve"> 日期</v>
      </c>
      <c r="H6" s="129">
        <f>FH_info!A2</f>
        <v>43612.703368055554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41</v>
      </c>
      <c r="D7" s="148"/>
      <c r="E7" s="148"/>
      <c r="F7" s="149"/>
      <c r="G7" s="50" t="str">
        <f>lang!B29</f>
        <v>误差率（%）</v>
      </c>
      <c r="H7" s="132">
        <f>M!B17*1</f>
        <v>16.442699999999999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45.230200000000004</v>
      </c>
      <c r="O8" s="59">
        <f>M!C5*1</f>
        <v>10.1889</v>
      </c>
      <c r="P8" s="59">
        <f>M!D5*1</f>
        <v>22.526700000000002</v>
      </c>
      <c r="Q8" s="59">
        <f>M!E5*1</f>
        <v>20</v>
      </c>
      <c r="R8" s="59">
        <f>M!F5*1</f>
        <v>12.5831</v>
      </c>
      <c r="S8" s="59">
        <f>M!G5*1</f>
        <v>50</v>
      </c>
      <c r="T8" s="59">
        <f>M!H5*1</f>
        <v>56.235399999999998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23.3995</v>
      </c>
      <c r="O9" s="59">
        <f>M!C6*1</f>
        <v>1.34904</v>
      </c>
      <c r="P9" s="59">
        <f>M!D6*1</f>
        <v>5.7652400000000004</v>
      </c>
      <c r="Q9" s="59">
        <f>M!E6*1</f>
        <v>20</v>
      </c>
      <c r="R9" s="59">
        <f>M!F6*1</f>
        <v>21.303899999999999</v>
      </c>
      <c r="S9" s="59">
        <f>M!G6*1</f>
        <v>40</v>
      </c>
      <c r="T9" s="59">
        <f>M!H6*1</f>
        <v>28.413699999999999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12.5831</v>
      </c>
      <c r="D10" s="99">
        <f>N8</f>
        <v>45.230200000000004</v>
      </c>
      <c r="E10" s="100">
        <f>T8</f>
        <v>56.235399999999998</v>
      </c>
      <c r="F10" s="91">
        <f>P8</f>
        <v>22.526700000000002</v>
      </c>
      <c r="G10" s="81" t="str">
        <f>CONCATENATE(M9,"
(20 ~ 40)")</f>
        <v>压力
(20 ~ 40)</v>
      </c>
      <c r="H10" s="98">
        <f>R9</f>
        <v>21.303899999999999</v>
      </c>
      <c r="I10" s="108">
        <f>N9</f>
        <v>23.3995</v>
      </c>
      <c r="J10" s="98">
        <f>T9</f>
        <v>28.413699999999999</v>
      </c>
      <c r="K10" s="92">
        <f>P9</f>
        <v>5.7652400000000004</v>
      </c>
      <c r="L10" s="6"/>
      <c r="M10" s="27" t="str">
        <f>lang!B16</f>
        <v>焦虑</v>
      </c>
      <c r="N10" s="59">
        <f>M!B7*1</f>
        <v>36.087699999999998</v>
      </c>
      <c r="O10" s="59">
        <f>M!C7*1</f>
        <v>9.9768100000000004</v>
      </c>
      <c r="P10" s="59">
        <f>M!D7*1</f>
        <v>27.646000000000001</v>
      </c>
      <c r="Q10" s="59">
        <f>M!E7*1</f>
        <v>15</v>
      </c>
      <c r="R10" s="59">
        <f>M!F7*1</f>
        <v>6.5014599999999998</v>
      </c>
      <c r="S10" s="59">
        <f>M!G7*1</f>
        <v>40</v>
      </c>
      <c r="T10" s="59">
        <f>M!H7*1</f>
        <v>47.635599999999997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6.5014599999999998</v>
      </c>
      <c r="D11" s="102">
        <f>N10</f>
        <v>36.087699999999998</v>
      </c>
      <c r="E11" s="103">
        <f>T10</f>
        <v>47.635599999999997</v>
      </c>
      <c r="F11" s="94">
        <f>P10</f>
        <v>27.646000000000001</v>
      </c>
      <c r="G11" s="52" t="str">
        <f>CONCATENATE(M11,"
(20 ~ 50)")</f>
        <v>可疑
(20 ~ 50)</v>
      </c>
      <c r="H11" s="101">
        <f>R11</f>
        <v>23.101800000000001</v>
      </c>
      <c r="I11" s="104">
        <f>N11</f>
        <v>33.793900000000001</v>
      </c>
      <c r="J11" s="101">
        <f>T11</f>
        <v>38.5154</v>
      </c>
      <c r="K11" s="95">
        <f>P11</f>
        <v>11.012</v>
      </c>
      <c r="L11" s="4"/>
      <c r="M11" s="27" t="str">
        <f>lang!B17</f>
        <v>可疑</v>
      </c>
      <c r="N11" s="59">
        <f>M!B8*1</f>
        <v>33.793900000000001</v>
      </c>
      <c r="O11" s="59">
        <f>M!C8*1</f>
        <v>3.72139</v>
      </c>
      <c r="P11" s="59">
        <f>M!D8*1</f>
        <v>11.012</v>
      </c>
      <c r="Q11" s="59">
        <f>M!E8*1</f>
        <v>20</v>
      </c>
      <c r="R11" s="59">
        <f>M!F8*1</f>
        <v>23.101800000000001</v>
      </c>
      <c r="S11" s="59">
        <f>M!G8*1</f>
        <v>50</v>
      </c>
      <c r="T11" s="59">
        <f>M!H8*1</f>
        <v>38.5154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45.799300000000002</v>
      </c>
      <c r="D12" s="104">
        <f>N12</f>
        <v>63.046399999999998</v>
      </c>
      <c r="E12" s="101">
        <f>T12</f>
        <v>82.784899999999993</v>
      </c>
      <c r="F12" s="93">
        <f>P12</f>
        <v>9.5481800000000003</v>
      </c>
      <c r="G12" s="52" t="str">
        <f>CONCATENATE(M13,"
(40 ~ 100)")</f>
        <v>自信
(40 ~ 100)</v>
      </c>
      <c r="H12" s="101">
        <f>R13</f>
        <v>70.816100000000006</v>
      </c>
      <c r="I12" s="104">
        <f>N13</f>
        <v>74.442499999999995</v>
      </c>
      <c r="J12" s="101">
        <f>T13</f>
        <v>80.761700000000005</v>
      </c>
      <c r="K12" s="95">
        <f>P13</f>
        <v>3.3573200000000001</v>
      </c>
      <c r="L12" s="4"/>
      <c r="M12" s="27" t="str">
        <f>lang!B18</f>
        <v>平衡</v>
      </c>
      <c r="N12" s="59">
        <f>M!B9*1</f>
        <v>63.046399999999998</v>
      </c>
      <c r="O12" s="59">
        <f>M!C9*1</f>
        <v>6.0197900000000004</v>
      </c>
      <c r="P12" s="59">
        <f>M!D9*1</f>
        <v>9.5481800000000003</v>
      </c>
      <c r="Q12" s="59">
        <f>M!E9*1</f>
        <v>50</v>
      </c>
      <c r="R12" s="59">
        <f>M!F9*1</f>
        <v>45.799300000000002</v>
      </c>
      <c r="S12" s="59">
        <f>M!G9*1</f>
        <v>100</v>
      </c>
      <c r="T12" s="59">
        <f>M!H9*1</f>
        <v>82.784899999999993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7.5324400000000002</v>
      </c>
      <c r="D13" s="102">
        <f>N14</f>
        <v>22.8398</v>
      </c>
      <c r="E13" s="103">
        <f>T14</f>
        <v>32.017499999999998</v>
      </c>
      <c r="F13" s="94">
        <f>P14</f>
        <v>27.303000000000001</v>
      </c>
      <c r="G13" s="52" t="str">
        <f>CONCATENATE(M15,"
(50 ~ 100)")</f>
        <v>自我调节
(50 ~ 100)</v>
      </c>
      <c r="H13" s="101">
        <f>R15</f>
        <v>62.0535</v>
      </c>
      <c r="I13" s="104">
        <f>N15</f>
        <v>68.955299999999994</v>
      </c>
      <c r="J13" s="101">
        <f>T15</f>
        <v>78.125</v>
      </c>
      <c r="K13" s="95">
        <f>P15</f>
        <v>4.3434499999999998</v>
      </c>
      <c r="L13" s="4"/>
      <c r="M13" s="27" t="str">
        <f>lang!B19</f>
        <v>自信</v>
      </c>
      <c r="N13" s="59">
        <f>M!B10*1</f>
        <v>74.442499999999995</v>
      </c>
      <c r="O13" s="59">
        <f>M!C10*1</f>
        <v>2.4992800000000002</v>
      </c>
      <c r="P13" s="59">
        <f>M!D10*1</f>
        <v>3.3573200000000001</v>
      </c>
      <c r="Q13" s="59">
        <f>M!E10*1</f>
        <v>40</v>
      </c>
      <c r="R13" s="59">
        <f>M!F10*1</f>
        <v>70.816100000000006</v>
      </c>
      <c r="S13" s="59">
        <f>M!G10*1</f>
        <v>100</v>
      </c>
      <c r="T13" s="59">
        <f>M!H10*1</f>
        <v>80.761700000000005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14.1348</v>
      </c>
      <c r="D14" s="106">
        <f>N16</f>
        <v>20.976199999999999</v>
      </c>
      <c r="E14" s="107">
        <f>T16</f>
        <v>36.821300000000001</v>
      </c>
      <c r="F14" s="96">
        <f>P16</f>
        <v>18.598199999999999</v>
      </c>
      <c r="G14" s="112" t="str">
        <f>CONCATENATE(M17,"
(10 ~ 50)")</f>
        <v>神经质
(10 ~ 50)</v>
      </c>
      <c r="H14" s="105">
        <f>R17</f>
        <v>0.56589599999999995</v>
      </c>
      <c r="I14" s="106">
        <f>N17</f>
        <v>39.012099999999997</v>
      </c>
      <c r="J14" s="107">
        <f>T17</f>
        <v>44.408200000000001</v>
      </c>
      <c r="K14" s="97">
        <f>P17</f>
        <v>34.3264</v>
      </c>
      <c r="M14" s="27" t="str">
        <f>lang!B20</f>
        <v>活力</v>
      </c>
      <c r="N14" s="59">
        <f>M!B11*1</f>
        <v>22.8398</v>
      </c>
      <c r="O14" s="59">
        <f>M!C11*1</f>
        <v>6.2359299999999998</v>
      </c>
      <c r="P14" s="59">
        <f>M!D11*1</f>
        <v>27.303000000000001</v>
      </c>
      <c r="Q14" s="59">
        <f>M!E11*1</f>
        <v>10</v>
      </c>
      <c r="R14" s="59">
        <f>M!F11*1</f>
        <v>7.5324400000000002</v>
      </c>
      <c r="S14" s="59">
        <f>M!G11*1</f>
        <v>50</v>
      </c>
      <c r="T14" s="59">
        <f>M!H11*1</f>
        <v>32.017499999999998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68.955299999999994</v>
      </c>
      <c r="O15" s="59">
        <f>M!C12*1</f>
        <v>2.9950399999999999</v>
      </c>
      <c r="P15" s="59">
        <f>M!D12*1</f>
        <v>4.3434499999999998</v>
      </c>
      <c r="Q15" s="59">
        <f>M!E12*1</f>
        <v>50</v>
      </c>
      <c r="R15" s="59">
        <f>M!F12*1</f>
        <v>62.0535</v>
      </c>
      <c r="S15" s="59">
        <f>M!G12*1</f>
        <v>100</v>
      </c>
      <c r="T15" s="59">
        <f>M!H12*1</f>
        <v>78.125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20.976199999999999</v>
      </c>
      <c r="O16" s="59">
        <f>M!C13*1</f>
        <v>3.9012099999999998</v>
      </c>
      <c r="P16" s="59">
        <f>M!D13*1</f>
        <v>18.598199999999999</v>
      </c>
      <c r="Q16" s="59">
        <f>M!E13*1</f>
        <v>10</v>
      </c>
      <c r="R16" s="59">
        <f>M!F13*1</f>
        <v>14.1348</v>
      </c>
      <c r="S16" s="59">
        <f>M!G13*1</f>
        <v>25</v>
      </c>
      <c r="T16" s="59">
        <f>M!H13*1</f>
        <v>36.821300000000001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39.012099999999997</v>
      </c>
      <c r="O17" s="59">
        <f>M!C14*1</f>
        <v>13.391400000000001</v>
      </c>
      <c r="P17" s="59">
        <f>M!D14*1</f>
        <v>34.3264</v>
      </c>
      <c r="Q17" s="59">
        <f>M!E14*1</f>
        <v>10</v>
      </c>
      <c r="R17" s="59">
        <f>M!F14*1</f>
        <v>0.56589599999999995</v>
      </c>
      <c r="S17" s="59">
        <f>M!G14*1</f>
        <v>50</v>
      </c>
      <c r="T17" s="59">
        <f>M!H14*1</f>
        <v>44.408200000000001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57.320999999999998</v>
      </c>
      <c r="O18" s="22">
        <f>N18/(N18+N19+N20)</f>
        <v>0.47006397867527838</v>
      </c>
      <c r="P18" s="65">
        <f>SUM(P12:P15)/4</f>
        <v>11.137987499999999</v>
      </c>
      <c r="Q18" s="22">
        <f>P18/(P18+P19+P20)</f>
        <v>0.20497688785457666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34.627825000000001</v>
      </c>
      <c r="O19" s="22">
        <f>N19/(N18+N19+N20)</f>
        <v>0.28396736261354955</v>
      </c>
      <c r="P19" s="18">
        <f>SUM(P8:P11)/4</f>
        <v>16.737485</v>
      </c>
      <c r="Q19" s="22">
        <f>P19/(P18+P19+P20)</f>
        <v>0.30802670462798232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29.994149999999998</v>
      </c>
      <c r="O20" s="22">
        <f>N20/(N18+N19+N20)</f>
        <v>0.24596865871117218</v>
      </c>
      <c r="P20" s="18">
        <f>(P16+P17)/2</f>
        <v>26.462299999999999</v>
      </c>
      <c r="Q20" s="22">
        <f>P20/(P18+P19+P20)</f>
        <v>0.486996407517441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-7.8673405405405517E-2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1.808948941555099</v>
      </c>
      <c r="D25" s="44" t="str">
        <f>lang!B11</f>
        <v>频率方差</v>
      </c>
      <c r="E25" s="182">
        <f ca="1">FH!L3</f>
        <v>0.74872074164423297</v>
      </c>
      <c r="F25" s="183"/>
      <c r="G25" s="174" t="str">
        <f>lang!B12</f>
        <v>生理变化率</v>
      </c>
      <c r="H25" s="175"/>
      <c r="I25" s="62" t="str">
        <f ca="1">CONCATENATE(info!M7,"-",info!M8)</f>
        <v>22.2-61.4</v>
      </c>
      <c r="J25" s="42" t="str">
        <f>lang!B13</f>
        <v>千卡l/分钟</v>
      </c>
      <c r="K25" s="41" t="str">
        <f ca="1">CONCATENATE(info!M5,"-",info!M6)</f>
        <v>1.8-4.3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35.333100000000002</v>
      </c>
      <c r="F28" s="121"/>
      <c r="G28" s="135" t="str">
        <f>lang!B33</f>
        <v>稳定性</v>
      </c>
      <c r="H28" s="136"/>
      <c r="I28" s="137"/>
      <c r="J28" s="138">
        <f>M!B19*100</f>
        <v>51.901299999999992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43612.703368055554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1.3064999999999998</v>
      </c>
      <c r="O7" s="59">
        <f t="shared" ref="O7:T7" si="2">AG7-X7</f>
        <v>-7.9147999999999996</v>
      </c>
      <c r="P7" s="59">
        <f t="shared" si="2"/>
        <v>-18.253800000000002</v>
      </c>
      <c r="Q7" s="59">
        <f t="shared" si="2"/>
        <v>0</v>
      </c>
      <c r="R7" s="59">
        <f t="shared" si="2"/>
        <v>26.0047</v>
      </c>
      <c r="S7" s="59">
        <f t="shared" si="2"/>
        <v>0</v>
      </c>
      <c r="T7" s="59">
        <f t="shared" si="2"/>
        <v>1.2616000000000014</v>
      </c>
      <c r="U7" s="14"/>
      <c r="V7" s="27" t="str">
        <f>M7</f>
        <v>攻击性</v>
      </c>
      <c r="W7" s="59">
        <f>'M1'!B5*1</f>
        <v>44.104399999999998</v>
      </c>
      <c r="X7" s="59">
        <f>'M1'!C5*1</f>
        <v>12.6381</v>
      </c>
      <c r="Y7" s="59">
        <f>'M1'!D5*1</f>
        <v>28.655000000000001</v>
      </c>
      <c r="Z7" s="59">
        <f>'M1'!E5*1</f>
        <v>20</v>
      </c>
      <c r="AA7" s="59">
        <f>'M1'!F5*1</f>
        <v>12.5831</v>
      </c>
      <c r="AB7" s="59">
        <f>'M1'!G5*1</f>
        <v>50</v>
      </c>
      <c r="AC7" s="59">
        <f>'M1'!H5*1</f>
        <v>54.973799999999997</v>
      </c>
      <c r="AE7" s="27" t="str">
        <f>V7</f>
        <v>攻击性</v>
      </c>
      <c r="AF7" s="59">
        <f>'M2'!B5*1</f>
        <v>45.410899999999998</v>
      </c>
      <c r="AG7" s="59">
        <f>'M2'!C5*1</f>
        <v>4.7233000000000001</v>
      </c>
      <c r="AH7" s="59">
        <f>'M2'!D5*1</f>
        <v>10.401199999999999</v>
      </c>
      <c r="AI7" s="59">
        <f>'M2'!E5*1</f>
        <v>20</v>
      </c>
      <c r="AJ7" s="59">
        <f>'M2'!F5*1</f>
        <v>38.587800000000001</v>
      </c>
      <c r="AK7" s="59">
        <f>'M2'!G5*1</f>
        <v>50</v>
      </c>
      <c r="AL7" s="59">
        <f>'M2'!H5*1</f>
        <v>56.235399999999998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1.3641000000000005</v>
      </c>
      <c r="O8" s="59">
        <f t="shared" ref="O8:O16" si="5">AG8-X8</f>
        <v>0.88673299999999988</v>
      </c>
      <c r="P8" s="59">
        <f t="shared" ref="P8:P16" si="6">AH8-Y8</f>
        <v>3.4868999999999999</v>
      </c>
      <c r="Q8" s="59">
        <f t="shared" ref="Q8:Q16" si="7">AI8-Z8</f>
        <v>0</v>
      </c>
      <c r="R8" s="59">
        <f t="shared" ref="R8:R16" si="8">AJ8-AA8</f>
        <v>0.29860000000000042</v>
      </c>
      <c r="S8" s="59">
        <f t="shared" ref="S8:S16" si="9">AK8-AB8</f>
        <v>0</v>
      </c>
      <c r="T8" s="59">
        <f t="shared" ref="T8:T16" si="10">AL8-AC8</f>
        <v>4.0564</v>
      </c>
      <c r="U8" s="15"/>
      <c r="V8" s="27" t="str">
        <f t="shared" ref="V8:V16" si="11">M8</f>
        <v>压力</v>
      </c>
      <c r="W8" s="59">
        <f>'M1'!B6*1</f>
        <v>22.907699999999998</v>
      </c>
      <c r="X8" s="59">
        <f>'M1'!C6*1</f>
        <v>0.67839700000000003</v>
      </c>
      <c r="Y8" s="59">
        <f>'M1'!D6*1</f>
        <v>2.9614400000000001</v>
      </c>
      <c r="Z8" s="59">
        <f>'M1'!E6*1</f>
        <v>20</v>
      </c>
      <c r="AA8" s="59">
        <f>'M1'!F6*1</f>
        <v>21.303899999999999</v>
      </c>
      <c r="AB8" s="59">
        <f>'M1'!G6*1</f>
        <v>40</v>
      </c>
      <c r="AC8" s="59">
        <f>'M1'!H6*1</f>
        <v>24.357299999999999</v>
      </c>
      <c r="AE8" s="27" t="str">
        <f t="shared" ref="AE8:AE16" si="12">V8</f>
        <v>压力</v>
      </c>
      <c r="AF8" s="59">
        <f>'M2'!B6*1</f>
        <v>24.271799999999999</v>
      </c>
      <c r="AG8" s="59">
        <f>'M2'!C6*1</f>
        <v>1.5651299999999999</v>
      </c>
      <c r="AH8" s="59">
        <f>'M2'!D6*1</f>
        <v>6.44834</v>
      </c>
      <c r="AI8" s="59">
        <f>'M2'!E6*1</f>
        <v>20</v>
      </c>
      <c r="AJ8" s="59">
        <f>'M2'!F6*1</f>
        <v>21.602499999999999</v>
      </c>
      <c r="AK8" s="59">
        <f>'M2'!G6*1</f>
        <v>40</v>
      </c>
      <c r="AL8" s="59">
        <f>'M2'!H6*1</f>
        <v>28.413699999999999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26.0047</v>
      </c>
      <c r="D9" s="78">
        <f>N7</f>
        <v>1.3064999999999998</v>
      </c>
      <c r="E9" s="79">
        <f>T7</f>
        <v>1.2616000000000014</v>
      </c>
      <c r="F9" s="79">
        <f>P7</f>
        <v>-18.253800000000002</v>
      </c>
      <c r="G9" s="80" t="str">
        <f>CONCATENATE(M8,"
(20 ~ 40)")</f>
        <v>压力
(20 ~ 40)</v>
      </c>
      <c r="H9" s="77">
        <f>R8</f>
        <v>0.29860000000000042</v>
      </c>
      <c r="I9" s="81">
        <f>N8</f>
        <v>1.3641000000000005</v>
      </c>
      <c r="J9" s="77">
        <f>T8</f>
        <v>4.0564</v>
      </c>
      <c r="K9" s="82">
        <f>P8</f>
        <v>3.4868999999999999</v>
      </c>
      <c r="L9" s="6"/>
      <c r="M9" s="27" t="str">
        <f>lang!B16</f>
        <v>焦虑</v>
      </c>
      <c r="N9" s="59">
        <f t="shared" si="4"/>
        <v>-2.745199999999997</v>
      </c>
      <c r="O9" s="59">
        <f t="shared" si="5"/>
        <v>8.4633400000000005</v>
      </c>
      <c r="P9" s="59">
        <f t="shared" si="6"/>
        <v>25.455830000000006</v>
      </c>
      <c r="Q9" s="59">
        <f t="shared" si="7"/>
        <v>0</v>
      </c>
      <c r="R9" s="59">
        <f t="shared" si="8"/>
        <v>-25.530439999999999</v>
      </c>
      <c r="S9" s="59">
        <f t="shared" si="9"/>
        <v>0</v>
      </c>
      <c r="T9" s="59">
        <f t="shared" si="10"/>
        <v>-7.6681999999999988</v>
      </c>
      <c r="U9" s="14"/>
      <c r="V9" s="27" t="str">
        <f t="shared" si="11"/>
        <v>焦虑</v>
      </c>
      <c r="W9" s="59">
        <f>'M1'!B7*1</f>
        <v>36.893999999999998</v>
      </c>
      <c r="X9" s="59">
        <f>'M1'!C7*1</f>
        <v>3.0853600000000001</v>
      </c>
      <c r="Y9" s="59">
        <f>'M1'!D7*1</f>
        <v>8.3627699999999994</v>
      </c>
      <c r="Z9" s="59">
        <f>'M1'!E7*1</f>
        <v>15</v>
      </c>
      <c r="AA9" s="59">
        <f>'M1'!F7*1</f>
        <v>32.0319</v>
      </c>
      <c r="AB9" s="59">
        <f>'M1'!G7*1</f>
        <v>40</v>
      </c>
      <c r="AC9" s="59">
        <f>'M1'!H7*1</f>
        <v>47.635599999999997</v>
      </c>
      <c r="AE9" s="27" t="str">
        <f t="shared" si="12"/>
        <v>焦虑</v>
      </c>
      <c r="AF9" s="59">
        <f>'M2'!B7*1</f>
        <v>34.148800000000001</v>
      </c>
      <c r="AG9" s="59">
        <f>'M2'!C7*1</f>
        <v>11.5487</v>
      </c>
      <c r="AH9" s="59">
        <f>'M2'!D7*1</f>
        <v>33.818600000000004</v>
      </c>
      <c r="AI9" s="59">
        <f>'M2'!E7*1</f>
        <v>15</v>
      </c>
      <c r="AJ9" s="59">
        <f>'M2'!F7*1</f>
        <v>6.5014599999999998</v>
      </c>
      <c r="AK9" s="59">
        <f>'M2'!G7*1</f>
        <v>40</v>
      </c>
      <c r="AL9" s="59">
        <f>'M2'!H7*1</f>
        <v>39.967399999999998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-25.530439999999999</v>
      </c>
      <c r="D10" s="51">
        <f>N9</f>
        <v>-2.745199999999997</v>
      </c>
      <c r="E10" s="53">
        <f>T9</f>
        <v>-7.6681999999999988</v>
      </c>
      <c r="F10" s="53">
        <f>P9</f>
        <v>25.455830000000006</v>
      </c>
      <c r="G10" s="73" t="str">
        <f>CONCATENATE(M10,"
(20 ~ 50)")</f>
        <v>可疑
(20 ~ 50)</v>
      </c>
      <c r="H10" s="24">
        <f>R10</f>
        <v>4.0031999999999996</v>
      </c>
      <c r="I10" s="52">
        <f>N10</f>
        <v>-0.55030000000000001</v>
      </c>
      <c r="J10" s="24">
        <f>T10</f>
        <v>-0.5484999999999971</v>
      </c>
      <c r="K10" s="25">
        <f>P10</f>
        <v>-1.6234999999999999</v>
      </c>
      <c r="L10" s="4"/>
      <c r="M10" s="27" t="str">
        <f>lang!B17</f>
        <v>可疑</v>
      </c>
      <c r="N10" s="59">
        <f t="shared" si="4"/>
        <v>-0.55030000000000001</v>
      </c>
      <c r="O10" s="59">
        <f t="shared" si="5"/>
        <v>-0.60724999999999962</v>
      </c>
      <c r="P10" s="59">
        <f t="shared" si="6"/>
        <v>-1.6234999999999999</v>
      </c>
      <c r="Q10" s="59">
        <f t="shared" si="7"/>
        <v>0</v>
      </c>
      <c r="R10" s="59">
        <f t="shared" si="8"/>
        <v>4.0031999999999996</v>
      </c>
      <c r="S10" s="59">
        <f t="shared" si="9"/>
        <v>0</v>
      </c>
      <c r="T10" s="59">
        <f t="shared" si="10"/>
        <v>-0.5484999999999971</v>
      </c>
      <c r="U10" s="14"/>
      <c r="V10" s="27" t="str">
        <f t="shared" si="11"/>
        <v>可疑</v>
      </c>
      <c r="W10" s="59">
        <f>'M1'!B8*1</f>
        <v>33.949399999999997</v>
      </c>
      <c r="X10" s="59">
        <f>'M1'!C8*1</f>
        <v>4.0109899999999996</v>
      </c>
      <c r="Y10" s="59">
        <f>'M1'!D8*1</f>
        <v>11.8146</v>
      </c>
      <c r="Z10" s="59">
        <f>'M1'!E8*1</f>
        <v>20</v>
      </c>
      <c r="AA10" s="59">
        <f>'M1'!F8*1</f>
        <v>23.101800000000001</v>
      </c>
      <c r="AB10" s="59">
        <f>'M1'!G8*1</f>
        <v>50</v>
      </c>
      <c r="AC10" s="59">
        <f>'M1'!H8*1</f>
        <v>38.5154</v>
      </c>
      <c r="AE10" s="27" t="str">
        <f t="shared" si="12"/>
        <v>可疑</v>
      </c>
      <c r="AF10" s="59">
        <f>'M2'!B8*1</f>
        <v>33.399099999999997</v>
      </c>
      <c r="AG10" s="59">
        <f>'M2'!C8*1</f>
        <v>3.40374</v>
      </c>
      <c r="AH10" s="59">
        <f>'M2'!D8*1</f>
        <v>10.1911</v>
      </c>
      <c r="AI10" s="59">
        <f>'M2'!E8*1</f>
        <v>20</v>
      </c>
      <c r="AJ10" s="59">
        <f>'M2'!F8*1</f>
        <v>27.105</v>
      </c>
      <c r="AK10" s="59">
        <f>'M2'!G8*1</f>
        <v>50</v>
      </c>
      <c r="AL10" s="59">
        <f>'M2'!H8*1</f>
        <v>37.966900000000003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-11.2226</v>
      </c>
      <c r="D11" s="52">
        <f>N11</f>
        <v>-5.1230999999999938</v>
      </c>
      <c r="E11" s="24">
        <f>T11</f>
        <v>-13.946899999999999</v>
      </c>
      <c r="F11" s="24">
        <f>P11</f>
        <v>1.1367699999999994</v>
      </c>
      <c r="G11" s="73" t="str">
        <f>CONCATENATE(M12,"
(40 ~ 100)")</f>
        <v>自信
(40 ~ 100)</v>
      </c>
      <c r="H11" s="24">
        <f>R12</f>
        <v>2.6562999999999874</v>
      </c>
      <c r="I11" s="52">
        <f>N12</f>
        <v>3.6535999999999973</v>
      </c>
      <c r="J11" s="24">
        <f>T12</f>
        <v>5.0490000000000066</v>
      </c>
      <c r="K11" s="25">
        <f>P12</f>
        <v>1.4295500000000001</v>
      </c>
      <c r="L11" s="4"/>
      <c r="M11" s="27" t="str">
        <f>lang!B18</f>
        <v>平衡</v>
      </c>
      <c r="N11" s="59">
        <f t="shared" si="4"/>
        <v>-5.1230999999999938</v>
      </c>
      <c r="O11" s="59">
        <f t="shared" si="5"/>
        <v>0.29345999999999961</v>
      </c>
      <c r="P11" s="59">
        <f t="shared" si="6"/>
        <v>1.1367699999999994</v>
      </c>
      <c r="Q11" s="59">
        <f t="shared" si="7"/>
        <v>0</v>
      </c>
      <c r="R11" s="59">
        <f t="shared" si="8"/>
        <v>-11.2226</v>
      </c>
      <c r="S11" s="59">
        <f t="shared" si="9"/>
        <v>0</v>
      </c>
      <c r="T11" s="59">
        <f t="shared" si="10"/>
        <v>-13.946899999999999</v>
      </c>
      <c r="U11" s="14"/>
      <c r="V11" s="27" t="str">
        <f t="shared" si="11"/>
        <v>平衡</v>
      </c>
      <c r="W11" s="59">
        <f>'M1'!B9*1</f>
        <v>65.707099999999997</v>
      </c>
      <c r="X11" s="59">
        <f>'M1'!C9*1</f>
        <v>5.06928</v>
      </c>
      <c r="Y11" s="59">
        <f>'M1'!D9*1</f>
        <v>7.7149700000000001</v>
      </c>
      <c r="Z11" s="59">
        <f>'M1'!E9*1</f>
        <v>50</v>
      </c>
      <c r="AA11" s="59">
        <f>'M1'!F9*1</f>
        <v>57.021900000000002</v>
      </c>
      <c r="AB11" s="59">
        <f>'M1'!G9*1</f>
        <v>100</v>
      </c>
      <c r="AC11" s="59">
        <f>'M1'!H9*1</f>
        <v>82.784899999999993</v>
      </c>
      <c r="AE11" s="27" t="str">
        <f t="shared" si="12"/>
        <v>平衡</v>
      </c>
      <c r="AF11" s="59">
        <f>'M2'!B9*1</f>
        <v>60.584000000000003</v>
      </c>
      <c r="AG11" s="59">
        <f>'M2'!C9*1</f>
        <v>5.3627399999999996</v>
      </c>
      <c r="AH11" s="59">
        <f>'M2'!D9*1</f>
        <v>8.8517399999999995</v>
      </c>
      <c r="AI11" s="59">
        <f>'M2'!E9*1</f>
        <v>50</v>
      </c>
      <c r="AJ11" s="59">
        <f>'M2'!F9*1</f>
        <v>45.799300000000002</v>
      </c>
      <c r="AK11" s="59">
        <f>'M2'!G9*1</f>
        <v>100</v>
      </c>
      <c r="AL11" s="59">
        <f>'M2'!H9*1</f>
        <v>68.837999999999994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11.040859999999999</v>
      </c>
      <c r="D12" s="51">
        <f>N13</f>
        <v>3.8906000000000027</v>
      </c>
      <c r="E12" s="53">
        <f>T13</f>
        <v>-1.5911999999999971</v>
      </c>
      <c r="F12" s="53">
        <f>P13</f>
        <v>-23.273899999999998</v>
      </c>
      <c r="G12" s="73" t="str">
        <f>CONCATENATE(M14,"
(50 ~ 100)")</f>
        <v>自我调节
(50 ~ 100)</v>
      </c>
      <c r="H12" s="24">
        <f>R14</f>
        <v>-2.9954000000000036</v>
      </c>
      <c r="I12" s="52">
        <f>N14</f>
        <v>-0.73530000000000939</v>
      </c>
      <c r="J12" s="24">
        <f>T14</f>
        <v>-3.622799999999998</v>
      </c>
      <c r="K12" s="25">
        <f>P14</f>
        <v>0.52868000000000004</v>
      </c>
      <c r="L12" s="4"/>
      <c r="M12" s="27" t="str">
        <f>lang!B19</f>
        <v>自信</v>
      </c>
      <c r="N12" s="59">
        <f t="shared" si="4"/>
        <v>3.6535999999999973</v>
      </c>
      <c r="O12" s="59">
        <f t="shared" si="5"/>
        <v>1.1521500000000002</v>
      </c>
      <c r="P12" s="59">
        <f t="shared" si="6"/>
        <v>1.4295500000000001</v>
      </c>
      <c r="Q12" s="59">
        <f t="shared" si="7"/>
        <v>0</v>
      </c>
      <c r="R12" s="59">
        <f t="shared" si="8"/>
        <v>2.6562999999999874</v>
      </c>
      <c r="S12" s="59">
        <f t="shared" si="9"/>
        <v>0</v>
      </c>
      <c r="T12" s="59">
        <f t="shared" si="10"/>
        <v>5.0490000000000066</v>
      </c>
      <c r="U12" s="15"/>
      <c r="V12" s="27" t="str">
        <f t="shared" si="11"/>
        <v>自信</v>
      </c>
      <c r="W12" s="59">
        <f>'M1'!B10*1</f>
        <v>73.443700000000007</v>
      </c>
      <c r="X12" s="59">
        <f>'M1'!C10*1</f>
        <v>1.00515</v>
      </c>
      <c r="Y12" s="59">
        <f>'M1'!D10*1</f>
        <v>1.3686</v>
      </c>
      <c r="Z12" s="59">
        <f>'M1'!E10*1</f>
        <v>40</v>
      </c>
      <c r="AA12" s="59">
        <f>'M1'!F10*1</f>
        <v>70.816100000000006</v>
      </c>
      <c r="AB12" s="59">
        <f>'M1'!G10*1</f>
        <v>100</v>
      </c>
      <c r="AC12" s="59">
        <f>'M1'!H10*1</f>
        <v>75.712699999999998</v>
      </c>
      <c r="AE12" s="27" t="str">
        <f t="shared" si="12"/>
        <v>自信</v>
      </c>
      <c r="AF12" s="59">
        <f>'M2'!B10*1</f>
        <v>77.097300000000004</v>
      </c>
      <c r="AG12" s="59">
        <f>'M2'!C10*1</f>
        <v>2.1573000000000002</v>
      </c>
      <c r="AH12" s="59">
        <f>'M2'!D10*1</f>
        <v>2.7981500000000001</v>
      </c>
      <c r="AI12" s="59">
        <f>'M2'!E10*1</f>
        <v>40</v>
      </c>
      <c r="AJ12" s="59">
        <f>'M2'!F10*1</f>
        <v>73.472399999999993</v>
      </c>
      <c r="AK12" s="59">
        <f>'M2'!G10*1</f>
        <v>100</v>
      </c>
      <c r="AL12" s="59">
        <f>'M2'!H10*1</f>
        <v>80.761700000000005</v>
      </c>
    </row>
    <row r="13" spans="2:38" ht="25.5" customHeight="1" thickBot="1">
      <c r="B13" s="72" t="str">
        <f>CONCATENATE(M15,"
(10 ~ 25)")</f>
        <v>抑郁
(10 ~ 25)</v>
      </c>
      <c r="C13" s="54">
        <f>R15</f>
        <v>1.0244</v>
      </c>
      <c r="D13" s="55">
        <f>N15</f>
        <v>0.63469999999999871</v>
      </c>
      <c r="E13" s="56">
        <f>T15</f>
        <v>6.1475000000000009</v>
      </c>
      <c r="F13" s="56">
        <f>P15</f>
        <v>3.3509999999999991</v>
      </c>
      <c r="G13" s="74" t="str">
        <f>CONCATENATE(M16,"
(10 ~ 50)")</f>
        <v>神经质
(10 ~ 50)</v>
      </c>
      <c r="H13" s="54">
        <f>R16</f>
        <v>1.9621040000000001</v>
      </c>
      <c r="I13" s="55">
        <f>N16</f>
        <v>8.1995000000000005</v>
      </c>
      <c r="J13" s="56">
        <f>T16</f>
        <v>2.6602000000000032</v>
      </c>
      <c r="K13" s="57">
        <f>P16</f>
        <v>-7.2436999999999969</v>
      </c>
      <c r="M13" s="27" t="str">
        <f>lang!B20</f>
        <v>活力</v>
      </c>
      <c r="N13" s="59">
        <f t="shared" si="4"/>
        <v>3.8906000000000027</v>
      </c>
      <c r="O13" s="59">
        <f t="shared" si="5"/>
        <v>-4.0537599999999996</v>
      </c>
      <c r="P13" s="59">
        <f t="shared" si="6"/>
        <v>-23.273899999999998</v>
      </c>
      <c r="Q13" s="59">
        <f t="shared" si="7"/>
        <v>0</v>
      </c>
      <c r="R13" s="59">
        <f t="shared" si="8"/>
        <v>11.040859999999999</v>
      </c>
      <c r="S13" s="59">
        <f t="shared" si="9"/>
        <v>0</v>
      </c>
      <c r="T13" s="59">
        <f t="shared" si="10"/>
        <v>-1.5911999999999971</v>
      </c>
      <c r="U13" s="14"/>
      <c r="V13" s="27" t="str">
        <f t="shared" si="11"/>
        <v>活力</v>
      </c>
      <c r="W13" s="59">
        <f>'M1'!B11*1</f>
        <v>19.846699999999998</v>
      </c>
      <c r="X13" s="59">
        <f>'M1'!C11*1</f>
        <v>7.5031299999999996</v>
      </c>
      <c r="Y13" s="59">
        <f>'M1'!D11*1</f>
        <v>37.805399999999999</v>
      </c>
      <c r="Z13" s="59">
        <f>'M1'!E11*1</f>
        <v>10</v>
      </c>
      <c r="AA13" s="59">
        <f>'M1'!F11*1</f>
        <v>7.5324400000000002</v>
      </c>
      <c r="AB13" s="59">
        <f>'M1'!G11*1</f>
        <v>50</v>
      </c>
      <c r="AC13" s="59">
        <f>'M1'!H11*1</f>
        <v>32.017499999999998</v>
      </c>
      <c r="AE13" s="27" t="str">
        <f t="shared" si="12"/>
        <v>活力</v>
      </c>
      <c r="AF13" s="59">
        <f>'M2'!B11*1</f>
        <v>23.737300000000001</v>
      </c>
      <c r="AG13" s="59">
        <f>'M2'!C11*1</f>
        <v>3.44937</v>
      </c>
      <c r="AH13" s="59">
        <f>'M2'!D11*1</f>
        <v>14.531499999999999</v>
      </c>
      <c r="AI13" s="59">
        <f>'M2'!E11*1</f>
        <v>10</v>
      </c>
      <c r="AJ13" s="59">
        <f>'M2'!F11*1</f>
        <v>18.5733</v>
      </c>
      <c r="AK13" s="59">
        <f>'M2'!G11*1</f>
        <v>50</v>
      </c>
      <c r="AL13" s="59">
        <f>'M2'!H11*1</f>
        <v>30.426300000000001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-0.73530000000000939</v>
      </c>
      <c r="O14" s="59">
        <f t="shared" si="5"/>
        <v>0.33365999999999962</v>
      </c>
      <c r="P14" s="59">
        <f t="shared" si="6"/>
        <v>0.52868000000000004</v>
      </c>
      <c r="Q14" s="59">
        <f t="shared" si="7"/>
        <v>0</v>
      </c>
      <c r="R14" s="59">
        <f t="shared" si="8"/>
        <v>-2.9954000000000036</v>
      </c>
      <c r="S14" s="59">
        <f t="shared" si="9"/>
        <v>0</v>
      </c>
      <c r="T14" s="59">
        <f t="shared" si="10"/>
        <v>-3.622799999999998</v>
      </c>
      <c r="U14" s="14"/>
      <c r="V14" s="27" t="str">
        <f t="shared" si="11"/>
        <v>自我调节</v>
      </c>
      <c r="W14" s="59">
        <f>'M1'!B12*1</f>
        <v>69.391900000000007</v>
      </c>
      <c r="X14" s="59">
        <f>'M1'!C12*1</f>
        <v>2.7673800000000002</v>
      </c>
      <c r="Y14" s="59">
        <f>'M1'!D12*1</f>
        <v>3.9880499999999999</v>
      </c>
      <c r="Z14" s="59">
        <f>'M1'!E12*1</f>
        <v>50</v>
      </c>
      <c r="AA14" s="59">
        <f>'M1'!F12*1</f>
        <v>65.048900000000003</v>
      </c>
      <c r="AB14" s="59">
        <f>'M1'!G12*1</f>
        <v>100</v>
      </c>
      <c r="AC14" s="59">
        <f>'M1'!H12*1</f>
        <v>78.125</v>
      </c>
      <c r="AE14" s="27" t="str">
        <f t="shared" si="12"/>
        <v>自我调节</v>
      </c>
      <c r="AF14" s="59">
        <f>'M2'!B12*1</f>
        <v>68.656599999999997</v>
      </c>
      <c r="AG14" s="59">
        <f>'M2'!C12*1</f>
        <v>3.1010399999999998</v>
      </c>
      <c r="AH14" s="59">
        <f>'M2'!D12*1</f>
        <v>4.5167299999999999</v>
      </c>
      <c r="AI14" s="59">
        <f>'M2'!E12*1</f>
        <v>50</v>
      </c>
      <c r="AJ14" s="59">
        <f>'M2'!F12*1</f>
        <v>62.0535</v>
      </c>
      <c r="AK14" s="59">
        <f>'M2'!G12*1</f>
        <v>100</v>
      </c>
      <c r="AL14" s="59">
        <f>'M2'!H12*1</f>
        <v>74.502200000000002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0.63469999999999871</v>
      </c>
      <c r="O15" s="59">
        <f t="shared" si="5"/>
        <v>0.81993999999999989</v>
      </c>
      <c r="P15" s="59">
        <f t="shared" si="6"/>
        <v>3.3509999999999991</v>
      </c>
      <c r="Q15" s="59">
        <f t="shared" si="7"/>
        <v>0</v>
      </c>
      <c r="R15" s="59">
        <f t="shared" si="8"/>
        <v>1.0244</v>
      </c>
      <c r="S15" s="59">
        <f t="shared" si="9"/>
        <v>0</v>
      </c>
      <c r="T15" s="59">
        <f t="shared" si="10"/>
        <v>6.1475000000000009</v>
      </c>
      <c r="U15" s="14"/>
      <c r="V15" s="27" t="str">
        <f t="shared" si="11"/>
        <v>抑郁</v>
      </c>
      <c r="W15" s="59">
        <f>'M1'!B13*1</f>
        <v>20.6754</v>
      </c>
      <c r="X15" s="59">
        <f>'M1'!C13*1</f>
        <v>3.4477099999999998</v>
      </c>
      <c r="Y15" s="59">
        <f>'M1'!D13*1</f>
        <v>16.6754</v>
      </c>
      <c r="Z15" s="59">
        <f>'M1'!E13*1</f>
        <v>10</v>
      </c>
      <c r="AA15" s="59">
        <f>'M1'!F13*1</f>
        <v>14.1348</v>
      </c>
      <c r="AB15" s="59">
        <f>'M1'!G13*1</f>
        <v>25</v>
      </c>
      <c r="AC15" s="59">
        <f>'M1'!H13*1</f>
        <v>30.6738</v>
      </c>
      <c r="AE15" s="27" t="str">
        <f t="shared" si="12"/>
        <v>抑郁</v>
      </c>
      <c r="AF15" s="59">
        <f>'M2'!B13*1</f>
        <v>21.310099999999998</v>
      </c>
      <c r="AG15" s="59">
        <f>'M2'!C13*1</f>
        <v>4.2676499999999997</v>
      </c>
      <c r="AH15" s="59">
        <f>'M2'!D13*1</f>
        <v>20.026399999999999</v>
      </c>
      <c r="AI15" s="59">
        <f>'M2'!E13*1</f>
        <v>10</v>
      </c>
      <c r="AJ15" s="59">
        <f>'M2'!F13*1</f>
        <v>15.1592</v>
      </c>
      <c r="AK15" s="59">
        <f>'M2'!G13*1</f>
        <v>25</v>
      </c>
      <c r="AL15" s="59">
        <f>'M2'!H13*1</f>
        <v>36.821300000000001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8.1995000000000005</v>
      </c>
      <c r="O16" s="59">
        <f t="shared" si="5"/>
        <v>2.0200000000000884E-2</v>
      </c>
      <c r="P16" s="59">
        <f t="shared" si="6"/>
        <v>-7.2436999999999969</v>
      </c>
      <c r="Q16" s="59">
        <f t="shared" si="7"/>
        <v>0</v>
      </c>
      <c r="R16" s="59">
        <f t="shared" si="8"/>
        <v>1.9621040000000001</v>
      </c>
      <c r="S16" s="59">
        <f t="shared" si="9"/>
        <v>0</v>
      </c>
      <c r="T16" s="59">
        <f t="shared" si="10"/>
        <v>2.6602000000000032</v>
      </c>
      <c r="U16" s="15"/>
      <c r="V16" s="27" t="str">
        <f t="shared" si="11"/>
        <v>神经质</v>
      </c>
      <c r="W16" s="59">
        <f>'M1'!B14*1</f>
        <v>34.4771</v>
      </c>
      <c r="X16" s="59">
        <f>'M1'!C14*1</f>
        <v>13.083399999999999</v>
      </c>
      <c r="Y16" s="59">
        <f>'M1'!D14*1</f>
        <v>37.948099999999997</v>
      </c>
      <c r="Z16" s="59">
        <f>'M1'!E14*1</f>
        <v>10</v>
      </c>
      <c r="AA16" s="59">
        <f>'M1'!F14*1</f>
        <v>0.56589599999999995</v>
      </c>
      <c r="AB16" s="59">
        <f>'M1'!G14*1</f>
        <v>50</v>
      </c>
      <c r="AC16" s="59">
        <f>'M1'!H14*1</f>
        <v>41.747999999999998</v>
      </c>
      <c r="AE16" s="27" t="str">
        <f t="shared" si="12"/>
        <v>神经质</v>
      </c>
      <c r="AF16" s="59">
        <f>'M2'!B14*1</f>
        <v>42.676600000000001</v>
      </c>
      <c r="AG16" s="59">
        <f>'M2'!C14*1</f>
        <v>13.1036</v>
      </c>
      <c r="AH16" s="59">
        <f>'M2'!D14*1</f>
        <v>30.7044</v>
      </c>
      <c r="AI16" s="59">
        <f>'M2'!E14*1</f>
        <v>10</v>
      </c>
      <c r="AJ16" s="59">
        <f>'M2'!F14*1</f>
        <v>2.528</v>
      </c>
      <c r="AK16" s="59">
        <f>'M2'!G14*1</f>
        <v>50</v>
      </c>
      <c r="AL16" s="59">
        <f>'M2'!H14*1</f>
        <v>44.408200000000001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0.42144999999999921</v>
      </c>
      <c r="O17" s="22">
        <f>N17/(N17+N18+N19)</f>
        <v>9.0008702941380456E-2</v>
      </c>
      <c r="P17" s="65">
        <f>SUM(P11:P14)/4</f>
        <v>-5.0447249999999997</v>
      </c>
      <c r="Q17" s="22">
        <f>P17/(P17+P18+P19)</f>
        <v>1.0677305045222287</v>
      </c>
      <c r="R17" s="14"/>
      <c r="S17" s="14"/>
      <c r="T17" s="14"/>
      <c r="U17" s="14"/>
      <c r="V17" s="21" t="str">
        <f>M17</f>
        <v>Positive</v>
      </c>
      <c r="W17" s="65">
        <f>SUM(W11:W14)/4</f>
        <v>57.097350000000006</v>
      </c>
      <c r="X17" s="22">
        <f>W17/(W17+W18+W19)</f>
        <v>0.47925600236197724</v>
      </c>
      <c r="Y17" s="65">
        <f>SUM(Y11:Y14)/4</f>
        <v>12.719255</v>
      </c>
      <c r="Z17" s="22">
        <f>Y17/(Y17+Y18+Y19)</f>
        <v>0.24007899665639273</v>
      </c>
      <c r="AA17" s="14"/>
      <c r="AB17" s="14"/>
      <c r="AC17" s="14"/>
      <c r="AE17" s="21" t="str">
        <f>V17</f>
        <v>Positive</v>
      </c>
      <c r="AF17" s="65">
        <f>SUM(AF11:AF14)/4</f>
        <v>57.518800000000006</v>
      </c>
      <c r="AG17" s="22">
        <f>AF17/(AF17+AF18+AF19)</f>
        <v>0.46453636655849873</v>
      </c>
      <c r="AH17" s="65">
        <f>SUM(AH11:AH14)/4</f>
        <v>7.6745299999999999</v>
      </c>
      <c r="AI17" s="22">
        <f>AH17/(AH17+AH18+AH19)</f>
        <v>0.1590419925586585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-0.15622499999999917</v>
      </c>
      <c r="O18" s="22">
        <f>N18/(N17+N18+N19)</f>
        <v>-3.3364834777594291E-2</v>
      </c>
      <c r="P18" s="18">
        <f>SUM(P7:P10)/4</f>
        <v>2.2663575000000011</v>
      </c>
      <c r="Q18" s="22">
        <f>P18/(P17+P18+P19)</f>
        <v>-0.47968106029619817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34.463875000000002</v>
      </c>
      <c r="X18" s="22">
        <f>W18/(W17+W18+W19)</f>
        <v>0.28927820570311735</v>
      </c>
      <c r="Y18" s="18">
        <f>SUM(Y7:Y10)/4</f>
        <v>12.9484525</v>
      </c>
      <c r="Z18" s="22">
        <f>Y18/(Y17+Y18+Y19)</f>
        <v>0.2444051545827928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34.307650000000002</v>
      </c>
      <c r="AG18" s="22">
        <f>AF18/(AF17+AF18+AF19)</f>
        <v>0.27707725258803517</v>
      </c>
      <c r="AH18" s="18">
        <f>SUM(AH7:AH10)/4</f>
        <v>15.21481</v>
      </c>
      <c r="AI18" s="22">
        <f>AH18/(AH17+AH18+AH19)</f>
        <v>0.31530187500751222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4.4170999999999996</v>
      </c>
      <c r="O19" s="22">
        <f>N19/(N17+N18+N19)</f>
        <v>0.94335613183621381</v>
      </c>
      <c r="P19" s="18">
        <f>(P15+P16)/2</f>
        <v>-1.9463499999999989</v>
      </c>
      <c r="Q19" s="22">
        <f>P19/(P17+P18+P19)</f>
        <v>0.41195055577396961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27.576250000000002</v>
      </c>
      <c r="X19" s="22">
        <f>W19/(W17+W18+W19)</f>
        <v>0.23146579193490546</v>
      </c>
      <c r="Y19" s="18">
        <f>(Y15+Y16)/2</f>
        <v>27.311749999999996</v>
      </c>
      <c r="Z19" s="22">
        <f>Y19/(Y17+Y18+Y19)</f>
        <v>0.51551584876081447</v>
      </c>
      <c r="AA19" s="14"/>
      <c r="AB19" s="14"/>
      <c r="AC19" s="14"/>
      <c r="AE19" s="21" t="str">
        <f t="shared" si="14"/>
        <v>Physiological</v>
      </c>
      <c r="AF19" s="18">
        <f>(AF15+AF16)/2</f>
        <v>31.99335</v>
      </c>
      <c r="AG19" s="22">
        <f>AF19/(AF17+AF18+AF19)</f>
        <v>0.25838638085346605</v>
      </c>
      <c r="AH19" s="18">
        <f>(AH15+AH16)/2</f>
        <v>25.365400000000001</v>
      </c>
      <c r="AI19" s="22">
        <f>AH19/(AH17+AH18+AH19)</f>
        <v>0.52565613243382936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1.67/1.92</v>
      </c>
      <c r="D24" s="44" t="str">
        <f>lang!B11</f>
        <v>频率方差</v>
      </c>
      <c r="E24" s="182" t="str">
        <f ca="1">CONCATENATE(ROUND('FH1'!L3,2),"/",ROUND('FH2'!L3,2))</f>
        <v>0.77/0.71</v>
      </c>
      <c r="F24" s="183"/>
      <c r="G24" s="174" t="str">
        <f>lang!B12</f>
        <v>生理变化率</v>
      </c>
      <c r="H24" s="175"/>
      <c r="I24" s="62" t="str">
        <f ca="1">CONCATENATE(info!M7,"-",info!M8)</f>
        <v>22.2-61.4</v>
      </c>
      <c r="J24" s="42" t="str">
        <f>lang!B13</f>
        <v>千卡l/分钟</v>
      </c>
      <c r="K24" s="41" t="str">
        <f ca="1">CONCATENATE(info!M5,"-",info!M6)</f>
        <v>1.8-4.3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-3.1702000000000008</v>
      </c>
      <c r="F27" s="121"/>
      <c r="G27" s="135" t="str">
        <f>lang!B33</f>
        <v>稳定性</v>
      </c>
      <c r="H27" s="136"/>
      <c r="I27" s="137"/>
      <c r="J27" s="138">
        <f>dM!B19*100</f>
        <v>0.79919999999999991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-0.91100380773757605</v>
      </c>
      <c r="C2">
        <f t="array" aca="1" ref="C2" ca="1">CORREL(FT_E02,FT_PH02)</f>
        <v>0.83618306201468351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1.8407299999999998</v>
      </c>
      <c r="G2" s="61">
        <f>IF(FT!B2&lt;&gt;"",FT!B2*100,"")</f>
        <v>61.367600000000003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1.8867800000000001</v>
      </c>
      <c r="G3" s="61">
        <f>IF(FT!B3&lt;&gt;"",FT!B3*100,"")</f>
        <v>60.4101</v>
      </c>
      <c r="H3" s="61">
        <f t="shared" ref="H3:H66" si="1">(IF(F3&lt;&gt;"",1,""))</f>
        <v>1</v>
      </c>
      <c r="I3" t="str">
        <f>IF(FT!B3&lt;&gt;"",FT!E3,"")</f>
        <v>1 [0.349455]</v>
      </c>
      <c r="J3">
        <f>IF(FT!B3&lt;&gt;"",FT!C3,"")</f>
        <v>0.34945500000000002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0.3442973918918919</v>
      </c>
      <c r="V3">
        <f ca="1">AVERAGE(OFFSET(FT!B2,info!$L$3/2,0,info!$L$3/2,1))</f>
        <v>0.30764941891891895</v>
      </c>
      <c r="W3">
        <f ca="1">AVERAGE(OFFSET(FT!A2,0,0,info!$L$3/2,1))</f>
        <v>0.34904620270270253</v>
      </c>
      <c r="X3">
        <f ca="1">AVERAGE(OFFSET(FT!A2,info!$L$3/2,0,info!$L$3/2,1))</f>
        <v>0.3910716351351351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1.93411</v>
      </c>
      <c r="G4" s="61">
        <f>IF(FT!B4&lt;&gt;"",FT!B4*100,"")</f>
        <v>59.299599999999998</v>
      </c>
      <c r="H4" s="61">
        <f t="shared" si="1"/>
        <v>1</v>
      </c>
      <c r="I4" t="str">
        <f>IF(FT!B4&lt;&gt;"",FT!E4,"")</f>
        <v>1 [0.753602]</v>
      </c>
      <c r="J4">
        <f>IF(FT!B4&lt;&gt;"",FT!C4,"")</f>
        <v>0.75360199999999999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14.931225</v>
      </c>
      <c r="V4">
        <f>U4*3</f>
        <v>44.793675</v>
      </c>
      <c r="W4">
        <f>U4</f>
        <v>14.931225</v>
      </c>
      <c r="X4">
        <f>V4</f>
        <v>44.793675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1.98129</v>
      </c>
      <c r="G5" s="61">
        <f>IF(FT!B5&lt;&gt;"",FT!B5*100,"")</f>
        <v>58.153799999999997</v>
      </c>
      <c r="H5" s="61">
        <f t="shared" si="1"/>
        <v>1</v>
      </c>
      <c r="I5" t="str">
        <f>IF(FT!B5&lt;&gt;"",FT!E5,"")</f>
        <v>1 [1.159612]</v>
      </c>
      <c r="J5">
        <f>IF(FT!B5&lt;&gt;"",FT!C5,"")</f>
        <v>1.15961</v>
      </c>
      <c r="K5" t="s">
        <v>53</v>
      </c>
      <c r="L5" s="63">
        <f ca="1">MIN(FT_E)</f>
        <v>1.8407299999999998</v>
      </c>
      <c r="M5" s="63">
        <f ca="1">ROUND(L5,1)</f>
        <v>1.8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34.429739189189192</v>
      </c>
      <c r="V5">
        <f ca="1">V3*100</f>
        <v>30.764941891891894</v>
      </c>
      <c r="W5">
        <f ca="1">W3*10</f>
        <v>3.4904620270270255</v>
      </c>
      <c r="X5">
        <f ca="1">X3*10</f>
        <v>3.910716351351351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2.0296500000000002</v>
      </c>
      <c r="G6" s="61">
        <f>IF(FT!B6&lt;&gt;"",FT!B6*100,"")</f>
        <v>56.811199999999992</v>
      </c>
      <c r="H6" s="61">
        <f t="shared" si="1"/>
        <v>1</v>
      </c>
      <c r="I6" t="str">
        <f>IF(FT!B6&lt;&gt;"",FT!E6,"")</f>
        <v>1 [1.568279]</v>
      </c>
      <c r="J6">
        <f>IF(FT!B6&lt;&gt;"",FT!C6,"")</f>
        <v>1.5682799999999999</v>
      </c>
      <c r="K6" t="s">
        <v>54</v>
      </c>
      <c r="L6" s="63">
        <f ca="1">MAX(FT_E)</f>
        <v>4.2706200000000001</v>
      </c>
      <c r="M6" s="63">
        <f ca="1">ROUND(L6,1)</f>
        <v>4.3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2.08182</v>
      </c>
      <c r="G7" s="61">
        <f>IF(FT!B7&lt;&gt;"",FT!B7*100,"")</f>
        <v>55.399100000000004</v>
      </c>
      <c r="H7" s="61">
        <f t="shared" si="1"/>
        <v>1</v>
      </c>
      <c r="I7" t="str">
        <f>IF(FT!B7&lt;&gt;"",FT!E7,"")</f>
        <v>1 [1.973540]</v>
      </c>
      <c r="J7">
        <f>IF(FT!B7&lt;&gt;"",FT!C7,"")</f>
        <v>1.9735400000000001</v>
      </c>
      <c r="K7" t="s">
        <v>55</v>
      </c>
      <c r="L7" s="63">
        <f ca="1">MIN(FT_PH)</f>
        <v>22.222799999999999</v>
      </c>
      <c r="M7" s="63">
        <f ca="1">ROUND(L7,1)</f>
        <v>22.2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4364</v>
      </c>
      <c r="D8" s="61">
        <f>FH!B8*1</f>
        <v>4364</v>
      </c>
      <c r="E8">
        <f t="shared" si="3"/>
        <v>6</v>
      </c>
      <c r="F8" s="61">
        <f>IF(FT!A8&lt;&gt;"",FT!A8*10,"")</f>
        <v>2.1368300000000002</v>
      </c>
      <c r="G8" s="61">
        <f>IF(FT!B8&lt;&gt;"",FT!B8*100,"")</f>
        <v>53.951999999999998</v>
      </c>
      <c r="H8" s="61">
        <f t="shared" si="1"/>
        <v>1</v>
      </c>
      <c r="I8" t="str">
        <f>IF(FT!B8&lt;&gt;"",FT!E8,"")</f>
        <v>1 [2.379034]</v>
      </c>
      <c r="J8">
        <f>IF(FT!B8&lt;&gt;"",FT!C8,"")</f>
        <v>2.3790300000000002</v>
      </c>
      <c r="K8" t="s">
        <v>56</v>
      </c>
      <c r="L8" s="63">
        <f ca="1">MAX(FT_PH)</f>
        <v>61.367600000000003</v>
      </c>
      <c r="M8" s="63">
        <f ca="1">ROUND(L8,1)</f>
        <v>61.4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2.1943899999999998</v>
      </c>
      <c r="G9" s="61">
        <f>IF(FT!B9&lt;&gt;"",FT!B9*100,"")</f>
        <v>52.497400000000006</v>
      </c>
      <c r="H9" s="61">
        <f t="shared" si="1"/>
        <v>1</v>
      </c>
      <c r="I9" t="str">
        <f>IF(FT!B9&lt;&gt;"",FT!E9,"")</f>
        <v>1 [2.782513]</v>
      </c>
      <c r="J9">
        <f>IF(FT!B9&lt;&gt;"",FT!C9,"")</f>
        <v>2.7825099999999998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5964</v>
      </c>
      <c r="D10" s="61">
        <f>FH!B10*1</f>
        <v>5964</v>
      </c>
      <c r="E10">
        <f t="shared" si="3"/>
        <v>8</v>
      </c>
      <c r="F10" s="61">
        <f>IF(FT!A10&lt;&gt;"",FT!A10*10,"")</f>
        <v>2.2543500000000001</v>
      </c>
      <c r="G10" s="61">
        <f>IF(FT!B10&lt;&gt;"",FT!B10*100,"")</f>
        <v>50.902899999999995</v>
      </c>
      <c r="H10" s="61">
        <f t="shared" si="1"/>
        <v>1</v>
      </c>
      <c r="I10" t="str">
        <f>IF(FT!B10&lt;&gt;"",FT!E10,"")</f>
        <v>1 [3.187286]</v>
      </c>
      <c r="J10">
        <f>IF(FT!B10&lt;&gt;"",FT!C10,"")</f>
        <v>3.18729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2.3140200000000002</v>
      </c>
      <c r="G11" s="61">
        <f>IF(FT!B11&lt;&gt;"",FT!B11*100,"")</f>
        <v>49.266399999999997</v>
      </c>
      <c r="H11" s="61">
        <f t="shared" si="1"/>
        <v>1</v>
      </c>
      <c r="I11" t="str">
        <f>IF(FT!B11&lt;&gt;"",FT!E11,"")</f>
        <v>1 [3.598816]</v>
      </c>
      <c r="J11">
        <f>IF(FT!B11&lt;&gt;"",FT!C11,"")</f>
        <v>3.5988199999999999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2.37418</v>
      </c>
      <c r="G12" s="61">
        <f>IF(FT!B12&lt;&gt;"",FT!B12*100,"")</f>
        <v>47.687000000000005</v>
      </c>
      <c r="H12" s="61">
        <f t="shared" si="1"/>
        <v>1</v>
      </c>
      <c r="I12" t="str">
        <f>IF(FT!B12&lt;&gt;"",FT!E12,"")</f>
        <v>1 [4.005374]</v>
      </c>
      <c r="J12">
        <f>IF(FT!B12&lt;&gt;"",FT!C12,"")</f>
        <v>4.0053700000000001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5932</v>
      </c>
      <c r="D13" s="61">
        <f>FH!B13*1</f>
        <v>5932</v>
      </c>
      <c r="E13">
        <f t="shared" si="3"/>
        <v>11</v>
      </c>
      <c r="F13" s="61">
        <f>IF(FT!A13&lt;&gt;"",FT!A13*10,"")</f>
        <v>2.4327800000000002</v>
      </c>
      <c r="G13" s="61">
        <f>IF(FT!B13&lt;&gt;"",FT!B13*100,"")</f>
        <v>46.195399999999999</v>
      </c>
      <c r="H13" s="61">
        <f t="shared" si="1"/>
        <v>1</v>
      </c>
      <c r="I13" t="str">
        <f>IF(FT!B13&lt;&gt;"",FT!E13,"")</f>
        <v>1 [4.409186]</v>
      </c>
      <c r="J13">
        <f>IF(FT!B13&lt;&gt;"",FT!C13,"")</f>
        <v>4.4091899999999997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2.49457</v>
      </c>
      <c r="G14" s="61">
        <f>IF(FT!B14&lt;&gt;"",FT!B14*100,"")</f>
        <v>44.655000000000001</v>
      </c>
      <c r="H14" s="61">
        <f t="shared" si="1"/>
        <v>1</v>
      </c>
      <c r="I14" t="str">
        <f>IF(FT!B14&lt;&gt;"",FT!E14,"")</f>
        <v>1 [4.815306]</v>
      </c>
      <c r="J14">
        <f>IF(FT!B14&lt;&gt;"",FT!C14,"")</f>
        <v>4.8153100000000002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10239</v>
      </c>
      <c r="D15" s="61">
        <f>FH!B15*1</f>
        <v>10239</v>
      </c>
      <c r="E15">
        <f t="shared" si="3"/>
        <v>13</v>
      </c>
      <c r="F15" s="61">
        <f>IF(FT!A15&lt;&gt;"",FT!A15*10,"")</f>
        <v>2.5575900000000003</v>
      </c>
      <c r="G15" s="61">
        <f>IF(FT!B15&lt;&gt;"",FT!B15*100,"")</f>
        <v>43.075400000000002</v>
      </c>
      <c r="H15" s="61">
        <f t="shared" si="1"/>
        <v>1</v>
      </c>
      <c r="I15" t="str">
        <f>IF(FT!B15&lt;&gt;"",FT!E15,"")</f>
        <v>1 [5.222601]</v>
      </c>
      <c r="J15">
        <f>IF(FT!B15&lt;&gt;"",FT!C15,"")</f>
        <v>5.2225999999999999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2.6237399999999997</v>
      </c>
      <c r="G16" s="61">
        <f>IF(FT!B16&lt;&gt;"",FT!B16*100,"")</f>
        <v>41.392099999999999</v>
      </c>
      <c r="H16" s="61">
        <f t="shared" si="1"/>
        <v>1</v>
      </c>
      <c r="I16" t="str">
        <f>IF(FT!B16&lt;&gt;"",FT!E16,"")</f>
        <v>1 [5.630576]</v>
      </c>
      <c r="J16">
        <f>IF(FT!B16&lt;&gt;"",FT!C16,"")</f>
        <v>5.6305800000000001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2.6910400000000001</v>
      </c>
      <c r="G17" s="61">
        <f>IF(FT!B17&lt;&gt;"",FT!B17*100,"")</f>
        <v>39.719900000000003</v>
      </c>
      <c r="H17" s="61">
        <f t="shared" si="1"/>
        <v>1</v>
      </c>
      <c r="I17" t="str">
        <f>IF(FT!B17&lt;&gt;"",FT!E17,"")</f>
        <v>1 [6.036565]</v>
      </c>
      <c r="J17">
        <f>IF(FT!B17&lt;&gt;"",FT!C17,"")</f>
        <v>6.0365599999999997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12856</v>
      </c>
      <c r="D18" s="61">
        <f>FH!B18*1</f>
        <v>12856</v>
      </c>
      <c r="E18">
        <f t="shared" si="3"/>
        <v>16</v>
      </c>
      <c r="F18" s="61">
        <f>IF(FT!A18&lt;&gt;"",FT!A18*10,"")</f>
        <v>2.7604299999999999</v>
      </c>
      <c r="G18" s="61">
        <f>IF(FT!B18&lt;&gt;"",FT!B18*100,"")</f>
        <v>38.1233</v>
      </c>
      <c r="H18" s="61">
        <f t="shared" si="1"/>
        <v>1</v>
      </c>
      <c r="I18" t="str">
        <f>IF(FT!B18&lt;&gt;"",FT!E18,"")</f>
        <v>1 [6.444654]</v>
      </c>
      <c r="J18">
        <f>IF(FT!B18&lt;&gt;"",FT!C18,"")</f>
        <v>6.4446500000000002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2.8317199999999998</v>
      </c>
      <c r="G19" s="61">
        <f>IF(FT!B19&lt;&gt;"",FT!B19*100,"")</f>
        <v>36.628399999999999</v>
      </c>
      <c r="H19" s="61">
        <f t="shared" si="1"/>
        <v>1</v>
      </c>
      <c r="I19" t="str">
        <f>IF(FT!B19&lt;&gt;"",FT!E19,"")</f>
        <v>1 [6.849560]</v>
      </c>
      <c r="J19">
        <f>IF(FT!B19&lt;&gt;"",FT!C19,"")</f>
        <v>6.8495600000000003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2.9015000000000004</v>
      </c>
      <c r="G20" s="61">
        <f>IF(FT!B20&lt;&gt;"",FT!B20*100,"")</f>
        <v>35.326099999999997</v>
      </c>
      <c r="H20" s="61">
        <f t="shared" si="1"/>
        <v>1</v>
      </c>
      <c r="I20" t="str">
        <f>IF(FT!B20&lt;&gt;"",FT!E20,"")</f>
        <v>1 [7.254393]</v>
      </c>
      <c r="J20">
        <f>IF(FT!B20&lt;&gt;"",FT!C20,"")</f>
        <v>7.2543899999999999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22852</v>
      </c>
      <c r="D21" s="61">
        <f>FH!B21*1</f>
        <v>22852</v>
      </c>
      <c r="E21">
        <f t="shared" si="3"/>
        <v>19</v>
      </c>
      <c r="F21" s="61">
        <f>IF(FT!A21&lt;&gt;"",FT!A21*10,"")</f>
        <v>2.96767</v>
      </c>
      <c r="G21" s="61">
        <f>IF(FT!B21&lt;&gt;"",FT!B21*100,"")</f>
        <v>34.303200000000004</v>
      </c>
      <c r="H21" s="61">
        <f t="shared" si="1"/>
        <v>1</v>
      </c>
      <c r="I21" t="str">
        <f>IF(FT!B21&lt;&gt;"",FT!E21,"")</f>
        <v>1 [7.658094]</v>
      </c>
      <c r="J21">
        <f>IF(FT!B21&lt;&gt;"",FT!C21,"")</f>
        <v>7.6580899999999996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3.03064</v>
      </c>
      <c r="G22" s="61">
        <f>IF(FT!B22&lt;&gt;"",FT!B22*100,"")</f>
        <v>33.511600000000001</v>
      </c>
      <c r="H22" s="61">
        <f t="shared" si="1"/>
        <v>1</v>
      </c>
      <c r="I22" t="str">
        <f>IF(FT!B22&lt;&gt;"",FT!E22,"")</f>
        <v>1 [8.067251]</v>
      </c>
      <c r="J22">
        <f>IF(FT!B22&lt;&gt;"",FT!C22,"")</f>
        <v>8.0672499999999996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26964</v>
      </c>
      <c r="D23" s="61">
        <f>FH!B23*1</f>
        <v>26964</v>
      </c>
      <c r="E23">
        <f t="shared" si="3"/>
        <v>21</v>
      </c>
      <c r="F23" s="61">
        <f>IF(FT!A23&lt;&gt;"",FT!A23*10,"")</f>
        <v>3.09023</v>
      </c>
      <c r="G23" s="61">
        <f>IF(FT!B23&lt;&gt;"",FT!B23*100,"")</f>
        <v>32.893899999999995</v>
      </c>
      <c r="H23" s="61">
        <f t="shared" si="1"/>
        <v>1</v>
      </c>
      <c r="I23" t="str">
        <f>IF(FT!B23&lt;&gt;"",FT!E23,"")</f>
        <v>1 [8.475225]</v>
      </c>
      <c r="J23">
        <f>IF(FT!B23&lt;&gt;"",FT!C23,"")</f>
        <v>8.4752299999999998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3.1463799999999997</v>
      </c>
      <c r="G24" s="61">
        <f>IF(FT!B24&lt;&gt;"",FT!B24*100,"")</f>
        <v>32.372099999999996</v>
      </c>
      <c r="H24" s="61">
        <f t="shared" si="1"/>
        <v>1</v>
      </c>
      <c r="I24" t="str">
        <f>IF(FT!B24&lt;&gt;"",FT!E24,"")</f>
        <v>1 [8.882254]</v>
      </c>
      <c r="J24">
        <f>IF(FT!B24&lt;&gt;"",FT!C24,"")</f>
        <v>8.8822500000000009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3.2010499999999995</v>
      </c>
      <c r="G25" s="61">
        <f>IF(FT!B25&lt;&gt;"",FT!B25*100,"")</f>
        <v>31.963900000000002</v>
      </c>
      <c r="H25" s="61">
        <f t="shared" si="1"/>
        <v>1</v>
      </c>
      <c r="I25" t="str">
        <f>IF(FT!B25&lt;&gt;"",FT!E25,"")</f>
        <v>1 [9.289668]</v>
      </c>
      <c r="J25">
        <f>IF(FT!B25&lt;&gt;"",FT!C25,"")</f>
        <v>9.2896699999999992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38126</v>
      </c>
      <c r="D26" s="61">
        <f>FH!B26*1</f>
        <v>38126</v>
      </c>
      <c r="E26">
        <f t="shared" si="3"/>
        <v>24</v>
      </c>
      <c r="F26" s="61">
        <f>IF(FT!A26&lt;&gt;"",FT!A26*10,"")</f>
        <v>3.2566800000000002</v>
      </c>
      <c r="G26" s="61">
        <f>IF(FT!B26&lt;&gt;"",FT!B26*100,"")</f>
        <v>31.610599999999998</v>
      </c>
      <c r="H26" s="61">
        <f t="shared" si="1"/>
        <v>1</v>
      </c>
      <c r="I26" t="str">
        <f>IF(FT!B26&lt;&gt;"",FT!E26,"")</f>
        <v>1 [9.691204]</v>
      </c>
      <c r="J26">
        <f>IF(FT!B26&lt;&gt;"",FT!C26,"")</f>
        <v>9.6912000000000003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3.3126100000000003</v>
      </c>
      <c r="G27" s="61">
        <f>IF(FT!B27&lt;&gt;"",FT!B27*100,"")</f>
        <v>31.306699999999999</v>
      </c>
      <c r="H27" s="61">
        <f t="shared" si="1"/>
        <v>1</v>
      </c>
      <c r="I27" t="str">
        <f>IF(FT!B27&lt;&gt;"",FT!E27,"")</f>
        <v>1 [10.097180]</v>
      </c>
      <c r="J27">
        <f>IF(FT!B27&lt;&gt;"",FT!C27,"")</f>
        <v>10.097200000000001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47020</v>
      </c>
      <c r="D28" s="61">
        <f>FH!B28*1</f>
        <v>47020</v>
      </c>
      <c r="E28">
        <f t="shared" si="3"/>
        <v>26</v>
      </c>
      <c r="F28" s="61">
        <f>IF(FT!A28&lt;&gt;"",FT!A28*10,"")</f>
        <v>3.36598</v>
      </c>
      <c r="G28" s="61">
        <f>IF(FT!B28&lt;&gt;"",FT!B28*100,"")</f>
        <v>31.096299999999999</v>
      </c>
      <c r="H28" s="61">
        <f t="shared" si="1"/>
        <v>1</v>
      </c>
      <c r="I28" t="str">
        <f>IF(FT!B28&lt;&gt;"",FT!E28,"")</f>
        <v>1 [10.504808]</v>
      </c>
      <c r="J28">
        <f>IF(FT!B28&lt;&gt;"",FT!C28,"")</f>
        <v>10.504799999999999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3.4196599999999999</v>
      </c>
      <c r="G29" s="61">
        <f>IF(FT!B29&lt;&gt;"",FT!B29*100,"")</f>
        <v>30.926300000000001</v>
      </c>
      <c r="H29" s="61">
        <f t="shared" si="1"/>
        <v>1</v>
      </c>
      <c r="I29" t="str">
        <f>IF(FT!B29&lt;&gt;"",FT!E29,"")</f>
        <v>1 [10.914733]</v>
      </c>
      <c r="J29">
        <f>IF(FT!B29&lt;&gt;"",FT!C29,"")</f>
        <v>10.9147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3.4727799999999998</v>
      </c>
      <c r="G30" s="61">
        <f>IF(FT!B30&lt;&gt;"",FT!B30*100,"")</f>
        <v>30.8125</v>
      </c>
      <c r="H30" s="61">
        <f t="shared" si="1"/>
        <v>1</v>
      </c>
      <c r="I30" t="str">
        <f>IF(FT!B30&lt;&gt;"",FT!E30,"")</f>
        <v>1 [11.317363]</v>
      </c>
      <c r="J30">
        <f>IF(FT!B30&lt;&gt;"",FT!C30,"")</f>
        <v>11.317399999999999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49258</v>
      </c>
      <c r="D31" s="61">
        <f>FH!B31*1</f>
        <v>49258</v>
      </c>
      <c r="E31">
        <f t="shared" si="3"/>
        <v>29</v>
      </c>
      <c r="F31" s="61">
        <f>IF(FT!A31&lt;&gt;"",FT!A31*10,"")</f>
        <v>3.5266099999999998</v>
      </c>
      <c r="G31" s="61">
        <f>IF(FT!B31&lt;&gt;"",FT!B31*100,"")</f>
        <v>30.710500000000003</v>
      </c>
      <c r="H31" s="61">
        <f t="shared" si="1"/>
        <v>1</v>
      </c>
      <c r="I31" t="str">
        <f>IF(FT!B31&lt;&gt;"",FT!E31,"")</f>
        <v>1 [11.722657]</v>
      </c>
      <c r="J31">
        <f>IF(FT!B31&lt;&gt;"",FT!C31,"")</f>
        <v>11.7227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3.5817999999999999</v>
      </c>
      <c r="G32" s="61">
        <f>IF(FT!B32&lt;&gt;"",FT!B32*100,"")</f>
        <v>30.512699999999999</v>
      </c>
      <c r="H32" s="61">
        <f t="shared" si="1"/>
        <v>1</v>
      </c>
      <c r="I32" t="str">
        <f>IF(FT!B32&lt;&gt;"",FT!E32,"")</f>
        <v>1 [12.130024]</v>
      </c>
      <c r="J32">
        <f>IF(FT!B32&lt;&gt;"",FT!C32,"")</f>
        <v>12.13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64541</v>
      </c>
      <c r="D33" s="61">
        <f>FH!B33*1</f>
        <v>64541</v>
      </c>
      <c r="E33">
        <f t="shared" si="3"/>
        <v>31</v>
      </c>
      <c r="F33" s="61">
        <f>IF(FT!A33&lt;&gt;"",FT!A33*10,"")</f>
        <v>3.6392600000000002</v>
      </c>
      <c r="G33" s="61">
        <f>IF(FT!B33&lt;&gt;"",FT!B33*100,"")</f>
        <v>30.238900000000001</v>
      </c>
      <c r="H33" s="61">
        <f t="shared" si="1"/>
        <v>1</v>
      </c>
      <c r="I33" t="str">
        <f>IF(FT!B33&lt;&gt;"",FT!E33,"")</f>
        <v>1 [12.536357]</v>
      </c>
      <c r="J33">
        <f>IF(FT!B33&lt;&gt;"",FT!C33,"")</f>
        <v>12.5364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3.6971700000000003</v>
      </c>
      <c r="G34" s="61">
        <f>IF(FT!B34&lt;&gt;"",FT!B34*100,"")</f>
        <v>29.8522</v>
      </c>
      <c r="H34" s="61">
        <f t="shared" si="1"/>
        <v>1</v>
      </c>
      <c r="I34" t="str">
        <f>IF(FT!B34&lt;&gt;"",FT!E34,"")</f>
        <v>1 [12.944558]</v>
      </c>
      <c r="J34">
        <f>IF(FT!B34&lt;&gt;"",FT!C34,"")</f>
        <v>12.944599999999999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3.7568299999999999</v>
      </c>
      <c r="G35" s="61">
        <f>IF(FT!B35&lt;&gt;"",FT!B35*100,"")</f>
        <v>29.433700000000002</v>
      </c>
      <c r="H35" s="61">
        <f t="shared" si="1"/>
        <v>1</v>
      </c>
      <c r="I35" t="str">
        <f>IF(FT!B35&lt;&gt;"",FT!E35,"")</f>
        <v>1 [13.347419]</v>
      </c>
      <c r="J35">
        <f>IF(FT!B35&lt;&gt;"",FT!C35,"")</f>
        <v>13.3474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64144</v>
      </c>
      <c r="D36" s="61">
        <f>FH!B36*1</f>
        <v>64144</v>
      </c>
      <c r="E36">
        <f t="shared" si="3"/>
        <v>34</v>
      </c>
      <c r="F36" s="61">
        <f>IF(FT!A36&lt;&gt;"",FT!A36*10,"")</f>
        <v>3.8145800000000003</v>
      </c>
      <c r="G36" s="61">
        <f>IF(FT!B36&lt;&gt;"",FT!B36*100,"")</f>
        <v>29.055299999999999</v>
      </c>
      <c r="H36" s="61">
        <f t="shared" si="1"/>
        <v>1</v>
      </c>
      <c r="I36" t="str">
        <f>IF(FT!B36&lt;&gt;"",FT!E36,"")</f>
        <v>1 [13.752711]</v>
      </c>
      <c r="J36">
        <f>IF(FT!B36&lt;&gt;"",FT!C36,"")</f>
        <v>13.752700000000001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3.8711800000000003</v>
      </c>
      <c r="G37" s="61">
        <f>IF(FT!B37&lt;&gt;"",FT!B37*100,"")</f>
        <v>28.7761</v>
      </c>
      <c r="H37" s="61">
        <f t="shared" si="1"/>
        <v>1</v>
      </c>
      <c r="I37" t="str">
        <f>IF(FT!B37&lt;&gt;"",FT!E37,"")</f>
        <v>1 [14.159220]</v>
      </c>
      <c r="J37">
        <f>IF(FT!B37&lt;&gt;"",FT!C37,"")</f>
        <v>14.1592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3.9245600000000005</v>
      </c>
      <c r="G38" s="61">
        <f>IF(FT!B38&lt;&gt;"",FT!B38*100,"")</f>
        <v>28.632800000000003</v>
      </c>
      <c r="H38" s="61">
        <f t="shared" si="1"/>
        <v>1</v>
      </c>
      <c r="I38" t="str">
        <f>IF(FT!B38&lt;&gt;"",FT!E38,"")</f>
        <v>1 [14.570000]</v>
      </c>
      <c r="J38">
        <f>IF(FT!B38&lt;&gt;"",FT!C38,"")</f>
        <v>14.57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76639</v>
      </c>
      <c r="D39" s="61">
        <f>FH!B39*1</f>
        <v>76639</v>
      </c>
      <c r="E39">
        <f t="shared" si="3"/>
        <v>37</v>
      </c>
      <c r="F39" s="61">
        <f>IF(FT!A39&lt;&gt;"",FT!A39*10,"")</f>
        <v>3.9739900000000001</v>
      </c>
      <c r="G39" s="61">
        <f>IF(FT!B39&lt;&gt;"",FT!B39*100,"")</f>
        <v>28.539199999999997</v>
      </c>
      <c r="H39" s="61">
        <f t="shared" si="1"/>
        <v>1</v>
      </c>
      <c r="I39" t="str">
        <f>IF(FT!B39&lt;&gt;"",FT!E39,"")</f>
        <v>1 [14.974334]</v>
      </c>
      <c r="J39">
        <f>IF(FT!B39&lt;&gt;"",FT!C39,"")</f>
        <v>14.974299999999999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4.0211999999999994</v>
      </c>
      <c r="G40" s="61">
        <f>IF(FT!B40&lt;&gt;"",FT!B40*100,"")</f>
        <v>28.523799999999998</v>
      </c>
      <c r="H40" s="61">
        <f t="shared" si="1"/>
        <v>1</v>
      </c>
      <c r="I40" t="str">
        <f>IF(FT!B40&lt;&gt;"",FT!E40,"")</f>
        <v>1 [15.379137]</v>
      </c>
      <c r="J40">
        <f>IF(FT!B40&lt;&gt;"",FT!C40,"")</f>
        <v>15.379099999999999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85824</v>
      </c>
      <c r="D41" s="61">
        <f>FH!B41*1</f>
        <v>85824</v>
      </c>
      <c r="E41">
        <f t="shared" si="3"/>
        <v>39</v>
      </c>
      <c r="F41" s="61">
        <f>IF(FT!A41&lt;&gt;"",FT!A41*10,"")</f>
        <v>4.0644299999999998</v>
      </c>
      <c r="G41" s="61">
        <f>IF(FT!B41&lt;&gt;"",FT!B41*100,"")</f>
        <v>28.565000000000001</v>
      </c>
      <c r="H41" s="61">
        <f t="shared" si="1"/>
        <v>1</v>
      </c>
      <c r="I41" t="str">
        <f>IF(FT!B41&lt;&gt;"",FT!E41,"")</f>
        <v>1 [15.785340]</v>
      </c>
      <c r="J41">
        <f>IF(FT!B41&lt;&gt;"",FT!C41,"")</f>
        <v>15.785299999999999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4.1003600000000002</v>
      </c>
      <c r="G42" s="61">
        <f>IF(FT!B42&lt;&gt;"",FT!B42*100,"")</f>
        <v>28.736800000000002</v>
      </c>
      <c r="H42" s="61">
        <f t="shared" si="1"/>
        <v>1</v>
      </c>
      <c r="I42" t="str">
        <f>IF(FT!B42&lt;&gt;"",FT!E42,"")</f>
        <v>1 [16.192289]</v>
      </c>
      <c r="J42">
        <f>IF(FT!B42&lt;&gt;"",FT!C42,"")</f>
        <v>16.192299999999999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4.1291399999999996</v>
      </c>
      <c r="G43" s="61">
        <f>IF(FT!B43&lt;&gt;"",FT!B43*100,"")</f>
        <v>28.928900000000002</v>
      </c>
      <c r="H43" s="61">
        <f t="shared" si="1"/>
        <v>1</v>
      </c>
      <c r="I43" t="str">
        <f>IF(FT!B43&lt;&gt;"",FT!E43,"")</f>
        <v>1 [16.601084]</v>
      </c>
      <c r="J43">
        <f>IF(FT!B43&lt;&gt;"",FT!C43,"")</f>
        <v>16.601099999999999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92488</v>
      </c>
      <c r="D44" s="61">
        <f>FH!B44*1</f>
        <v>92488</v>
      </c>
      <c r="E44">
        <f t="shared" si="3"/>
        <v>42</v>
      </c>
      <c r="F44" s="61">
        <f>IF(FT!A44&lt;&gt;"",FT!A44*10,"")</f>
        <v>4.1512799999999999</v>
      </c>
      <c r="G44" s="61">
        <f>IF(FT!B44&lt;&gt;"",FT!B44*100,"")</f>
        <v>29.082699999999999</v>
      </c>
      <c r="H44" s="61">
        <f t="shared" si="1"/>
        <v>1</v>
      </c>
      <c r="I44" t="str">
        <f>IF(FT!B44&lt;&gt;"",FT!E44,"")</f>
        <v>1 [17.005725]</v>
      </c>
      <c r="J44">
        <f>IF(FT!B44&lt;&gt;"",FT!C44,"")</f>
        <v>17.005700000000001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4.1708400000000001</v>
      </c>
      <c r="G45" s="61">
        <f>IF(FT!B45&lt;&gt;"",FT!B45*100,"")</f>
        <v>29.242800000000003</v>
      </c>
      <c r="H45" s="61">
        <f t="shared" si="1"/>
        <v>1</v>
      </c>
      <c r="I45" t="str">
        <f>IF(FT!B45&lt;&gt;"",FT!E45,"")</f>
        <v>1 [17.413129]</v>
      </c>
      <c r="J45">
        <f>IF(FT!B45&lt;&gt;"",FT!C45,"")</f>
        <v>17.4131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104383</v>
      </c>
      <c r="D46" s="61">
        <f>FH!B46*1</f>
        <v>104383</v>
      </c>
      <c r="E46">
        <f t="shared" si="3"/>
        <v>44</v>
      </c>
      <c r="F46" s="61">
        <f>IF(FT!A46&lt;&gt;"",FT!A46*10,"")</f>
        <v>4.1880800000000002</v>
      </c>
      <c r="G46" s="61">
        <f>IF(FT!B46&lt;&gt;"",FT!B46*100,"")</f>
        <v>29.462199999999999</v>
      </c>
      <c r="H46" s="61">
        <f t="shared" si="1"/>
        <v>1</v>
      </c>
      <c r="I46" t="str">
        <f>IF(FT!B46&lt;&gt;"",FT!E46,"")</f>
        <v>1 [17.814389]</v>
      </c>
      <c r="J46">
        <f>IF(FT!B46&lt;&gt;"",FT!C46,"")</f>
        <v>17.814399999999999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4.2019700000000002</v>
      </c>
      <c r="G47" s="61">
        <f>IF(FT!B47&lt;&gt;"",FT!B47*100,"")</f>
        <v>29.700900000000001</v>
      </c>
      <c r="H47" s="61">
        <f t="shared" si="1"/>
        <v>1</v>
      </c>
      <c r="I47" t="str">
        <f>IF(FT!B47&lt;&gt;"",FT!E47,"")</f>
        <v>1 [18.222382]</v>
      </c>
      <c r="J47">
        <f>IF(FT!B47&lt;&gt;"",FT!C47,"")</f>
        <v>18.2224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4.21591</v>
      </c>
      <c r="G48" s="61">
        <f>IF(FT!B48&lt;&gt;"",FT!B48*100,"")</f>
        <v>29.9664</v>
      </c>
      <c r="H48" s="61">
        <f t="shared" si="1"/>
        <v>1</v>
      </c>
      <c r="I48" t="str">
        <f>IF(FT!B48&lt;&gt;"",FT!E48,"")</f>
        <v>1 [18.628769]</v>
      </c>
      <c r="J48">
        <f>IF(FT!B48&lt;&gt;"",FT!C48,"")</f>
        <v>18.628799999999998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110714</v>
      </c>
      <c r="D49" s="61">
        <f>FH!B49*1</f>
        <v>110714</v>
      </c>
      <c r="E49">
        <f t="shared" si="3"/>
        <v>47</v>
      </c>
      <c r="F49" s="61">
        <f>IF(FT!A49&lt;&gt;"",FT!A49*10,"")</f>
        <v>4.2290400000000004</v>
      </c>
      <c r="G49" s="61">
        <f>IF(FT!B49&lt;&gt;"",FT!B49*100,"")</f>
        <v>30.249199999999998</v>
      </c>
      <c r="H49" s="61">
        <f t="shared" si="1"/>
        <v>1</v>
      </c>
      <c r="I49" t="str">
        <f>IF(FT!B49&lt;&gt;"",FT!E49,"")</f>
        <v>1 [19.034918]</v>
      </c>
      <c r="J49">
        <f>IF(FT!B49&lt;&gt;"",FT!C49,"")</f>
        <v>19.0349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4.2405400000000002</v>
      </c>
      <c r="G50" s="61">
        <f>IF(FT!B50&lt;&gt;"",FT!B50*100,"")</f>
        <v>30.425200000000004</v>
      </c>
      <c r="H50" s="61">
        <f t="shared" si="1"/>
        <v>1</v>
      </c>
      <c r="I50" t="str">
        <f>IF(FT!B50&lt;&gt;"",FT!E50,"")</f>
        <v>1 [19.443796]</v>
      </c>
      <c r="J50">
        <f>IF(FT!B50&lt;&gt;"",FT!C50,"")</f>
        <v>19.4438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119636</v>
      </c>
      <c r="D51" s="61">
        <f>FH!B51*1</f>
        <v>119636</v>
      </c>
      <c r="E51">
        <f t="shared" si="3"/>
        <v>49</v>
      </c>
      <c r="F51" s="61">
        <f>IF(FT!A51&lt;&gt;"",FT!A51*10,"")</f>
        <v>4.2492400000000004</v>
      </c>
      <c r="G51" s="61">
        <f>IF(FT!B51&lt;&gt;"",FT!B51*100,"")</f>
        <v>30.497999999999998</v>
      </c>
      <c r="H51" s="61">
        <f t="shared" si="1"/>
        <v>1</v>
      </c>
      <c r="I51" t="str">
        <f>IF(FT!B51&lt;&gt;"",FT!E51,"")</f>
        <v>1 [19.849081]</v>
      </c>
      <c r="J51">
        <f>IF(FT!B51&lt;&gt;"",FT!C51,"")</f>
        <v>19.8491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4.2603200000000001</v>
      </c>
      <c r="G52" s="61">
        <f>IF(FT!B52&lt;&gt;"",FT!B52*100,"")</f>
        <v>30.567</v>
      </c>
      <c r="H52" s="61">
        <f t="shared" si="1"/>
        <v>1</v>
      </c>
      <c r="I52" t="str">
        <f>IF(FT!B52&lt;&gt;"",FT!E52,"")</f>
        <v>1 [20.253160]</v>
      </c>
      <c r="J52">
        <f>IF(FT!B52&lt;&gt;"",FT!C52,"")</f>
        <v>20.2532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4.2658100000000001</v>
      </c>
      <c r="G53" s="61">
        <f>IF(FT!B53&lt;&gt;"",FT!B53*100,"")</f>
        <v>30.536600000000004</v>
      </c>
      <c r="H53" s="61">
        <f t="shared" si="1"/>
        <v>1</v>
      </c>
      <c r="I53" t="str">
        <f>IF(FT!B53&lt;&gt;"",FT!E53,"")</f>
        <v>1 [20.660493]</v>
      </c>
      <c r="J53">
        <f>IF(FT!B53&lt;&gt;"",FT!C53,"")</f>
        <v>20.660499999999999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119433</v>
      </c>
      <c r="D54" s="61">
        <f>FH!B54*1</f>
        <v>119433</v>
      </c>
      <c r="E54">
        <f t="shared" si="3"/>
        <v>52</v>
      </c>
      <c r="F54" s="61">
        <f>IF(FT!A54&lt;&gt;"",FT!A54*10,"")</f>
        <v>4.2686099999999998</v>
      </c>
      <c r="G54" s="61">
        <f>IF(FT!B54&lt;&gt;"",FT!B54*100,"")</f>
        <v>30.4526</v>
      </c>
      <c r="H54" s="61">
        <f t="shared" si="1"/>
        <v>1</v>
      </c>
      <c r="I54" t="str">
        <f>IF(FT!B54&lt;&gt;"",FT!E54,"")</f>
        <v>1 [21.065062]</v>
      </c>
      <c r="J54">
        <f>IF(FT!B54&lt;&gt;"",FT!C54,"")</f>
        <v>21.065100000000001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4.2706200000000001</v>
      </c>
      <c r="G55" s="61">
        <f>IF(FT!B55&lt;&gt;"",FT!B55*100,"")</f>
        <v>30.317499999999995</v>
      </c>
      <c r="H55" s="61">
        <f t="shared" si="1"/>
        <v>1</v>
      </c>
      <c r="I55" t="str">
        <f>IF(FT!B55&lt;&gt;"",FT!E55,"")</f>
        <v>1 [21.473984]</v>
      </c>
      <c r="J55">
        <f>IF(FT!B55&lt;&gt;"",FT!C55,"")</f>
        <v>21.474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4.2686600000000006</v>
      </c>
      <c r="G56" s="61">
        <f>IF(FT!B56&lt;&gt;"",FT!B56*100,"")</f>
        <v>30.1267</v>
      </c>
      <c r="H56" s="61">
        <f t="shared" si="1"/>
        <v>1</v>
      </c>
      <c r="I56" t="str">
        <f>IF(FT!B56&lt;&gt;"",FT!E56,"")</f>
        <v>1 [21.878927]</v>
      </c>
      <c r="J56">
        <f>IF(FT!B56&lt;&gt;"",FT!C56,"")</f>
        <v>21.878900000000002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124082</v>
      </c>
      <c r="D57" s="61">
        <f>FH!B57*1</f>
        <v>124082</v>
      </c>
      <c r="E57">
        <f t="shared" si="3"/>
        <v>55</v>
      </c>
      <c r="F57" s="61">
        <f>IF(FT!A57&lt;&gt;"",FT!A57*10,"")</f>
        <v>4.2598000000000003</v>
      </c>
      <c r="G57" s="61">
        <f>IF(FT!B57&lt;&gt;"",FT!B57*100,"")</f>
        <v>29.845800000000001</v>
      </c>
      <c r="H57" s="61">
        <f t="shared" si="1"/>
        <v>1</v>
      </c>
      <c r="I57" t="str">
        <f>IF(FT!B57&lt;&gt;"",FT!E57,"")</f>
        <v>1 [22.285300]</v>
      </c>
      <c r="J57">
        <f>IF(FT!B57&lt;&gt;"",FT!C57,"")</f>
        <v>22.285299999999999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4.24559</v>
      </c>
      <c r="G58" s="61">
        <f>IF(FT!B58&lt;&gt;"",FT!B58*100,"")</f>
        <v>29.559800000000003</v>
      </c>
      <c r="H58" s="61">
        <f t="shared" si="1"/>
        <v>1</v>
      </c>
      <c r="I58" t="str">
        <f>IF(FT!B58&lt;&gt;"",FT!E58,"")</f>
        <v>1 [22.694920]</v>
      </c>
      <c r="J58">
        <f>IF(FT!B58&lt;&gt;"",FT!C58,"")</f>
        <v>22.694900000000001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131321</v>
      </c>
      <c r="D59" s="61">
        <f>FH!B59*1</f>
        <v>131321</v>
      </c>
      <c r="E59">
        <f t="shared" si="3"/>
        <v>57</v>
      </c>
      <c r="F59" s="61">
        <f>IF(FT!A59&lt;&gt;"",FT!A59*10,"")</f>
        <v>4.2274200000000004</v>
      </c>
      <c r="G59" s="61">
        <f>IF(FT!B59&lt;&gt;"",FT!B59*100,"")</f>
        <v>29.254300000000001</v>
      </c>
      <c r="H59" s="61">
        <f t="shared" si="1"/>
        <v>1</v>
      </c>
      <c r="I59" t="str">
        <f>IF(FT!B59&lt;&gt;"",FT!E59,"")</f>
        <v>1 [23.099687]</v>
      </c>
      <c r="J59">
        <f>IF(FT!B59&lt;&gt;"",FT!C59,"")</f>
        <v>23.099699999999999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4.2046999999999999</v>
      </c>
      <c r="G60" s="61">
        <f>IF(FT!B60&lt;&gt;"",FT!B60*100,"")</f>
        <v>29.0244</v>
      </c>
      <c r="H60" s="61">
        <f t="shared" si="1"/>
        <v>1</v>
      </c>
      <c r="I60" t="str">
        <f>IF(FT!B60&lt;&gt;"",FT!E60,"")</f>
        <v>1 [23.507730]</v>
      </c>
      <c r="J60">
        <f>IF(FT!B60&lt;&gt;"",FT!C60,"")</f>
        <v>23.5077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4.1800600000000001</v>
      </c>
      <c r="G61" s="61">
        <f>IF(FT!B61&lt;&gt;"",FT!B61*100,"")</f>
        <v>28.807700000000004</v>
      </c>
      <c r="H61" s="61">
        <f t="shared" si="1"/>
        <v>1</v>
      </c>
      <c r="I61" t="str">
        <f>IF(FT!B61&lt;&gt;"",FT!E61,"")</f>
        <v>1 [23.910573]</v>
      </c>
      <c r="J61">
        <f>IF(FT!B61&lt;&gt;"",FT!C61,"")</f>
        <v>23.910599999999999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131518</v>
      </c>
      <c r="D62" s="61">
        <f>FH!B62*1</f>
        <v>131518</v>
      </c>
      <c r="E62">
        <f t="shared" si="3"/>
        <v>60</v>
      </c>
      <c r="F62" s="61">
        <f>IF(FT!A62&lt;&gt;"",FT!A62*10,"")</f>
        <v>4.1523900000000005</v>
      </c>
      <c r="G62" s="61">
        <f>IF(FT!B62&lt;&gt;"",FT!B62*100,"")</f>
        <v>28.616000000000003</v>
      </c>
      <c r="H62" s="61">
        <f t="shared" si="1"/>
        <v>1</v>
      </c>
      <c r="I62" t="str">
        <f>IF(FT!B62&lt;&gt;"",FT!E62,"")</f>
        <v>1 [24.314695]</v>
      </c>
      <c r="J62">
        <f>IF(FT!B62&lt;&gt;"",FT!C62,"")</f>
        <v>24.314699999999998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4.1235200000000001</v>
      </c>
      <c r="G63" s="61">
        <f>IF(FT!B63&lt;&gt;"",FT!B63*100,"")</f>
        <v>28.382600000000004</v>
      </c>
      <c r="H63" s="61">
        <f t="shared" si="1"/>
        <v>1</v>
      </c>
      <c r="I63" t="str">
        <f>IF(FT!B63&lt;&gt;"",FT!E63,"")</f>
        <v>1 [24.721942]</v>
      </c>
      <c r="J63">
        <f>IF(FT!B63&lt;&gt;"",FT!C63,"")</f>
        <v>24.721900000000002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145393</v>
      </c>
      <c r="D64" s="61">
        <f>FH!B64*1</f>
        <v>145393</v>
      </c>
      <c r="E64">
        <f t="shared" si="3"/>
        <v>62</v>
      </c>
      <c r="F64" s="61">
        <f>IF(FT!A64&lt;&gt;"",FT!A64*10,"")</f>
        <v>4.0917399999999997</v>
      </c>
      <c r="G64" s="61">
        <f>IF(FT!B64&lt;&gt;"",FT!B64*100,"")</f>
        <v>28.171800000000001</v>
      </c>
      <c r="H64" s="61">
        <f t="shared" si="1"/>
        <v>1</v>
      </c>
      <c r="I64" t="str">
        <f>IF(FT!B64&lt;&gt;"",FT!E64,"")</f>
        <v>1 [25.125379]</v>
      </c>
      <c r="J64">
        <f>IF(FT!B64&lt;&gt;"",FT!C64,"")</f>
        <v>25.125399999999999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4.0588199999999999</v>
      </c>
      <c r="G65" s="61">
        <f>IF(FT!B65&lt;&gt;"",FT!B65*100,"")</f>
        <v>28.014699999999998</v>
      </c>
      <c r="H65" s="61">
        <f t="shared" si="1"/>
        <v>1</v>
      </c>
      <c r="I65" t="str">
        <f>IF(FT!B65&lt;&gt;"",FT!E65,"")</f>
        <v>1 [25.534941]</v>
      </c>
      <c r="J65">
        <f>IF(FT!B65&lt;&gt;"",FT!C65,"")</f>
        <v>25.5349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4.0250700000000004</v>
      </c>
      <c r="G66" s="61">
        <f>IF(FT!B66&lt;&gt;"",FT!B66*100,"")</f>
        <v>27.842499999999998</v>
      </c>
      <c r="H66" s="61">
        <f t="shared" si="1"/>
        <v>1</v>
      </c>
      <c r="I66" t="str">
        <f>IF(FT!B66&lt;&gt;"",FT!E66,"")</f>
        <v>1 [25.944775]</v>
      </c>
      <c r="J66">
        <f>IF(FT!B66&lt;&gt;"",FT!C66,"")</f>
        <v>25.944800000000001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144582</v>
      </c>
      <c r="D67" s="61">
        <f>FH!B67*1</f>
        <v>144582</v>
      </c>
      <c r="E67">
        <f t="shared" si="3"/>
        <v>65</v>
      </c>
      <c r="F67" s="61">
        <f>IF(FT!A67&lt;&gt;"",FT!A67*10,"")</f>
        <v>3.9959099999999999</v>
      </c>
      <c r="G67" s="61">
        <f>IF(FT!B67&lt;&gt;"",FT!B67*100,"")</f>
        <v>27.654199999999999</v>
      </c>
      <c r="H67" s="61">
        <f t="shared" ref="H67:H130" si="9">(IF(F67&lt;&gt;"",1,""))</f>
        <v>1</v>
      </c>
      <c r="I67" t="str">
        <f>IF(FT!B67&lt;&gt;"",FT!E67,"")</f>
        <v>1 [26.350178]</v>
      </c>
      <c r="J67">
        <f>IF(FT!B67&lt;&gt;"",FT!C67,"")</f>
        <v>26.350200000000001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3.9699499999999999</v>
      </c>
      <c r="G68" s="61">
        <f>IF(FT!B68&lt;&gt;"",FT!B68*100,"")</f>
        <v>27.410899999999998</v>
      </c>
      <c r="H68" s="61">
        <f t="shared" si="9"/>
        <v>1</v>
      </c>
      <c r="I68" t="str">
        <f>IF(FT!B68&lt;&gt;"",FT!E68,"")</f>
        <v>1 [26.756251]</v>
      </c>
      <c r="J68">
        <f>IF(FT!B68&lt;&gt;"",FT!C68,"")</f>
        <v>26.7563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166277</v>
      </c>
      <c r="D69" s="61">
        <f>FH!B69*1</f>
        <v>166277</v>
      </c>
      <c r="E69">
        <f t="shared" si="11"/>
        <v>67</v>
      </c>
      <c r="F69" s="61">
        <f>IF(FT!A69&lt;&gt;"",FT!A69*10,"")</f>
        <v>3.9447100000000002</v>
      </c>
      <c r="G69" s="61">
        <f>IF(FT!B69&lt;&gt;"",FT!B69*100,"")</f>
        <v>27.138500000000001</v>
      </c>
      <c r="H69" s="61">
        <f t="shared" si="9"/>
        <v>1</v>
      </c>
      <c r="I69" t="str">
        <f>IF(FT!B69&lt;&gt;"",FT!E69,"")</f>
        <v>1 [27.159099]</v>
      </c>
      <c r="J69">
        <f>IF(FT!B69&lt;&gt;"",FT!C69,"")</f>
        <v>27.159099999999999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3.9174199999999999</v>
      </c>
      <c r="G70" s="61">
        <f>IF(FT!B70&lt;&gt;"",FT!B70*100,"")</f>
        <v>26.820599999999999</v>
      </c>
      <c r="H70" s="61">
        <f t="shared" si="9"/>
        <v>1</v>
      </c>
      <c r="I70" t="str">
        <f>IF(FT!B70&lt;&gt;"",FT!E70,"")</f>
        <v>1 [27.564140]</v>
      </c>
      <c r="J70">
        <f>IF(FT!B70&lt;&gt;"",FT!C70,"")</f>
        <v>27.5641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3.8917899999999999</v>
      </c>
      <c r="G71" s="61">
        <f>IF(FT!B71&lt;&gt;"",FT!B71*100,"")</f>
        <v>26.496799999999997</v>
      </c>
      <c r="H71" s="61">
        <f t="shared" si="9"/>
        <v>1</v>
      </c>
      <c r="I71" t="str">
        <f>IF(FT!B71&lt;&gt;"",FT!E71,"")</f>
        <v>1 [27.972622]</v>
      </c>
      <c r="J71">
        <f>IF(FT!B71&lt;&gt;"",FT!C71,"")</f>
        <v>27.9726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162487</v>
      </c>
      <c r="D72" s="61">
        <f>FH!B72*1</f>
        <v>162487</v>
      </c>
      <c r="E72">
        <f t="shared" si="11"/>
        <v>70</v>
      </c>
      <c r="F72" s="61">
        <f>IF(FT!A72&lt;&gt;"",FT!A72*10,"")</f>
        <v>3.8695499999999998</v>
      </c>
      <c r="G72" s="61">
        <f>IF(FT!B72&lt;&gt;"",FT!B72*100,"")</f>
        <v>26.084000000000003</v>
      </c>
      <c r="H72" s="61">
        <f t="shared" si="9"/>
        <v>1</v>
      </c>
      <c r="I72" t="str">
        <f>IF(FT!B72&lt;&gt;"",FT!E72,"")</f>
        <v>1 [28.380550]</v>
      </c>
      <c r="J72">
        <f>IF(FT!B72&lt;&gt;"",FT!C72,"")</f>
        <v>28.380500000000001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3.8463799999999999</v>
      </c>
      <c r="G73" s="61">
        <f>IF(FT!B73&lt;&gt;"",FT!B73*100,"")</f>
        <v>25.666599999999999</v>
      </c>
      <c r="H73" s="61">
        <f t="shared" si="9"/>
        <v>1</v>
      </c>
      <c r="I73" t="str">
        <f>IF(FT!B73&lt;&gt;"",FT!E73,"")</f>
        <v>1 [28.785346]</v>
      </c>
      <c r="J73">
        <f>IF(FT!B73&lt;&gt;"",FT!C73,"")</f>
        <v>28.785299999999999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3.8228600000000004</v>
      </c>
      <c r="G74" s="61">
        <f>IF(FT!B74&lt;&gt;"",FT!B74*100,"")</f>
        <v>25.281399999999998</v>
      </c>
      <c r="H74" s="61">
        <f t="shared" si="9"/>
        <v>1</v>
      </c>
      <c r="I74" t="str">
        <f>IF(FT!B74&lt;&gt;"",FT!E74,"")</f>
        <v>1 [29.192963]</v>
      </c>
      <c r="J74">
        <f>IF(FT!B74&lt;&gt;"",FT!C74,"")</f>
        <v>29.193000000000001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179674</v>
      </c>
      <c r="D75" s="61">
        <f>FH!B75*1</f>
        <v>179674</v>
      </c>
      <c r="E75">
        <f t="shared" si="11"/>
        <v>73</v>
      </c>
      <c r="F75" s="61">
        <f>IF(FT!A75&lt;&gt;"",FT!A75*10,"")</f>
        <v>3.79928</v>
      </c>
      <c r="G75" s="61">
        <f>IF(FT!B75&lt;&gt;"",FT!B75*100,"")</f>
        <v>24.9346</v>
      </c>
      <c r="H75" s="61">
        <f t="shared" si="9"/>
        <v>1</v>
      </c>
      <c r="I75" t="str">
        <f>IF(FT!B75&lt;&gt;"",FT!E75,"")</f>
        <v>1 [29.595860]</v>
      </c>
      <c r="J75">
        <f>IF(FT!B75&lt;&gt;"",FT!C75,"")</f>
        <v>29.5959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3.7750299999999997</v>
      </c>
      <c r="G76" s="61">
        <f>IF(FT!B76&lt;&gt;"",FT!B76*100,"")</f>
        <v>24.645</v>
      </c>
      <c r="H76" s="61">
        <f t="shared" si="9"/>
        <v>1</v>
      </c>
      <c r="I76" t="str">
        <f>IF(FT!B76&lt;&gt;"",FT!E76,"")</f>
        <v>2 [30.003141]</v>
      </c>
      <c r="J76">
        <f>IF(FT!B76&lt;&gt;"",FT!C76,"")</f>
        <v>30.0031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178648</v>
      </c>
      <c r="D77" s="61">
        <f>FH!B77*1</f>
        <v>178648</v>
      </c>
      <c r="E77">
        <f t="shared" si="11"/>
        <v>75</v>
      </c>
      <c r="F77" s="61">
        <f>IF(FT!A77&lt;&gt;"",FT!A77*10,"")</f>
        <v>3.7442099999999998</v>
      </c>
      <c r="G77" s="61">
        <f>IF(FT!B77&lt;&gt;"",FT!B77*100,"")</f>
        <v>24.358599999999999</v>
      </c>
      <c r="H77" s="61">
        <f t="shared" si="9"/>
        <v>1</v>
      </c>
      <c r="I77" t="str">
        <f>IF(FT!B77&lt;&gt;"",FT!E77,"")</f>
        <v>2 [30.599330]</v>
      </c>
      <c r="J77">
        <f>IF(FT!B77&lt;&gt;"",FT!C77,"")</f>
        <v>30.599299999999999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3.7203300000000001</v>
      </c>
      <c r="G78" s="61">
        <f>IF(FT!B78&lt;&gt;"",FT!B78*100,"")</f>
        <v>24.1752</v>
      </c>
      <c r="H78" s="61">
        <f t="shared" si="9"/>
        <v>1</v>
      </c>
      <c r="I78" t="str">
        <f>IF(FT!B78&lt;&gt;"",FT!E78,"")</f>
        <v>2 [30.975102]</v>
      </c>
      <c r="J78">
        <f>IF(FT!B78&lt;&gt;"",FT!C78,"")</f>
        <v>30.975100000000001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3.6957100000000001</v>
      </c>
      <c r="G79" s="61">
        <f>IF(FT!B79&lt;&gt;"",FT!B79*100,"")</f>
        <v>23.997</v>
      </c>
      <c r="H79" s="61">
        <f t="shared" si="9"/>
        <v>1</v>
      </c>
      <c r="I79" t="str">
        <f>IF(FT!B79&lt;&gt;"",FT!E79,"")</f>
        <v>2 [31.350154]</v>
      </c>
      <c r="J79">
        <f>IF(FT!B79&lt;&gt;"",FT!C79,"")</f>
        <v>31.350200000000001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179731</v>
      </c>
      <c r="D80" s="61">
        <f>FH!B80*1</f>
        <v>179731</v>
      </c>
      <c r="E80">
        <f t="shared" si="11"/>
        <v>78</v>
      </c>
      <c r="F80" s="61">
        <f>IF(FT!A80&lt;&gt;"",FT!A80*10,"")</f>
        <v>3.67232</v>
      </c>
      <c r="G80" s="61">
        <f>IF(FT!B80&lt;&gt;"",FT!B80*100,"")</f>
        <v>23.9056</v>
      </c>
      <c r="H80" s="61">
        <f t="shared" si="9"/>
        <v>1</v>
      </c>
      <c r="I80" t="str">
        <f>IF(FT!B80&lt;&gt;"",FT!E80,"")</f>
        <v>2 [31.722582]</v>
      </c>
      <c r="J80">
        <f>IF(FT!B80&lt;&gt;"",FT!C80,"")</f>
        <v>31.7226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3.6530899999999997</v>
      </c>
      <c r="G81" s="61">
        <f>IF(FT!B81&lt;&gt;"",FT!B81*100,"")</f>
        <v>23.8584</v>
      </c>
      <c r="H81" s="61">
        <f t="shared" si="9"/>
        <v>1</v>
      </c>
      <c r="I81" t="str">
        <f>IF(FT!B81&lt;&gt;"",FT!E81,"")</f>
        <v>2 [32.097765]</v>
      </c>
      <c r="J81">
        <f>IF(FT!B81&lt;&gt;"",FT!C81,"")</f>
        <v>32.097799999999999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178327</v>
      </c>
      <c r="D82" s="61">
        <f>FH!B82*1</f>
        <v>178327</v>
      </c>
      <c r="E82">
        <f t="shared" si="11"/>
        <v>80</v>
      </c>
      <c r="F82" s="61">
        <f>IF(FT!A82&lt;&gt;"",FT!A82*10,"")</f>
        <v>3.6381899999999998</v>
      </c>
      <c r="G82" s="61">
        <f>IF(FT!B82&lt;&gt;"",FT!B82*100,"")</f>
        <v>23.7925</v>
      </c>
      <c r="H82" s="61">
        <f t="shared" si="9"/>
        <v>1</v>
      </c>
      <c r="I82" t="str">
        <f>IF(FT!B82&lt;&gt;"",FT!E82,"")</f>
        <v>2 [32.503652]</v>
      </c>
      <c r="J82">
        <f>IF(FT!B82&lt;&gt;"",FT!C82,"")</f>
        <v>32.503700000000002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3.6246099999999997</v>
      </c>
      <c r="G83" s="61">
        <f>IF(FT!B83&lt;&gt;"",FT!B83*100,"")</f>
        <v>23.789400000000001</v>
      </c>
      <c r="H83" s="61">
        <f t="shared" si="9"/>
        <v>1</v>
      </c>
      <c r="I83" t="str">
        <f>IF(FT!B83&lt;&gt;"",FT!E83,"")</f>
        <v>2 [32.912845]</v>
      </c>
      <c r="J83">
        <f>IF(FT!B83&lt;&gt;"",FT!C83,"")</f>
        <v>32.912799999999997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3.6127799999999999</v>
      </c>
      <c r="G84" s="61">
        <f>IF(FT!B84&lt;&gt;"",FT!B84*100,"")</f>
        <v>23.794999999999998</v>
      </c>
      <c r="H84" s="61">
        <f t="shared" si="9"/>
        <v>1</v>
      </c>
      <c r="I84" t="str">
        <f>IF(FT!B84&lt;&gt;"",FT!E84,"")</f>
        <v>2 [33.320535]</v>
      </c>
      <c r="J84">
        <f>IF(FT!B84&lt;&gt;"",FT!C84,"")</f>
        <v>33.320500000000003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182817</v>
      </c>
      <c r="D85" s="61">
        <f>FH!B85*1</f>
        <v>182817</v>
      </c>
      <c r="E85">
        <f t="shared" si="11"/>
        <v>83</v>
      </c>
      <c r="F85" s="61">
        <f>IF(FT!A85&lt;&gt;"",FT!A85*10,"")</f>
        <v>3.60311</v>
      </c>
      <c r="G85" s="61">
        <f>IF(FT!B85&lt;&gt;"",FT!B85*100,"")</f>
        <v>23.768800000000002</v>
      </c>
      <c r="H85" s="61">
        <f t="shared" si="9"/>
        <v>1</v>
      </c>
      <c r="I85" t="str">
        <f>IF(FT!B85&lt;&gt;"",FT!E85,"")</f>
        <v>2 [33.722295]</v>
      </c>
      <c r="J85">
        <f>IF(FT!B85&lt;&gt;"",FT!C85,"")</f>
        <v>33.722299999999997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3.5972599999999999</v>
      </c>
      <c r="G86" s="61">
        <f>IF(FT!B86&lt;&gt;"",FT!B86*100,"")</f>
        <v>23.662099999999999</v>
      </c>
      <c r="H86" s="61">
        <f t="shared" si="9"/>
        <v>1</v>
      </c>
      <c r="I86" t="str">
        <f>IF(FT!B86&lt;&gt;"",FT!E86,"")</f>
        <v>2 [34.134009]</v>
      </c>
      <c r="J86">
        <f>IF(FT!B86&lt;&gt;"",FT!C86,"")</f>
        <v>34.134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3.59253</v>
      </c>
      <c r="G87" s="61">
        <f>IF(FT!B87&lt;&gt;"",FT!B87*100,"")</f>
        <v>23.544899999999998</v>
      </c>
      <c r="H87" s="61">
        <f t="shared" si="9"/>
        <v>1</v>
      </c>
      <c r="I87" t="str">
        <f>IF(FT!B87&lt;&gt;"",FT!E87,"")</f>
        <v>2 [34.534780]</v>
      </c>
      <c r="J87">
        <f>IF(FT!B87&lt;&gt;"",FT!C87,"")</f>
        <v>34.534799999999997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180019</v>
      </c>
      <c r="D88" s="61">
        <f>FH!B88*1</f>
        <v>180019</v>
      </c>
      <c r="E88">
        <f t="shared" si="11"/>
        <v>86</v>
      </c>
      <c r="F88" s="61">
        <f>IF(FT!A88&lt;&gt;"",FT!A88*10,"")</f>
        <v>3.59077</v>
      </c>
      <c r="G88" s="61">
        <f>IF(FT!B88&lt;&gt;"",FT!B88*100,"")</f>
        <v>23.3416</v>
      </c>
      <c r="H88" s="61">
        <f t="shared" si="9"/>
        <v>1</v>
      </c>
      <c r="I88" t="str">
        <f>IF(FT!B88&lt;&gt;"",FT!E88,"")</f>
        <v>2 [34.941483]</v>
      </c>
      <c r="J88">
        <f>IF(FT!B88&lt;&gt;"",FT!C88,"")</f>
        <v>34.941499999999998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3.5896099999999995</v>
      </c>
      <c r="G89" s="61">
        <f>IF(FT!B89&lt;&gt;"",FT!B89*100,"")</f>
        <v>23.0974</v>
      </c>
      <c r="H89" s="61">
        <f t="shared" si="9"/>
        <v>1</v>
      </c>
      <c r="I89" t="str">
        <f>IF(FT!B89&lt;&gt;"",FT!E89,"")</f>
        <v>2 [35.347754]</v>
      </c>
      <c r="J89">
        <f>IF(FT!B89&lt;&gt;"",FT!C89,"")</f>
        <v>35.347799999999999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173433</v>
      </c>
      <c r="D90" s="61">
        <f>FH!B90*1</f>
        <v>173433</v>
      </c>
      <c r="E90">
        <f t="shared" si="11"/>
        <v>88</v>
      </c>
      <c r="F90" s="61">
        <f>IF(FT!A90&lt;&gt;"",FT!A90*10,"")</f>
        <v>3.5883799999999999</v>
      </c>
      <c r="G90" s="61">
        <f>IF(FT!B90&lt;&gt;"",FT!B90*100,"")</f>
        <v>22.9024</v>
      </c>
      <c r="H90" s="61">
        <f t="shared" si="9"/>
        <v>1</v>
      </c>
      <c r="I90" t="str">
        <f>IF(FT!B90&lt;&gt;"",FT!E90,"")</f>
        <v>2 [35.753015]</v>
      </c>
      <c r="J90">
        <f>IF(FT!B90&lt;&gt;"",FT!C90,"")</f>
        <v>35.753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3.5876700000000001</v>
      </c>
      <c r="G91" s="61">
        <f>IF(FT!B91&lt;&gt;"",FT!B91*100,"")</f>
        <v>22.689899999999998</v>
      </c>
      <c r="H91" s="61">
        <f t="shared" si="9"/>
        <v>1</v>
      </c>
      <c r="I91" t="str">
        <f>IF(FT!B91&lt;&gt;"",FT!E91,"")</f>
        <v>2 [36.161122]</v>
      </c>
      <c r="J91">
        <f>IF(FT!B91&lt;&gt;"",FT!C91,"")</f>
        <v>36.161099999999998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3.5876900000000003</v>
      </c>
      <c r="G92" s="61">
        <f>IF(FT!B92&lt;&gt;"",FT!B92*100,"")</f>
        <v>22.498000000000001</v>
      </c>
      <c r="H92" s="61">
        <f t="shared" si="9"/>
        <v>1</v>
      </c>
      <c r="I92" t="str">
        <f>IF(FT!B92&lt;&gt;"",FT!E92,"")</f>
        <v>2 [36.567983]</v>
      </c>
      <c r="J92">
        <f>IF(FT!B92&lt;&gt;"",FT!C92,"")</f>
        <v>36.567999999999998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172693</v>
      </c>
      <c r="D93" s="61">
        <f>FH!B93*1</f>
        <v>172693</v>
      </c>
      <c r="E93">
        <f t="shared" si="11"/>
        <v>91</v>
      </c>
      <c r="F93" s="61">
        <f>IF(FT!A93&lt;&gt;"",FT!A93*10,"")</f>
        <v>3.5898300000000001</v>
      </c>
      <c r="G93" s="61">
        <f>IF(FT!B93&lt;&gt;"",FT!B93*100,"")</f>
        <v>22.330100000000002</v>
      </c>
      <c r="H93" s="61">
        <f t="shared" si="9"/>
        <v>1</v>
      </c>
      <c r="I93" t="str">
        <f>IF(FT!B93&lt;&gt;"",FT!E93,"")</f>
        <v>2 [36.975670]</v>
      </c>
      <c r="J93">
        <f>IF(FT!B93&lt;&gt;"",FT!C93,"")</f>
        <v>36.975700000000003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3.5965000000000003</v>
      </c>
      <c r="G94" s="61">
        <f>IF(FT!B94&lt;&gt;"",FT!B94*100,"")</f>
        <v>22.269500000000001</v>
      </c>
      <c r="H94" s="61">
        <f t="shared" si="9"/>
        <v>1</v>
      </c>
      <c r="I94" t="str">
        <f>IF(FT!B94&lt;&gt;"",FT!E94,"")</f>
        <v>2 [37.379121]</v>
      </c>
      <c r="J94">
        <f>IF(FT!B94&lt;&gt;"",FT!C94,"")</f>
        <v>37.379100000000001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172842</v>
      </c>
      <c r="D95" s="61">
        <f>FH!B95*1</f>
        <v>172842</v>
      </c>
      <c r="E95">
        <f t="shared" si="11"/>
        <v>93</v>
      </c>
      <c r="F95" s="61">
        <f>IF(FT!A95&lt;&gt;"",FT!A95*10,"")</f>
        <v>3.6068800000000003</v>
      </c>
      <c r="G95" s="61">
        <f>IF(FT!B95&lt;&gt;"",FT!B95*100,"")</f>
        <v>22.249700000000001</v>
      </c>
      <c r="H95" s="61">
        <f t="shared" si="9"/>
        <v>1</v>
      </c>
      <c r="I95" t="str">
        <f>IF(FT!B95&lt;&gt;"",FT!E95,"")</f>
        <v>2 [37.786713]</v>
      </c>
      <c r="J95">
        <f>IF(FT!B95&lt;&gt;"",FT!C95,"")</f>
        <v>37.786700000000003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3.62168</v>
      </c>
      <c r="G96" s="61">
        <f>IF(FT!B96&lt;&gt;"",FT!B96*100,"")</f>
        <v>22.222799999999999</v>
      </c>
      <c r="H96" s="61">
        <f t="shared" si="9"/>
        <v>1</v>
      </c>
      <c r="I96" t="str">
        <f>IF(FT!B96&lt;&gt;"",FT!E96,"")</f>
        <v>2 [38.189993]</v>
      </c>
      <c r="J96">
        <f>IF(FT!B96&lt;&gt;"",FT!C96,"")</f>
        <v>38.19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3.6419899999999998</v>
      </c>
      <c r="G97" s="61">
        <f>IF(FT!B97&lt;&gt;"",FT!B97*100,"")</f>
        <v>22.2378</v>
      </c>
      <c r="H97" s="61">
        <f t="shared" si="9"/>
        <v>1</v>
      </c>
      <c r="I97" t="str">
        <f>IF(FT!B97&lt;&gt;"",FT!E97,"")</f>
        <v>2 [38.600171]</v>
      </c>
      <c r="J97">
        <f>IF(FT!B97&lt;&gt;"",FT!C97,"")</f>
        <v>38.600200000000001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167666</v>
      </c>
      <c r="D98" s="61">
        <f>FH!B98*1</f>
        <v>167666</v>
      </c>
      <c r="E98">
        <f t="shared" si="11"/>
        <v>96</v>
      </c>
      <c r="F98" s="61">
        <f>IF(FT!A98&lt;&gt;"",FT!A98*10,"")</f>
        <v>3.6669200000000002</v>
      </c>
      <c r="G98" s="61">
        <f>IF(FT!B98&lt;&gt;"",FT!B98*100,"")</f>
        <v>22.305399999999999</v>
      </c>
      <c r="H98" s="61">
        <f t="shared" si="9"/>
        <v>1</v>
      </c>
      <c r="I98" t="str">
        <f>IF(FT!B98&lt;&gt;"",FT!E98,"")</f>
        <v>2 [39.004995]</v>
      </c>
      <c r="J98">
        <f>IF(FT!B98&lt;&gt;"",FT!C98,"")</f>
        <v>39.005000000000003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3.69685</v>
      </c>
      <c r="G99" s="61">
        <f>IF(FT!B99&lt;&gt;"",FT!B99*100,"")</f>
        <v>22.3977</v>
      </c>
      <c r="H99" s="61">
        <f t="shared" si="9"/>
        <v>1</v>
      </c>
      <c r="I99" t="str">
        <f>IF(FT!B99&lt;&gt;"",FT!E99,"")</f>
        <v>2 [39.412659]</v>
      </c>
      <c r="J99">
        <f>IF(FT!B99&lt;&gt;"",FT!C99,"")</f>
        <v>39.412700000000001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157305</v>
      </c>
      <c r="D100" s="61">
        <f>FH!B100*1</f>
        <v>157305</v>
      </c>
      <c r="E100">
        <f t="shared" si="11"/>
        <v>98</v>
      </c>
      <c r="F100" s="61">
        <f>IF(FT!A100&lt;&gt;"",FT!A100*10,"")</f>
        <v>3.7313900000000002</v>
      </c>
      <c r="G100" s="61">
        <f>IF(FT!B100&lt;&gt;"",FT!B100*100,"")</f>
        <v>22.568099999999998</v>
      </c>
      <c r="H100" s="61">
        <f t="shared" si="9"/>
        <v>1</v>
      </c>
      <c r="I100" t="str">
        <f>IF(FT!B100&lt;&gt;"",FT!E100,"")</f>
        <v>2 [39.816526]</v>
      </c>
      <c r="J100">
        <f>IF(FT!B100&lt;&gt;"",FT!C100,"")</f>
        <v>39.816499999999998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3.7670199999999996</v>
      </c>
      <c r="G101" s="61">
        <f>IF(FT!B101&lt;&gt;"",FT!B101*100,"")</f>
        <v>22.766500000000001</v>
      </c>
      <c r="H101" s="61">
        <f t="shared" si="9"/>
        <v>1</v>
      </c>
      <c r="I101" t="str">
        <f>IF(FT!B101&lt;&gt;"",FT!E101,"")</f>
        <v>2 [40.227450]</v>
      </c>
      <c r="J101">
        <f>IF(FT!B101&lt;&gt;"",FT!C101,"")</f>
        <v>40.227400000000003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3.8024200000000001</v>
      </c>
      <c r="G102" s="61">
        <f>IF(FT!B102&lt;&gt;"",FT!B102*100,"")</f>
        <v>23.033000000000001</v>
      </c>
      <c r="H102" s="61">
        <f t="shared" si="9"/>
        <v>1</v>
      </c>
      <c r="I102" t="str">
        <f>IF(FT!B102&lt;&gt;"",FT!E102,"")</f>
        <v>2 [40.631247]</v>
      </c>
      <c r="J102">
        <f>IF(FT!B102&lt;&gt;"",FT!C102,"")</f>
        <v>40.6312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159437</v>
      </c>
      <c r="D103" s="61">
        <f>FH!B103*1</f>
        <v>159437</v>
      </c>
      <c r="E103">
        <f t="shared" si="11"/>
        <v>101</v>
      </c>
      <c r="F103" s="61">
        <f>IF(FT!A103&lt;&gt;"",FT!A103*10,"")</f>
        <v>3.8372099999999998</v>
      </c>
      <c r="G103" s="61">
        <f>IF(FT!B103&lt;&gt;"",FT!B103*100,"")</f>
        <v>23.349900000000002</v>
      </c>
      <c r="H103" s="61">
        <f t="shared" si="9"/>
        <v>1</v>
      </c>
      <c r="I103" t="str">
        <f>IF(FT!B103&lt;&gt;"",FT!E103,"")</f>
        <v>2 [41.034545]</v>
      </c>
      <c r="J103">
        <f>IF(FT!B103&lt;&gt;"",FT!C103,"")</f>
        <v>41.034500000000001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3.8691300000000002</v>
      </c>
      <c r="G104" s="61">
        <f>IF(FT!B104&lt;&gt;"",FT!B104*100,"")</f>
        <v>23.8263</v>
      </c>
      <c r="H104" s="61">
        <f t="shared" si="9"/>
        <v>1</v>
      </c>
      <c r="I104" t="str">
        <f>IF(FT!B104&lt;&gt;"",FT!E104,"")</f>
        <v>2 [41.445875]</v>
      </c>
      <c r="J104">
        <f>IF(FT!B104&lt;&gt;"",FT!C104,"")</f>
        <v>41.445900000000002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3.8983600000000003</v>
      </c>
      <c r="G105" s="61">
        <f>IF(FT!B105&lt;&gt;"",FT!B105*100,"")</f>
        <v>24.266399999999997</v>
      </c>
      <c r="H105" s="61">
        <f t="shared" si="9"/>
        <v>1</v>
      </c>
      <c r="I105" t="str">
        <f>IF(FT!B105&lt;&gt;"",FT!E105,"")</f>
        <v>2 [41.848192]</v>
      </c>
      <c r="J105">
        <f>IF(FT!B105&lt;&gt;"",FT!C105,"")</f>
        <v>41.848199999999999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161627</v>
      </c>
      <c r="D106" s="61">
        <f>FH!B106*1</f>
        <v>161627</v>
      </c>
      <c r="E106">
        <f t="shared" si="11"/>
        <v>104</v>
      </c>
      <c r="F106" s="61">
        <f>IF(FT!A106&lt;&gt;"",FT!A106*10,"")</f>
        <v>3.9249700000000001</v>
      </c>
      <c r="G106" s="61">
        <f>IF(FT!B106&lt;&gt;"",FT!B106*100,"")</f>
        <v>24.685399999999998</v>
      </c>
      <c r="H106" s="61">
        <f t="shared" si="9"/>
        <v>1</v>
      </c>
      <c r="I106" t="str">
        <f>IF(FT!B106&lt;&gt;"",FT!E106,"")</f>
        <v>2 [42.256365]</v>
      </c>
      <c r="J106">
        <f>IF(FT!B106&lt;&gt;"",FT!C106,"")</f>
        <v>42.256399999999999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3.9518399999999998</v>
      </c>
      <c r="G107" s="61">
        <f>IF(FT!B107&lt;&gt;"",FT!B107*100,"")</f>
        <v>25.160300000000003</v>
      </c>
      <c r="H107" s="61">
        <f t="shared" si="9"/>
        <v>1</v>
      </c>
      <c r="I107" t="str">
        <f>IF(FT!B107&lt;&gt;"",FT!E107,"")</f>
        <v>2 [42.662586]</v>
      </c>
      <c r="J107">
        <f>IF(FT!B107&lt;&gt;"",FT!C107,"")</f>
        <v>42.662599999999998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181865</v>
      </c>
      <c r="D108" s="61">
        <f>FH!B108*1</f>
        <v>181865</v>
      </c>
      <c r="E108">
        <f t="shared" si="11"/>
        <v>106</v>
      </c>
      <c r="F108" s="61">
        <f>IF(FT!A108&lt;&gt;"",FT!A108*10,"")</f>
        <v>3.9776899999999999</v>
      </c>
      <c r="G108" s="61">
        <f>IF(FT!B108&lt;&gt;"",FT!B108*100,"")</f>
        <v>25.646600000000003</v>
      </c>
      <c r="H108" s="61">
        <f t="shared" si="9"/>
        <v>1</v>
      </c>
      <c r="I108" t="str">
        <f>IF(FT!B108&lt;&gt;"",FT!E108,"")</f>
        <v>2 [43.063701]</v>
      </c>
      <c r="J108">
        <f>IF(FT!B108&lt;&gt;"",FT!C108,"")</f>
        <v>43.063699999999997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4.0025300000000001</v>
      </c>
      <c r="G109" s="61">
        <f>IF(FT!B109&lt;&gt;"",FT!B109*100,"")</f>
        <v>26.151400000000002</v>
      </c>
      <c r="H109" s="61">
        <f t="shared" si="9"/>
        <v>1</v>
      </c>
      <c r="I109" t="str">
        <f>IF(FT!B109&lt;&gt;"",FT!E109,"")</f>
        <v>2 [43.471060]</v>
      </c>
      <c r="J109">
        <f>IF(FT!B109&lt;&gt;"",FT!C109,"")</f>
        <v>43.4711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4.0211999999999994</v>
      </c>
      <c r="G110" s="61">
        <f>IF(FT!B110&lt;&gt;"",FT!B110*100,"")</f>
        <v>26.693499999999997</v>
      </c>
      <c r="H110" s="61">
        <f t="shared" si="9"/>
        <v>1</v>
      </c>
      <c r="I110" t="str">
        <f>IF(FT!B110&lt;&gt;"",FT!E110,"")</f>
        <v>2 [43.880111]</v>
      </c>
      <c r="J110">
        <f>IF(FT!B110&lt;&gt;"",FT!C110,"")</f>
        <v>43.880099999999999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172775</v>
      </c>
      <c r="D111" s="61">
        <f>FH!B111*1</f>
        <v>172775</v>
      </c>
      <c r="E111">
        <f t="shared" si="11"/>
        <v>109</v>
      </c>
      <c r="F111" s="61">
        <f>IF(FT!A111&lt;&gt;"",FT!A111*10,"")</f>
        <v>4.0324299999999997</v>
      </c>
      <c r="G111" s="61">
        <f>IF(FT!B111&lt;&gt;"",FT!B111*100,"")</f>
        <v>27.2974</v>
      </c>
      <c r="H111" s="61">
        <f t="shared" si="9"/>
        <v>1</v>
      </c>
      <c r="I111" t="str">
        <f>IF(FT!B111&lt;&gt;"",FT!E111,"")</f>
        <v>2 [44.287820]</v>
      </c>
      <c r="J111">
        <f>IF(FT!B111&lt;&gt;"",FT!C111,"")</f>
        <v>44.287799999999997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4.0428699999999997</v>
      </c>
      <c r="G112" s="61">
        <f>IF(FT!B112&lt;&gt;"",FT!B112*100,"")</f>
        <v>27.891700000000004</v>
      </c>
      <c r="H112" s="61">
        <f t="shared" si="9"/>
        <v>1</v>
      </c>
      <c r="I112" t="str">
        <f>IF(FT!B112&lt;&gt;"",FT!E112,"")</f>
        <v>2 [44.693048]</v>
      </c>
      <c r="J112">
        <f>IF(FT!B112&lt;&gt;"",FT!C112,"")</f>
        <v>44.692999999999998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169093</v>
      </c>
      <c r="D113" s="61">
        <f>FH!B113*1</f>
        <v>169093</v>
      </c>
      <c r="E113">
        <f t="shared" si="11"/>
        <v>111</v>
      </c>
      <c r="F113" s="61">
        <f>IF(FT!A113&lt;&gt;"",FT!A113*10,"")</f>
        <v>4.0541999999999998</v>
      </c>
      <c r="G113" s="61">
        <f>IF(FT!B113&lt;&gt;"",FT!B113*100,"")</f>
        <v>28.540300000000002</v>
      </c>
      <c r="H113" s="61">
        <f t="shared" si="9"/>
        <v>1</v>
      </c>
      <c r="I113" t="str">
        <f>IF(FT!B113&lt;&gt;"",FT!E113,"")</f>
        <v>2 [45.096823]</v>
      </c>
      <c r="J113">
        <f>IF(FT!B113&lt;&gt;"",FT!C113,"")</f>
        <v>45.096800000000002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4.0626199999999999</v>
      </c>
      <c r="G114" s="61">
        <f>IF(FT!B114&lt;&gt;"",FT!B114*100,"")</f>
        <v>29.244799999999998</v>
      </c>
      <c r="H114" s="61">
        <f t="shared" si="9"/>
        <v>1</v>
      </c>
      <c r="I114" t="str">
        <f>IF(FT!B114&lt;&gt;"",FT!E114,"")</f>
        <v>2 [45.504127]</v>
      </c>
      <c r="J114">
        <f>IF(FT!B114&lt;&gt;"",FT!C114,"")</f>
        <v>45.504100000000001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4.07226</v>
      </c>
      <c r="G115" s="61">
        <f>IF(FT!B115&lt;&gt;"",FT!B115*100,"")</f>
        <v>29.955100000000002</v>
      </c>
      <c r="H115" s="61">
        <f t="shared" si="9"/>
        <v>1</v>
      </c>
      <c r="I115" t="str">
        <f>IF(FT!B115&lt;&gt;"",FT!E115,"")</f>
        <v>2 [45.911955]</v>
      </c>
      <c r="J115">
        <f>IF(FT!B115&lt;&gt;"",FT!C115,"")</f>
        <v>45.911999999999999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159514</v>
      </c>
      <c r="D116" s="61">
        <f>FH!B116*1</f>
        <v>159514</v>
      </c>
      <c r="E116">
        <f t="shared" si="11"/>
        <v>114</v>
      </c>
      <c r="F116" s="61">
        <f>IF(FT!A116&lt;&gt;"",FT!A116*10,"")</f>
        <v>4.0787599999999999</v>
      </c>
      <c r="G116" s="61">
        <f>IF(FT!B116&lt;&gt;"",FT!B116*100,"")</f>
        <v>30.727</v>
      </c>
      <c r="H116" s="61">
        <f t="shared" si="9"/>
        <v>1</v>
      </c>
      <c r="I116" t="str">
        <f>IF(FT!B116&lt;&gt;"",FT!E116,"")</f>
        <v>2 [46.317856]</v>
      </c>
      <c r="J116">
        <f>IF(FT!B116&lt;&gt;"",FT!C116,"")</f>
        <v>46.317900000000002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4.0833300000000001</v>
      </c>
      <c r="G117" s="61">
        <f>IF(FT!B117&lt;&gt;"",FT!B117*100,"")</f>
        <v>31.483899999999998</v>
      </c>
      <c r="H117" s="61">
        <f t="shared" si="9"/>
        <v>1</v>
      </c>
      <c r="I117" t="str">
        <f>IF(FT!B117&lt;&gt;"",FT!E117,"")</f>
        <v>2 [46.723606]</v>
      </c>
      <c r="J117">
        <f>IF(FT!B117&lt;&gt;"",FT!C117,"")</f>
        <v>46.723599999999998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155715</v>
      </c>
      <c r="D118" s="61">
        <f>FH!B118*1</f>
        <v>155715</v>
      </c>
      <c r="E118">
        <f t="shared" si="11"/>
        <v>116</v>
      </c>
      <c r="F118" s="61">
        <f>IF(FT!A118&lt;&gt;"",FT!A118*10,"")</f>
        <v>4.0878899999999998</v>
      </c>
      <c r="G118" s="61">
        <f>IF(FT!B118&lt;&gt;"",FT!B118*100,"")</f>
        <v>32.232699999999994</v>
      </c>
      <c r="H118" s="61">
        <f t="shared" si="9"/>
        <v>1</v>
      </c>
      <c r="I118" t="str">
        <f>IF(FT!B118&lt;&gt;"",FT!E118,"")</f>
        <v>2 [47.130791]</v>
      </c>
      <c r="J118">
        <f>IF(FT!B118&lt;&gt;"",FT!C118,"")</f>
        <v>47.130800000000001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4.0927799999999994</v>
      </c>
      <c r="G119" s="61">
        <f>IF(FT!B119&lt;&gt;"",FT!B119*100,"")</f>
        <v>32.925600000000003</v>
      </c>
      <c r="H119" s="61">
        <f t="shared" si="9"/>
        <v>1</v>
      </c>
      <c r="I119" t="str">
        <f>IF(FT!B119&lt;&gt;"",FT!E119,"")</f>
        <v>2 [47.534747]</v>
      </c>
      <c r="J119">
        <f>IF(FT!B119&lt;&gt;"",FT!C119,"")</f>
        <v>47.534700000000001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4.0972299999999997</v>
      </c>
      <c r="G120" s="61">
        <f>IF(FT!B120&lt;&gt;"",FT!B120*100,"")</f>
        <v>33.564</v>
      </c>
      <c r="H120" s="61">
        <f t="shared" si="9"/>
        <v>1</v>
      </c>
      <c r="I120" t="str">
        <f>IF(FT!B120&lt;&gt;"",FT!E120,"")</f>
        <v>2 [47.943326]</v>
      </c>
      <c r="J120">
        <f>IF(FT!B120&lt;&gt;"",FT!C120,"")</f>
        <v>47.943300000000001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150638</v>
      </c>
      <c r="D121" s="61">
        <f>FH!B121*1</f>
        <v>150638</v>
      </c>
      <c r="E121">
        <f t="shared" si="11"/>
        <v>119</v>
      </c>
      <c r="F121" s="61">
        <f>IF(FT!A121&lt;&gt;"",FT!A121*10,"")</f>
        <v>4.1004399999999999</v>
      </c>
      <c r="G121" s="61">
        <f>IF(FT!B121&lt;&gt;"",FT!B121*100,"")</f>
        <v>34.213200000000001</v>
      </c>
      <c r="H121" s="61">
        <f t="shared" si="9"/>
        <v>1</v>
      </c>
      <c r="I121" t="str">
        <f>IF(FT!B121&lt;&gt;"",FT!E121,"")</f>
        <v>2 [48.350491]</v>
      </c>
      <c r="J121">
        <f>IF(FT!B121&lt;&gt;"",FT!C121,"")</f>
        <v>48.350499999999997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4.1020500000000002</v>
      </c>
      <c r="G122" s="61">
        <f>IF(FT!B122&lt;&gt;"",FT!B122*100,"")</f>
        <v>34.863699999999994</v>
      </c>
      <c r="H122" s="61">
        <f t="shared" si="9"/>
        <v>1</v>
      </c>
      <c r="I122" t="str">
        <f>IF(FT!B122&lt;&gt;"",FT!E122,"")</f>
        <v>2 [48.755698]</v>
      </c>
      <c r="J122">
        <f>IF(FT!B122&lt;&gt;"",FT!C122,"")</f>
        <v>48.755699999999997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4.10379</v>
      </c>
      <c r="G123" s="61">
        <f>IF(FT!B123&lt;&gt;"",FT!B123*100,"")</f>
        <v>35.445399999999999</v>
      </c>
      <c r="H123" s="61">
        <f t="shared" si="9"/>
        <v>1</v>
      </c>
      <c r="I123" t="str">
        <f>IF(FT!B123&lt;&gt;"",FT!E123,"")</f>
        <v>2 [49.159360]</v>
      </c>
      <c r="J123">
        <f>IF(FT!B123&lt;&gt;"",FT!C123,"")</f>
        <v>49.159399999999998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138090</v>
      </c>
      <c r="D124" s="61">
        <f>FH!B124*1</f>
        <v>138090</v>
      </c>
      <c r="E124">
        <f t="shared" si="11"/>
        <v>122</v>
      </c>
      <c r="F124" s="61">
        <f>IF(FT!A124&lt;&gt;"",FT!A124*10,"")</f>
        <v>4.10487</v>
      </c>
      <c r="G124" s="61">
        <f>IF(FT!B124&lt;&gt;"",FT!B124*100,"")</f>
        <v>36.016500000000001</v>
      </c>
      <c r="H124" s="61">
        <f t="shared" si="9"/>
        <v>1</v>
      </c>
      <c r="I124" t="str">
        <f>IF(FT!B124&lt;&gt;"",FT!E124,"")</f>
        <v>2 [49.566524]</v>
      </c>
      <c r="J124">
        <f>IF(FT!B124&lt;&gt;"",FT!C124,"")</f>
        <v>49.566499999999998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4.1074299999999999</v>
      </c>
      <c r="G125" s="61">
        <f>IF(FT!B125&lt;&gt;"",FT!B125*100,"")</f>
        <v>36.5535</v>
      </c>
      <c r="H125" s="61">
        <f t="shared" si="9"/>
        <v>1</v>
      </c>
      <c r="I125" t="str">
        <f>IF(FT!B125&lt;&gt;"",FT!E125,"")</f>
        <v>2 [49.972883]</v>
      </c>
      <c r="J125">
        <f>IF(FT!B125&lt;&gt;"",FT!C125,"")</f>
        <v>49.972900000000003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131578</v>
      </c>
      <c r="D126" s="61">
        <f>FH!B126*1</f>
        <v>131578</v>
      </c>
      <c r="E126">
        <f t="shared" si="11"/>
        <v>124</v>
      </c>
      <c r="F126" s="61">
        <f>IF(FT!A126&lt;&gt;"",FT!A126*10,"")</f>
        <v>4.1053899999999999</v>
      </c>
      <c r="G126" s="61">
        <f>IF(FT!B126&lt;&gt;"",FT!B126*100,"")</f>
        <v>36.884799999999998</v>
      </c>
      <c r="H126" s="61">
        <f t="shared" si="9"/>
        <v>1</v>
      </c>
      <c r="I126" t="str">
        <f>IF(FT!B126&lt;&gt;"",FT!E126,"")</f>
        <v>2 [50.380804]</v>
      </c>
      <c r="J126">
        <f>IF(FT!B126&lt;&gt;"",FT!C126,"")</f>
        <v>50.380800000000001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4.1026699999999998</v>
      </c>
      <c r="G127" s="61">
        <f>IF(FT!B127&lt;&gt;"",FT!B127*100,"")</f>
        <v>37.2271</v>
      </c>
      <c r="H127" s="61">
        <f t="shared" si="9"/>
        <v>1</v>
      </c>
      <c r="I127" t="str">
        <f>IF(FT!B127&lt;&gt;"",FT!E127,"")</f>
        <v>2 [50.787887]</v>
      </c>
      <c r="J127">
        <f>IF(FT!B127&lt;&gt;"",FT!C127,"")</f>
        <v>50.7879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4.1000700000000005</v>
      </c>
      <c r="G128" s="61">
        <f>IF(FT!B128&lt;&gt;"",FT!B128*100,"")</f>
        <v>37.560500000000005</v>
      </c>
      <c r="H128" s="61">
        <f t="shared" si="9"/>
        <v>1</v>
      </c>
      <c r="I128" t="str">
        <f>IF(FT!B128&lt;&gt;"",FT!E128,"")</f>
        <v>2 [51.191170]</v>
      </c>
      <c r="J128">
        <f>IF(FT!B128&lt;&gt;"",FT!C128,"")</f>
        <v>51.191200000000002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121354</v>
      </c>
      <c r="D129" s="61">
        <f>FH!B129*1</f>
        <v>121354</v>
      </c>
      <c r="E129">
        <f t="shared" si="11"/>
        <v>127</v>
      </c>
      <c r="F129" s="61">
        <f>IF(FT!A129&lt;&gt;"",FT!A129*10,"")</f>
        <v>4.0978399999999997</v>
      </c>
      <c r="G129" s="61">
        <f>IF(FT!B129&lt;&gt;"",FT!B129*100,"")</f>
        <v>37.843900000000005</v>
      </c>
      <c r="H129" s="61">
        <f t="shared" si="9"/>
        <v>1</v>
      </c>
      <c r="I129" t="str">
        <f>IF(FT!B129&lt;&gt;"",FT!E129,"")</f>
        <v>2 [51.596886]</v>
      </c>
      <c r="J129">
        <f>IF(FT!B129&lt;&gt;"",FT!C129,"")</f>
        <v>51.596899999999998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4.0953900000000001</v>
      </c>
      <c r="G130" s="61">
        <f>IF(FT!B130&lt;&gt;"",FT!B130*100,"")</f>
        <v>38.139699999999998</v>
      </c>
      <c r="H130" s="61">
        <f t="shared" si="9"/>
        <v>1</v>
      </c>
      <c r="I130" t="str">
        <f>IF(FT!B130&lt;&gt;"",FT!E130,"")</f>
        <v>2 [52.004193]</v>
      </c>
      <c r="J130">
        <f>IF(FT!B130&lt;&gt;"",FT!C130,"")</f>
        <v>52.004199999999997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112964</v>
      </c>
      <c r="D131" s="61">
        <f>FH!B131*1</f>
        <v>112964</v>
      </c>
      <c r="E131">
        <f t="shared" si="11"/>
        <v>129</v>
      </c>
      <c r="F131" s="61">
        <f>IF(FT!A131&lt;&gt;"",FT!A131*10,"")</f>
        <v>4.09206</v>
      </c>
      <c r="G131" s="61">
        <f>IF(FT!B131&lt;&gt;"",FT!B131*100,"")</f>
        <v>38.455300000000001</v>
      </c>
      <c r="H131" s="61">
        <f t="shared" ref="H131:H194" si="13">(IF(F131&lt;&gt;"",1,""))</f>
        <v>1</v>
      </c>
      <c r="I131" t="str">
        <f>IF(FT!B131&lt;&gt;"",FT!E131,"")</f>
        <v>2 [52.414051]</v>
      </c>
      <c r="J131">
        <f>IF(FT!B131&lt;&gt;"",FT!C131,"")</f>
        <v>52.414099999999998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4.0861999999999998</v>
      </c>
      <c r="G132" s="61">
        <f>IF(FT!B132&lt;&gt;"",FT!B132*100,"")</f>
        <v>38.757799999999996</v>
      </c>
      <c r="H132" s="61">
        <f t="shared" si="13"/>
        <v>1</v>
      </c>
      <c r="I132" t="str">
        <f>IF(FT!B132&lt;&gt;"",FT!E132,"")</f>
        <v>2 [52.817772]</v>
      </c>
      <c r="J132">
        <f>IF(FT!B132&lt;&gt;"",FT!C132,"")</f>
        <v>52.817799999999998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4.0781799999999997</v>
      </c>
      <c r="G133" s="61">
        <f>IF(FT!B133&lt;&gt;"",FT!B133*100,"")</f>
        <v>39.093899999999998</v>
      </c>
      <c r="H133" s="61">
        <f t="shared" si="13"/>
        <v>1</v>
      </c>
      <c r="I133" t="str">
        <f>IF(FT!B133&lt;&gt;"",FT!E133,"")</f>
        <v>2 [53.220775]</v>
      </c>
      <c r="J133">
        <f>IF(FT!B133&lt;&gt;"",FT!C133,"")</f>
        <v>53.220799999999997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100757</v>
      </c>
      <c r="D134" s="61">
        <f>FH!B134*1</f>
        <v>100757</v>
      </c>
      <c r="E134">
        <f t="shared" si="15"/>
        <v>132</v>
      </c>
      <c r="F134" s="61">
        <f>IF(FT!A134&lt;&gt;"",FT!A134*10,"")</f>
        <v>4.0695300000000003</v>
      </c>
      <c r="G134" s="61">
        <f>IF(FT!B134&lt;&gt;"",FT!B134*100,"")</f>
        <v>39.472999999999999</v>
      </c>
      <c r="H134" s="61">
        <f t="shared" si="13"/>
        <v>1</v>
      </c>
      <c r="I134" t="str">
        <f>IF(FT!B134&lt;&gt;"",FT!E134,"")</f>
        <v>2 [53.626406]</v>
      </c>
      <c r="J134">
        <f>IF(FT!B134&lt;&gt;"",FT!C134,"")</f>
        <v>53.626399999999997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4.0635300000000001</v>
      </c>
      <c r="G135" s="61">
        <f>IF(FT!B135&lt;&gt;"",FT!B135*100,"")</f>
        <v>39.847200000000001</v>
      </c>
      <c r="H135" s="61">
        <f t="shared" si="13"/>
        <v>1</v>
      </c>
      <c r="I135" t="str">
        <f>IF(FT!B135&lt;&gt;"",FT!E135,"")</f>
        <v>2 [54.038858]</v>
      </c>
      <c r="J135">
        <f>IF(FT!B135&lt;&gt;"",FT!C135,"")</f>
        <v>54.038899999999998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95975</v>
      </c>
      <c r="D136" s="61">
        <f>FH!B136*1</f>
        <v>95975</v>
      </c>
      <c r="E136">
        <f t="shared" si="15"/>
        <v>134</v>
      </c>
      <c r="F136" s="61">
        <f>IF(FT!A136&lt;&gt;"",FT!A136*10,"")</f>
        <v>4.0601599999999998</v>
      </c>
      <c r="G136" s="61">
        <f>IF(FT!B136&lt;&gt;"",FT!B136*100,"")</f>
        <v>40.185400000000001</v>
      </c>
      <c r="H136" s="61">
        <f t="shared" si="13"/>
        <v>1</v>
      </c>
      <c r="I136" t="str">
        <f>IF(FT!B136&lt;&gt;"",FT!E136,"")</f>
        <v>2 [54.445644]</v>
      </c>
      <c r="J136">
        <f>IF(FT!B136&lt;&gt;"",FT!C136,"")</f>
        <v>54.445599999999999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4.0564800000000005</v>
      </c>
      <c r="G137" s="61">
        <f>IF(FT!B137&lt;&gt;"",FT!B137*100,"")</f>
        <v>40.5655</v>
      </c>
      <c r="H137" s="61">
        <f t="shared" si="13"/>
        <v>1</v>
      </c>
      <c r="I137" t="str">
        <f>IF(FT!B137&lt;&gt;"",FT!E137,"")</f>
        <v>2 [54.849427]</v>
      </c>
      <c r="J137">
        <f>IF(FT!B137&lt;&gt;"",FT!C137,"")</f>
        <v>54.849400000000003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4.0500600000000002</v>
      </c>
      <c r="G138" s="61">
        <f>IF(FT!B138&lt;&gt;"",FT!B138*100,"")</f>
        <v>41.001199999999997</v>
      </c>
      <c r="H138" s="61">
        <f t="shared" si="13"/>
        <v>1</v>
      </c>
      <c r="I138" t="str">
        <f>IF(FT!B138&lt;&gt;"",FT!E138,"")</f>
        <v>2 [55.254021]</v>
      </c>
      <c r="J138">
        <f>IF(FT!B138&lt;&gt;"",FT!C138,"")</f>
        <v>55.253999999999998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78949</v>
      </c>
      <c r="D139" s="61">
        <f>FH!B139*1</f>
        <v>78949</v>
      </c>
      <c r="E139">
        <f t="shared" si="15"/>
        <v>137</v>
      </c>
      <c r="F139" s="61">
        <f>IF(FT!A139&lt;&gt;"",FT!A139*10,"")</f>
        <v>4.0493600000000001</v>
      </c>
      <c r="G139" s="61">
        <f>IF(FT!B139&lt;&gt;"",FT!B139*100,"")</f>
        <v>41.347899999999996</v>
      </c>
      <c r="H139" s="61">
        <f t="shared" si="13"/>
        <v>1</v>
      </c>
      <c r="I139" t="str">
        <f>IF(FT!B139&lt;&gt;"",FT!E139,"")</f>
        <v>2 [55.659950]</v>
      </c>
      <c r="J139">
        <f>IF(FT!B139&lt;&gt;"",FT!C139,"")</f>
        <v>55.6599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4.0464799999999999</v>
      </c>
      <c r="G140" s="61">
        <f>IF(FT!B140&lt;&gt;"",FT!B140*100,"")</f>
        <v>41.622599999999998</v>
      </c>
      <c r="H140" s="61">
        <f t="shared" si="13"/>
        <v>1</v>
      </c>
      <c r="I140" t="str">
        <f>IF(FT!B140&lt;&gt;"",FT!E140,"")</f>
        <v>2 [56.068820]</v>
      </c>
      <c r="J140">
        <f>IF(FT!B140&lt;&gt;"",FT!C140,"")</f>
        <v>56.068800000000003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4.0489199999999999</v>
      </c>
      <c r="G141" s="61">
        <f>IF(FT!B141&lt;&gt;"",FT!B141*100,"")</f>
        <v>41.837200000000003</v>
      </c>
      <c r="H141" s="61">
        <f t="shared" si="13"/>
        <v>1</v>
      </c>
      <c r="I141" t="str">
        <f>IF(FT!B141&lt;&gt;"",FT!E141,"")</f>
        <v>2 [56.472841]</v>
      </c>
      <c r="J141">
        <f>IF(FT!B141&lt;&gt;"",FT!C141,"")</f>
        <v>56.472799999999999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78397</v>
      </c>
      <c r="D142" s="61">
        <f>FH!B142*1</f>
        <v>78397</v>
      </c>
      <c r="E142">
        <f t="shared" si="15"/>
        <v>140</v>
      </c>
      <c r="F142" s="61">
        <f>IF(FT!A142&lt;&gt;"",FT!A142*10,"")</f>
        <v>4.0561400000000001</v>
      </c>
      <c r="G142" s="61">
        <f>IF(FT!B142&lt;&gt;"",FT!B142*100,"")</f>
        <v>42.009500000000003</v>
      </c>
      <c r="H142" s="61">
        <f t="shared" si="13"/>
        <v>1</v>
      </c>
      <c r="I142" t="str">
        <f>IF(FT!B142&lt;&gt;"",FT!E142,"")</f>
        <v>2 [56.881961]</v>
      </c>
      <c r="J142">
        <f>IF(FT!B142&lt;&gt;"",FT!C142,"")</f>
        <v>56.881999999999998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4.0651200000000003</v>
      </c>
      <c r="G143" s="61">
        <f>IF(FT!B143&lt;&gt;"",FT!B143*100,"")</f>
        <v>42.164499999999997</v>
      </c>
      <c r="H143" s="61">
        <f t="shared" si="13"/>
        <v>1</v>
      </c>
      <c r="I143" t="str">
        <f>IF(FT!B143&lt;&gt;"",FT!E143,"")</f>
        <v>2 [57.286630]</v>
      </c>
      <c r="J143">
        <f>IF(FT!B143&lt;&gt;"",FT!C143,"")</f>
        <v>57.2866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60159</v>
      </c>
      <c r="D144" s="61">
        <f>FH!B144*1</f>
        <v>60159</v>
      </c>
      <c r="E144">
        <f t="shared" si="15"/>
        <v>142</v>
      </c>
      <c r="F144" s="61">
        <f>IF(FT!A144&lt;&gt;"",FT!A144*10,"")</f>
        <v>4.07545</v>
      </c>
      <c r="G144" s="61">
        <f>IF(FT!B144&lt;&gt;"",FT!B144*100,"")</f>
        <v>42.344900000000003</v>
      </c>
      <c r="H144" s="61">
        <f t="shared" si="13"/>
        <v>1</v>
      </c>
      <c r="I144" t="str">
        <f>IF(FT!B144&lt;&gt;"",FT!E144,"")</f>
        <v>2 [57.689355]</v>
      </c>
      <c r="J144">
        <f>IF(FT!B144&lt;&gt;"",FT!C144,"")</f>
        <v>57.689399999999999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4.08962</v>
      </c>
      <c r="G145" s="61">
        <f>IF(FT!B145&lt;&gt;"",FT!B145*100,"")</f>
        <v>42.578899999999997</v>
      </c>
      <c r="H145" s="61">
        <f t="shared" si="13"/>
        <v>1</v>
      </c>
      <c r="I145" t="str">
        <f>IF(FT!B145&lt;&gt;"",FT!E145,"")</f>
        <v>2 [58.097301]</v>
      </c>
      <c r="J145">
        <f>IF(FT!B145&lt;&gt;"",FT!C145,"")</f>
        <v>58.097299999999997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4.1084500000000004</v>
      </c>
      <c r="G146" s="61">
        <f>IF(FT!B146&lt;&gt;"",FT!B146*100,"")</f>
        <v>42.711199999999998</v>
      </c>
      <c r="H146" s="61">
        <f t="shared" si="13"/>
        <v>1</v>
      </c>
      <c r="I146" t="str">
        <f>IF(FT!B146&lt;&gt;"",FT!E146,"")</f>
        <v>2 [58.506125]</v>
      </c>
      <c r="J146">
        <f>IF(FT!B146&lt;&gt;"",FT!C146,"")</f>
        <v>58.506100000000004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54291</v>
      </c>
      <c r="D147" s="61">
        <f>FH!B147*1</f>
        <v>54291</v>
      </c>
      <c r="E147">
        <f t="shared" si="15"/>
        <v>145</v>
      </c>
      <c r="F147" s="61">
        <f>IF(FT!A147&lt;&gt;"",FT!A147*10,"")</f>
        <v>4.13347</v>
      </c>
      <c r="G147" s="61">
        <f>IF(FT!B147&lt;&gt;"",FT!B147*100,"")</f>
        <v>42.6419</v>
      </c>
      <c r="H147" s="61">
        <f t="shared" si="13"/>
        <v>1</v>
      </c>
      <c r="I147" t="str">
        <f>IF(FT!B147&lt;&gt;"",FT!E147,"")</f>
        <v>2 [58.912097]</v>
      </c>
      <c r="J147">
        <f>IF(FT!B147&lt;&gt;"",FT!C147,"")</f>
        <v>58.912100000000002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4.1627999999999998</v>
      </c>
      <c r="G148" s="61">
        <f>IF(FT!B148&lt;&gt;"",FT!B148*100,"")</f>
        <v>42.597000000000001</v>
      </c>
      <c r="H148" s="61">
        <f t="shared" si="13"/>
        <v>1</v>
      </c>
      <c r="I148" t="str">
        <f>IF(FT!B148&lt;&gt;"",FT!E148,"")</f>
        <v>2 [59.318727]</v>
      </c>
      <c r="J148">
        <f>IF(FT!B148&lt;&gt;"",FT!C148,"")</f>
        <v>59.3187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45698</v>
      </c>
      <c r="D149" s="61">
        <f>FH!B149*1</f>
        <v>45698</v>
      </c>
      <c r="E149">
        <f t="shared" si="15"/>
        <v>147</v>
      </c>
      <c r="F149" s="61">
        <f>IF(FT!A149&lt;&gt;"",FT!A149*10,"")</f>
        <v>4.1989900000000002</v>
      </c>
      <c r="G149" s="61">
        <f>IF(FT!B149&lt;&gt;"",FT!B149*100,"")</f>
        <v>42.777799999999999</v>
      </c>
      <c r="H149" s="61">
        <f t="shared" si="13"/>
        <v>1</v>
      </c>
      <c r="I149" t="str">
        <f>IF(FT!B149&lt;&gt;"",FT!E149,"")</f>
        <v>2 [59.724912]</v>
      </c>
      <c r="J149">
        <f>IF(FT!B149&lt;&gt;"",FT!C149,"")</f>
        <v>59.724899999999998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44271</v>
      </c>
      <c r="D152" s="61">
        <f>FH!B152*1</f>
        <v>44271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39301</v>
      </c>
      <c r="D154" s="61">
        <f>FH!B154*1</f>
        <v>39301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36185</v>
      </c>
      <c r="D157" s="61">
        <f>FH!B157*1</f>
        <v>36185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35186</v>
      </c>
      <c r="D160" s="61">
        <f>FH!B160*1</f>
        <v>35186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35412</v>
      </c>
      <c r="D162" s="61">
        <f>FH!B162*1</f>
        <v>35412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27477</v>
      </c>
      <c r="D165" s="61">
        <f>FH!B165*1</f>
        <v>27477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24661</v>
      </c>
      <c r="D167" s="61">
        <f>FH!B167*1</f>
        <v>24661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26904</v>
      </c>
      <c r="D170" s="61">
        <f>FH!B170*1</f>
        <v>26904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24845</v>
      </c>
      <c r="D173" s="61">
        <f>FH!B173*1</f>
        <v>24845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21597</v>
      </c>
      <c r="D175" s="61">
        <f>FH!B175*1</f>
        <v>21597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19759</v>
      </c>
      <c r="D178" s="61">
        <f>FH!B178*1</f>
        <v>19759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20503</v>
      </c>
      <c r="D180" s="61">
        <f>FH!B180*1</f>
        <v>20503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22153</v>
      </c>
      <c r="D183" s="61">
        <f>FH!B183*1</f>
        <v>22153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18310</v>
      </c>
      <c r="D185" s="61">
        <f>FH!B185*1</f>
        <v>18310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17666</v>
      </c>
      <c r="D188" s="61">
        <f>FH!B188*1</f>
        <v>17666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17338</v>
      </c>
      <c r="D191" s="61">
        <f>FH!B191*1</f>
        <v>17338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15762</v>
      </c>
      <c r="D193" s="61">
        <f>FH!B193*1</f>
        <v>15762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14311</v>
      </c>
      <c r="D196" s="61">
        <f>FH!B196*1</f>
        <v>14311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16699</v>
      </c>
      <c r="D198" s="61">
        <f>FH!B198*1</f>
        <v>16699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20265</v>
      </c>
      <c r="D201" s="61">
        <f>FH!B201*1</f>
        <v>20265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16357</v>
      </c>
      <c r="D203" s="61">
        <f>FH!B203*1</f>
        <v>16357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13540</v>
      </c>
      <c r="D206" s="61">
        <f>FH!B206*1</f>
        <v>13540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8970</v>
      </c>
      <c r="D209" s="61">
        <f>FH!B209*1</f>
        <v>8970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8247</v>
      </c>
      <c r="D211" s="61">
        <f>FH!B211*1</f>
        <v>8247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7686</v>
      </c>
      <c r="D214" s="61">
        <f>FH!B214*1</f>
        <v>7686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3885</v>
      </c>
      <c r="D216" s="61">
        <f>FH!B216*1</f>
        <v>3885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3924</v>
      </c>
      <c r="D219" s="61">
        <f>FH!B219*1</f>
        <v>3924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2453</v>
      </c>
      <c r="D221" s="61">
        <f>FH!B221*1</f>
        <v>2453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1464</v>
      </c>
      <c r="D224" s="61">
        <f>FH!B224*1</f>
        <v>1464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282</v>
      </c>
      <c r="D227" s="61">
        <f>FH!B227*1</f>
        <v>282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45.230200000000004</v>
      </c>
      <c r="C5" s="66">
        <v>10.1889</v>
      </c>
      <c r="D5" s="66">
        <v>22.526700000000002</v>
      </c>
      <c r="E5" s="66">
        <v>20</v>
      </c>
      <c r="F5" s="66">
        <v>12.5831</v>
      </c>
      <c r="G5" s="66">
        <v>50</v>
      </c>
      <c r="H5" s="66">
        <v>56.235399999999998</v>
      </c>
    </row>
    <row r="6" spans="1:8">
      <c r="A6" s="58" t="s">
        <v>303</v>
      </c>
      <c r="B6" s="66">
        <v>23.3995</v>
      </c>
      <c r="C6" s="66">
        <v>1.34904</v>
      </c>
      <c r="D6" s="66">
        <v>5.7652400000000004</v>
      </c>
      <c r="E6" s="66">
        <v>20</v>
      </c>
      <c r="F6" s="66">
        <v>21.303899999999999</v>
      </c>
      <c r="G6" s="66">
        <v>40</v>
      </c>
      <c r="H6" s="66">
        <v>28.413699999999999</v>
      </c>
    </row>
    <row r="7" spans="1:8">
      <c r="A7" s="58" t="s">
        <v>304</v>
      </c>
      <c r="B7" s="66">
        <v>36.087699999999998</v>
      </c>
      <c r="C7" s="66">
        <v>9.9768100000000004</v>
      </c>
      <c r="D7" s="66">
        <v>27.646000000000001</v>
      </c>
      <c r="E7" s="66">
        <v>15</v>
      </c>
      <c r="F7" s="66">
        <v>6.5014599999999998</v>
      </c>
      <c r="G7" s="66">
        <v>40</v>
      </c>
      <c r="H7" s="66">
        <v>47.635599999999997</v>
      </c>
    </row>
    <row r="8" spans="1:8">
      <c r="A8" s="58" t="s">
        <v>305</v>
      </c>
      <c r="B8" s="66">
        <v>33.793900000000001</v>
      </c>
      <c r="C8" s="66">
        <v>3.72139</v>
      </c>
      <c r="D8" s="66">
        <v>11.012</v>
      </c>
      <c r="E8" s="66">
        <v>20</v>
      </c>
      <c r="F8" s="66">
        <v>23.101800000000001</v>
      </c>
      <c r="G8" s="66">
        <v>50</v>
      </c>
      <c r="H8" s="66">
        <v>38.5154</v>
      </c>
    </row>
    <row r="9" spans="1:8">
      <c r="A9" s="58" t="s">
        <v>306</v>
      </c>
      <c r="B9" s="66">
        <v>63.046399999999998</v>
      </c>
      <c r="C9" s="66">
        <v>6.0197900000000004</v>
      </c>
      <c r="D9" s="66">
        <v>9.5481800000000003</v>
      </c>
      <c r="E9" s="66">
        <v>50</v>
      </c>
      <c r="F9" s="66">
        <v>45.799300000000002</v>
      </c>
      <c r="G9" s="66">
        <v>100</v>
      </c>
      <c r="H9" s="66">
        <v>82.784899999999993</v>
      </c>
    </row>
    <row r="10" spans="1:8">
      <c r="A10" s="58" t="s">
        <v>307</v>
      </c>
      <c r="B10" s="66">
        <v>74.442499999999995</v>
      </c>
      <c r="C10" s="66">
        <v>2.4992800000000002</v>
      </c>
      <c r="D10" s="66">
        <v>3.3573200000000001</v>
      </c>
      <c r="E10" s="66">
        <v>40</v>
      </c>
      <c r="F10" s="66">
        <v>70.816100000000006</v>
      </c>
      <c r="G10" s="66">
        <v>100</v>
      </c>
      <c r="H10" s="66">
        <v>80.761700000000005</v>
      </c>
    </row>
    <row r="11" spans="1:8">
      <c r="A11" s="58" t="s">
        <v>308</v>
      </c>
      <c r="B11" s="66">
        <v>22.8398</v>
      </c>
      <c r="C11" s="66">
        <v>6.2359299999999998</v>
      </c>
      <c r="D11" s="66">
        <v>27.303000000000001</v>
      </c>
      <c r="E11" s="66">
        <v>10</v>
      </c>
      <c r="F11" s="66">
        <v>7.5324400000000002</v>
      </c>
      <c r="G11" s="66">
        <v>50</v>
      </c>
      <c r="H11" s="66">
        <v>32.017499999999998</v>
      </c>
    </row>
    <row r="12" spans="1:8">
      <c r="A12" s="58" t="s">
        <v>309</v>
      </c>
      <c r="B12" s="66">
        <v>68.955299999999994</v>
      </c>
      <c r="C12" s="66">
        <v>2.9950399999999999</v>
      </c>
      <c r="D12" s="66">
        <v>4.3434499999999998</v>
      </c>
      <c r="E12" s="66">
        <v>50</v>
      </c>
      <c r="F12" s="66">
        <v>62.0535</v>
      </c>
      <c r="G12" s="66">
        <v>100</v>
      </c>
      <c r="H12" s="66">
        <v>78.125</v>
      </c>
    </row>
    <row r="13" spans="1:8">
      <c r="A13" s="58" t="s">
        <v>310</v>
      </c>
      <c r="B13" s="66">
        <v>20.976199999999999</v>
      </c>
      <c r="C13" s="66">
        <v>3.9012099999999998</v>
      </c>
      <c r="D13" s="66">
        <v>18.598199999999999</v>
      </c>
      <c r="E13" s="66">
        <v>10</v>
      </c>
      <c r="F13" s="66">
        <v>14.1348</v>
      </c>
      <c r="G13" s="66">
        <v>25</v>
      </c>
      <c r="H13" s="66">
        <v>36.821300000000001</v>
      </c>
    </row>
    <row r="14" spans="1:8">
      <c r="A14" s="58" t="s">
        <v>311</v>
      </c>
      <c r="B14" s="66">
        <v>39.012099999999997</v>
      </c>
      <c r="C14" s="66">
        <v>13.391400000000001</v>
      </c>
      <c r="D14" s="66">
        <v>34.3264</v>
      </c>
      <c r="E14" s="66">
        <v>10</v>
      </c>
      <c r="F14" s="66">
        <v>0.56589599999999995</v>
      </c>
      <c r="G14" s="66">
        <v>50</v>
      </c>
      <c r="H14" s="66">
        <v>44.408200000000001</v>
      </c>
    </row>
    <row r="15" spans="1:8">
      <c r="A15" s="58" t="s">
        <v>312</v>
      </c>
      <c r="B15" s="66">
        <v>4.4532700000000001E-2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3.8582999999999999E-2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16.442699999999999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0.35333100000000001</v>
      </c>
      <c r="C18" s="66">
        <v>8.7603500000000001E-2</v>
      </c>
      <c r="D18" s="66">
        <v>0.24793599999999999</v>
      </c>
      <c r="E18" s="66">
        <v>0</v>
      </c>
      <c r="F18" s="66">
        <v>0.26572800000000002</v>
      </c>
      <c r="G18" s="66">
        <v>0</v>
      </c>
      <c r="H18" s="66">
        <v>0.44093500000000002</v>
      </c>
    </row>
    <row r="19" spans="1:8">
      <c r="A19" s="58" t="s">
        <v>316</v>
      </c>
      <c r="B19" s="66">
        <v>0.51901299999999995</v>
      </c>
      <c r="C19" s="66">
        <v>3.8620599999999998E-2</v>
      </c>
      <c r="D19" s="66">
        <v>7.4411599999999994E-2</v>
      </c>
      <c r="E19" s="66">
        <v>0</v>
      </c>
      <c r="F19" s="66">
        <v>0.48039199999999999</v>
      </c>
      <c r="G19" s="66">
        <v>0</v>
      </c>
      <c r="H19" s="66">
        <v>0.55763300000000005</v>
      </c>
    </row>
    <row r="20" spans="1:8">
      <c r="A20" s="58" t="s">
        <v>317</v>
      </c>
      <c r="B20" s="66">
        <v>4.1870600000000003E-3</v>
      </c>
      <c r="C20" s="66">
        <v>7.6932600000000004E-2</v>
      </c>
      <c r="D20" s="66">
        <v>18.373899999999999</v>
      </c>
      <c r="E20" s="66">
        <v>0</v>
      </c>
      <c r="F20" s="196">
        <v>1.6348500000000001E-5</v>
      </c>
      <c r="G20" s="66">
        <v>0</v>
      </c>
      <c r="H20" s="66">
        <v>0.63200400000000001</v>
      </c>
    </row>
    <row r="21" spans="1:8">
      <c r="A21" s="58" t="s">
        <v>318</v>
      </c>
      <c r="B21" s="66">
        <v>0.19822400000000001</v>
      </c>
      <c r="C21" s="66">
        <v>0.724657</v>
      </c>
      <c r="D21" s="66">
        <v>3.6557499999999998</v>
      </c>
      <c r="E21" s="66">
        <v>0</v>
      </c>
      <c r="F21" s="66">
        <v>2.00059E-3</v>
      </c>
      <c r="G21" s="66">
        <v>0</v>
      </c>
      <c r="H21" s="66">
        <v>5.23475</v>
      </c>
    </row>
    <row r="22" spans="1:8">
      <c r="A22" s="58" t="s">
        <v>319</v>
      </c>
      <c r="B22" s="66">
        <v>51.882100000000001</v>
      </c>
      <c r="C22" s="66">
        <v>18.204599999999999</v>
      </c>
      <c r="D22" s="66">
        <v>0.35088399999999997</v>
      </c>
      <c r="E22" s="66">
        <v>0</v>
      </c>
      <c r="F22" s="66">
        <v>31.888500000000001</v>
      </c>
      <c r="G22" s="66">
        <v>0</v>
      </c>
      <c r="H22" s="66">
        <v>118.73</v>
      </c>
    </row>
    <row r="23" spans="1:8">
      <c r="A23" s="58" t="s">
        <v>320</v>
      </c>
      <c r="B23" s="66">
        <v>21.2654</v>
      </c>
      <c r="C23" s="66">
        <v>6.23536</v>
      </c>
      <c r="D23" s="66">
        <v>0.29321599999999998</v>
      </c>
      <c r="E23" s="66">
        <v>0</v>
      </c>
      <c r="F23" s="66">
        <v>9.3234600000000007</v>
      </c>
      <c r="G23" s="66">
        <v>0</v>
      </c>
      <c r="H23" s="66">
        <v>32.762799999999999</v>
      </c>
    </row>
    <row r="24" spans="1:8">
      <c r="A24" s="58" t="s">
        <v>321</v>
      </c>
      <c r="B24" s="66">
        <v>2.3226199999999999E-2</v>
      </c>
      <c r="C24" s="66">
        <v>5.9735499999999997E-2</v>
      </c>
      <c r="D24" s="66">
        <v>2.5719099999999999</v>
      </c>
      <c r="E24" s="66">
        <v>0</v>
      </c>
      <c r="F24" s="66">
        <v>1.78822E-4</v>
      </c>
      <c r="G24" s="66">
        <v>0</v>
      </c>
      <c r="H24" s="66">
        <v>0.44788499999999998</v>
      </c>
    </row>
    <row r="25" spans="1:8">
      <c r="A25" s="58" t="s">
        <v>322</v>
      </c>
      <c r="B25" s="66">
        <v>0.21620800000000001</v>
      </c>
      <c r="C25" s="66">
        <v>0.560504</v>
      </c>
      <c r="D25" s="66">
        <v>2.5924299999999998</v>
      </c>
      <c r="E25" s="66">
        <v>0</v>
      </c>
      <c r="F25" s="66">
        <v>8.8598999999999997E-2</v>
      </c>
      <c r="G25" s="66">
        <v>0</v>
      </c>
      <c r="H25" s="66">
        <v>2.6728100000000001</v>
      </c>
    </row>
    <row r="26" spans="1:8">
      <c r="A26" s="58" t="s">
        <v>323</v>
      </c>
      <c r="B26" s="66">
        <v>1.0356499999999999E-3</v>
      </c>
      <c r="C26" s="66">
        <v>8.7866699999999999E-3</v>
      </c>
      <c r="D26" s="66">
        <v>8.4842200000000005</v>
      </c>
      <c r="E26" s="66">
        <v>0</v>
      </c>
      <c r="F26" s="196">
        <v>6.5651299999999996E-6</v>
      </c>
      <c r="G26" s="66">
        <v>0</v>
      </c>
      <c r="H26" s="66">
        <v>6.6708199999999995E-2</v>
      </c>
    </row>
    <row r="27" spans="1:8">
      <c r="A27" s="58" t="s">
        <v>324</v>
      </c>
      <c r="B27" s="196">
        <v>-3.1184399999999999E-5</v>
      </c>
      <c r="C27" s="66">
        <v>3.0248699999999998E-3</v>
      </c>
      <c r="D27" s="66">
        <v>-96.999700000000004</v>
      </c>
      <c r="E27" s="66">
        <v>0</v>
      </c>
      <c r="F27" s="66">
        <v>-2.0719499999999998E-2</v>
      </c>
      <c r="G27" s="66">
        <v>0</v>
      </c>
      <c r="H27" s="66">
        <v>2.06736E-2</v>
      </c>
    </row>
    <row r="28" spans="1:8">
      <c r="A28" s="58" t="s">
        <v>325</v>
      </c>
      <c r="B28" s="66">
        <v>2.1549499999999999E-2</v>
      </c>
      <c r="C28" s="66">
        <v>4.16792E-2</v>
      </c>
      <c r="D28" s="66">
        <v>1.9341200000000001</v>
      </c>
      <c r="E28" s="66">
        <v>0</v>
      </c>
      <c r="F28" s="66">
        <v>7.7474E-4</v>
      </c>
      <c r="G28" s="66">
        <v>0</v>
      </c>
      <c r="H28" s="66">
        <v>0.215446</v>
      </c>
    </row>
    <row r="29" spans="1:8">
      <c r="A29" s="58" t="s">
        <v>326</v>
      </c>
      <c r="B29" s="66">
        <v>81.844499999999996</v>
      </c>
      <c r="C29" s="66">
        <v>10.1632</v>
      </c>
      <c r="D29" s="66">
        <v>0.124177</v>
      </c>
      <c r="E29" s="66">
        <v>0</v>
      </c>
      <c r="F29" s="66">
        <v>50.7928</v>
      </c>
      <c r="G29" s="66">
        <v>0</v>
      </c>
      <c r="H29" s="66">
        <v>108.789</v>
      </c>
    </row>
    <row r="30" spans="1:8">
      <c r="A30" s="58" t="s">
        <v>327</v>
      </c>
      <c r="B30" s="66">
        <v>29.636199999999999</v>
      </c>
      <c r="C30" s="66">
        <v>6.5540900000000004</v>
      </c>
      <c r="D30" s="66">
        <v>0.22115099999999999</v>
      </c>
      <c r="E30" s="66">
        <v>0</v>
      </c>
      <c r="F30" s="66">
        <v>11.8886</v>
      </c>
      <c r="G30" s="66">
        <v>0</v>
      </c>
      <c r="H30" s="66">
        <v>36.755200000000002</v>
      </c>
    </row>
    <row r="31" spans="1:8">
      <c r="A31" s="58" t="s">
        <v>328</v>
      </c>
      <c r="B31" s="66">
        <v>526.40899999999999</v>
      </c>
      <c r="C31" s="66">
        <v>124.846</v>
      </c>
      <c r="D31" s="66">
        <v>0.23716599999999999</v>
      </c>
      <c r="E31" s="66">
        <v>0</v>
      </c>
      <c r="F31" s="66">
        <v>123.908</v>
      </c>
      <c r="G31" s="66">
        <v>0</v>
      </c>
      <c r="H31" s="66">
        <v>589.78200000000004</v>
      </c>
    </row>
    <row r="32" spans="1:8">
      <c r="A32" s="58" t="s">
        <v>329</v>
      </c>
      <c r="B32" s="66">
        <v>0.360877</v>
      </c>
      <c r="C32" s="66">
        <v>9.9768099999999998E-2</v>
      </c>
      <c r="D32" s="66">
        <v>0.27645999999999998</v>
      </c>
      <c r="E32" s="66">
        <v>0.15</v>
      </c>
      <c r="F32" s="66">
        <v>6.5014600000000006E-2</v>
      </c>
      <c r="G32" s="66">
        <v>0.4</v>
      </c>
      <c r="H32" s="66">
        <v>0.476356</v>
      </c>
    </row>
    <row r="33" spans="1:8">
      <c r="A33" s="58" t="s">
        <v>330</v>
      </c>
      <c r="B33" s="66">
        <v>0.37898399999999999</v>
      </c>
      <c r="C33" s="66">
        <v>3.5446600000000002E-2</v>
      </c>
      <c r="D33" s="66">
        <v>9.3530600000000005E-2</v>
      </c>
      <c r="E33" s="66">
        <v>0</v>
      </c>
      <c r="F33" s="66">
        <v>0.30062699999999998</v>
      </c>
      <c r="G33" s="66">
        <v>0</v>
      </c>
      <c r="H33" s="66">
        <v>0.47020499999999998</v>
      </c>
    </row>
    <row r="34" spans="1:8">
      <c r="A34" s="58" t="s">
        <v>331</v>
      </c>
      <c r="B34" s="66">
        <v>0.209762</v>
      </c>
      <c r="C34" s="66">
        <v>3.9012100000000001E-2</v>
      </c>
      <c r="D34" s="66">
        <v>0.18598200000000001</v>
      </c>
      <c r="E34" s="66">
        <v>0.1</v>
      </c>
      <c r="F34" s="66">
        <v>0.141348</v>
      </c>
      <c r="G34" s="66">
        <v>0.25</v>
      </c>
      <c r="H34" s="66">
        <v>0.36821300000000001</v>
      </c>
    </row>
    <row r="35" spans="1:8">
      <c r="A35" s="58" t="s">
        <v>332</v>
      </c>
      <c r="B35" s="66">
        <v>8.7627999999999998E-2</v>
      </c>
      <c r="C35" s="66">
        <v>2.6853599999999998E-2</v>
      </c>
      <c r="D35" s="66">
        <v>0.30645</v>
      </c>
      <c r="E35" s="66">
        <v>0</v>
      </c>
      <c r="F35" s="66">
        <v>3.2500599999999998E-2</v>
      </c>
      <c r="G35" s="66">
        <v>0</v>
      </c>
      <c r="H35" s="66">
        <v>0.16946800000000001</v>
      </c>
    </row>
    <row r="36" spans="1:8">
      <c r="A36" s="58" t="s">
        <v>333</v>
      </c>
      <c r="B36" s="66">
        <v>0.17018800000000001</v>
      </c>
      <c r="C36" s="66">
        <v>0.104592</v>
      </c>
      <c r="D36" s="66">
        <v>0.614568</v>
      </c>
      <c r="E36" s="66">
        <v>0</v>
      </c>
      <c r="F36" s="66">
        <v>3.6429499999999997E-2</v>
      </c>
      <c r="G36" s="66">
        <v>0</v>
      </c>
      <c r="H36" s="66">
        <v>0.57390600000000003</v>
      </c>
    </row>
    <row r="37" spans="1:8">
      <c r="A37" s="58" t="s">
        <v>334</v>
      </c>
      <c r="B37" s="66">
        <v>0.390121</v>
      </c>
      <c r="C37" s="66">
        <v>0.13391400000000001</v>
      </c>
      <c r="D37" s="66">
        <v>0.34326400000000001</v>
      </c>
      <c r="E37" s="66">
        <v>0.1</v>
      </c>
      <c r="F37" s="66">
        <v>5.6589600000000002E-3</v>
      </c>
      <c r="G37" s="66">
        <v>0.5</v>
      </c>
      <c r="H37" s="66">
        <v>0.44408199999999998</v>
      </c>
    </row>
    <row r="38" spans="1:8">
      <c r="A38" s="58" t="s">
        <v>335</v>
      </c>
      <c r="B38" s="66">
        <v>-11.947699999999999</v>
      </c>
      <c r="C38" s="66">
        <v>69.890199999999993</v>
      </c>
      <c r="D38" s="66">
        <v>-5.8497000000000003</v>
      </c>
      <c r="E38" s="66">
        <v>0</v>
      </c>
      <c r="F38" s="66">
        <v>-247.833</v>
      </c>
      <c r="G38" s="66">
        <v>0</v>
      </c>
      <c r="H38" s="66">
        <v>363.48500000000001</v>
      </c>
    </row>
    <row r="39" spans="1:8">
      <c r="A39" s="58" t="s">
        <v>336</v>
      </c>
      <c r="B39" s="66">
        <v>-4.5280300000000002</v>
      </c>
      <c r="C39" s="66">
        <v>3.75943</v>
      </c>
      <c r="D39" s="66">
        <v>-0.83025700000000002</v>
      </c>
      <c r="E39" s="66">
        <v>0</v>
      </c>
      <c r="F39" s="66">
        <v>-16.9603</v>
      </c>
      <c r="G39" s="66">
        <v>0</v>
      </c>
      <c r="H39" s="66">
        <v>3.79792</v>
      </c>
    </row>
    <row r="40" spans="1:8">
      <c r="A40" s="58" t="s">
        <v>337</v>
      </c>
      <c r="B40" s="66">
        <v>-1.64131</v>
      </c>
      <c r="C40" s="66">
        <v>0.53046199999999999</v>
      </c>
      <c r="D40" s="66">
        <v>-0.32319399999999998</v>
      </c>
      <c r="E40" s="66">
        <v>0</v>
      </c>
      <c r="F40" s="66">
        <v>-2.9933700000000001</v>
      </c>
      <c r="G40" s="66">
        <v>0</v>
      </c>
      <c r="H40" s="66">
        <v>-0.93862199999999996</v>
      </c>
    </row>
    <row r="41" spans="1:8">
      <c r="A41" s="58" t="s">
        <v>338</v>
      </c>
      <c r="B41" s="66">
        <v>-7.4503600000000003E-2</v>
      </c>
      <c r="C41" s="66">
        <v>0.27796799999999999</v>
      </c>
      <c r="D41" s="66">
        <v>-3.7309299999999999</v>
      </c>
      <c r="E41" s="66">
        <v>0</v>
      </c>
      <c r="F41" s="66">
        <v>-0.90023799999999998</v>
      </c>
      <c r="G41" s="66">
        <v>0</v>
      </c>
      <c r="H41" s="66">
        <v>1</v>
      </c>
    </row>
    <row r="42" spans="1:8">
      <c r="A42" s="58" t="s">
        <v>339</v>
      </c>
      <c r="B42" s="66">
        <v>-6.4691600000000002E-2</v>
      </c>
      <c r="C42" s="66">
        <v>6.6708600000000007E-2</v>
      </c>
      <c r="D42" s="66">
        <v>-1.03118</v>
      </c>
      <c r="E42" s="66">
        <v>0</v>
      </c>
      <c r="F42" s="66">
        <v>-0.22666</v>
      </c>
      <c r="G42" s="66">
        <v>0</v>
      </c>
      <c r="H42" s="66">
        <v>0.16273899999999999</v>
      </c>
    </row>
    <row r="43" spans="1:8">
      <c r="A43" s="58" t="s">
        <v>340</v>
      </c>
      <c r="B43" s="66">
        <v>-7.1092500000000003E-2</v>
      </c>
      <c r="C43" s="66">
        <v>2.9278499999999999E-2</v>
      </c>
      <c r="D43" s="66">
        <v>-0.41183799999999998</v>
      </c>
      <c r="E43" s="66">
        <v>0</v>
      </c>
      <c r="F43" s="66">
        <v>-0.119906</v>
      </c>
      <c r="G43" s="66">
        <v>0</v>
      </c>
      <c r="H43" s="66">
        <v>1.46077E-2</v>
      </c>
    </row>
    <row r="44" spans="1:8">
      <c r="A44" s="58" t="s">
        <v>341</v>
      </c>
      <c r="B44" s="66">
        <v>-4.2254199999999997</v>
      </c>
      <c r="C44" s="66">
        <v>20.327300000000001</v>
      </c>
      <c r="D44" s="66">
        <v>-4.8107100000000003</v>
      </c>
      <c r="E44" s="66">
        <v>0</v>
      </c>
      <c r="F44" s="66">
        <v>-39.289900000000003</v>
      </c>
      <c r="G44" s="66">
        <v>0</v>
      </c>
      <c r="H44" s="66">
        <v>30.4346</v>
      </c>
    </row>
    <row r="45" spans="1:8">
      <c r="A45" s="58" t="s">
        <v>342</v>
      </c>
      <c r="B45" s="66">
        <v>50.6051</v>
      </c>
      <c r="C45" s="66">
        <v>7.3261099999999999</v>
      </c>
      <c r="D45" s="66">
        <v>0.14477000000000001</v>
      </c>
      <c r="E45" s="66">
        <v>0</v>
      </c>
      <c r="F45" s="66">
        <v>35.695799999999998</v>
      </c>
      <c r="G45" s="66">
        <v>0</v>
      </c>
      <c r="H45" s="66">
        <v>70.833299999999994</v>
      </c>
    </row>
    <row r="46" spans="1:8">
      <c r="A46" s="58" t="s">
        <v>343</v>
      </c>
      <c r="B46" s="66">
        <v>35.418900000000001</v>
      </c>
      <c r="C46" s="66">
        <v>7.53817</v>
      </c>
      <c r="D46" s="66">
        <v>0.21282899999999999</v>
      </c>
      <c r="E46" s="66">
        <v>0</v>
      </c>
      <c r="F46" s="66">
        <v>9.4626599999999996</v>
      </c>
      <c r="G46" s="66">
        <v>0</v>
      </c>
      <c r="H46" s="66">
        <v>39.611899999999999</v>
      </c>
    </row>
    <row r="47" spans="1:8">
      <c r="A47" s="58" t="s">
        <v>344</v>
      </c>
      <c r="B47" s="66">
        <v>1.17761</v>
      </c>
      <c r="C47" s="66">
        <v>1.38472</v>
      </c>
      <c r="D47" s="66">
        <v>1.17588</v>
      </c>
      <c r="E47" s="66">
        <v>0</v>
      </c>
      <c r="F47" s="66">
        <v>0.48225499999999999</v>
      </c>
      <c r="G47" s="66">
        <v>0</v>
      </c>
      <c r="H47" s="66">
        <v>8.6840399999999995</v>
      </c>
    </row>
    <row r="48" spans="1:8">
      <c r="A48" s="58" t="s">
        <v>345</v>
      </c>
      <c r="B48" s="66">
        <v>0.65170300000000003</v>
      </c>
      <c r="C48" s="66">
        <v>0.14006299999999999</v>
      </c>
      <c r="D48" s="66">
        <v>0.214919</v>
      </c>
      <c r="E48" s="66">
        <v>0</v>
      </c>
      <c r="F48" s="66">
        <v>0.48730200000000001</v>
      </c>
      <c r="G48" s="66">
        <v>0</v>
      </c>
      <c r="H48" s="66">
        <v>1.07568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1.3064999999999998</v>
      </c>
      <c r="C5" s="66">
        <f>'M2'!C5-'M1'!C5</f>
        <v>-7.9147999999999996</v>
      </c>
      <c r="D5" s="66">
        <f>'M2'!D5-'M1'!D5</f>
        <v>-18.253800000000002</v>
      </c>
      <c r="E5" s="66">
        <f>'M2'!E5-'M1'!E5</f>
        <v>0</v>
      </c>
      <c r="F5" s="66">
        <f>'M2'!F5-'M1'!F5</f>
        <v>26.0047</v>
      </c>
      <c r="G5" s="66">
        <f>'M2'!G5-'M1'!G5</f>
        <v>0</v>
      </c>
      <c r="H5" s="66">
        <f>'M2'!H5-'M1'!H5</f>
        <v>1.2616000000000014</v>
      </c>
    </row>
    <row r="6" spans="1:8">
      <c r="A6" s="66" t="s">
        <v>244</v>
      </c>
      <c r="B6" s="66">
        <f>'M2'!B6-'M1'!B6</f>
        <v>1.3641000000000005</v>
      </c>
      <c r="C6" s="66">
        <f>'M2'!C6-'M1'!C6</f>
        <v>0.88673299999999988</v>
      </c>
      <c r="D6" s="66">
        <f>'M2'!D6-'M1'!D6</f>
        <v>3.4868999999999999</v>
      </c>
      <c r="E6" s="66">
        <f>'M2'!E6-'M1'!E6</f>
        <v>0</v>
      </c>
      <c r="F6" s="66">
        <f>'M2'!F6-'M1'!F6</f>
        <v>0.29860000000000042</v>
      </c>
      <c r="G6" s="66">
        <f>'M2'!G6-'M1'!G6</f>
        <v>0</v>
      </c>
      <c r="H6" s="66">
        <f>'M2'!H6-'M1'!H6</f>
        <v>4.0564</v>
      </c>
    </row>
    <row r="7" spans="1:8">
      <c r="A7" s="66" t="s">
        <v>245</v>
      </c>
      <c r="B7" s="66">
        <f>'M2'!B7-'M1'!B7</f>
        <v>-2.745199999999997</v>
      </c>
      <c r="C7" s="66">
        <f>'M2'!C7-'M1'!C7</f>
        <v>8.4633400000000005</v>
      </c>
      <c r="D7" s="66">
        <f>'M2'!D7-'M1'!D7</f>
        <v>25.455830000000006</v>
      </c>
      <c r="E7" s="66">
        <f>'M2'!E7-'M1'!E7</f>
        <v>0</v>
      </c>
      <c r="F7" s="66">
        <f>'M2'!F7-'M1'!F7</f>
        <v>-25.530439999999999</v>
      </c>
      <c r="G7" s="66">
        <f>'M2'!G7-'M1'!G7</f>
        <v>0</v>
      </c>
      <c r="H7" s="66">
        <f>'M2'!H7-'M1'!H7</f>
        <v>-7.6681999999999988</v>
      </c>
    </row>
    <row r="8" spans="1:8">
      <c r="A8" s="66" t="s">
        <v>246</v>
      </c>
      <c r="B8" s="66">
        <f>'M2'!B8-'M1'!B8</f>
        <v>-0.55030000000000001</v>
      </c>
      <c r="C8" s="66">
        <f>'M2'!C8-'M1'!C8</f>
        <v>-0.60724999999999962</v>
      </c>
      <c r="D8" s="66">
        <f>'M2'!D8-'M1'!D8</f>
        <v>-1.6234999999999999</v>
      </c>
      <c r="E8" s="66">
        <f>'M2'!E8-'M1'!E8</f>
        <v>0</v>
      </c>
      <c r="F8" s="66">
        <f>'M2'!F8-'M1'!F8</f>
        <v>4.0031999999999996</v>
      </c>
      <c r="G8" s="66">
        <f>'M2'!G8-'M1'!G8</f>
        <v>0</v>
      </c>
      <c r="H8" s="66">
        <f>'M2'!H8-'M1'!H8</f>
        <v>-0.5484999999999971</v>
      </c>
    </row>
    <row r="9" spans="1:8">
      <c r="A9" s="66" t="s">
        <v>247</v>
      </c>
      <c r="B9" s="66">
        <f>'M2'!B9-'M1'!B9</f>
        <v>-5.1230999999999938</v>
      </c>
      <c r="C9" s="66">
        <f>'M2'!C9-'M1'!C9</f>
        <v>0.29345999999999961</v>
      </c>
      <c r="D9" s="66">
        <f>'M2'!D9-'M1'!D9</f>
        <v>1.1367699999999994</v>
      </c>
      <c r="E9" s="66">
        <f>'M2'!E9-'M1'!E9</f>
        <v>0</v>
      </c>
      <c r="F9" s="66">
        <f>'M2'!F9-'M1'!F9</f>
        <v>-11.2226</v>
      </c>
      <c r="G9" s="66">
        <f>'M2'!G9-'M1'!G9</f>
        <v>0</v>
      </c>
      <c r="H9" s="66">
        <f>'M2'!H9-'M1'!H9</f>
        <v>-13.946899999999999</v>
      </c>
    </row>
    <row r="10" spans="1:8">
      <c r="A10" s="66" t="s">
        <v>248</v>
      </c>
      <c r="B10" s="66">
        <f>'M2'!B10-'M1'!B10</f>
        <v>3.6535999999999973</v>
      </c>
      <c r="C10" s="66">
        <f>'M2'!C10-'M1'!C10</f>
        <v>1.1521500000000002</v>
      </c>
      <c r="D10" s="66">
        <f>'M2'!D10-'M1'!D10</f>
        <v>1.4295500000000001</v>
      </c>
      <c r="E10" s="66">
        <f>'M2'!E10-'M1'!E10</f>
        <v>0</v>
      </c>
      <c r="F10" s="66">
        <f>'M2'!F10-'M1'!F10</f>
        <v>2.6562999999999874</v>
      </c>
      <c r="G10" s="66">
        <f>'M2'!G10-'M1'!G10</f>
        <v>0</v>
      </c>
      <c r="H10" s="66">
        <f>'M2'!H10-'M1'!H10</f>
        <v>5.0490000000000066</v>
      </c>
    </row>
    <row r="11" spans="1:8">
      <c r="A11" s="66" t="s">
        <v>249</v>
      </c>
      <c r="B11" s="66">
        <f>'M2'!B11-'M1'!B11</f>
        <v>3.8906000000000027</v>
      </c>
      <c r="C11" s="66">
        <f>'M2'!C11-'M1'!C11</f>
        <v>-4.0537599999999996</v>
      </c>
      <c r="D11" s="66">
        <f>'M2'!D11-'M1'!D11</f>
        <v>-23.273899999999998</v>
      </c>
      <c r="E11" s="66">
        <f>'M2'!E11-'M1'!E11</f>
        <v>0</v>
      </c>
      <c r="F11" s="66">
        <f>'M2'!F11-'M1'!F11</f>
        <v>11.040859999999999</v>
      </c>
      <c r="G11" s="66">
        <f>'M2'!G11-'M1'!G11</f>
        <v>0</v>
      </c>
      <c r="H11" s="66">
        <f>'M2'!H11-'M1'!H11</f>
        <v>-1.5911999999999971</v>
      </c>
    </row>
    <row r="12" spans="1:8">
      <c r="A12" s="66" t="s">
        <v>250</v>
      </c>
      <c r="B12" s="66">
        <f>'M2'!B12-'M1'!B12</f>
        <v>-0.73530000000000939</v>
      </c>
      <c r="C12" s="66">
        <f>'M2'!C12-'M1'!C12</f>
        <v>0.33365999999999962</v>
      </c>
      <c r="D12" s="66">
        <f>'M2'!D12-'M1'!D12</f>
        <v>0.52868000000000004</v>
      </c>
      <c r="E12" s="66">
        <f>'M2'!E12-'M1'!E12</f>
        <v>0</v>
      </c>
      <c r="F12" s="66">
        <f>'M2'!F12-'M1'!F12</f>
        <v>-2.9954000000000036</v>
      </c>
      <c r="G12" s="66">
        <f>'M2'!G12-'M1'!G12</f>
        <v>0</v>
      </c>
      <c r="H12" s="66">
        <f>'M2'!H12-'M1'!H12</f>
        <v>-3.622799999999998</v>
      </c>
    </row>
    <row r="13" spans="1:8">
      <c r="A13" s="66" t="s">
        <v>251</v>
      </c>
      <c r="B13" s="66">
        <f>'M2'!B13-'M1'!B13</f>
        <v>0.63469999999999871</v>
      </c>
      <c r="C13" s="66">
        <f>'M2'!C13-'M1'!C13</f>
        <v>0.81993999999999989</v>
      </c>
      <c r="D13" s="66">
        <f>'M2'!D13-'M1'!D13</f>
        <v>3.3509999999999991</v>
      </c>
      <c r="E13" s="66">
        <f>'M2'!E13-'M1'!E13</f>
        <v>0</v>
      </c>
      <c r="F13" s="66">
        <f>'M2'!F13-'M1'!F13</f>
        <v>1.0244</v>
      </c>
      <c r="G13" s="66">
        <f>'M2'!G13-'M1'!G13</f>
        <v>0</v>
      </c>
      <c r="H13" s="66">
        <f>'M2'!H13-'M1'!H13</f>
        <v>6.1475000000000009</v>
      </c>
    </row>
    <row r="14" spans="1:8">
      <c r="A14" s="66" t="s">
        <v>252</v>
      </c>
      <c r="B14" s="66">
        <f>'M2'!B14-'M1'!B14</f>
        <v>8.1995000000000005</v>
      </c>
      <c r="C14" s="66">
        <f>'M2'!C14-'M1'!C14</f>
        <v>2.0200000000000884E-2</v>
      </c>
      <c r="D14" s="66">
        <f>'M2'!D14-'M1'!D14</f>
        <v>-7.2436999999999969</v>
      </c>
      <c r="E14" s="66">
        <f>'M2'!E14-'M1'!E14</f>
        <v>0</v>
      </c>
      <c r="F14" s="66">
        <f>'M2'!F14-'M1'!F14</f>
        <v>1.9621040000000001</v>
      </c>
      <c r="G14" s="66">
        <f>'M2'!G14-'M1'!G14</f>
        <v>0</v>
      </c>
      <c r="H14" s="66">
        <f>'M2'!H14-'M1'!H14</f>
        <v>2.6602000000000032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-3.1702000000000008E-2</v>
      </c>
      <c r="C18" s="66">
        <f>'M2'!C18-'M1'!C18</f>
        <v>8.7603500000000001E-2</v>
      </c>
      <c r="D18" s="66">
        <f>'M2'!D18-'M1'!D18</f>
        <v>0.24793599999999999</v>
      </c>
      <c r="E18" s="66">
        <f>'M2'!E18-'M1'!E18</f>
        <v>0</v>
      </c>
      <c r="F18" s="66">
        <f>'M2'!F18-'M1'!F18</f>
        <v>0.26572800000000002</v>
      </c>
      <c r="G18" s="66">
        <f>'M2'!G18-'M1'!G18</f>
        <v>0</v>
      </c>
      <c r="H18" s="66">
        <f>'M2'!H18-'M1'!H18</f>
        <v>0.44093500000000002</v>
      </c>
    </row>
    <row r="19" spans="1:8">
      <c r="A19" s="66" t="s">
        <v>256</v>
      </c>
      <c r="B19" s="66">
        <f>'M2'!B19-'M1'!B19</f>
        <v>7.9919999999999991E-3</v>
      </c>
      <c r="C19" s="66">
        <f>'M2'!C19-'M1'!C19</f>
        <v>3.8620599999999998E-2</v>
      </c>
      <c r="D19" s="66">
        <f>'M2'!D19-'M1'!D19</f>
        <v>7.4411599999999994E-2</v>
      </c>
      <c r="E19" s="66">
        <f>'M2'!E19-'M1'!E19</f>
        <v>0</v>
      </c>
      <c r="F19" s="66">
        <f>'M2'!F19-'M1'!F19</f>
        <v>0.48039199999999999</v>
      </c>
      <c r="G19" s="66">
        <f>'M2'!G19-'M1'!G19</f>
        <v>0</v>
      </c>
      <c r="H19" s="66">
        <f>'M2'!H19-'M1'!H19</f>
        <v>0.55763300000000005</v>
      </c>
    </row>
    <row r="20" spans="1:8">
      <c r="A20" s="66" t="s">
        <v>63</v>
      </c>
      <c r="B20" s="66">
        <f>'M2'!B20-'M1'!B20</f>
        <v>5.3541200000000004E-3</v>
      </c>
      <c r="C20" s="66">
        <f>'M2'!C20-'M1'!C20</f>
        <v>6.3830100000000001E-2</v>
      </c>
      <c r="D20" s="66">
        <f>'M2'!D20-'M1'!D20</f>
        <v>-1.5029000000000003</v>
      </c>
      <c r="E20" s="66">
        <f>'M2'!E20-'M1'!E20</f>
        <v>0</v>
      </c>
      <c r="F20" s="66">
        <f>'M2'!F20-'M1'!F20</f>
        <v>1.0684399999999999E-5</v>
      </c>
      <c r="G20" s="66">
        <f>'M2'!G20-'M1'!G20</f>
        <v>0</v>
      </c>
      <c r="H20" s="66">
        <f>'M2'!H20-'M1'!H20</f>
        <v>0.42140299999999997</v>
      </c>
    </row>
    <row r="21" spans="1:8">
      <c r="A21" s="66" t="s">
        <v>64</v>
      </c>
      <c r="B21" s="66">
        <f>'M2'!B21-'M1'!B21</f>
        <v>3.2652999999999988E-2</v>
      </c>
      <c r="C21" s="66">
        <f>'M2'!C21-'M1'!C21</f>
        <v>0.79703299999999999</v>
      </c>
      <c r="D21" s="66">
        <f>'M2'!D21-'M1'!D21</f>
        <v>3.6107990000000005</v>
      </c>
      <c r="E21" s="66">
        <f>'M2'!E21-'M1'!E21</f>
        <v>0</v>
      </c>
      <c r="F21" s="66">
        <f>'M2'!F21-'M1'!F21</f>
        <v>-6.0883900000000008E-3</v>
      </c>
      <c r="G21" s="66">
        <f>'M2'!G21-'M1'!G21</f>
        <v>0</v>
      </c>
      <c r="H21" s="66">
        <f>'M2'!H21-'M1'!H21</f>
        <v>4.3256199999999998</v>
      </c>
    </row>
    <row r="22" spans="1:8">
      <c r="A22" s="66" t="s">
        <v>65</v>
      </c>
      <c r="B22" s="66">
        <f>'M2'!B22-'M1'!B22</f>
        <v>2.8277999999999963</v>
      </c>
      <c r="C22" s="66">
        <f>'M2'!C22-'M1'!C22</f>
        <v>4.8139000000000021</v>
      </c>
      <c r="D22" s="66">
        <f>'M2'!D22-'M1'!D22</f>
        <v>7.3763999999999996E-2</v>
      </c>
      <c r="E22" s="66">
        <f>'M2'!E22-'M1'!E22</f>
        <v>0</v>
      </c>
      <c r="F22" s="66">
        <f>'M2'!F22-'M1'!F22</f>
        <v>2.2541000000000011</v>
      </c>
      <c r="G22" s="66">
        <f>'M2'!G22-'M1'!G22</f>
        <v>0</v>
      </c>
      <c r="H22" s="66">
        <f>'M2'!H22-'M1'!H22</f>
        <v>13.114000000000004</v>
      </c>
    </row>
    <row r="23" spans="1:8">
      <c r="A23" s="66" t="s">
        <v>66</v>
      </c>
      <c r="B23" s="66">
        <f>'M2'!B23-'M1'!B23</f>
        <v>4.8028000000000013</v>
      </c>
      <c r="C23" s="66">
        <f>'M2'!C23-'M1'!C23</f>
        <v>0.75366999999999962</v>
      </c>
      <c r="D23" s="66">
        <f>'M2'!D23-'M1'!D23</f>
        <v>-2.1016000000000007E-2</v>
      </c>
      <c r="E23" s="66">
        <f>'M2'!E23-'M1'!E23</f>
        <v>0</v>
      </c>
      <c r="F23" s="66">
        <f>'M2'!F23-'M1'!F23</f>
        <v>8.2841400000000007</v>
      </c>
      <c r="G23" s="66">
        <f>'M2'!G23-'M1'!G23</f>
        <v>0</v>
      </c>
      <c r="H23" s="66">
        <f>'M2'!H23-'M1'!H23</f>
        <v>7.0901999999999994</v>
      </c>
    </row>
    <row r="24" spans="1:8">
      <c r="A24" s="66" t="s">
        <v>67</v>
      </c>
      <c r="B24" s="66">
        <f>'M2'!B24-'M1'!B24</f>
        <v>8.1516999999999978E-3</v>
      </c>
      <c r="C24" s="66">
        <f>'M2'!C24-'M1'!C24</f>
        <v>6.4403000000000002E-2</v>
      </c>
      <c r="D24" s="66">
        <f>'M2'!D24-'M1'!D24</f>
        <v>2.1174430000000002</v>
      </c>
      <c r="E24" s="66">
        <f>'M2'!E24-'M1'!E24</f>
        <v>0</v>
      </c>
      <c r="F24" s="66">
        <f>'M2'!F24-'M1'!F24</f>
        <v>8.9211999999999999E-5</v>
      </c>
      <c r="G24" s="66">
        <f>'M2'!G24-'M1'!G24</f>
        <v>0</v>
      </c>
      <c r="H24" s="66">
        <f>'M2'!H24-'M1'!H24</f>
        <v>0.39130659999999995</v>
      </c>
    </row>
    <row r="25" spans="1:8">
      <c r="A25" s="66" t="s">
        <v>68</v>
      </c>
      <c r="B25" s="66">
        <f>'M2'!B25-'M1'!B25</f>
        <v>2.3723999999999995E-2</v>
      </c>
      <c r="C25" s="66">
        <f>'M2'!C25-'M1'!C25</f>
        <v>0.66515310000000005</v>
      </c>
      <c r="D25" s="66">
        <f>'M2'!D25-'M1'!D25</f>
        <v>2.8050889999999997</v>
      </c>
      <c r="E25" s="66">
        <f>'M2'!E25-'M1'!E25</f>
        <v>0</v>
      </c>
      <c r="F25" s="66">
        <f>'M2'!F25-'M1'!F25</f>
        <v>3.4633999999999998E-2</v>
      </c>
      <c r="G25" s="66">
        <f>'M2'!G25-'M1'!G25</f>
        <v>0</v>
      </c>
      <c r="H25" s="66">
        <f>'M2'!H25-'M1'!H25</f>
        <v>2.281425</v>
      </c>
    </row>
    <row r="26" spans="1:8">
      <c r="A26" s="66" t="s">
        <v>69</v>
      </c>
      <c r="B26" s="66">
        <f>'M2'!B26-'M1'!B26</f>
        <v>9.2076099999999987E-4</v>
      </c>
      <c r="C26" s="66">
        <f>'M2'!C26-'M1'!C26</f>
        <v>9.7094700000000013E-3</v>
      </c>
      <c r="D26" s="66">
        <f>'M2'!D26-'M1'!D26</f>
        <v>4.3174700000000001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5.4001399999999991E-2</v>
      </c>
    </row>
    <row r="27" spans="1:8">
      <c r="A27" s="66" t="s">
        <v>70</v>
      </c>
      <c r="B27" s="66">
        <f>'M2'!B27-'M1'!B27</f>
        <v>-3.2825000000000012E-6</v>
      </c>
      <c r="C27" s="66">
        <f>'M2'!C27-'M1'!C27</f>
        <v>1.71288E-3</v>
      </c>
      <c r="D27" s="66">
        <f>'M2'!D27-'M1'!D27</f>
        <v>-45.254400000000004</v>
      </c>
      <c r="E27" s="66">
        <f>'M2'!E27-'M1'!E27</f>
        <v>0</v>
      </c>
      <c r="F27" s="66">
        <f>'M2'!F27-'M1'!F27</f>
        <v>-1.1383889999999999E-2</v>
      </c>
      <c r="G27" s="66">
        <f>'M2'!G27-'M1'!G27</f>
        <v>0</v>
      </c>
      <c r="H27" s="66">
        <f>'M2'!H27-'M1'!H27</f>
        <v>9.3717000000000002E-3</v>
      </c>
    </row>
    <row r="28" spans="1:8">
      <c r="A28" s="66" t="s">
        <v>71</v>
      </c>
      <c r="B28" s="66">
        <f>'M2'!B28-'M1'!B28</f>
        <v>5.5664000000000026E-3</v>
      </c>
      <c r="C28" s="66">
        <f>'M2'!C28-'M1'!C28</f>
        <v>3.5301399999999997E-2</v>
      </c>
      <c r="D28" s="66">
        <f>'M2'!D28-'M1'!D28</f>
        <v>1.1876530000000001</v>
      </c>
      <c r="E28" s="66">
        <f>'M2'!E28-'M1'!E28</f>
        <v>0</v>
      </c>
      <c r="F28" s="66">
        <f>'M2'!F28-'M1'!F28</f>
        <v>-4.9804999999999999E-4</v>
      </c>
      <c r="G28" s="66">
        <f>'M2'!G28-'M1'!G28</f>
        <v>0</v>
      </c>
      <c r="H28" s="66">
        <f>'M2'!H28-'M1'!H28</f>
        <v>0.13458989999999998</v>
      </c>
    </row>
    <row r="29" spans="1:8">
      <c r="A29" s="66" t="s">
        <v>72</v>
      </c>
      <c r="B29" s="66">
        <f>'M2'!B29-'M1'!B29</f>
        <v>-0.20140000000000668</v>
      </c>
      <c r="C29" s="66">
        <f>'M2'!C29-'M1'!C29</f>
        <v>4.1892299999999993</v>
      </c>
      <c r="D29" s="66">
        <f>'M2'!D29-'M1'!D29</f>
        <v>5.1522499999999985E-2</v>
      </c>
      <c r="E29" s="66">
        <f>'M2'!E29-'M1'!E29</f>
        <v>0</v>
      </c>
      <c r="F29" s="66">
        <f>'M2'!F29-'M1'!F29</f>
        <v>-14.792100000000005</v>
      </c>
      <c r="G29" s="66">
        <f>'M2'!G29-'M1'!G29</f>
        <v>0</v>
      </c>
      <c r="H29" s="66">
        <f>'M2'!H29-'M1'!H29</f>
        <v>8.4789999999999992</v>
      </c>
    </row>
    <row r="30" spans="1:8">
      <c r="A30" s="66" t="s">
        <v>73</v>
      </c>
      <c r="B30" s="66">
        <f>'M2'!B30-'M1'!B30</f>
        <v>4.6990000000000016</v>
      </c>
      <c r="C30" s="66">
        <f>'M2'!C30-'M1'!C30</f>
        <v>-3.1497000000000002</v>
      </c>
      <c r="D30" s="66">
        <f>'M2'!D30-'M1'!D30</f>
        <v>-0.14047000000000001</v>
      </c>
      <c r="E30" s="66">
        <f>'M2'!E30-'M1'!E30</f>
        <v>0</v>
      </c>
      <c r="F30" s="66">
        <f>'M2'!F30-'M1'!F30</f>
        <v>9.270900000000001</v>
      </c>
      <c r="G30" s="66">
        <f>'M2'!G30-'M1'!G30</f>
        <v>0</v>
      </c>
      <c r="H30" s="66">
        <f>'M2'!H30-'M1'!H30</f>
        <v>-1.1732000000000014</v>
      </c>
    </row>
    <row r="31" spans="1:8">
      <c r="A31" s="66" t="s">
        <v>74</v>
      </c>
      <c r="B31" s="66">
        <f>'M2'!B31-'M1'!B31</f>
        <v>83.409999999999968</v>
      </c>
      <c r="C31" s="66">
        <f>'M2'!C31-'M1'!C31</f>
        <v>-88.18610000000001</v>
      </c>
      <c r="D31" s="66">
        <f>'M2'!D31-'M1'!D31</f>
        <v>-0.21428199999999997</v>
      </c>
      <c r="E31" s="66">
        <f>'M2'!E31-'M1'!E31</f>
        <v>0</v>
      </c>
      <c r="F31" s="66">
        <f>'M2'!F31-'M1'!F31</f>
        <v>241.125</v>
      </c>
      <c r="G31" s="66">
        <f>'M2'!G31-'M1'!G31</f>
        <v>0</v>
      </c>
      <c r="H31" s="66">
        <f>'M2'!H31-'M1'!H31</f>
        <v>-0.72900000000004184</v>
      </c>
    </row>
    <row r="32" spans="1:8">
      <c r="A32" s="66" t="s">
        <v>75</v>
      </c>
      <c r="B32" s="66">
        <f>'M2'!B32-'M1'!B32</f>
        <v>-2.7451999999999976E-2</v>
      </c>
      <c r="C32" s="66">
        <f>'M2'!C32-'M1'!C32</f>
        <v>8.4633400000000011E-2</v>
      </c>
      <c r="D32" s="66">
        <f>'M2'!D32-'M1'!D32</f>
        <v>0.25455830000000002</v>
      </c>
      <c r="E32" s="66">
        <f>'M2'!E32-'M1'!E32</f>
        <v>0</v>
      </c>
      <c r="F32" s="66">
        <f>'M2'!F32-'M1'!F32</f>
        <v>-0.25530439999999999</v>
      </c>
      <c r="G32" s="66">
        <f>'M2'!G32-'M1'!G32</f>
        <v>0</v>
      </c>
      <c r="H32" s="66">
        <f>'M2'!H32-'M1'!H32</f>
        <v>-7.6682000000000028E-2</v>
      </c>
    </row>
    <row r="33" spans="1:8">
      <c r="A33" s="66" t="s">
        <v>76</v>
      </c>
      <c r="B33" s="66">
        <f>'M2'!B33-'M1'!B33</f>
        <v>-5.9923000000000004E-2</v>
      </c>
      <c r="C33" s="66">
        <f>'M2'!C33-'M1'!C33</f>
        <v>1.1959500000000001E-2</v>
      </c>
      <c r="D33" s="66">
        <f>'M2'!D33-'M1'!D33</f>
        <v>4.5430000000000005E-2</v>
      </c>
      <c r="E33" s="66">
        <f>'M2'!E33-'M1'!E33</f>
        <v>0</v>
      </c>
      <c r="F33" s="66">
        <f>'M2'!F33-'M1'!F33</f>
        <v>-3.466600000000003E-2</v>
      </c>
      <c r="G33" s="66">
        <f>'M2'!G33-'M1'!G33</f>
        <v>0</v>
      </c>
      <c r="H33" s="66">
        <f>'M2'!H33-'M1'!H33</f>
        <v>1.8295999999999979E-2</v>
      </c>
    </row>
    <row r="34" spans="1:8">
      <c r="A34" s="66" t="s">
        <v>77</v>
      </c>
      <c r="B34" s="66">
        <f>'M2'!B34-'M1'!B34</f>
        <v>6.3470000000000193E-3</v>
      </c>
      <c r="C34" s="66">
        <f>'M2'!C34-'M1'!C34</f>
        <v>8.1994000000000025E-3</v>
      </c>
      <c r="D34" s="66">
        <f>'M2'!D34-'M1'!D34</f>
        <v>3.3509999999999984E-2</v>
      </c>
      <c r="E34" s="66">
        <f>'M2'!E34-'M1'!E34</f>
        <v>0</v>
      </c>
      <c r="F34" s="66">
        <f>'M2'!F34-'M1'!F34</f>
        <v>1.0244000000000003E-2</v>
      </c>
      <c r="G34" s="66">
        <f>'M2'!G34-'M1'!G34</f>
        <v>0</v>
      </c>
      <c r="H34" s="66">
        <f>'M2'!H34-'M1'!H34</f>
        <v>6.1475000000000002E-2</v>
      </c>
    </row>
    <row r="35" spans="1:8">
      <c r="A35" s="66" t="s">
        <v>78</v>
      </c>
      <c r="B35" s="66">
        <f>'M2'!B35-'M1'!B35</f>
        <v>-2.8516000000000097E-3</v>
      </c>
      <c r="C35" s="66">
        <f>'M2'!C35-'M1'!C35</f>
        <v>8.1089999999999982E-4</v>
      </c>
      <c r="D35" s="66">
        <f>'M2'!D35-'M1'!D35</f>
        <v>1.9299000000000011E-2</v>
      </c>
      <c r="E35" s="66">
        <f>'M2'!E35-'M1'!E35</f>
        <v>0</v>
      </c>
      <c r="F35" s="66">
        <f>'M2'!F35-'M1'!F35</f>
        <v>-1.9561999999999982E-3</v>
      </c>
      <c r="G35" s="66">
        <f>'M2'!G35-'M1'!G35</f>
        <v>0</v>
      </c>
      <c r="H35" s="66">
        <f>'M2'!H35-'M1'!H35</f>
        <v>-1.5745000000000009E-2</v>
      </c>
    </row>
    <row r="36" spans="1:8">
      <c r="A36" s="66" t="s">
        <v>79</v>
      </c>
      <c r="B36" s="66">
        <f>'M2'!B36-'M1'!B36</f>
        <v>-1.0599999999999499E-4</v>
      </c>
      <c r="C36" s="66">
        <f>'M2'!C36-'M1'!C36</f>
        <v>4.8059999999999908E-3</v>
      </c>
      <c r="D36" s="66">
        <f>'M2'!D36-'M1'!D36</f>
        <v>2.8577000000000075E-2</v>
      </c>
      <c r="E36" s="66">
        <f>'M2'!E36-'M1'!E36</f>
        <v>0</v>
      </c>
      <c r="F36" s="66">
        <f>'M2'!F36-'M1'!F36</f>
        <v>1.9540000000000043E-3</v>
      </c>
      <c r="G36" s="66">
        <f>'M2'!G36-'M1'!G36</f>
        <v>0</v>
      </c>
      <c r="H36" s="66">
        <f>'M2'!H36-'M1'!H36</f>
        <v>-3.4021999999999997E-2</v>
      </c>
    </row>
    <row r="37" spans="1:8">
      <c r="A37" s="66" t="s">
        <v>80</v>
      </c>
      <c r="B37" s="66">
        <f>'M2'!B37-'M1'!B37</f>
        <v>8.1994999999999985E-2</v>
      </c>
      <c r="C37" s="66">
        <f>'M2'!C37-'M1'!C37</f>
        <v>2.0200000000000773E-4</v>
      </c>
      <c r="D37" s="66">
        <f>'M2'!D37-'M1'!D37</f>
        <v>-7.2437000000000029E-2</v>
      </c>
      <c r="E37" s="66">
        <f>'M2'!E37-'M1'!E37</f>
        <v>0</v>
      </c>
      <c r="F37" s="66">
        <f>'M2'!F37-'M1'!F37</f>
        <v>1.9621039999999999E-2</v>
      </c>
      <c r="G37" s="66">
        <f>'M2'!G37-'M1'!G37</f>
        <v>0</v>
      </c>
      <c r="H37" s="66">
        <f>'M2'!H37-'M1'!H37</f>
        <v>2.6601999999999959E-2</v>
      </c>
    </row>
    <row r="38" spans="1:8">
      <c r="A38" s="66" t="s">
        <v>81</v>
      </c>
      <c r="B38" s="66">
        <f>'M2'!B38-'M1'!B38</f>
        <v>-1.0097999999999985</v>
      </c>
      <c r="C38" s="66">
        <f>'M2'!C38-'M1'!C38</f>
        <v>-12.094399999999993</v>
      </c>
      <c r="D38" s="66">
        <f>'M2'!D38-'M1'!D38</f>
        <v>1.48719</v>
      </c>
      <c r="E38" s="66">
        <f>'M2'!E38-'M1'!E38</f>
        <v>0</v>
      </c>
      <c r="F38" s="66">
        <f>'M2'!F38-'M1'!F38</f>
        <v>109.15199999999999</v>
      </c>
      <c r="G38" s="66">
        <f>'M2'!G38-'M1'!G38</f>
        <v>0</v>
      </c>
      <c r="H38" s="66">
        <f>'M2'!H38-'M1'!H38</f>
        <v>-46.451999999999998</v>
      </c>
    </row>
    <row r="39" spans="1:8">
      <c r="A39" s="66" t="s">
        <v>82</v>
      </c>
      <c r="B39" s="66">
        <f>'M2'!B39-'M1'!B39</f>
        <v>-0.49314999999999998</v>
      </c>
      <c r="C39" s="66">
        <f>'M2'!C39-'M1'!C39</f>
        <v>0.43196999999999974</v>
      </c>
      <c r="D39" s="66">
        <f>'M2'!D39-'M1'!D39</f>
        <v>-9.4980000000000064E-3</v>
      </c>
      <c r="E39" s="66">
        <f>'M2'!E39-'M1'!E39</f>
        <v>0</v>
      </c>
      <c r="F39" s="66">
        <f>'M2'!F39-'M1'!F39</f>
        <v>-4.1417999999999999</v>
      </c>
      <c r="G39" s="66">
        <f>'M2'!G39-'M1'!G39</f>
        <v>0</v>
      </c>
      <c r="H39" s="66">
        <f>'M2'!H39-'M1'!H39</f>
        <v>-1.2965100000000001</v>
      </c>
    </row>
    <row r="40" spans="1:8">
      <c r="A40" s="66" t="s">
        <v>83</v>
      </c>
      <c r="B40" s="66">
        <f>'M2'!B40-'M1'!B40</f>
        <v>-0.28169</v>
      </c>
      <c r="C40" s="66">
        <f>'M2'!C40-'M1'!C40</f>
        <v>0.37016700000000002</v>
      </c>
      <c r="D40" s="66">
        <f>'M2'!D40-'M1'!D40</f>
        <v>-0.18242899999999998</v>
      </c>
      <c r="E40" s="66">
        <f>'M2'!E40-'M1'!E40</f>
        <v>0</v>
      </c>
      <c r="F40" s="66">
        <f>'M2'!F40-'M1'!F40</f>
        <v>-0.87604000000000015</v>
      </c>
      <c r="G40" s="66">
        <f>'M2'!G40-'M1'!G40</f>
        <v>0</v>
      </c>
      <c r="H40" s="66">
        <f>'M2'!H40-'M1'!H40</f>
        <v>-0.22687800000000002</v>
      </c>
    </row>
    <row r="41" spans="1:8">
      <c r="A41" s="66" t="s">
        <v>84</v>
      </c>
      <c r="B41" s="66">
        <f>'M2'!B41-'M1'!B41</f>
        <v>4.6011999999999997E-3</v>
      </c>
      <c r="C41" s="66">
        <f>'M2'!C41-'M1'!C41</f>
        <v>6.7899999999998517E-4</v>
      </c>
      <c r="D41" s="66">
        <f>'M2'!D41-'M1'!D41</f>
        <v>-0.23328000000000015</v>
      </c>
      <c r="E41" s="66">
        <f>'M2'!E41-'M1'!E41</f>
        <v>0</v>
      </c>
      <c r="F41" s="66">
        <f>'M2'!F41-'M1'!F41</f>
        <v>5.0564999999999971E-2</v>
      </c>
      <c r="G41" s="66">
        <f>'M2'!G41-'M1'!G41</f>
        <v>0</v>
      </c>
      <c r="H41" s="66">
        <f>'M2'!H41-'M1'!H41</f>
        <v>0.25717599999999996</v>
      </c>
    </row>
    <row r="42" spans="1:8">
      <c r="A42" s="66" t="s">
        <v>85</v>
      </c>
      <c r="B42" s="66">
        <f>'M2'!B42-'M1'!B42</f>
        <v>3.6650000000000571E-4</v>
      </c>
      <c r="C42" s="66">
        <f>'M2'!C42-'M1'!C42</f>
        <v>-5.9074999999999961E-3</v>
      </c>
      <c r="D42" s="66">
        <f>'M2'!D42-'M1'!D42</f>
        <v>8.5610000000000075E-2</v>
      </c>
      <c r="E42" s="66">
        <f>'M2'!E42-'M1'!E42</f>
        <v>0</v>
      </c>
      <c r="F42" s="66">
        <f>'M2'!F42-'M1'!F42</f>
        <v>2.4541000000000007E-2</v>
      </c>
      <c r="G42" s="66">
        <f>'M2'!G42-'M1'!G42</f>
        <v>0</v>
      </c>
      <c r="H42" s="66">
        <f>'M2'!H42-'M1'!H42</f>
        <v>-8.2027599999999992E-2</v>
      </c>
    </row>
    <row r="43" spans="1:8">
      <c r="A43" s="66" t="s">
        <v>86</v>
      </c>
      <c r="B43" s="66">
        <f>'M2'!B43-'M1'!B43</f>
        <v>4.5226099999999998E-2</v>
      </c>
      <c r="C43" s="66">
        <f>'M2'!C43-'M1'!C43</f>
        <v>1.05828E-2</v>
      </c>
      <c r="D43" s="66">
        <f>'M2'!D43-'M1'!D43</f>
        <v>-0.45583099999999999</v>
      </c>
      <c r="E43" s="66">
        <f>'M2'!E43-'M1'!E43</f>
        <v>0</v>
      </c>
      <c r="F43" s="66">
        <f>'M2'!F43-'M1'!F43</f>
        <v>2.5596099999999997E-2</v>
      </c>
      <c r="G43" s="66">
        <f>'M2'!G43-'M1'!G43</f>
        <v>0</v>
      </c>
      <c r="H43" s="66">
        <f>'M2'!H43-'M1'!H43</f>
        <v>5.9983399999999999E-2</v>
      </c>
    </row>
    <row r="44" spans="1:8">
      <c r="A44" s="66" t="s">
        <v>87</v>
      </c>
      <c r="B44" s="66">
        <f>'M2'!B44-'M1'!B44</f>
        <v>16.656499999999998</v>
      </c>
      <c r="C44" s="66">
        <f>'M2'!C44-'M1'!C44</f>
        <v>-6.9090999999999987</v>
      </c>
      <c r="D44" s="66">
        <f>'M2'!D44-'M1'!D44</f>
        <v>14.096150000000002</v>
      </c>
      <c r="E44" s="66">
        <f>'M2'!E44-'M1'!E44</f>
        <v>0</v>
      </c>
      <c r="F44" s="66">
        <f>'M2'!F44-'M1'!F44</f>
        <v>1.5415000000000063</v>
      </c>
      <c r="G44" s="66">
        <f>'M2'!G44-'M1'!G44</f>
        <v>0</v>
      </c>
      <c r="H44" s="66">
        <f>'M2'!H44-'M1'!H44</f>
        <v>-8.7172999999999981</v>
      </c>
    </row>
    <row r="45" spans="1:8">
      <c r="A45" s="66" t="s">
        <v>88</v>
      </c>
      <c r="B45" s="66">
        <f>'M2'!B45-'M1'!B45</f>
        <v>-5.4423999999999992</v>
      </c>
      <c r="C45" s="66">
        <f>'M2'!C45-'M1'!C45</f>
        <v>-0.71959000000000017</v>
      </c>
      <c r="D45" s="66">
        <f>'M2'!D45-'M1'!D45</f>
        <v>2.0000000000020002E-5</v>
      </c>
      <c r="E45" s="66">
        <f>'M2'!E45-'M1'!E45</f>
        <v>0</v>
      </c>
      <c r="F45" s="66">
        <f>'M2'!F45-'M1'!F45</f>
        <v>-4.3695999999999984</v>
      </c>
      <c r="G45" s="66">
        <f>'M2'!G45-'M1'!G45</f>
        <v>0</v>
      </c>
      <c r="H45" s="66">
        <f>'M2'!H45-'M1'!H45</f>
        <v>-2.8224999999999909</v>
      </c>
    </row>
    <row r="46" spans="1:8">
      <c r="A46" s="66" t="s">
        <v>89</v>
      </c>
      <c r="B46" s="66">
        <f>'M2'!B46-'M1'!B46</f>
        <v>2.8491</v>
      </c>
      <c r="C46" s="66">
        <f>'M2'!C46-'M1'!C46</f>
        <v>-6.7845800000000001</v>
      </c>
      <c r="D46" s="66">
        <f>'M2'!D46-'M1'!D46</f>
        <v>-0.21263069999999998</v>
      </c>
      <c r="E46" s="66">
        <f>'M2'!E46-'M1'!E46</f>
        <v>0</v>
      </c>
      <c r="F46" s="66">
        <f>'M2'!F46-'M1'!F46</f>
        <v>19.68214</v>
      </c>
      <c r="G46" s="66">
        <f>'M2'!G46-'M1'!G46</f>
        <v>0</v>
      </c>
      <c r="H46" s="66">
        <f>'M2'!H46-'M1'!H46</f>
        <v>-1.0796999999999954</v>
      </c>
    </row>
    <row r="47" spans="1:8">
      <c r="A47" s="66" t="s">
        <v>90</v>
      </c>
      <c r="B47" s="66">
        <f>'M2'!B47-'M1'!B47</f>
        <v>0.18429999999999991</v>
      </c>
      <c r="C47" s="66">
        <f>'M2'!C47-'M1'!C47</f>
        <v>1.352735</v>
      </c>
      <c r="D47" s="66">
        <f>'M2'!D47-'M1'!D47</f>
        <v>0.97931600000000008</v>
      </c>
      <c r="E47" s="66">
        <f>'M2'!E47-'M1'!E47</f>
        <v>0</v>
      </c>
      <c r="F47" s="66">
        <f>'M2'!F47-'M1'!F47</f>
        <v>4.5781999999999989E-2</v>
      </c>
      <c r="G47" s="66">
        <f>'M2'!G47-'M1'!G47</f>
        <v>0</v>
      </c>
      <c r="H47" s="66">
        <f>'M2'!H47-'M1'!H47</f>
        <v>5.1330899999999993</v>
      </c>
    </row>
    <row r="48" spans="1:8">
      <c r="A48" s="66" t="s">
        <v>91</v>
      </c>
      <c r="B48" s="66">
        <f>'M2'!B48-'M1'!B48</f>
        <v>-8.6789999999999923E-2</v>
      </c>
      <c r="C48" s="66">
        <f>'M2'!C48-'M1'!C48</f>
        <v>1.0670999999999986E-2</v>
      </c>
      <c r="D48" s="66">
        <f>'M2'!D48-'M1'!D48</f>
        <v>4.516199999999998E-2</v>
      </c>
      <c r="E48" s="66">
        <f>'M2'!E48-'M1'!E48</f>
        <v>0</v>
      </c>
      <c r="F48" s="66">
        <f>'M2'!F48-'M1'!F48</f>
        <v>-1.5606000000000009E-2</v>
      </c>
      <c r="G48" s="66">
        <f>'M2'!G48-'M1'!G48</f>
        <v>0</v>
      </c>
      <c r="H48" s="66">
        <f>'M2'!H48-'M1'!H48</f>
        <v>-0.114398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44.104399999999998</v>
      </c>
      <c r="C5" s="66">
        <v>12.6381</v>
      </c>
      <c r="D5" s="66">
        <v>28.655000000000001</v>
      </c>
      <c r="E5" s="66">
        <v>20</v>
      </c>
      <c r="F5" s="66">
        <v>12.5831</v>
      </c>
      <c r="G5" s="66">
        <v>50</v>
      </c>
      <c r="H5" s="66">
        <v>54.973799999999997</v>
      </c>
    </row>
    <row r="6" spans="1:8">
      <c r="A6" s="66" t="s">
        <v>358</v>
      </c>
      <c r="B6" s="66">
        <v>22.907699999999998</v>
      </c>
      <c r="C6" s="66">
        <v>0.67839700000000003</v>
      </c>
      <c r="D6" s="66">
        <v>2.9614400000000001</v>
      </c>
      <c r="E6" s="66">
        <v>20</v>
      </c>
      <c r="F6" s="66">
        <v>21.303899999999999</v>
      </c>
      <c r="G6" s="66">
        <v>40</v>
      </c>
      <c r="H6" s="66">
        <v>24.357299999999999</v>
      </c>
    </row>
    <row r="7" spans="1:8">
      <c r="A7" s="66" t="s">
        <v>359</v>
      </c>
      <c r="B7" s="66">
        <v>36.893999999999998</v>
      </c>
      <c r="C7" s="66">
        <v>3.0853600000000001</v>
      </c>
      <c r="D7" s="66">
        <v>8.3627699999999994</v>
      </c>
      <c r="E7" s="66">
        <v>15</v>
      </c>
      <c r="F7" s="66">
        <v>32.0319</v>
      </c>
      <c r="G7" s="66">
        <v>40</v>
      </c>
      <c r="H7" s="66">
        <v>47.635599999999997</v>
      </c>
    </row>
    <row r="8" spans="1:8">
      <c r="A8" s="66" t="s">
        <v>360</v>
      </c>
      <c r="B8" s="66">
        <v>33.949399999999997</v>
      </c>
      <c r="C8" s="66">
        <v>4.0109899999999996</v>
      </c>
      <c r="D8" s="66">
        <v>11.8146</v>
      </c>
      <c r="E8" s="66">
        <v>20</v>
      </c>
      <c r="F8" s="66">
        <v>23.101800000000001</v>
      </c>
      <c r="G8" s="66">
        <v>50</v>
      </c>
      <c r="H8" s="66">
        <v>38.5154</v>
      </c>
    </row>
    <row r="9" spans="1:8">
      <c r="A9" s="66" t="s">
        <v>361</v>
      </c>
      <c r="B9" s="66">
        <v>65.707099999999997</v>
      </c>
      <c r="C9" s="66">
        <v>5.06928</v>
      </c>
      <c r="D9" s="66">
        <v>7.7149700000000001</v>
      </c>
      <c r="E9" s="66">
        <v>50</v>
      </c>
      <c r="F9" s="66">
        <v>57.021900000000002</v>
      </c>
      <c r="G9" s="66">
        <v>100</v>
      </c>
      <c r="H9" s="66">
        <v>82.784899999999993</v>
      </c>
    </row>
    <row r="10" spans="1:8">
      <c r="A10" s="66" t="s">
        <v>362</v>
      </c>
      <c r="B10" s="66">
        <v>73.443700000000007</v>
      </c>
      <c r="C10" s="66">
        <v>1.00515</v>
      </c>
      <c r="D10" s="66">
        <v>1.3686</v>
      </c>
      <c r="E10" s="66">
        <v>40</v>
      </c>
      <c r="F10" s="66">
        <v>70.816100000000006</v>
      </c>
      <c r="G10" s="66">
        <v>100</v>
      </c>
      <c r="H10" s="66">
        <v>75.712699999999998</v>
      </c>
    </row>
    <row r="11" spans="1:8">
      <c r="A11" s="66" t="s">
        <v>363</v>
      </c>
      <c r="B11" s="66">
        <v>19.846699999999998</v>
      </c>
      <c r="C11" s="66">
        <v>7.5031299999999996</v>
      </c>
      <c r="D11" s="66">
        <v>37.805399999999999</v>
      </c>
      <c r="E11" s="66">
        <v>10</v>
      </c>
      <c r="F11" s="66">
        <v>7.5324400000000002</v>
      </c>
      <c r="G11" s="66">
        <v>50</v>
      </c>
      <c r="H11" s="66">
        <v>32.017499999999998</v>
      </c>
    </row>
    <row r="12" spans="1:8">
      <c r="A12" s="66" t="s">
        <v>364</v>
      </c>
      <c r="B12" s="66">
        <v>69.391900000000007</v>
      </c>
      <c r="C12" s="66">
        <v>2.7673800000000002</v>
      </c>
      <c r="D12" s="66">
        <v>3.9880499999999999</v>
      </c>
      <c r="E12" s="66">
        <v>50</v>
      </c>
      <c r="F12" s="66">
        <v>65.048900000000003</v>
      </c>
      <c r="G12" s="66">
        <v>100</v>
      </c>
      <c r="H12" s="66">
        <v>78.125</v>
      </c>
    </row>
    <row r="13" spans="1:8">
      <c r="A13" s="66" t="s">
        <v>365</v>
      </c>
      <c r="B13" s="66">
        <v>20.6754</v>
      </c>
      <c r="C13" s="66">
        <v>3.4477099999999998</v>
      </c>
      <c r="D13" s="66">
        <v>16.6754</v>
      </c>
      <c r="E13" s="66">
        <v>10</v>
      </c>
      <c r="F13" s="66">
        <v>14.1348</v>
      </c>
      <c r="G13" s="66">
        <v>25</v>
      </c>
      <c r="H13" s="66">
        <v>30.6738</v>
      </c>
    </row>
    <row r="14" spans="1:8">
      <c r="A14" s="66" t="s">
        <v>366</v>
      </c>
      <c r="B14" s="66">
        <v>34.4771</v>
      </c>
      <c r="C14" s="66">
        <v>13.083399999999999</v>
      </c>
      <c r="D14" s="66">
        <v>37.948099999999997</v>
      </c>
      <c r="E14" s="66">
        <v>10</v>
      </c>
      <c r="F14" s="66">
        <v>0.56589599999999995</v>
      </c>
      <c r="G14" s="66">
        <v>50</v>
      </c>
      <c r="H14" s="66">
        <v>41.747999999999998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0.38503300000000001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0.51102099999999995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2.5500100000000001E-3</v>
      </c>
      <c r="C20" s="66">
        <v>3.6058100000000003E-2</v>
      </c>
      <c r="D20" s="66">
        <v>14.1404</v>
      </c>
      <c r="E20" s="66">
        <v>0</v>
      </c>
      <c r="F20" s="196">
        <v>1.6348500000000001E-5</v>
      </c>
      <c r="G20" s="66">
        <v>0</v>
      </c>
      <c r="H20" s="66">
        <v>0.21060100000000001</v>
      </c>
    </row>
    <row r="21" spans="1:8">
      <c r="A21" s="66" t="s">
        <v>373</v>
      </c>
      <c r="B21" s="66">
        <v>0.17952000000000001</v>
      </c>
      <c r="C21" s="66">
        <v>0.169984</v>
      </c>
      <c r="D21" s="66">
        <v>0.94688099999999997</v>
      </c>
      <c r="E21" s="66">
        <v>0</v>
      </c>
      <c r="F21" s="66">
        <v>8.0889800000000008E-3</v>
      </c>
      <c r="G21" s="66">
        <v>0</v>
      </c>
      <c r="H21" s="66">
        <v>0.90912999999999999</v>
      </c>
    </row>
    <row r="22" spans="1:8">
      <c r="A22" s="66" t="s">
        <v>374</v>
      </c>
      <c r="B22" s="66">
        <v>50.887500000000003</v>
      </c>
      <c r="C22" s="66">
        <v>15.325799999999999</v>
      </c>
      <c r="D22" s="66">
        <v>0.30117100000000002</v>
      </c>
      <c r="E22" s="66">
        <v>0</v>
      </c>
      <c r="F22" s="66">
        <v>31.888500000000001</v>
      </c>
      <c r="G22" s="66">
        <v>0</v>
      </c>
      <c r="H22" s="66">
        <v>105.616</v>
      </c>
    </row>
    <row r="23" spans="1:8">
      <c r="A23" s="66" t="s">
        <v>375</v>
      </c>
      <c r="B23" s="66">
        <v>18.6023</v>
      </c>
      <c r="C23" s="66">
        <v>4.8244100000000003</v>
      </c>
      <c r="D23" s="66">
        <v>0.25934400000000002</v>
      </c>
      <c r="E23" s="66">
        <v>0</v>
      </c>
      <c r="F23" s="66">
        <v>9.3234600000000007</v>
      </c>
      <c r="G23" s="66">
        <v>0</v>
      </c>
      <c r="H23" s="66">
        <v>25.672599999999999</v>
      </c>
    </row>
    <row r="24" spans="1:8">
      <c r="A24" s="66" t="s">
        <v>376</v>
      </c>
      <c r="B24" s="66">
        <v>1.9222800000000002E-2</v>
      </c>
      <c r="C24" s="66">
        <v>1.51842E-2</v>
      </c>
      <c r="D24" s="66">
        <v>0.78990700000000003</v>
      </c>
      <c r="E24" s="66">
        <v>0</v>
      </c>
      <c r="F24" s="66">
        <v>1.78822E-4</v>
      </c>
      <c r="G24" s="66">
        <v>0</v>
      </c>
      <c r="H24" s="66">
        <v>5.6578400000000001E-2</v>
      </c>
    </row>
    <row r="25" spans="1:8">
      <c r="A25" s="66" t="s">
        <v>377</v>
      </c>
      <c r="B25" s="66">
        <v>0.210674</v>
      </c>
      <c r="C25" s="66">
        <v>6.7906900000000006E-2</v>
      </c>
      <c r="D25" s="66">
        <v>0.32233099999999998</v>
      </c>
      <c r="E25" s="66">
        <v>0</v>
      </c>
      <c r="F25" s="66">
        <v>8.8598999999999997E-2</v>
      </c>
      <c r="G25" s="66">
        <v>0</v>
      </c>
      <c r="H25" s="66">
        <v>0.39138499999999998</v>
      </c>
    </row>
    <row r="26" spans="1:8">
      <c r="A26" s="66" t="s">
        <v>378</v>
      </c>
      <c r="B26" s="66">
        <v>7.1559900000000003E-4</v>
      </c>
      <c r="C26" s="66">
        <v>2.0553300000000002E-3</v>
      </c>
      <c r="D26" s="66">
        <v>2.8721800000000002</v>
      </c>
      <c r="E26" s="66">
        <v>0</v>
      </c>
      <c r="F26" s="196">
        <v>6.5651299999999996E-6</v>
      </c>
      <c r="G26" s="66">
        <v>0</v>
      </c>
      <c r="H26" s="66">
        <v>1.2706800000000001E-2</v>
      </c>
    </row>
    <row r="27" spans="1:8">
      <c r="A27" s="66" t="s">
        <v>379</v>
      </c>
      <c r="B27" s="196">
        <v>-2.9543099999999998E-5</v>
      </c>
      <c r="C27" s="66">
        <v>2.0464699999999999E-3</v>
      </c>
      <c r="D27" s="66">
        <v>-69.270600000000002</v>
      </c>
      <c r="E27" s="66">
        <v>0</v>
      </c>
      <c r="F27" s="66">
        <v>-9.3356099999999994E-3</v>
      </c>
      <c r="G27" s="66">
        <v>0</v>
      </c>
      <c r="H27" s="66">
        <v>1.13019E-2</v>
      </c>
    </row>
    <row r="28" spans="1:8">
      <c r="A28" s="66" t="s">
        <v>380</v>
      </c>
      <c r="B28" s="66">
        <v>1.9868199999999999E-2</v>
      </c>
      <c r="C28" s="66">
        <v>1.8181699999999999E-2</v>
      </c>
      <c r="D28" s="66">
        <v>0.91511699999999996</v>
      </c>
      <c r="E28" s="66">
        <v>0</v>
      </c>
      <c r="F28" s="66">
        <v>1.27279E-3</v>
      </c>
      <c r="G28" s="66">
        <v>0</v>
      </c>
      <c r="H28" s="66">
        <v>8.08561E-2</v>
      </c>
    </row>
    <row r="29" spans="1:8">
      <c r="A29" s="66" t="s">
        <v>381</v>
      </c>
      <c r="B29" s="66">
        <v>81.885300000000001</v>
      </c>
      <c r="C29" s="66">
        <v>7.8499699999999999</v>
      </c>
      <c r="D29" s="66">
        <v>9.5865500000000006E-2</v>
      </c>
      <c r="E29" s="66">
        <v>0</v>
      </c>
      <c r="F29" s="66">
        <v>65.584900000000005</v>
      </c>
      <c r="G29" s="66">
        <v>0</v>
      </c>
      <c r="H29" s="66">
        <v>100.31</v>
      </c>
    </row>
    <row r="30" spans="1:8">
      <c r="A30" s="66" t="s">
        <v>382</v>
      </c>
      <c r="B30" s="66">
        <v>27.000699999999998</v>
      </c>
      <c r="C30" s="66">
        <v>7.4881200000000003</v>
      </c>
      <c r="D30" s="66">
        <v>0.27733000000000002</v>
      </c>
      <c r="E30" s="66">
        <v>0</v>
      </c>
      <c r="F30" s="66">
        <v>11.8886</v>
      </c>
      <c r="G30" s="66">
        <v>0</v>
      </c>
      <c r="H30" s="66">
        <v>36.755200000000002</v>
      </c>
    </row>
    <row r="31" spans="1:8">
      <c r="A31" s="66" t="s">
        <v>383</v>
      </c>
      <c r="B31" s="66">
        <v>455.548</v>
      </c>
      <c r="C31" s="66">
        <v>149.12</v>
      </c>
      <c r="D31" s="66">
        <v>0.32734099999999999</v>
      </c>
      <c r="E31" s="66">
        <v>0</v>
      </c>
      <c r="F31" s="66">
        <v>123.908</v>
      </c>
      <c r="G31" s="66">
        <v>0</v>
      </c>
      <c r="H31" s="66">
        <v>589.78200000000004</v>
      </c>
    </row>
    <row r="32" spans="1:8">
      <c r="A32" s="66" t="s">
        <v>384</v>
      </c>
      <c r="B32" s="66">
        <v>0.36893999999999999</v>
      </c>
      <c r="C32" s="66">
        <v>3.0853599999999998E-2</v>
      </c>
      <c r="D32" s="66">
        <v>8.3627699999999999E-2</v>
      </c>
      <c r="E32" s="66">
        <v>0.15</v>
      </c>
      <c r="F32" s="66">
        <v>0.32031900000000002</v>
      </c>
      <c r="G32" s="66">
        <v>0.4</v>
      </c>
      <c r="H32" s="66">
        <v>0.476356</v>
      </c>
    </row>
    <row r="33" spans="1:8">
      <c r="A33" s="66" t="s">
        <v>385</v>
      </c>
      <c r="B33" s="66">
        <v>0.39957700000000002</v>
      </c>
      <c r="C33" s="66">
        <v>2.3145900000000001E-2</v>
      </c>
      <c r="D33" s="66">
        <v>5.7925999999999998E-2</v>
      </c>
      <c r="E33" s="66">
        <v>0</v>
      </c>
      <c r="F33" s="66">
        <v>0.33529300000000001</v>
      </c>
      <c r="G33" s="66">
        <v>0</v>
      </c>
      <c r="H33" s="66">
        <v>0.45190900000000001</v>
      </c>
    </row>
    <row r="34" spans="1:8">
      <c r="A34" s="66" t="s">
        <v>386</v>
      </c>
      <c r="B34" s="66">
        <v>0.20675399999999999</v>
      </c>
      <c r="C34" s="66">
        <v>3.4477099999999997E-2</v>
      </c>
      <c r="D34" s="66">
        <v>0.16675400000000001</v>
      </c>
      <c r="E34" s="66">
        <v>0.1</v>
      </c>
      <c r="F34" s="66">
        <v>0.141348</v>
      </c>
      <c r="G34" s="66">
        <v>0.25</v>
      </c>
      <c r="H34" s="66">
        <v>0.30673800000000001</v>
      </c>
    </row>
    <row r="35" spans="1:8">
      <c r="A35" s="66" t="s">
        <v>387</v>
      </c>
      <c r="B35" s="66">
        <v>8.8624900000000006E-2</v>
      </c>
      <c r="C35" s="66">
        <v>2.6245600000000001E-2</v>
      </c>
      <c r="D35" s="66">
        <v>0.29614299999999999</v>
      </c>
      <c r="E35" s="66">
        <v>0</v>
      </c>
      <c r="F35" s="66">
        <v>4.4737899999999997E-2</v>
      </c>
      <c r="G35" s="66">
        <v>0</v>
      </c>
      <c r="H35" s="66">
        <v>0.16946800000000001</v>
      </c>
    </row>
    <row r="36" spans="1:8">
      <c r="A36" s="66" t="s">
        <v>388</v>
      </c>
      <c r="B36" s="66">
        <v>0.17050199999999999</v>
      </c>
      <c r="C36" s="66">
        <v>0.102301</v>
      </c>
      <c r="D36" s="66">
        <v>0.59999899999999995</v>
      </c>
      <c r="E36" s="66">
        <v>0</v>
      </c>
      <c r="F36" s="66">
        <v>3.6429499999999997E-2</v>
      </c>
      <c r="G36" s="66">
        <v>0</v>
      </c>
      <c r="H36" s="66">
        <v>0.57390600000000003</v>
      </c>
    </row>
    <row r="37" spans="1:8">
      <c r="A37" s="66" t="s">
        <v>389</v>
      </c>
      <c r="B37" s="66">
        <v>0.34477099999999999</v>
      </c>
      <c r="C37" s="66">
        <v>0.13083400000000001</v>
      </c>
      <c r="D37" s="66">
        <v>0.37948100000000001</v>
      </c>
      <c r="E37" s="66">
        <v>0.1</v>
      </c>
      <c r="F37" s="66">
        <v>5.6589600000000002E-3</v>
      </c>
      <c r="G37" s="66">
        <v>0.5</v>
      </c>
      <c r="H37" s="66">
        <v>0.41748000000000002</v>
      </c>
    </row>
    <row r="38" spans="1:8">
      <c r="A38" s="66" t="s">
        <v>390</v>
      </c>
      <c r="B38" s="66">
        <v>-11.562900000000001</v>
      </c>
      <c r="C38" s="66">
        <v>75.614099999999993</v>
      </c>
      <c r="D38" s="66">
        <v>-6.53939</v>
      </c>
      <c r="E38" s="66">
        <v>0</v>
      </c>
      <c r="F38" s="66">
        <v>-247.833</v>
      </c>
      <c r="G38" s="66">
        <v>0</v>
      </c>
      <c r="H38" s="66">
        <v>363.48500000000001</v>
      </c>
    </row>
    <row r="39" spans="1:8">
      <c r="A39" s="66" t="s">
        <v>391</v>
      </c>
      <c r="B39" s="66">
        <v>-4.4139200000000001</v>
      </c>
      <c r="C39" s="66">
        <v>3.4492600000000002</v>
      </c>
      <c r="D39" s="66">
        <v>-0.78144999999999998</v>
      </c>
      <c r="E39" s="66">
        <v>0</v>
      </c>
      <c r="F39" s="66">
        <v>-12.8185</v>
      </c>
      <c r="G39" s="66">
        <v>0</v>
      </c>
      <c r="H39" s="66">
        <v>3.79792</v>
      </c>
    </row>
    <row r="40" spans="1:8">
      <c r="A40" s="66" t="s">
        <v>392</v>
      </c>
      <c r="B40" s="66">
        <v>-1.49586</v>
      </c>
      <c r="C40" s="66">
        <v>0.24368999999999999</v>
      </c>
      <c r="D40" s="66">
        <v>-0.162909</v>
      </c>
      <c r="E40" s="66">
        <v>0</v>
      </c>
      <c r="F40" s="66">
        <v>-2.1173299999999999</v>
      </c>
      <c r="G40" s="66">
        <v>0</v>
      </c>
      <c r="H40" s="66">
        <v>-0.93862199999999996</v>
      </c>
    </row>
    <row r="41" spans="1:8">
      <c r="A41" s="66" t="s">
        <v>393</v>
      </c>
      <c r="B41" s="66">
        <v>-7.7845600000000001E-2</v>
      </c>
      <c r="C41" s="66">
        <v>0.27760299999999999</v>
      </c>
      <c r="D41" s="66">
        <v>-3.5660799999999999</v>
      </c>
      <c r="E41" s="66">
        <v>0</v>
      </c>
      <c r="F41" s="66">
        <v>-0.90023799999999998</v>
      </c>
      <c r="G41" s="66">
        <v>0</v>
      </c>
      <c r="H41" s="66">
        <v>0.74282400000000004</v>
      </c>
    </row>
    <row r="42" spans="1:8">
      <c r="A42" s="66" t="s">
        <v>394</v>
      </c>
      <c r="B42" s="66">
        <v>-6.4797400000000005E-2</v>
      </c>
      <c r="C42" s="66">
        <v>6.9238599999999997E-2</v>
      </c>
      <c r="D42" s="66">
        <v>-1.06854</v>
      </c>
      <c r="E42" s="66">
        <v>0</v>
      </c>
      <c r="F42" s="66">
        <v>-0.22666</v>
      </c>
      <c r="G42" s="66">
        <v>0</v>
      </c>
      <c r="H42" s="66">
        <v>0.16273899999999999</v>
      </c>
    </row>
    <row r="43" spans="1:8">
      <c r="A43" s="66" t="s">
        <v>395</v>
      </c>
      <c r="B43" s="66">
        <v>-8.64732E-2</v>
      </c>
      <c r="C43" s="66">
        <v>1.5714599999999999E-2</v>
      </c>
      <c r="D43" s="66">
        <v>-0.181728</v>
      </c>
      <c r="E43" s="66">
        <v>0</v>
      </c>
      <c r="F43" s="66">
        <v>-0.119906</v>
      </c>
      <c r="G43" s="66">
        <v>0</v>
      </c>
      <c r="H43" s="66">
        <v>-4.5375699999999998E-2</v>
      </c>
    </row>
    <row r="44" spans="1:8">
      <c r="A44" s="66" t="s">
        <v>396</v>
      </c>
      <c r="B44" s="66">
        <v>-15.383699999999999</v>
      </c>
      <c r="C44" s="66">
        <v>22.951699999999999</v>
      </c>
      <c r="D44" s="66">
        <v>-1.4919500000000001</v>
      </c>
      <c r="E44" s="66">
        <v>0</v>
      </c>
      <c r="F44" s="66">
        <v>-39.289900000000003</v>
      </c>
      <c r="G44" s="66">
        <v>0</v>
      </c>
      <c r="H44" s="66">
        <v>30.4346</v>
      </c>
    </row>
    <row r="45" spans="1:8">
      <c r="A45" s="66" t="s">
        <v>397</v>
      </c>
      <c r="B45" s="66">
        <v>53.696599999999997</v>
      </c>
      <c r="C45" s="66">
        <v>7.10954</v>
      </c>
      <c r="D45" s="66">
        <v>0.13240199999999999</v>
      </c>
      <c r="E45" s="66">
        <v>0</v>
      </c>
      <c r="F45" s="66">
        <v>40.065399999999997</v>
      </c>
      <c r="G45" s="66">
        <v>0</v>
      </c>
      <c r="H45" s="66">
        <v>70.833299999999994</v>
      </c>
    </row>
    <row r="46" spans="1:8">
      <c r="A46" s="66" t="s">
        <v>398</v>
      </c>
      <c r="B46" s="66">
        <v>32.872399999999999</v>
      </c>
      <c r="C46" s="66">
        <v>9.3558599999999998</v>
      </c>
      <c r="D46" s="66">
        <v>0.28461199999999998</v>
      </c>
      <c r="E46" s="66">
        <v>0</v>
      </c>
      <c r="F46" s="66">
        <v>9.4626599999999996</v>
      </c>
      <c r="G46" s="66">
        <v>0</v>
      </c>
      <c r="H46" s="66">
        <v>39.611899999999999</v>
      </c>
    </row>
    <row r="47" spans="1:8">
      <c r="A47" s="66" t="s">
        <v>399</v>
      </c>
      <c r="B47" s="66">
        <v>1.1185700000000001</v>
      </c>
      <c r="C47" s="66">
        <v>0.46614499999999998</v>
      </c>
      <c r="D47" s="66">
        <v>0.41673399999999999</v>
      </c>
      <c r="E47" s="66">
        <v>0</v>
      </c>
      <c r="F47" s="66">
        <v>0.48225499999999999</v>
      </c>
      <c r="G47" s="66">
        <v>0</v>
      </c>
      <c r="H47" s="66">
        <v>3.5509499999999998</v>
      </c>
    </row>
    <row r="48" spans="1:8">
      <c r="A48" s="66" t="s">
        <v>400</v>
      </c>
      <c r="B48" s="66">
        <v>0.69159499999999996</v>
      </c>
      <c r="C48" s="66">
        <v>0.13261800000000001</v>
      </c>
      <c r="D48" s="66">
        <v>0.19175600000000001</v>
      </c>
      <c r="E48" s="66">
        <v>0</v>
      </c>
      <c r="F48" s="66">
        <v>0.50290800000000002</v>
      </c>
      <c r="G48" s="66">
        <v>0</v>
      </c>
      <c r="H48" s="66">
        <v>1.07568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45.410899999999998</v>
      </c>
      <c r="C5" s="66">
        <v>4.7233000000000001</v>
      </c>
      <c r="D5" s="66">
        <v>10.401199999999999</v>
      </c>
      <c r="E5" s="66">
        <v>20</v>
      </c>
      <c r="F5" s="66">
        <v>38.587800000000001</v>
      </c>
      <c r="G5" s="66">
        <v>50</v>
      </c>
      <c r="H5" s="66">
        <v>56.235399999999998</v>
      </c>
    </row>
    <row r="6" spans="1:8">
      <c r="A6" s="66" t="s">
        <v>358</v>
      </c>
      <c r="B6" s="66">
        <v>24.271799999999999</v>
      </c>
      <c r="C6" s="66">
        <v>1.5651299999999999</v>
      </c>
      <c r="D6" s="66">
        <v>6.44834</v>
      </c>
      <c r="E6" s="66">
        <v>20</v>
      </c>
      <c r="F6" s="66">
        <v>21.602499999999999</v>
      </c>
      <c r="G6" s="66">
        <v>40</v>
      </c>
      <c r="H6" s="66">
        <v>28.413699999999999</v>
      </c>
    </row>
    <row r="7" spans="1:8">
      <c r="A7" s="66" t="s">
        <v>359</v>
      </c>
      <c r="B7" s="66">
        <v>34.148800000000001</v>
      </c>
      <c r="C7" s="66">
        <v>11.5487</v>
      </c>
      <c r="D7" s="66">
        <v>33.818600000000004</v>
      </c>
      <c r="E7" s="66">
        <v>15</v>
      </c>
      <c r="F7" s="66">
        <v>6.5014599999999998</v>
      </c>
      <c r="G7" s="66">
        <v>40</v>
      </c>
      <c r="H7" s="66">
        <v>39.967399999999998</v>
      </c>
    </row>
    <row r="8" spans="1:8">
      <c r="A8" s="66" t="s">
        <v>360</v>
      </c>
      <c r="B8" s="66">
        <v>33.399099999999997</v>
      </c>
      <c r="C8" s="66">
        <v>3.40374</v>
      </c>
      <c r="D8" s="66">
        <v>10.1911</v>
      </c>
      <c r="E8" s="66">
        <v>20</v>
      </c>
      <c r="F8" s="66">
        <v>27.105</v>
      </c>
      <c r="G8" s="66">
        <v>50</v>
      </c>
      <c r="H8" s="66">
        <v>37.966900000000003</v>
      </c>
    </row>
    <row r="9" spans="1:8">
      <c r="A9" s="66" t="s">
        <v>361</v>
      </c>
      <c r="B9" s="66">
        <v>60.584000000000003</v>
      </c>
      <c r="C9" s="66">
        <v>5.3627399999999996</v>
      </c>
      <c r="D9" s="66">
        <v>8.8517399999999995</v>
      </c>
      <c r="E9" s="66">
        <v>50</v>
      </c>
      <c r="F9" s="66">
        <v>45.799300000000002</v>
      </c>
      <c r="G9" s="66">
        <v>100</v>
      </c>
      <c r="H9" s="66">
        <v>68.837999999999994</v>
      </c>
    </row>
    <row r="10" spans="1:8">
      <c r="A10" s="66" t="s">
        <v>362</v>
      </c>
      <c r="B10" s="66">
        <v>77.097300000000004</v>
      </c>
      <c r="C10" s="66">
        <v>2.1573000000000002</v>
      </c>
      <c r="D10" s="66">
        <v>2.7981500000000001</v>
      </c>
      <c r="E10" s="66">
        <v>40</v>
      </c>
      <c r="F10" s="66">
        <v>73.472399999999993</v>
      </c>
      <c r="G10" s="66">
        <v>100</v>
      </c>
      <c r="H10" s="66">
        <v>80.761700000000005</v>
      </c>
    </row>
    <row r="11" spans="1:8">
      <c r="A11" s="66" t="s">
        <v>363</v>
      </c>
      <c r="B11" s="66">
        <v>23.737300000000001</v>
      </c>
      <c r="C11" s="66">
        <v>3.44937</v>
      </c>
      <c r="D11" s="66">
        <v>14.531499999999999</v>
      </c>
      <c r="E11" s="66">
        <v>10</v>
      </c>
      <c r="F11" s="66">
        <v>18.5733</v>
      </c>
      <c r="G11" s="66">
        <v>50</v>
      </c>
      <c r="H11" s="66">
        <v>30.426300000000001</v>
      </c>
    </row>
    <row r="12" spans="1:8">
      <c r="A12" s="66" t="s">
        <v>364</v>
      </c>
      <c r="B12" s="66">
        <v>68.656599999999997</v>
      </c>
      <c r="C12" s="66">
        <v>3.1010399999999998</v>
      </c>
      <c r="D12" s="66">
        <v>4.5167299999999999</v>
      </c>
      <c r="E12" s="66">
        <v>50</v>
      </c>
      <c r="F12" s="66">
        <v>62.0535</v>
      </c>
      <c r="G12" s="66">
        <v>100</v>
      </c>
      <c r="H12" s="66">
        <v>74.502200000000002</v>
      </c>
    </row>
    <row r="13" spans="1:8">
      <c r="A13" s="66" t="s">
        <v>365</v>
      </c>
      <c r="B13" s="66">
        <v>21.310099999999998</v>
      </c>
      <c r="C13" s="66">
        <v>4.2676499999999997</v>
      </c>
      <c r="D13" s="66">
        <v>20.026399999999999</v>
      </c>
      <c r="E13" s="66">
        <v>10</v>
      </c>
      <c r="F13" s="66">
        <v>15.1592</v>
      </c>
      <c r="G13" s="66">
        <v>25</v>
      </c>
      <c r="H13" s="66">
        <v>36.821300000000001</v>
      </c>
    </row>
    <row r="14" spans="1:8">
      <c r="A14" s="66" t="s">
        <v>366</v>
      </c>
      <c r="B14" s="66">
        <v>42.676600000000001</v>
      </c>
      <c r="C14" s="66">
        <v>13.1036</v>
      </c>
      <c r="D14" s="66">
        <v>30.7044</v>
      </c>
      <c r="E14" s="66">
        <v>10</v>
      </c>
      <c r="F14" s="66">
        <v>2.528</v>
      </c>
      <c r="G14" s="66">
        <v>50</v>
      </c>
      <c r="H14" s="66">
        <v>44.408200000000001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0.35333100000000001</v>
      </c>
      <c r="C18" s="66">
        <v>8.7603500000000001E-2</v>
      </c>
      <c r="D18" s="66">
        <v>0.24793599999999999</v>
      </c>
      <c r="E18" s="66">
        <v>0</v>
      </c>
      <c r="F18" s="66">
        <v>0.26572800000000002</v>
      </c>
      <c r="G18" s="66">
        <v>0</v>
      </c>
      <c r="H18" s="66">
        <v>0.44093500000000002</v>
      </c>
    </row>
    <row r="19" spans="1:8">
      <c r="A19" s="66" t="s">
        <v>371</v>
      </c>
      <c r="B19" s="66">
        <v>0.51901299999999995</v>
      </c>
      <c r="C19" s="66">
        <v>3.8620599999999998E-2</v>
      </c>
      <c r="D19" s="66">
        <v>7.4411599999999994E-2</v>
      </c>
      <c r="E19" s="66">
        <v>0</v>
      </c>
      <c r="F19" s="66">
        <v>0.48039199999999999</v>
      </c>
      <c r="G19" s="66">
        <v>0</v>
      </c>
      <c r="H19" s="66">
        <v>0.55763300000000005</v>
      </c>
    </row>
    <row r="20" spans="1:8">
      <c r="A20" s="66" t="s">
        <v>372</v>
      </c>
      <c r="B20" s="66">
        <v>7.9041300000000005E-3</v>
      </c>
      <c r="C20" s="66">
        <v>9.9888199999999996E-2</v>
      </c>
      <c r="D20" s="66">
        <v>12.637499999999999</v>
      </c>
      <c r="E20" s="66">
        <v>0</v>
      </c>
      <c r="F20" s="196">
        <v>2.70329E-5</v>
      </c>
      <c r="G20" s="66">
        <v>0</v>
      </c>
      <c r="H20" s="66">
        <v>0.63200400000000001</v>
      </c>
    </row>
    <row r="21" spans="1:8">
      <c r="A21" s="66" t="s">
        <v>373</v>
      </c>
      <c r="B21" s="66">
        <v>0.212173</v>
      </c>
      <c r="C21" s="66">
        <v>0.96701700000000002</v>
      </c>
      <c r="D21" s="66">
        <v>4.5576800000000004</v>
      </c>
      <c r="E21" s="66">
        <v>0</v>
      </c>
      <c r="F21" s="66">
        <v>2.00059E-3</v>
      </c>
      <c r="G21" s="66">
        <v>0</v>
      </c>
      <c r="H21" s="66">
        <v>5.23475</v>
      </c>
    </row>
    <row r="22" spans="1:8">
      <c r="A22" s="66" t="s">
        <v>374</v>
      </c>
      <c r="B22" s="66">
        <v>53.715299999999999</v>
      </c>
      <c r="C22" s="66">
        <v>20.139700000000001</v>
      </c>
      <c r="D22" s="66">
        <v>0.37493500000000002</v>
      </c>
      <c r="E22" s="66">
        <v>0</v>
      </c>
      <c r="F22" s="66">
        <v>34.142600000000002</v>
      </c>
      <c r="G22" s="66">
        <v>0</v>
      </c>
      <c r="H22" s="66">
        <v>118.73</v>
      </c>
    </row>
    <row r="23" spans="1:8">
      <c r="A23" s="66" t="s">
        <v>375</v>
      </c>
      <c r="B23" s="66">
        <v>23.405100000000001</v>
      </c>
      <c r="C23" s="66">
        <v>5.5780799999999999</v>
      </c>
      <c r="D23" s="66">
        <v>0.23832800000000001</v>
      </c>
      <c r="E23" s="66">
        <v>0</v>
      </c>
      <c r="F23" s="66">
        <v>17.607600000000001</v>
      </c>
      <c r="G23" s="66">
        <v>0</v>
      </c>
      <c r="H23" s="66">
        <v>32.762799999999999</v>
      </c>
    </row>
    <row r="24" spans="1:8">
      <c r="A24" s="66" t="s">
        <v>401</v>
      </c>
      <c r="B24" s="66">
        <v>2.73745E-2</v>
      </c>
      <c r="C24" s="66">
        <v>7.9587199999999997E-2</v>
      </c>
      <c r="D24" s="66">
        <v>2.9073500000000001</v>
      </c>
      <c r="E24" s="66">
        <v>0</v>
      </c>
      <c r="F24" s="66">
        <v>2.68034E-4</v>
      </c>
      <c r="G24" s="66">
        <v>0</v>
      </c>
      <c r="H24" s="66">
        <v>0.44788499999999998</v>
      </c>
    </row>
    <row r="25" spans="1:8">
      <c r="A25" s="66" t="s">
        <v>377</v>
      </c>
      <c r="B25" s="66">
        <v>0.234398</v>
      </c>
      <c r="C25" s="66">
        <v>0.73306000000000004</v>
      </c>
      <c r="D25" s="66">
        <v>3.1274199999999999</v>
      </c>
      <c r="E25" s="66">
        <v>0</v>
      </c>
      <c r="F25" s="66">
        <v>0.123233</v>
      </c>
      <c r="G25" s="66">
        <v>0</v>
      </c>
      <c r="H25" s="66">
        <v>2.6728100000000001</v>
      </c>
    </row>
    <row r="26" spans="1:8">
      <c r="A26" s="66" t="s">
        <v>378</v>
      </c>
      <c r="B26" s="66">
        <v>1.6363599999999999E-3</v>
      </c>
      <c r="C26" s="66">
        <v>1.1764800000000001E-2</v>
      </c>
      <c r="D26" s="66">
        <v>7.1896500000000003</v>
      </c>
      <c r="E26" s="66">
        <v>0</v>
      </c>
      <c r="F26" s="196">
        <v>6.5651299999999996E-6</v>
      </c>
      <c r="G26" s="66">
        <v>0</v>
      </c>
      <c r="H26" s="66">
        <v>6.6708199999999995E-2</v>
      </c>
    </row>
    <row r="27" spans="1:8">
      <c r="A27" s="66" t="s">
        <v>379</v>
      </c>
      <c r="B27" s="196">
        <v>-3.28256E-5</v>
      </c>
      <c r="C27" s="66">
        <v>3.7593499999999998E-3</v>
      </c>
      <c r="D27" s="66">
        <v>-114.52500000000001</v>
      </c>
      <c r="E27" s="66">
        <v>0</v>
      </c>
      <c r="F27" s="66">
        <v>-2.0719499999999998E-2</v>
      </c>
      <c r="G27" s="66">
        <v>0</v>
      </c>
      <c r="H27" s="66">
        <v>2.06736E-2</v>
      </c>
    </row>
    <row r="28" spans="1:8">
      <c r="A28" s="66" t="s">
        <v>380</v>
      </c>
      <c r="B28" s="66">
        <v>2.5434600000000002E-2</v>
      </c>
      <c r="C28" s="66">
        <v>5.3483099999999999E-2</v>
      </c>
      <c r="D28" s="66">
        <v>2.10277</v>
      </c>
      <c r="E28" s="66">
        <v>0</v>
      </c>
      <c r="F28" s="66">
        <v>7.7474E-4</v>
      </c>
      <c r="G28" s="66">
        <v>0</v>
      </c>
      <c r="H28" s="66">
        <v>0.215446</v>
      </c>
    </row>
    <row r="29" spans="1:8">
      <c r="A29" s="66" t="s">
        <v>381</v>
      </c>
      <c r="B29" s="66">
        <v>81.683899999999994</v>
      </c>
      <c r="C29" s="66">
        <v>12.039199999999999</v>
      </c>
      <c r="D29" s="66">
        <v>0.14738799999999999</v>
      </c>
      <c r="E29" s="66">
        <v>0</v>
      </c>
      <c r="F29" s="66">
        <v>50.7928</v>
      </c>
      <c r="G29" s="66">
        <v>0</v>
      </c>
      <c r="H29" s="66">
        <v>108.789</v>
      </c>
    </row>
    <row r="30" spans="1:8">
      <c r="A30" s="66" t="s">
        <v>382</v>
      </c>
      <c r="B30" s="66">
        <v>31.6997</v>
      </c>
      <c r="C30" s="66">
        <v>4.3384200000000002</v>
      </c>
      <c r="D30" s="66">
        <v>0.13686000000000001</v>
      </c>
      <c r="E30" s="66">
        <v>0</v>
      </c>
      <c r="F30" s="66">
        <v>21.159500000000001</v>
      </c>
      <c r="G30" s="66">
        <v>0</v>
      </c>
      <c r="H30" s="66">
        <v>35.582000000000001</v>
      </c>
    </row>
    <row r="31" spans="1:8">
      <c r="A31" s="66" t="s">
        <v>383</v>
      </c>
      <c r="B31" s="66">
        <v>538.95799999999997</v>
      </c>
      <c r="C31" s="66">
        <v>60.933900000000001</v>
      </c>
      <c r="D31" s="66">
        <v>0.11305900000000001</v>
      </c>
      <c r="E31" s="66">
        <v>0</v>
      </c>
      <c r="F31" s="66">
        <v>365.03300000000002</v>
      </c>
      <c r="G31" s="66">
        <v>0</v>
      </c>
      <c r="H31" s="66">
        <v>589.053</v>
      </c>
    </row>
    <row r="32" spans="1:8">
      <c r="A32" s="66" t="s">
        <v>384</v>
      </c>
      <c r="B32" s="66">
        <v>0.34148800000000001</v>
      </c>
      <c r="C32" s="66">
        <v>0.11548700000000001</v>
      </c>
      <c r="D32" s="66">
        <v>0.33818599999999999</v>
      </c>
      <c r="E32" s="66">
        <v>0.15</v>
      </c>
      <c r="F32" s="66">
        <v>6.5014600000000006E-2</v>
      </c>
      <c r="G32" s="66">
        <v>0.4</v>
      </c>
      <c r="H32" s="66">
        <v>0.39967399999999997</v>
      </c>
    </row>
    <row r="33" spans="1:8">
      <c r="A33" s="66" t="s">
        <v>385</v>
      </c>
      <c r="B33" s="66">
        <v>0.33965400000000001</v>
      </c>
      <c r="C33" s="66">
        <v>3.5105400000000002E-2</v>
      </c>
      <c r="D33" s="66">
        <v>0.103356</v>
      </c>
      <c r="E33" s="66">
        <v>0</v>
      </c>
      <c r="F33" s="66">
        <v>0.30062699999999998</v>
      </c>
      <c r="G33" s="66">
        <v>0</v>
      </c>
      <c r="H33" s="66">
        <v>0.47020499999999998</v>
      </c>
    </row>
    <row r="34" spans="1:8">
      <c r="A34" s="66" t="s">
        <v>386</v>
      </c>
      <c r="B34" s="66">
        <v>0.21310100000000001</v>
      </c>
      <c r="C34" s="66">
        <v>4.2676499999999999E-2</v>
      </c>
      <c r="D34" s="66">
        <v>0.200264</v>
      </c>
      <c r="E34" s="66">
        <v>0.1</v>
      </c>
      <c r="F34" s="66">
        <v>0.151592</v>
      </c>
      <c r="G34" s="66">
        <v>0.25</v>
      </c>
      <c r="H34" s="66">
        <v>0.36821300000000001</v>
      </c>
    </row>
    <row r="35" spans="1:8">
      <c r="A35" s="66" t="s">
        <v>387</v>
      </c>
      <c r="B35" s="66">
        <v>8.5773299999999997E-2</v>
      </c>
      <c r="C35" s="66">
        <v>2.7056500000000001E-2</v>
      </c>
      <c r="D35" s="66">
        <v>0.315442</v>
      </c>
      <c r="E35" s="66">
        <v>0</v>
      </c>
      <c r="F35" s="66">
        <v>4.2781699999999999E-2</v>
      </c>
      <c r="G35" s="66">
        <v>0</v>
      </c>
      <c r="H35" s="66">
        <v>0.153723</v>
      </c>
    </row>
    <row r="36" spans="1:8">
      <c r="A36" s="66" t="s">
        <v>388</v>
      </c>
      <c r="B36" s="66">
        <v>0.17039599999999999</v>
      </c>
      <c r="C36" s="66">
        <v>0.10710699999999999</v>
      </c>
      <c r="D36" s="66">
        <v>0.62857600000000002</v>
      </c>
      <c r="E36" s="66">
        <v>0</v>
      </c>
      <c r="F36" s="66">
        <v>3.8383500000000001E-2</v>
      </c>
      <c r="G36" s="66">
        <v>0</v>
      </c>
      <c r="H36" s="66">
        <v>0.53988400000000003</v>
      </c>
    </row>
    <row r="37" spans="1:8">
      <c r="A37" s="66" t="s">
        <v>389</v>
      </c>
      <c r="B37" s="66">
        <v>0.42676599999999998</v>
      </c>
      <c r="C37" s="66">
        <v>0.13103600000000001</v>
      </c>
      <c r="D37" s="66">
        <v>0.30704399999999998</v>
      </c>
      <c r="E37" s="66">
        <v>0.1</v>
      </c>
      <c r="F37" s="66">
        <v>2.528E-2</v>
      </c>
      <c r="G37" s="66">
        <v>0.5</v>
      </c>
      <c r="H37" s="66">
        <v>0.44408199999999998</v>
      </c>
    </row>
    <row r="38" spans="1:8">
      <c r="A38" s="66" t="s">
        <v>390</v>
      </c>
      <c r="B38" s="66">
        <v>-12.572699999999999</v>
      </c>
      <c r="C38" s="66">
        <v>63.5197</v>
      </c>
      <c r="D38" s="66">
        <v>-5.0522</v>
      </c>
      <c r="E38" s="66">
        <v>0</v>
      </c>
      <c r="F38" s="66">
        <v>-138.68100000000001</v>
      </c>
      <c r="G38" s="66">
        <v>0</v>
      </c>
      <c r="H38" s="66">
        <v>317.03300000000002</v>
      </c>
    </row>
    <row r="39" spans="1:8">
      <c r="A39" s="66" t="s">
        <v>391</v>
      </c>
      <c r="B39" s="66">
        <v>-4.90707</v>
      </c>
      <c r="C39" s="66">
        <v>3.88123</v>
      </c>
      <c r="D39" s="66">
        <v>-0.79094799999999998</v>
      </c>
      <c r="E39" s="66">
        <v>0</v>
      </c>
      <c r="F39" s="66">
        <v>-16.9603</v>
      </c>
      <c r="G39" s="66">
        <v>0</v>
      </c>
      <c r="H39" s="66">
        <v>2.5014099999999999</v>
      </c>
    </row>
    <row r="40" spans="1:8">
      <c r="A40" s="66" t="s">
        <v>392</v>
      </c>
      <c r="B40" s="66">
        <v>-1.77755</v>
      </c>
      <c r="C40" s="66">
        <v>0.61385699999999999</v>
      </c>
      <c r="D40" s="66">
        <v>-0.34533799999999998</v>
      </c>
      <c r="E40" s="66">
        <v>0</v>
      </c>
      <c r="F40" s="66">
        <v>-2.9933700000000001</v>
      </c>
      <c r="G40" s="66">
        <v>0</v>
      </c>
      <c r="H40" s="66">
        <v>-1.1655</v>
      </c>
    </row>
    <row r="41" spans="1:8">
      <c r="A41" s="66" t="s">
        <v>393</v>
      </c>
      <c r="B41" s="66">
        <v>-7.3244400000000001E-2</v>
      </c>
      <c r="C41" s="66">
        <v>0.27828199999999997</v>
      </c>
      <c r="D41" s="66">
        <v>-3.7993600000000001</v>
      </c>
      <c r="E41" s="66">
        <v>0</v>
      </c>
      <c r="F41" s="66">
        <v>-0.84967300000000001</v>
      </c>
      <c r="G41" s="66">
        <v>0</v>
      </c>
      <c r="H41" s="66">
        <v>1</v>
      </c>
    </row>
    <row r="42" spans="1:8">
      <c r="A42" s="66" t="s">
        <v>394</v>
      </c>
      <c r="B42" s="66">
        <v>-6.4430899999999999E-2</v>
      </c>
      <c r="C42" s="66">
        <v>6.3331100000000001E-2</v>
      </c>
      <c r="D42" s="66">
        <v>-0.98292999999999997</v>
      </c>
      <c r="E42" s="66">
        <v>0</v>
      </c>
      <c r="F42" s="66">
        <v>-0.20211899999999999</v>
      </c>
      <c r="G42" s="66">
        <v>0</v>
      </c>
      <c r="H42" s="66">
        <v>8.0711400000000003E-2</v>
      </c>
    </row>
    <row r="43" spans="1:8">
      <c r="A43" s="66" t="s">
        <v>395</v>
      </c>
      <c r="B43" s="66">
        <v>-4.1247100000000002E-2</v>
      </c>
      <c r="C43" s="66">
        <v>2.6297399999999999E-2</v>
      </c>
      <c r="D43" s="66">
        <v>-0.63755899999999999</v>
      </c>
      <c r="E43" s="66">
        <v>0</v>
      </c>
      <c r="F43" s="66">
        <v>-9.4309900000000002E-2</v>
      </c>
      <c r="G43" s="66">
        <v>0</v>
      </c>
      <c r="H43" s="66">
        <v>1.46077E-2</v>
      </c>
    </row>
    <row r="44" spans="1:8">
      <c r="A44" s="66" t="s">
        <v>396</v>
      </c>
      <c r="B44" s="66">
        <v>1.2727999999999999</v>
      </c>
      <c r="C44" s="66">
        <v>16.0426</v>
      </c>
      <c r="D44" s="66">
        <v>12.604200000000001</v>
      </c>
      <c r="E44" s="66">
        <v>0</v>
      </c>
      <c r="F44" s="66">
        <v>-37.748399999999997</v>
      </c>
      <c r="G44" s="66">
        <v>0</v>
      </c>
      <c r="H44" s="66">
        <v>21.717300000000002</v>
      </c>
    </row>
    <row r="45" spans="1:8">
      <c r="A45" s="66" t="s">
        <v>397</v>
      </c>
      <c r="B45" s="66">
        <v>48.254199999999997</v>
      </c>
      <c r="C45" s="66">
        <v>6.3899499999999998</v>
      </c>
      <c r="D45" s="66">
        <v>0.13242200000000001</v>
      </c>
      <c r="E45" s="66">
        <v>0</v>
      </c>
      <c r="F45" s="66">
        <v>35.695799999999998</v>
      </c>
      <c r="G45" s="66">
        <v>0</v>
      </c>
      <c r="H45" s="66">
        <v>68.010800000000003</v>
      </c>
    </row>
    <row r="46" spans="1:8">
      <c r="A46" s="66" t="s">
        <v>398</v>
      </c>
      <c r="B46" s="66">
        <v>35.721499999999999</v>
      </c>
      <c r="C46" s="66">
        <v>2.5712799999999998</v>
      </c>
      <c r="D46" s="66">
        <v>7.1981299999999998E-2</v>
      </c>
      <c r="E46" s="66">
        <v>0</v>
      </c>
      <c r="F46" s="66">
        <v>29.1448</v>
      </c>
      <c r="G46" s="66">
        <v>0</v>
      </c>
      <c r="H46" s="66">
        <v>38.532200000000003</v>
      </c>
    </row>
    <row r="47" spans="1:8">
      <c r="A47" s="66" t="s">
        <v>399</v>
      </c>
      <c r="B47" s="66">
        <v>1.30287</v>
      </c>
      <c r="C47" s="66">
        <v>1.8188800000000001</v>
      </c>
      <c r="D47" s="66">
        <v>1.39605</v>
      </c>
      <c r="E47" s="66">
        <v>0</v>
      </c>
      <c r="F47" s="66">
        <v>0.52803699999999998</v>
      </c>
      <c r="G47" s="66">
        <v>0</v>
      </c>
      <c r="H47" s="66">
        <v>8.6840399999999995</v>
      </c>
    </row>
    <row r="48" spans="1:8">
      <c r="A48" s="66" t="s">
        <v>400</v>
      </c>
      <c r="B48" s="66">
        <v>0.60480500000000004</v>
      </c>
      <c r="C48" s="66">
        <v>0.143289</v>
      </c>
      <c r="D48" s="66">
        <v>0.23691799999999999</v>
      </c>
      <c r="E48" s="66">
        <v>0</v>
      </c>
      <c r="F48" s="66">
        <v>0.48730200000000001</v>
      </c>
      <c r="G48" s="66">
        <v>0</v>
      </c>
      <c r="H48" s="66">
        <v>0.96128199999999997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93.691563387276346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1.808948941555099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0.74872074164423297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4364</v>
      </c>
      <c r="B8" s="66">
        <v>4364</v>
      </c>
      <c r="D8">
        <f t="shared" si="0"/>
        <v>2.3870865400920045E-2</v>
      </c>
      <c r="E8">
        <f t="shared" si="0"/>
        <v>2.3870865400920045E-2</v>
      </c>
      <c r="G8">
        <f t="shared" ca="1" si="1"/>
        <v>6</v>
      </c>
      <c r="H8">
        <f t="shared" ca="1" si="2"/>
        <v>0.14322519240552029</v>
      </c>
      <c r="I8">
        <f t="shared" ca="1" si="3"/>
        <v>183.56242637460267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5964</v>
      </c>
      <c r="B10" s="66">
        <v>5964</v>
      </c>
      <c r="D10">
        <f t="shared" si="0"/>
        <v>3.2622786721147379E-2</v>
      </c>
      <c r="E10">
        <f t="shared" si="0"/>
        <v>3.2622786721147379E-2</v>
      </c>
      <c r="G10">
        <f t="shared" ca="1" si="1"/>
        <v>8</v>
      </c>
      <c r="H10">
        <f t="shared" ca="1" si="2"/>
        <v>0.26098229376917903</v>
      </c>
      <c r="I10">
        <f t="shared" ca="1" si="3"/>
        <v>239.55055946244823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5932</v>
      </c>
      <c r="B13" s="66">
        <v>5932</v>
      </c>
      <c r="D13">
        <f t="shared" si="0"/>
        <v>3.2447748294742833E-2</v>
      </c>
      <c r="E13">
        <f t="shared" si="0"/>
        <v>3.2447748294742833E-2</v>
      </c>
      <c r="G13">
        <f t="shared" ca="1" si="1"/>
        <v>11</v>
      </c>
      <c r="H13">
        <f t="shared" ca="1" si="2"/>
        <v>0.35692523124217118</v>
      </c>
      <c r="I13">
        <f t="shared" ca="1" si="3"/>
        <v>221.87428464542293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10239</v>
      </c>
      <c r="B15" s="66">
        <v>10239</v>
      </c>
      <c r="D15">
        <f t="shared" si="0"/>
        <v>5.6006826498629779E-2</v>
      </c>
      <c r="E15">
        <f t="shared" si="0"/>
        <v>5.6006826498629779E-2</v>
      </c>
      <c r="G15">
        <f t="shared" ca="1" si="1"/>
        <v>13</v>
      </c>
      <c r="H15">
        <f t="shared" ca="1" si="2"/>
        <v>0.72808874448218708</v>
      </c>
      <c r="I15">
        <f t="shared" ca="1" si="3"/>
        <v>364.6676387145526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12856</v>
      </c>
      <c r="B18" s="66">
        <v>12856</v>
      </c>
      <c r="D18">
        <f t="shared" si="0"/>
        <v>7.0321687808026612E-2</v>
      </c>
      <c r="E18">
        <f t="shared" si="0"/>
        <v>7.0321687808026612E-2</v>
      </c>
      <c r="G18">
        <f t="shared" ca="1" si="1"/>
        <v>16</v>
      </c>
      <c r="H18">
        <f t="shared" ca="1" si="2"/>
        <v>1.1251470049284258</v>
      </c>
      <c r="I18">
        <f t="shared" ca="1" si="3"/>
        <v>424.46023236988248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22852</v>
      </c>
      <c r="B21" s="66">
        <v>22852</v>
      </c>
      <c r="D21">
        <f t="shared" si="0"/>
        <v>0.12499931625614685</v>
      </c>
      <c r="E21">
        <f t="shared" si="0"/>
        <v>0.12499931625614685</v>
      </c>
      <c r="G21">
        <f t="shared" ca="1" si="1"/>
        <v>19</v>
      </c>
      <c r="H21">
        <f t="shared" ca="1" si="2"/>
        <v>2.3749870088667904</v>
      </c>
      <c r="I21">
        <f t="shared" ca="1" si="3"/>
        <v>697.34989066396508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26964</v>
      </c>
      <c r="B23" s="66">
        <v>26964</v>
      </c>
      <c r="D23">
        <f t="shared" si="0"/>
        <v>0.14749175404913109</v>
      </c>
      <c r="E23">
        <f t="shared" si="0"/>
        <v>0.14749175404913109</v>
      </c>
      <c r="G23">
        <f t="shared" ca="1" si="1"/>
        <v>21</v>
      </c>
      <c r="H23">
        <f t="shared" ca="1" si="2"/>
        <v>3.0973268350317529</v>
      </c>
      <c r="I23">
        <f t="shared" ca="1" si="3"/>
        <v>779.35577755666316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38126</v>
      </c>
      <c r="B26" s="66">
        <v>38126</v>
      </c>
      <c r="D26">
        <f t="shared" si="0"/>
        <v>0.20854734515936701</v>
      </c>
      <c r="E26">
        <f t="shared" si="0"/>
        <v>0.20854734515936701</v>
      </c>
      <c r="G26">
        <f t="shared" ca="1" si="1"/>
        <v>24</v>
      </c>
      <c r="H26">
        <f t="shared" ca="1" si="2"/>
        <v>5.0051362838248084</v>
      </c>
      <c r="I26">
        <f t="shared" ca="1" si="3"/>
        <v>1012.8965219028453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47020</v>
      </c>
      <c r="B28" s="66">
        <v>47020</v>
      </c>
      <c r="D28">
        <f t="shared" si="0"/>
        <v>0.25719708779818068</v>
      </c>
      <c r="E28">
        <f t="shared" si="0"/>
        <v>0.25719708779818068</v>
      </c>
      <c r="G28">
        <f t="shared" ca="1" si="1"/>
        <v>26</v>
      </c>
      <c r="H28">
        <f t="shared" ca="1" si="2"/>
        <v>6.6871242827526975</v>
      </c>
      <c r="I28">
        <f t="shared" ca="1" si="3"/>
        <v>1178.5150581418461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49258</v>
      </c>
      <c r="B31" s="66">
        <v>49258</v>
      </c>
      <c r="D31">
        <f t="shared" si="0"/>
        <v>0.26943883774484867</v>
      </c>
      <c r="E31">
        <f t="shared" si="0"/>
        <v>0.26943883774484867</v>
      </c>
      <c r="G31">
        <f t="shared" ca="1" si="1"/>
        <v>29</v>
      </c>
      <c r="H31">
        <f t="shared" ca="1" si="2"/>
        <v>7.8137262946006114</v>
      </c>
      <c r="I31">
        <f t="shared" ca="1" si="3"/>
        <v>1127.6010977172259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64541</v>
      </c>
      <c r="B33" s="66">
        <v>64541</v>
      </c>
      <c r="D33">
        <f t="shared" si="0"/>
        <v>0.35303609620549509</v>
      </c>
      <c r="E33">
        <f t="shared" si="0"/>
        <v>0.35303609620549509</v>
      </c>
      <c r="G33">
        <f t="shared" ca="1" si="1"/>
        <v>31</v>
      </c>
      <c r="H33">
        <f t="shared" ca="1" si="2"/>
        <v>10.944118982370348</v>
      </c>
      <c r="I33">
        <f t="shared" ca="1" si="3"/>
        <v>1387.5138048053782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64144</v>
      </c>
      <c r="B36" s="66">
        <v>64144</v>
      </c>
      <c r="D36">
        <f t="shared" si="0"/>
        <v>0.35086452572791371</v>
      </c>
      <c r="E36">
        <f t="shared" si="0"/>
        <v>0.35086452572791371</v>
      </c>
      <c r="G36">
        <f t="shared" ca="1" si="1"/>
        <v>34</v>
      </c>
      <c r="H36">
        <f t="shared" ca="1" si="2"/>
        <v>11.929393874749067</v>
      </c>
      <c r="I36">
        <f t="shared" ca="1" si="3"/>
        <v>1250.1593355651148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76639</v>
      </c>
      <c r="B39" s="66">
        <v>76639</v>
      </c>
      <c r="D39">
        <f t="shared" si="0"/>
        <v>0.41921156128806403</v>
      </c>
      <c r="E39">
        <f t="shared" si="0"/>
        <v>0.41921156128806403</v>
      </c>
      <c r="G39">
        <f t="shared" ca="1" si="1"/>
        <v>37</v>
      </c>
      <c r="H39">
        <f t="shared" ca="1" si="2"/>
        <v>15.51082776765837</v>
      </c>
      <c r="I39">
        <f t="shared" ca="1" si="3"/>
        <v>1347.3180214252507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85824</v>
      </c>
      <c r="B41" s="66">
        <v>85824</v>
      </c>
      <c r="D41">
        <f t="shared" si="0"/>
        <v>0.46945305961699402</v>
      </c>
      <c r="E41">
        <f t="shared" si="0"/>
        <v>0.46945305961699402</v>
      </c>
      <c r="G41">
        <f t="shared" ca="1" si="1"/>
        <v>39</v>
      </c>
      <c r="H41">
        <f t="shared" ca="1" si="2"/>
        <v>18.308669325062766</v>
      </c>
      <c r="I41">
        <f t="shared" ca="1" si="3"/>
        <v>1404.2125496174485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92488</v>
      </c>
      <c r="B44" s="66">
        <v>92488</v>
      </c>
      <c r="D44">
        <f t="shared" si="0"/>
        <v>0.50590481191574088</v>
      </c>
      <c r="E44">
        <f t="shared" si="0"/>
        <v>0.50590481191574088</v>
      </c>
      <c r="G44">
        <f t="shared" ca="1" si="1"/>
        <v>42</v>
      </c>
      <c r="H44">
        <f t="shared" ca="1" si="2"/>
        <v>21.248002100461118</v>
      </c>
      <c r="I44">
        <f t="shared" ca="1" si="3"/>
        <v>1351.7866248145399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104383</v>
      </c>
      <c r="B46" s="66">
        <v>104383</v>
      </c>
      <c r="D46">
        <f t="shared" si="0"/>
        <v>0.57096987698080592</v>
      </c>
      <c r="E46">
        <f t="shared" si="0"/>
        <v>0.57096987698080592</v>
      </c>
      <c r="G46">
        <f t="shared" ca="1" si="1"/>
        <v>44</v>
      </c>
      <c r="H46">
        <f t="shared" ca="1" si="2"/>
        <v>25.122674587155462</v>
      </c>
      <c r="I46">
        <f t="shared" ca="1" si="3"/>
        <v>1409.8682091292601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110714</v>
      </c>
      <c r="B49" s="66">
        <v>110714</v>
      </c>
      <c r="D49">
        <f t="shared" si="0"/>
        <v>0.60560013565478044</v>
      </c>
      <c r="E49">
        <f t="shared" si="0"/>
        <v>0.60560013565478044</v>
      </c>
      <c r="G49">
        <f t="shared" ca="1" si="1"/>
        <v>47</v>
      </c>
      <c r="H49">
        <f t="shared" ca="1" si="2"/>
        <v>28.463206375774682</v>
      </c>
      <c r="I49">
        <f t="shared" ca="1" si="3"/>
        <v>1320.2701223827664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119636</v>
      </c>
      <c r="B51" s="66">
        <v>119636</v>
      </c>
      <c r="D51">
        <f t="shared" si="0"/>
        <v>0.6544030369166981</v>
      </c>
      <c r="E51">
        <f t="shared" si="0"/>
        <v>0.6544030369166981</v>
      </c>
      <c r="G51">
        <f t="shared" ca="1" si="1"/>
        <v>49</v>
      </c>
      <c r="H51">
        <f t="shared" ca="1" si="2"/>
        <v>32.065748808918208</v>
      </c>
      <c r="I51">
        <f t="shared" ca="1" si="3"/>
        <v>1307.0626381290642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119433</v>
      </c>
      <c r="B54" s="66">
        <v>119433</v>
      </c>
      <c r="D54">
        <f t="shared" si="0"/>
        <v>0.65329263689919426</v>
      </c>
      <c r="E54">
        <f t="shared" si="0"/>
        <v>0.65329263689919426</v>
      </c>
      <c r="G54">
        <f t="shared" ca="1" si="1"/>
        <v>52</v>
      </c>
      <c r="H54">
        <f t="shared" ca="1" si="2"/>
        <v>33.971217118758105</v>
      </c>
      <c r="I54">
        <f t="shared" ca="1" si="3"/>
        <v>1135.5444143571544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124082</v>
      </c>
      <c r="B57" s="66">
        <v>124082</v>
      </c>
      <c r="D57">
        <f t="shared" si="0"/>
        <v>0.67872243828527978</v>
      </c>
      <c r="E57">
        <f t="shared" si="0"/>
        <v>0.67872243828527978</v>
      </c>
      <c r="G57">
        <f t="shared" ca="1" si="1"/>
        <v>55</v>
      </c>
      <c r="H57">
        <f t="shared" ca="1" si="2"/>
        <v>37.329734105690385</v>
      </c>
      <c r="I57">
        <f t="shared" ca="1" si="3"/>
        <v>1016.0726553435629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131321</v>
      </c>
      <c r="B59" s="66">
        <v>131321</v>
      </c>
      <c r="D59">
        <f t="shared" si="0"/>
        <v>0.7183194123084834</v>
      </c>
      <c r="E59">
        <f t="shared" si="0"/>
        <v>0.7183194123084834</v>
      </c>
      <c r="G59">
        <f t="shared" ca="1" si="1"/>
        <v>57</v>
      </c>
      <c r="H59">
        <f t="shared" ca="1" si="2"/>
        <v>40.944206501583551</v>
      </c>
      <c r="I59">
        <f t="shared" ca="1" si="3"/>
        <v>967.05246696188271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131518</v>
      </c>
      <c r="B62" s="66">
        <v>131518</v>
      </c>
      <c r="D62">
        <f t="shared" si="0"/>
        <v>0.71939699262103629</v>
      </c>
      <c r="E62">
        <f t="shared" si="0"/>
        <v>0.71939699262103629</v>
      </c>
      <c r="G62">
        <f t="shared" ca="1" si="1"/>
        <v>60</v>
      </c>
      <c r="H62">
        <f t="shared" ca="1" si="2"/>
        <v>43.16381955726218</v>
      </c>
      <c r="I62">
        <f t="shared" ca="1" si="3"/>
        <v>816.6029526983416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145393</v>
      </c>
      <c r="B64" s="66">
        <v>145393</v>
      </c>
      <c r="D64">
        <f t="shared" si="0"/>
        <v>0.79529256031988271</v>
      </c>
      <c r="E64">
        <f t="shared" si="0"/>
        <v>0.79529256031988271</v>
      </c>
      <c r="G64">
        <f t="shared" ca="1" si="1"/>
        <v>62</v>
      </c>
      <c r="H64">
        <f t="shared" ca="1" si="2"/>
        <v>49.308138739832728</v>
      </c>
      <c r="I64">
        <f t="shared" ca="1" si="3"/>
        <v>798.75621046979666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144582</v>
      </c>
      <c r="B67" s="66">
        <v>144582</v>
      </c>
      <c r="D67">
        <f t="shared" ref="D67:E130" si="4">IFERROR( A67/MAX(A$2:A$257), 0 )</f>
        <v>0.79085643020069252</v>
      </c>
      <c r="E67">
        <f t="shared" si="4"/>
        <v>0.79085643020069252</v>
      </c>
      <c r="G67">
        <f t="shared" ref="G67:G130" ca="1" si="5">CELL("row",D67)-2</f>
        <v>65</v>
      </c>
      <c r="H67">
        <f t="shared" ref="H67:H130" ca="1" si="6">D67*G67</f>
        <v>51.405667963045012</v>
      </c>
      <c r="I67">
        <f t="shared" ref="I67:I130" ca="1" si="7">D67*((G67-$L$1)^2)</f>
        <v>651.0376079055485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166277</v>
      </c>
      <c r="B69" s="66">
        <v>166277</v>
      </c>
      <c r="D69">
        <f t="shared" si="4"/>
        <v>0.90952701335214992</v>
      </c>
      <c r="E69">
        <f t="shared" si="4"/>
        <v>0.90952701335214992</v>
      </c>
      <c r="G69">
        <f t="shared" ca="1" si="5"/>
        <v>67</v>
      </c>
      <c r="H69">
        <f t="shared" ca="1" si="6"/>
        <v>60.938309894594042</v>
      </c>
      <c r="I69">
        <f t="shared" ca="1" si="7"/>
        <v>647.98302161444678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162487</v>
      </c>
      <c r="B72" s="66">
        <v>162487</v>
      </c>
      <c r="D72">
        <f t="shared" si="4"/>
        <v>0.8887958997248615</v>
      </c>
      <c r="E72">
        <f t="shared" si="4"/>
        <v>0.8887958997248615</v>
      </c>
      <c r="G72">
        <f t="shared" ca="1" si="5"/>
        <v>70</v>
      </c>
      <c r="H72">
        <f t="shared" ca="1" si="6"/>
        <v>62.215712980740307</v>
      </c>
      <c r="I72">
        <f t="shared" ca="1" si="7"/>
        <v>498.87240674763336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179674</v>
      </c>
      <c r="B75" s="66">
        <v>179674</v>
      </c>
      <c r="D75">
        <f t="shared" si="4"/>
        <v>0.98280794455657838</v>
      </c>
      <c r="E75">
        <f t="shared" si="4"/>
        <v>0.98280794455657838</v>
      </c>
      <c r="G75">
        <f t="shared" ca="1" si="5"/>
        <v>73</v>
      </c>
      <c r="H75">
        <f t="shared" ca="1" si="6"/>
        <v>71.744979952630217</v>
      </c>
      <c r="I75">
        <f t="shared" ca="1" si="7"/>
        <v>420.7801751174012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178648</v>
      </c>
      <c r="B77" s="66">
        <v>178648</v>
      </c>
      <c r="D77">
        <f t="shared" si="4"/>
        <v>0.97719577500998267</v>
      </c>
      <c r="E77">
        <f t="shared" si="4"/>
        <v>0.97719577500998267</v>
      </c>
      <c r="G77">
        <f t="shared" ca="1" si="5"/>
        <v>75</v>
      </c>
      <c r="H77">
        <f t="shared" ca="1" si="6"/>
        <v>73.289683125748695</v>
      </c>
      <c r="I77">
        <f t="shared" ca="1" si="7"/>
        <v>341.40732620219694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179731</v>
      </c>
      <c r="B80" s="66">
        <v>179731</v>
      </c>
      <c r="D80">
        <f t="shared" si="4"/>
        <v>0.98311973175361156</v>
      </c>
      <c r="E80">
        <f t="shared" si="4"/>
        <v>0.98311973175361156</v>
      </c>
      <c r="G80">
        <f t="shared" ca="1" si="5"/>
        <v>78</v>
      </c>
      <c r="H80">
        <f t="shared" ca="1" si="6"/>
        <v>76.683339076781706</v>
      </c>
      <c r="I80">
        <f t="shared" ca="1" si="7"/>
        <v>242.06881476115811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178327</v>
      </c>
      <c r="B82" s="66">
        <v>178327</v>
      </c>
      <c r="D82">
        <f t="shared" si="4"/>
        <v>0.9754399207951121</v>
      </c>
      <c r="E82">
        <f t="shared" si="4"/>
        <v>0.9754399207951121</v>
      </c>
      <c r="G82">
        <f t="shared" ca="1" si="5"/>
        <v>80</v>
      </c>
      <c r="H82">
        <f t="shared" ca="1" si="6"/>
        <v>78.035193663608965</v>
      </c>
      <c r="I82">
        <f t="shared" ca="1" si="7"/>
        <v>182.85490235996383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182817</v>
      </c>
      <c r="B85" s="66">
        <v>182817</v>
      </c>
      <c r="D85">
        <f t="shared" si="4"/>
        <v>1</v>
      </c>
      <c r="E85">
        <f t="shared" si="4"/>
        <v>1</v>
      </c>
      <c r="G85">
        <f t="shared" ca="1" si="5"/>
        <v>83</v>
      </c>
      <c r="H85">
        <f t="shared" ca="1" si="6"/>
        <v>83</v>
      </c>
      <c r="I85">
        <f t="shared" ca="1" si="7"/>
        <v>114.30952766414806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180019</v>
      </c>
      <c r="B88" s="66">
        <v>180019</v>
      </c>
      <c r="D88">
        <f t="shared" si="4"/>
        <v>0.98469507759125241</v>
      </c>
      <c r="E88">
        <f t="shared" si="4"/>
        <v>0.98469507759125241</v>
      </c>
      <c r="G88">
        <f t="shared" ca="1" si="5"/>
        <v>86</v>
      </c>
      <c r="H88">
        <f t="shared" ca="1" si="6"/>
        <v>84.683776672847713</v>
      </c>
      <c r="I88">
        <f t="shared" ca="1" si="7"/>
        <v>58.254705875753707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173433</v>
      </c>
      <c r="B90" s="66">
        <v>173433</v>
      </c>
      <c r="D90">
        <f t="shared" si="4"/>
        <v>0.94866998145686665</v>
      </c>
      <c r="E90">
        <f t="shared" si="4"/>
        <v>0.94866998145686665</v>
      </c>
      <c r="G90">
        <f t="shared" ca="1" si="5"/>
        <v>88</v>
      </c>
      <c r="H90">
        <f t="shared" ca="1" si="6"/>
        <v>83.482958368204265</v>
      </c>
      <c r="I90">
        <f t="shared" ca="1" si="7"/>
        <v>30.731114622388535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172693</v>
      </c>
      <c r="B93" s="66">
        <v>172693</v>
      </c>
      <c r="D93">
        <f t="shared" si="4"/>
        <v>0.94462221784626155</v>
      </c>
      <c r="E93">
        <f t="shared" si="4"/>
        <v>0.94462221784626155</v>
      </c>
      <c r="G93">
        <f t="shared" ca="1" si="5"/>
        <v>91</v>
      </c>
      <c r="H93">
        <f t="shared" ca="1" si="6"/>
        <v>85.960621824009806</v>
      </c>
      <c r="I93">
        <f t="shared" ca="1" si="7"/>
        <v>6.8433283791009369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172842</v>
      </c>
      <c r="B95" s="66">
        <v>172842</v>
      </c>
      <c r="D95">
        <f t="shared" si="4"/>
        <v>0.94543724051920774</v>
      </c>
      <c r="E95">
        <f t="shared" si="4"/>
        <v>0.94543724051920774</v>
      </c>
      <c r="G95">
        <f t="shared" ca="1" si="5"/>
        <v>93</v>
      </c>
      <c r="H95">
        <f t="shared" ca="1" si="6"/>
        <v>87.925663368286322</v>
      </c>
      <c r="I95">
        <f t="shared" ca="1" si="7"/>
        <v>0.45216473771210575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167666</v>
      </c>
      <c r="B98" s="66">
        <v>167666</v>
      </c>
      <c r="D98">
        <f t="shared" si="4"/>
        <v>0.91712477504827228</v>
      </c>
      <c r="E98">
        <f t="shared" si="4"/>
        <v>0.91712477504827228</v>
      </c>
      <c r="G98">
        <f t="shared" ca="1" si="5"/>
        <v>96</v>
      </c>
      <c r="H98">
        <f t="shared" ca="1" si="6"/>
        <v>88.043978404634146</v>
      </c>
      <c r="I98">
        <f t="shared" ca="1" si="7"/>
        <v>4.8872474997898205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157305</v>
      </c>
      <c r="B100" s="66">
        <v>157305</v>
      </c>
      <c r="D100">
        <f t="shared" si="4"/>
        <v>0.8604506145489752</v>
      </c>
      <c r="E100">
        <f t="shared" si="4"/>
        <v>0.8604506145489752</v>
      </c>
      <c r="G100">
        <f t="shared" ca="1" si="5"/>
        <v>98</v>
      </c>
      <c r="H100">
        <f t="shared" ca="1" si="6"/>
        <v>84.324160225799574</v>
      </c>
      <c r="I100">
        <f t="shared" ca="1" si="7"/>
        <v>15.972222988801045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159437</v>
      </c>
      <c r="B103" s="66">
        <v>159437</v>
      </c>
      <c r="D103">
        <f t="shared" si="4"/>
        <v>0.87211254970817809</v>
      </c>
      <c r="E103">
        <f t="shared" si="4"/>
        <v>0.87211254970817809</v>
      </c>
      <c r="G103">
        <f t="shared" ca="1" si="5"/>
        <v>101</v>
      </c>
      <c r="H103">
        <f t="shared" ca="1" si="6"/>
        <v>88.083367520525982</v>
      </c>
      <c r="I103">
        <f t="shared" ca="1" si="7"/>
        <v>46.582361914976921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161627</v>
      </c>
      <c r="B106" s="66">
        <v>161627</v>
      </c>
      <c r="D106">
        <f t="shared" si="4"/>
        <v>0.88409174201523932</v>
      </c>
      <c r="E106">
        <f t="shared" si="4"/>
        <v>0.88409174201523932</v>
      </c>
      <c r="G106">
        <f t="shared" ca="1" si="5"/>
        <v>104</v>
      </c>
      <c r="H106">
        <f t="shared" ca="1" si="6"/>
        <v>91.945541169584885</v>
      </c>
      <c r="I106">
        <f t="shared" ca="1" si="7"/>
        <v>93.947005873469479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181865</v>
      </c>
      <c r="B108" s="66">
        <v>181865</v>
      </c>
      <c r="D108">
        <f t="shared" si="4"/>
        <v>0.99479260681446469</v>
      </c>
      <c r="E108">
        <f t="shared" si="4"/>
        <v>0.99479260681446469</v>
      </c>
      <c r="G108">
        <f t="shared" ca="1" si="5"/>
        <v>106</v>
      </c>
      <c r="H108">
        <f t="shared" ca="1" si="6"/>
        <v>105.44801632233326</v>
      </c>
      <c r="I108">
        <f t="shared" ca="1" si="7"/>
        <v>150.70870421786648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172775</v>
      </c>
      <c r="B111" s="66">
        <v>172775</v>
      </c>
      <c r="D111">
        <f t="shared" si="4"/>
        <v>0.94507075381392325</v>
      </c>
      <c r="E111">
        <f t="shared" si="4"/>
        <v>0.94507075381392325</v>
      </c>
      <c r="G111">
        <f t="shared" ca="1" si="5"/>
        <v>109</v>
      </c>
      <c r="H111">
        <f t="shared" ca="1" si="6"/>
        <v>103.01271216571763</v>
      </c>
      <c r="I111">
        <f t="shared" ca="1" si="7"/>
        <v>221.47565982302686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169093</v>
      </c>
      <c r="B113" s="66">
        <v>169093</v>
      </c>
      <c r="D113">
        <f t="shared" si="4"/>
        <v>0.92493039487575002</v>
      </c>
      <c r="E113">
        <f t="shared" si="4"/>
        <v>0.92493039487575002</v>
      </c>
      <c r="G113">
        <f t="shared" ca="1" si="5"/>
        <v>111</v>
      </c>
      <c r="H113">
        <f t="shared" ca="1" si="6"/>
        <v>102.66727383120825</v>
      </c>
      <c r="I113">
        <f t="shared" ca="1" si="7"/>
        <v>277.09247718762208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159514</v>
      </c>
      <c r="B116" s="66">
        <v>159514</v>
      </c>
      <c r="D116">
        <f t="shared" si="4"/>
        <v>0.87253373592171402</v>
      </c>
      <c r="E116">
        <f t="shared" si="4"/>
        <v>0.87253373592171402</v>
      </c>
      <c r="G116">
        <f t="shared" ca="1" si="5"/>
        <v>114</v>
      </c>
      <c r="H116">
        <f t="shared" ca="1" si="6"/>
        <v>99.468845895075404</v>
      </c>
      <c r="I116">
        <f t="shared" ca="1" si="7"/>
        <v>359.86135524608193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155715</v>
      </c>
      <c r="B118" s="66">
        <v>155715</v>
      </c>
      <c r="D118">
        <f t="shared" si="4"/>
        <v>0.85175339273699935</v>
      </c>
      <c r="E118">
        <f t="shared" si="4"/>
        <v>0.85175339273699935</v>
      </c>
      <c r="G118">
        <f t="shared" ca="1" si="5"/>
        <v>116</v>
      </c>
      <c r="H118">
        <f t="shared" ca="1" si="6"/>
        <v>98.80339355749193</v>
      </c>
      <c r="I118">
        <f t="shared" ca="1" si="7"/>
        <v>423.88899704152362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150638</v>
      </c>
      <c r="B121" s="66">
        <v>150638</v>
      </c>
      <c r="D121">
        <f t="shared" si="4"/>
        <v>0.82398245239775292</v>
      </c>
      <c r="E121">
        <f t="shared" si="4"/>
        <v>0.82398245239775292</v>
      </c>
      <c r="G121">
        <f t="shared" ca="1" si="5"/>
        <v>119</v>
      </c>
      <c r="H121">
        <f t="shared" ca="1" si="6"/>
        <v>98.053911835332599</v>
      </c>
      <c r="I121">
        <f t="shared" ca="1" si="7"/>
        <v>527.774738618014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138090</v>
      </c>
      <c r="B124" s="66">
        <v>138090</v>
      </c>
      <c r="D124">
        <f t="shared" si="4"/>
        <v>0.75534550944387013</v>
      </c>
      <c r="E124">
        <f t="shared" si="4"/>
        <v>0.75534550944387013</v>
      </c>
      <c r="G124">
        <f t="shared" ca="1" si="5"/>
        <v>122</v>
      </c>
      <c r="H124">
        <f t="shared" ca="1" si="6"/>
        <v>92.152152152152155</v>
      </c>
      <c r="I124">
        <f t="shared" ca="1" si="7"/>
        <v>605.30940557782333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131578</v>
      </c>
      <c r="B126" s="66">
        <v>131578</v>
      </c>
      <c r="D126">
        <f t="shared" si="4"/>
        <v>0.71972518967054488</v>
      </c>
      <c r="E126">
        <f t="shared" si="4"/>
        <v>0.71972518967054488</v>
      </c>
      <c r="G126">
        <f t="shared" ca="1" si="5"/>
        <v>124</v>
      </c>
      <c r="H126">
        <f t="shared" ca="1" si="6"/>
        <v>89.245923519147567</v>
      </c>
      <c r="I126">
        <f t="shared" ca="1" si="7"/>
        <v>661.1405163992813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121354</v>
      </c>
      <c r="B129" s="66">
        <v>121354</v>
      </c>
      <c r="D129">
        <f t="shared" si="4"/>
        <v>0.66380041243429222</v>
      </c>
      <c r="E129">
        <f t="shared" si="4"/>
        <v>0.66380041243429222</v>
      </c>
      <c r="G129">
        <f t="shared" ca="1" si="5"/>
        <v>127</v>
      </c>
      <c r="H129">
        <f t="shared" ca="1" si="6"/>
        <v>84.302652379155106</v>
      </c>
      <c r="I129">
        <f t="shared" ca="1" si="7"/>
        <v>736.45466170977568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112964</v>
      </c>
      <c r="B131" s="66">
        <v>112964</v>
      </c>
      <c r="D131">
        <f t="shared" ref="D131:E194" si="8">IFERROR( A131/MAX(A$2:A$257), 0 )</f>
        <v>0.61790752501135016</v>
      </c>
      <c r="E131">
        <f t="shared" si="8"/>
        <v>0.61790752501135016</v>
      </c>
      <c r="G131">
        <f t="shared" ref="G131:G194" ca="1" si="9">CELL("row",D131)-2</f>
        <v>129</v>
      </c>
      <c r="H131">
        <f t="shared" ref="H131:H194" ca="1" si="10">D131*G131</f>
        <v>79.710070726464167</v>
      </c>
      <c r="I131">
        <f t="shared" ref="I131:I194" ca="1" si="11">D131*((G131-$L$1)^2)</f>
        <v>770.33647290386887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100757</v>
      </c>
      <c r="B134" s="66">
        <v>100757</v>
      </c>
      <c r="D134">
        <f t="shared" si="8"/>
        <v>0.5511358352888408</v>
      </c>
      <c r="E134">
        <f t="shared" si="8"/>
        <v>0.5511358352888408</v>
      </c>
      <c r="G134">
        <f t="shared" ca="1" si="9"/>
        <v>132</v>
      </c>
      <c r="H134">
        <f t="shared" ca="1" si="10"/>
        <v>72.74993025812698</v>
      </c>
      <c r="I134">
        <f t="shared" ca="1" si="11"/>
        <v>808.81185317612642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95975</v>
      </c>
      <c r="B136" s="66">
        <v>95975</v>
      </c>
      <c r="D136">
        <f t="shared" si="8"/>
        <v>0.52497853044301135</v>
      </c>
      <c r="E136">
        <f t="shared" si="8"/>
        <v>0.52497853044301135</v>
      </c>
      <c r="G136">
        <f t="shared" ca="1" si="9"/>
        <v>134</v>
      </c>
      <c r="H136">
        <f t="shared" ca="1" si="10"/>
        <v>70.347123079363527</v>
      </c>
      <c r="I136">
        <f t="shared" ca="1" si="11"/>
        <v>852.96939954158643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78949</v>
      </c>
      <c r="B139" s="66">
        <v>78949</v>
      </c>
      <c r="D139">
        <f t="shared" si="8"/>
        <v>0.43184714769414223</v>
      </c>
      <c r="E139">
        <f t="shared" si="8"/>
        <v>0.43184714769414223</v>
      </c>
      <c r="G139">
        <f t="shared" ca="1" si="9"/>
        <v>137</v>
      </c>
      <c r="H139">
        <f t="shared" ca="1" si="10"/>
        <v>59.163059234097489</v>
      </c>
      <c r="I139">
        <f t="shared" ca="1" si="11"/>
        <v>809.98144160801326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78397</v>
      </c>
      <c r="B142" s="66">
        <v>78397</v>
      </c>
      <c r="D142">
        <f t="shared" si="8"/>
        <v>0.42882773483866382</v>
      </c>
      <c r="E142">
        <f t="shared" si="8"/>
        <v>0.42882773483866382</v>
      </c>
      <c r="G142">
        <f t="shared" ca="1" si="9"/>
        <v>140</v>
      </c>
      <c r="H142">
        <f t="shared" ca="1" si="10"/>
        <v>60.035882877412938</v>
      </c>
      <c r="I142">
        <f t="shared" ca="1" si="11"/>
        <v>919.60877065504621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60159</v>
      </c>
      <c r="B144" s="66">
        <v>60159</v>
      </c>
      <c r="D144">
        <f t="shared" si="8"/>
        <v>0.32906677168972254</v>
      </c>
      <c r="E144">
        <f t="shared" si="8"/>
        <v>0.32906677168972254</v>
      </c>
      <c r="G144">
        <f t="shared" ca="1" si="9"/>
        <v>142</v>
      </c>
      <c r="H144">
        <f t="shared" ca="1" si="10"/>
        <v>46.727481579940601</v>
      </c>
      <c r="I144">
        <f t="shared" ca="1" si="11"/>
        <v>767.94478621002906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54291</v>
      </c>
      <c r="B147" s="66">
        <v>54291</v>
      </c>
      <c r="D147">
        <f t="shared" si="8"/>
        <v>0.29696910024778878</v>
      </c>
      <c r="E147">
        <f t="shared" si="8"/>
        <v>0.29696910024778878</v>
      </c>
      <c r="G147">
        <f t="shared" ca="1" si="9"/>
        <v>145</v>
      </c>
      <c r="H147">
        <f t="shared" ca="1" si="10"/>
        <v>43.060519535929373</v>
      </c>
      <c r="I147">
        <f t="shared" ca="1" si="11"/>
        <v>781.78768797182624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45698</v>
      </c>
      <c r="B149" s="66">
        <v>45698</v>
      </c>
      <c r="D149">
        <f t="shared" si="8"/>
        <v>0.24996581280734287</v>
      </c>
      <c r="E149">
        <f t="shared" si="8"/>
        <v>0.24996581280734287</v>
      </c>
      <c r="G149">
        <f t="shared" ca="1" si="9"/>
        <v>147</v>
      </c>
      <c r="H149">
        <f t="shared" ca="1" si="10"/>
        <v>36.744974482679403</v>
      </c>
      <c r="I149">
        <f t="shared" ca="1" si="11"/>
        <v>710.35020072100326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44271</v>
      </c>
      <c r="B152" s="66">
        <v>44271</v>
      </c>
      <c r="D152">
        <f t="shared" si="8"/>
        <v>0.2421601929798651</v>
      </c>
      <c r="E152">
        <f t="shared" si="8"/>
        <v>0.2421601929798651</v>
      </c>
      <c r="G152">
        <f t="shared" ca="1" si="9"/>
        <v>150</v>
      </c>
      <c r="H152">
        <f t="shared" ca="1" si="10"/>
        <v>36.324028946979766</v>
      </c>
      <c r="I152">
        <f t="shared" ca="1" si="11"/>
        <v>767.80280244721553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39301</v>
      </c>
      <c r="B154" s="66">
        <v>39301</v>
      </c>
      <c r="D154">
        <f t="shared" si="8"/>
        <v>0.21497453737890895</v>
      </c>
      <c r="E154">
        <f t="shared" si="8"/>
        <v>0.21497453737890895</v>
      </c>
      <c r="G154">
        <f t="shared" ca="1" si="9"/>
        <v>152</v>
      </c>
      <c r="H154">
        <f t="shared" ca="1" si="10"/>
        <v>32.676129681594162</v>
      </c>
      <c r="I154">
        <f t="shared" ca="1" si="11"/>
        <v>730.88629304947949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36185</v>
      </c>
      <c r="B157" s="66">
        <v>36185</v>
      </c>
      <c r="D157">
        <f t="shared" si="8"/>
        <v>0.19793017060776624</v>
      </c>
      <c r="E157">
        <f t="shared" si="8"/>
        <v>0.19793017060776624</v>
      </c>
      <c r="G157">
        <f t="shared" ca="1" si="9"/>
        <v>155</v>
      </c>
      <c r="H157">
        <f t="shared" ca="1" si="10"/>
        <v>30.679176444203769</v>
      </c>
      <c r="I157">
        <f t="shared" ca="1" si="11"/>
        <v>743.96496173905916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35186</v>
      </c>
      <c r="B160" s="66">
        <v>35186</v>
      </c>
      <c r="D160">
        <f t="shared" si="8"/>
        <v>0.1924656897334493</v>
      </c>
      <c r="E160">
        <f t="shared" si="8"/>
        <v>0.1924656897334493</v>
      </c>
      <c r="G160">
        <f t="shared" ca="1" si="9"/>
        <v>158</v>
      </c>
      <c r="H160">
        <f t="shared" ca="1" si="10"/>
        <v>30.409578977884991</v>
      </c>
      <c r="I160">
        <f t="shared" ca="1" si="11"/>
        <v>795.95629858648203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35412</v>
      </c>
      <c r="B162" s="66">
        <v>35412</v>
      </c>
      <c r="D162">
        <f t="shared" si="8"/>
        <v>0.1937018986199314</v>
      </c>
      <c r="E162">
        <f t="shared" si="8"/>
        <v>0.1937018986199314</v>
      </c>
      <c r="G162">
        <f t="shared" ca="1" si="9"/>
        <v>160</v>
      </c>
      <c r="H162">
        <f t="shared" ca="1" si="10"/>
        <v>30.992303779189022</v>
      </c>
      <c r="I162">
        <f t="shared" ca="1" si="11"/>
        <v>851.6702058475272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27477</v>
      </c>
      <c r="B165" s="66">
        <v>27477</v>
      </c>
      <c r="D165">
        <f t="shared" si="8"/>
        <v>0.15029783882242898</v>
      </c>
      <c r="E165">
        <f t="shared" si="8"/>
        <v>0.15029783882242898</v>
      </c>
      <c r="G165">
        <f t="shared" ca="1" si="9"/>
        <v>163</v>
      </c>
      <c r="H165">
        <f t="shared" ca="1" si="10"/>
        <v>24.498547728055922</v>
      </c>
      <c r="I165">
        <f t="shared" ca="1" si="11"/>
        <v>721.97962410977664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24661</v>
      </c>
      <c r="B167" s="66">
        <v>24661</v>
      </c>
      <c r="D167">
        <f t="shared" si="8"/>
        <v>0.13489445729882887</v>
      </c>
      <c r="E167">
        <f t="shared" si="8"/>
        <v>0.13489445729882887</v>
      </c>
      <c r="G167">
        <f t="shared" ca="1" si="9"/>
        <v>165</v>
      </c>
      <c r="H167">
        <f t="shared" ca="1" si="10"/>
        <v>22.257585454306763</v>
      </c>
      <c r="I167">
        <f t="shared" ca="1" si="11"/>
        <v>685.92389948402797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26904</v>
      </c>
      <c r="B170" s="66">
        <v>26904</v>
      </c>
      <c r="D170">
        <f t="shared" si="8"/>
        <v>0.14716355699962258</v>
      </c>
      <c r="E170">
        <f t="shared" si="8"/>
        <v>0.14716355699962258</v>
      </c>
      <c r="G170">
        <f t="shared" ca="1" si="9"/>
        <v>168</v>
      </c>
      <c r="H170">
        <f t="shared" ca="1" si="10"/>
        <v>24.723477575936592</v>
      </c>
      <c r="I170">
        <f t="shared" ca="1" si="11"/>
        <v>812.59945135932742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24845</v>
      </c>
      <c r="B173" s="66">
        <v>24845</v>
      </c>
      <c r="D173">
        <f t="shared" si="8"/>
        <v>0.13590092825065503</v>
      </c>
      <c r="E173">
        <f t="shared" si="8"/>
        <v>0.13590092825065503</v>
      </c>
      <c r="G173">
        <f t="shared" ca="1" si="9"/>
        <v>171</v>
      </c>
      <c r="H173">
        <f t="shared" ca="1" si="10"/>
        <v>23.239058730862009</v>
      </c>
      <c r="I173">
        <f t="shared" ca="1" si="11"/>
        <v>812.22472286496736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21597</v>
      </c>
      <c r="B175" s="66">
        <v>21597</v>
      </c>
      <c r="D175">
        <f t="shared" si="8"/>
        <v>0.11813452797059354</v>
      </c>
      <c r="E175">
        <f t="shared" si="8"/>
        <v>0.11813452797059354</v>
      </c>
      <c r="G175">
        <f t="shared" ca="1" si="9"/>
        <v>173</v>
      </c>
      <c r="H175">
        <f t="shared" ca="1" si="10"/>
        <v>20.437273338912682</v>
      </c>
      <c r="I175">
        <f t="shared" ca="1" si="11"/>
        <v>743.04587573071046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19759</v>
      </c>
      <c r="B178" s="66">
        <v>19759</v>
      </c>
      <c r="D178">
        <f t="shared" si="8"/>
        <v>0.1080807583539824</v>
      </c>
      <c r="E178">
        <f t="shared" si="8"/>
        <v>0.1080807583539824</v>
      </c>
      <c r="G178">
        <f t="shared" ca="1" si="9"/>
        <v>176</v>
      </c>
      <c r="H178">
        <f t="shared" ca="1" si="10"/>
        <v>19.022213470300901</v>
      </c>
      <c r="I178">
        <f t="shared" ca="1" si="11"/>
        <v>732.21241556773134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20503</v>
      </c>
      <c r="B180" s="66">
        <v>20503</v>
      </c>
      <c r="D180">
        <f t="shared" si="8"/>
        <v>0.11215040176788811</v>
      </c>
      <c r="E180">
        <f t="shared" si="8"/>
        <v>0.11215040176788811</v>
      </c>
      <c r="G180">
        <f t="shared" ca="1" si="9"/>
        <v>178</v>
      </c>
      <c r="H180">
        <f t="shared" ca="1" si="10"/>
        <v>19.962771514684082</v>
      </c>
      <c r="I180">
        <f t="shared" ca="1" si="11"/>
        <v>797.15524082074376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22153</v>
      </c>
      <c r="B183" s="66">
        <v>22153</v>
      </c>
      <c r="D183">
        <f t="shared" si="8"/>
        <v>0.12117582062937254</v>
      </c>
      <c r="E183">
        <f t="shared" si="8"/>
        <v>0.12117582062937254</v>
      </c>
      <c r="G183">
        <f t="shared" ca="1" si="9"/>
        <v>181</v>
      </c>
      <c r="H183">
        <f t="shared" ca="1" si="10"/>
        <v>21.93282353391643</v>
      </c>
      <c r="I183">
        <f t="shared" ca="1" si="11"/>
        <v>923.69457456117664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18310</v>
      </c>
      <c r="B185" s="66">
        <v>18310</v>
      </c>
      <c r="D185">
        <f t="shared" si="8"/>
        <v>0.10015479960835152</v>
      </c>
      <c r="E185">
        <f t="shared" si="8"/>
        <v>0.10015479960835152</v>
      </c>
      <c r="G185">
        <f t="shared" ca="1" si="9"/>
        <v>183</v>
      </c>
      <c r="H185">
        <f t="shared" ca="1" si="10"/>
        <v>18.328328328328329</v>
      </c>
      <c r="I185">
        <f t="shared" ca="1" si="11"/>
        <v>798.83436620951318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17666</v>
      </c>
      <c r="B188" s="66">
        <v>17666</v>
      </c>
      <c r="D188">
        <f t="shared" si="8"/>
        <v>9.6632151276960024E-2</v>
      </c>
      <c r="E188">
        <f t="shared" si="8"/>
        <v>9.6632151276960024E-2</v>
      </c>
      <c r="G188">
        <f t="shared" ca="1" si="9"/>
        <v>186</v>
      </c>
      <c r="H188">
        <f t="shared" ca="1" si="10"/>
        <v>17.973580137514563</v>
      </c>
      <c r="I188">
        <f t="shared" ca="1" si="11"/>
        <v>823.38782171785067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17338</v>
      </c>
      <c r="B191" s="66">
        <v>17338</v>
      </c>
      <c r="D191">
        <f t="shared" si="8"/>
        <v>9.4838007406313415E-2</v>
      </c>
      <c r="E191">
        <f t="shared" si="8"/>
        <v>9.4838007406313415E-2</v>
      </c>
      <c r="G191">
        <f t="shared" ca="1" si="9"/>
        <v>189</v>
      </c>
      <c r="H191">
        <f t="shared" ca="1" si="10"/>
        <v>17.924383399793236</v>
      </c>
      <c r="I191">
        <f t="shared" ca="1" si="11"/>
        <v>861.47982669455462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15762</v>
      </c>
      <c r="B193" s="66">
        <v>15762</v>
      </c>
      <c r="D193">
        <f t="shared" si="8"/>
        <v>8.6217364905889493E-2</v>
      </c>
      <c r="E193">
        <f t="shared" si="8"/>
        <v>8.6217364905889493E-2</v>
      </c>
      <c r="G193">
        <f t="shared" ca="1" si="9"/>
        <v>191</v>
      </c>
      <c r="H193">
        <f t="shared" ca="1" si="10"/>
        <v>16.467516697024895</v>
      </c>
      <c r="I193">
        <f t="shared" ca="1" si="11"/>
        <v>816.38635137448023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14311</v>
      </c>
      <c r="B196" s="66">
        <v>14311</v>
      </c>
      <c r="D196">
        <f t="shared" si="12"/>
        <v>7.8280466258608336E-2</v>
      </c>
      <c r="E196">
        <f t="shared" si="12"/>
        <v>7.8280466258608336E-2</v>
      </c>
      <c r="G196">
        <f t="shared" ca="1" si="13"/>
        <v>194</v>
      </c>
      <c r="H196">
        <f t="shared" ca="1" si="14"/>
        <v>15.186410454170018</v>
      </c>
      <c r="I196">
        <f t="shared" ca="1" si="15"/>
        <v>787.64102202400431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16699</v>
      </c>
      <c r="B198" s="66">
        <v>16699</v>
      </c>
      <c r="D198">
        <f t="shared" si="12"/>
        <v>9.1342708829047631E-2</v>
      </c>
      <c r="E198">
        <f t="shared" si="12"/>
        <v>9.1342708829047631E-2</v>
      </c>
      <c r="G198">
        <f t="shared" ca="1" si="13"/>
        <v>196</v>
      </c>
      <c r="H198">
        <f t="shared" ca="1" si="14"/>
        <v>17.903170930493335</v>
      </c>
      <c r="I198">
        <f t="shared" ca="1" si="15"/>
        <v>956.08561326097004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20265</v>
      </c>
      <c r="B201" s="66">
        <v>20265</v>
      </c>
      <c r="D201">
        <f t="shared" si="12"/>
        <v>0.1108485534715043</v>
      </c>
      <c r="E201">
        <f t="shared" si="12"/>
        <v>0.1108485534715043</v>
      </c>
      <c r="G201">
        <f t="shared" ca="1" si="13"/>
        <v>199</v>
      </c>
      <c r="H201">
        <f t="shared" ca="1" si="14"/>
        <v>22.058862140829355</v>
      </c>
      <c r="I201">
        <f t="shared" ca="1" si="15"/>
        <v>1229.2956953899363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16357</v>
      </c>
      <c r="B203" s="66">
        <v>16357</v>
      </c>
      <c r="D203">
        <f t="shared" si="12"/>
        <v>8.9471985646849037E-2</v>
      </c>
      <c r="E203">
        <f t="shared" si="12"/>
        <v>8.9471985646849037E-2</v>
      </c>
      <c r="G203">
        <f t="shared" ca="1" si="13"/>
        <v>201</v>
      </c>
      <c r="H203">
        <f t="shared" ca="1" si="14"/>
        <v>17.983869115016656</v>
      </c>
      <c r="I203">
        <f t="shared" ca="1" si="15"/>
        <v>1030.2789127660021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13540</v>
      </c>
      <c r="B206" s="66">
        <v>13540</v>
      </c>
      <c r="D206">
        <f t="shared" si="12"/>
        <v>7.4063134172423786E-2</v>
      </c>
      <c r="E206">
        <f t="shared" si="12"/>
        <v>7.4063134172423786E-2</v>
      </c>
      <c r="G206">
        <f t="shared" ca="1" si="13"/>
        <v>204</v>
      </c>
      <c r="H206">
        <f t="shared" ca="1" si="14"/>
        <v>15.108879371174453</v>
      </c>
      <c r="I206">
        <f t="shared" ca="1" si="15"/>
        <v>901.19660143614601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8970</v>
      </c>
      <c r="B209" s="66">
        <v>8970</v>
      </c>
      <c r="D209">
        <f t="shared" si="12"/>
        <v>4.9065458901524472E-2</v>
      </c>
      <c r="E209">
        <f t="shared" si="12"/>
        <v>4.9065458901524472E-2</v>
      </c>
      <c r="G209">
        <f t="shared" ca="1" si="13"/>
        <v>207</v>
      </c>
      <c r="H209">
        <f t="shared" ca="1" si="14"/>
        <v>10.156549992615567</v>
      </c>
      <c r="I209">
        <f t="shared" ca="1" si="15"/>
        <v>629.94170243657834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8247</v>
      </c>
      <c r="B211" s="66">
        <v>8247</v>
      </c>
      <c r="D211">
        <f t="shared" si="12"/>
        <v>4.5110684454946752E-2</v>
      </c>
      <c r="E211">
        <f t="shared" si="12"/>
        <v>4.5110684454946752E-2</v>
      </c>
      <c r="G211">
        <f t="shared" ca="1" si="13"/>
        <v>209</v>
      </c>
      <c r="H211">
        <f t="shared" ca="1" si="14"/>
        <v>9.4281330510838703</v>
      </c>
      <c r="I211">
        <f t="shared" ca="1" si="15"/>
        <v>599.79326438142789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7686</v>
      </c>
      <c r="B214" s="66">
        <v>7686</v>
      </c>
      <c r="D214">
        <f t="shared" si="12"/>
        <v>4.2042042042042045E-2</v>
      </c>
      <c r="E214">
        <f t="shared" si="12"/>
        <v>4.2042042042042045E-2</v>
      </c>
      <c r="G214">
        <f t="shared" ca="1" si="13"/>
        <v>212</v>
      </c>
      <c r="H214">
        <f t="shared" ca="1" si="14"/>
        <v>8.9129129129129137</v>
      </c>
      <c r="I214">
        <f t="shared" ca="1" si="15"/>
        <v>588.45767697434212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3885</v>
      </c>
      <c r="B216" s="66">
        <v>3885</v>
      </c>
      <c r="D216">
        <f t="shared" si="12"/>
        <v>2.1250758955676987E-2</v>
      </c>
      <c r="E216">
        <f t="shared" si="12"/>
        <v>2.1250758955676987E-2</v>
      </c>
      <c r="G216">
        <f t="shared" ca="1" si="13"/>
        <v>214</v>
      </c>
      <c r="H216">
        <f t="shared" ca="1" si="14"/>
        <v>4.5476624165148749</v>
      </c>
      <c r="I216">
        <f t="shared" ca="1" si="15"/>
        <v>307.58603351968492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3924</v>
      </c>
      <c r="B219" s="66">
        <v>3924</v>
      </c>
      <c r="D219">
        <f t="shared" si="12"/>
        <v>2.1464087037857529E-2</v>
      </c>
      <c r="E219">
        <f t="shared" si="12"/>
        <v>2.1464087037857529E-2</v>
      </c>
      <c r="G219">
        <f t="shared" ca="1" si="13"/>
        <v>217</v>
      </c>
      <c r="H219">
        <f t="shared" ca="1" si="14"/>
        <v>4.6577068872150837</v>
      </c>
      <c r="I219">
        <f t="shared" ca="1" si="15"/>
        <v>326.36081107591701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2453</v>
      </c>
      <c r="B221" s="66">
        <v>2453</v>
      </c>
      <c r="D221">
        <f t="shared" si="12"/>
        <v>1.3417789374073527E-2</v>
      </c>
      <c r="E221">
        <f t="shared" si="12"/>
        <v>1.3417789374073527E-2</v>
      </c>
      <c r="G221">
        <f t="shared" ca="1" si="13"/>
        <v>219</v>
      </c>
      <c r="H221">
        <f t="shared" ca="1" si="14"/>
        <v>2.9384958729221022</v>
      </c>
      <c r="I221">
        <f t="shared" ca="1" si="15"/>
        <v>210.68886982258314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1464</v>
      </c>
      <c r="B224" s="66">
        <v>1464</v>
      </c>
      <c r="D224">
        <f t="shared" si="12"/>
        <v>8.0080080080080079E-3</v>
      </c>
      <c r="E224">
        <f t="shared" si="12"/>
        <v>8.0080080080080079E-3</v>
      </c>
      <c r="G224">
        <f t="shared" ca="1" si="13"/>
        <v>222</v>
      </c>
      <c r="H224">
        <f t="shared" ca="1" si="14"/>
        <v>1.7777777777777777</v>
      </c>
      <c r="I224">
        <f t="shared" ca="1" si="15"/>
        <v>131.83627552353414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282</v>
      </c>
      <c r="B227" s="66">
        <v>282</v>
      </c>
      <c r="D227">
        <f t="shared" si="12"/>
        <v>1.5425261326900671E-3</v>
      </c>
      <c r="E227">
        <f t="shared" si="12"/>
        <v>1.5425261326900671E-3</v>
      </c>
      <c r="G227">
        <f t="shared" ca="1" si="13"/>
        <v>225</v>
      </c>
      <c r="H227">
        <f t="shared" ca="1" si="14"/>
        <v>0.34706837985526506</v>
      </c>
      <c r="I227">
        <f t="shared" ca="1" si="15"/>
        <v>26.596089850731069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86.71105221143327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1.6741727904638928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0.77472225269806261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2786</v>
      </c>
      <c r="B8" s="66">
        <v>2786</v>
      </c>
      <c r="D8">
        <f t="shared" si="0"/>
        <v>3.5643919039942684</v>
      </c>
      <c r="E8">
        <f t="shared" si="1"/>
        <v>3.5643919039942684</v>
      </c>
      <c r="G8">
        <f t="shared" ca="1" si="2"/>
        <v>6</v>
      </c>
      <c r="H8">
        <f t="shared" ca="1" si="3"/>
        <v>21.386351423965611</v>
      </c>
      <c r="I8">
        <f t="shared" ca="1" si="4"/>
        <v>23219.425324489785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3526</v>
      </c>
      <c r="B10" s="66">
        <v>3526</v>
      </c>
      <c r="D10">
        <f t="shared" si="0"/>
        <v>4.5111435224277781</v>
      </c>
      <c r="E10">
        <f t="shared" si="1"/>
        <v>4.5111435224277781</v>
      </c>
      <c r="G10">
        <f t="shared" ca="1" si="2"/>
        <v>8</v>
      </c>
      <c r="H10">
        <f t="shared" ca="1" si="3"/>
        <v>36.089148179422224</v>
      </c>
      <c r="I10">
        <f t="shared" ca="1" si="4"/>
        <v>27948.472741299371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2973</v>
      </c>
      <c r="B13" s="66">
        <v>2973</v>
      </c>
      <c r="D13">
        <f t="shared" si="0"/>
        <v>3.8036385967605741</v>
      </c>
      <c r="E13">
        <f t="shared" si="1"/>
        <v>3.8036385967605741</v>
      </c>
      <c r="G13">
        <f t="shared" ca="1" si="2"/>
        <v>11</v>
      </c>
      <c r="H13">
        <f t="shared" ca="1" si="3"/>
        <v>41.840024564366317</v>
      </c>
      <c r="I13">
        <f t="shared" ca="1" si="4"/>
        <v>21803.07805373345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6144</v>
      </c>
      <c r="B15" s="66">
        <v>6144</v>
      </c>
      <c r="D15">
        <f t="shared" si="0"/>
        <v>7.8605972211560609</v>
      </c>
      <c r="E15">
        <f t="shared" si="1"/>
        <v>7.8605972211560609</v>
      </c>
      <c r="G15">
        <f t="shared" ca="1" si="2"/>
        <v>13</v>
      </c>
      <c r="H15">
        <f t="shared" ca="1" si="3"/>
        <v>102.18776387502879</v>
      </c>
      <c r="I15">
        <f t="shared" ca="1" si="4"/>
        <v>42709.133947581489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9905</v>
      </c>
      <c r="B18" s="66">
        <v>9905</v>
      </c>
      <c r="D18">
        <f t="shared" si="0"/>
        <v>12.672398352140426</v>
      </c>
      <c r="E18">
        <f t="shared" si="1"/>
        <v>12.672398352140426</v>
      </c>
      <c r="G18">
        <f t="shared" ca="1" si="2"/>
        <v>16</v>
      </c>
      <c r="H18">
        <f t="shared" ca="1" si="3"/>
        <v>202.75837363424682</v>
      </c>
      <c r="I18">
        <f t="shared" ca="1" si="4"/>
        <v>63362.662192011281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14984</v>
      </c>
      <c r="B21" s="66">
        <v>14984</v>
      </c>
      <c r="D21">
        <f t="shared" si="0"/>
        <v>19.17044087919961</v>
      </c>
      <c r="E21">
        <f t="shared" si="1"/>
        <v>19.17044087919961</v>
      </c>
      <c r="G21">
        <f t="shared" ca="1" si="2"/>
        <v>19</v>
      </c>
      <c r="H21">
        <f t="shared" ca="1" si="3"/>
        <v>364.23837670479259</v>
      </c>
      <c r="I21">
        <f t="shared" ca="1" si="4"/>
        <v>87892.380297620781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21242</v>
      </c>
      <c r="B23" s="66">
        <v>21242</v>
      </c>
      <c r="D23">
        <f t="shared" si="0"/>
        <v>27.176889025357589</v>
      </c>
      <c r="E23">
        <f t="shared" si="1"/>
        <v>27.176889025357589</v>
      </c>
      <c r="G23">
        <f t="shared" ca="1" si="2"/>
        <v>21</v>
      </c>
      <c r="H23">
        <f t="shared" ca="1" si="3"/>
        <v>570.71466953250933</v>
      </c>
      <c r="I23">
        <f t="shared" ca="1" si="4"/>
        <v>117348.24095344215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32268</v>
      </c>
      <c r="B26" s="66">
        <v>32268</v>
      </c>
      <c r="D26">
        <f t="shared" si="0"/>
        <v>41.283488140016885</v>
      </c>
      <c r="E26">
        <f t="shared" si="1"/>
        <v>41.283488140016885</v>
      </c>
      <c r="G26">
        <f t="shared" ca="1" si="2"/>
        <v>24</v>
      </c>
      <c r="H26">
        <f t="shared" ca="1" si="3"/>
        <v>990.80371536040525</v>
      </c>
      <c r="I26">
        <f t="shared" ca="1" si="4"/>
        <v>162354.58587229109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39624</v>
      </c>
      <c r="B28" s="66">
        <v>39624</v>
      </c>
      <c r="D28">
        <f t="shared" si="0"/>
        <v>50.69471098487756</v>
      </c>
      <c r="E28">
        <f t="shared" si="1"/>
        <v>50.69471098487756</v>
      </c>
      <c r="G28">
        <f t="shared" ca="1" si="2"/>
        <v>26</v>
      </c>
      <c r="H28">
        <f t="shared" ca="1" si="3"/>
        <v>1318.0624856068166</v>
      </c>
      <c r="I28">
        <f t="shared" ca="1" si="4"/>
        <v>186852.18091295281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40452</v>
      </c>
      <c r="B31" s="66">
        <v>40452</v>
      </c>
      <c r="D31">
        <f t="shared" si="0"/>
        <v>51.754049282259921</v>
      </c>
      <c r="E31">
        <f t="shared" si="1"/>
        <v>51.754049282259921</v>
      </c>
      <c r="G31">
        <f t="shared" ca="1" si="2"/>
        <v>29</v>
      </c>
      <c r="H31">
        <f t="shared" ca="1" si="3"/>
        <v>1500.8674291855377</v>
      </c>
      <c r="I31">
        <f t="shared" ca="1" si="4"/>
        <v>172370.25347538909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54478</v>
      </c>
      <c r="B33" s="66">
        <v>54478</v>
      </c>
      <c r="D33">
        <f t="shared" si="0"/>
        <v>69.698830633811824</v>
      </c>
      <c r="E33">
        <f t="shared" si="1"/>
        <v>69.698830633811824</v>
      </c>
      <c r="G33">
        <f t="shared" ca="1" si="2"/>
        <v>31</v>
      </c>
      <c r="H33">
        <f t="shared" ca="1" si="3"/>
        <v>2160.6637496481667</v>
      </c>
      <c r="I33">
        <f t="shared" ca="1" si="4"/>
        <v>216325.74790701078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49419</v>
      </c>
      <c r="B36" s="66">
        <v>49419</v>
      </c>
      <c r="D36">
        <f t="shared" si="0"/>
        <v>63.226375988331924</v>
      </c>
      <c r="E36">
        <f t="shared" si="1"/>
        <v>63.226375988331924</v>
      </c>
      <c r="G36">
        <f t="shared" ca="1" si="2"/>
        <v>34</v>
      </c>
      <c r="H36">
        <f t="shared" ca="1" si="3"/>
        <v>2149.6967836032854</v>
      </c>
      <c r="I36">
        <f t="shared" ca="1" si="4"/>
        <v>175671.6420922697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60159</v>
      </c>
      <c r="B39" s="66">
        <v>60159</v>
      </c>
      <c r="D39">
        <f t="shared" si="0"/>
        <v>76.967068396407456</v>
      </c>
      <c r="E39">
        <f t="shared" si="1"/>
        <v>76.967068396407456</v>
      </c>
      <c r="G39">
        <f t="shared" ca="1" si="2"/>
        <v>37</v>
      </c>
      <c r="H39">
        <f t="shared" ca="1" si="3"/>
        <v>2847.7815306670759</v>
      </c>
      <c r="I39">
        <f t="shared" ca="1" si="4"/>
        <v>190200.15061445913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64301</v>
      </c>
      <c r="B41" s="66">
        <v>64301</v>
      </c>
      <c r="D41">
        <f t="shared" si="0"/>
        <v>82.266318671477194</v>
      </c>
      <c r="E41">
        <f t="shared" si="1"/>
        <v>82.266318671477194</v>
      </c>
      <c r="G41">
        <f t="shared" ca="1" si="2"/>
        <v>39</v>
      </c>
      <c r="H41">
        <f t="shared" ca="1" si="3"/>
        <v>3208.3864281876104</v>
      </c>
      <c r="I41">
        <f t="shared" ca="1" si="4"/>
        <v>187266.48229990902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63498</v>
      </c>
      <c r="B44" s="66">
        <v>63498</v>
      </c>
      <c r="D44">
        <f t="shared" si="0"/>
        <v>81.238965226068927</v>
      </c>
      <c r="E44">
        <f t="shared" si="1"/>
        <v>81.238965226068927</v>
      </c>
      <c r="G44">
        <f t="shared" ca="1" si="2"/>
        <v>42</v>
      </c>
      <c r="H44">
        <f t="shared" ca="1" si="3"/>
        <v>3412.0365394948949</v>
      </c>
      <c r="I44">
        <f t="shared" ca="1" si="4"/>
        <v>162403.04354970227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66736</v>
      </c>
      <c r="B46" s="66">
        <v>66736</v>
      </c>
      <c r="D46">
        <f t="shared" si="0"/>
        <v>85.381643253755016</v>
      </c>
      <c r="E46">
        <f t="shared" si="1"/>
        <v>85.381643253755016</v>
      </c>
      <c r="G46">
        <f t="shared" ca="1" si="2"/>
        <v>44</v>
      </c>
      <c r="H46">
        <f t="shared" ca="1" si="3"/>
        <v>3756.7923031652208</v>
      </c>
      <c r="I46">
        <f t="shared" ca="1" si="4"/>
        <v>155756.09497778348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66812</v>
      </c>
      <c r="B49" s="66">
        <v>66812</v>
      </c>
      <c r="D49">
        <f t="shared" si="0"/>
        <v>85.478877203756298</v>
      </c>
      <c r="E49">
        <f t="shared" si="1"/>
        <v>85.478877203756298</v>
      </c>
      <c r="G49">
        <f t="shared" ca="1" si="2"/>
        <v>47</v>
      </c>
      <c r="H49">
        <f t="shared" ca="1" si="3"/>
        <v>4017.5072285765459</v>
      </c>
      <c r="I49">
        <f t="shared" ca="1" si="4"/>
        <v>134797.42562497125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66880</v>
      </c>
      <c r="B51" s="66">
        <v>66880</v>
      </c>
      <c r="D51">
        <f t="shared" si="0"/>
        <v>85.565876001125872</v>
      </c>
      <c r="E51">
        <f t="shared" si="1"/>
        <v>85.565876001125872</v>
      </c>
      <c r="G51">
        <f t="shared" ca="1" si="2"/>
        <v>49</v>
      </c>
      <c r="H51">
        <f t="shared" ca="1" si="3"/>
        <v>4192.7279240551679</v>
      </c>
      <c r="I51">
        <f t="shared" ca="1" si="4"/>
        <v>121685.23954196883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69254</v>
      </c>
      <c r="B54" s="66">
        <v>69254</v>
      </c>
      <c r="D54">
        <f t="shared" si="0"/>
        <v>88.603157544586878</v>
      </c>
      <c r="E54">
        <f t="shared" si="1"/>
        <v>88.603157544586878</v>
      </c>
      <c r="G54">
        <f t="shared" ca="1" si="2"/>
        <v>52</v>
      </c>
      <c r="H54">
        <f t="shared" ca="1" si="3"/>
        <v>4607.3641923185178</v>
      </c>
      <c r="I54">
        <f t="shared" ca="1" si="4"/>
        <v>106754.14749251952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69728</v>
      </c>
      <c r="B57" s="66">
        <v>69728</v>
      </c>
      <c r="D57">
        <f t="shared" si="0"/>
        <v>89.209590338015914</v>
      </c>
      <c r="E57">
        <f t="shared" si="1"/>
        <v>89.209590338015914</v>
      </c>
      <c r="G57">
        <f t="shared" ca="1" si="2"/>
        <v>55</v>
      </c>
      <c r="H57">
        <f t="shared" ca="1" si="3"/>
        <v>4906.5274685908753</v>
      </c>
      <c r="I57">
        <f t="shared" ca="1" si="4"/>
        <v>89708.346202165223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71140</v>
      </c>
      <c r="B59" s="66">
        <v>71140</v>
      </c>
      <c r="D59">
        <f t="shared" si="0"/>
        <v>91.016094777513374</v>
      </c>
      <c r="E59">
        <f t="shared" si="1"/>
        <v>91.016094777513374</v>
      </c>
      <c r="G59">
        <f t="shared" ca="1" si="2"/>
        <v>57</v>
      </c>
      <c r="H59">
        <f t="shared" ca="1" si="3"/>
        <v>5187.9174023182622</v>
      </c>
      <c r="I59">
        <f t="shared" ca="1" si="4"/>
        <v>80344.150349962845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63861</v>
      </c>
      <c r="B62" s="66">
        <v>63861</v>
      </c>
      <c r="D62">
        <f t="shared" si="0"/>
        <v>81.703385276732945</v>
      </c>
      <c r="E62">
        <f t="shared" si="1"/>
        <v>81.703385276732945</v>
      </c>
      <c r="G62">
        <f t="shared" ca="1" si="2"/>
        <v>60</v>
      </c>
      <c r="H62">
        <f t="shared" ca="1" si="3"/>
        <v>4902.2031166039769</v>
      </c>
      <c r="I62">
        <f t="shared" ca="1" si="4"/>
        <v>58293.756675058059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70373</v>
      </c>
      <c r="B64" s="66">
        <v>70373</v>
      </c>
      <c r="D64">
        <f t="shared" si="0"/>
        <v>90.034799518947821</v>
      </c>
      <c r="E64">
        <f t="shared" si="1"/>
        <v>90.034799518947821</v>
      </c>
      <c r="G64">
        <f t="shared" ca="1" si="2"/>
        <v>62</v>
      </c>
      <c r="H64">
        <f t="shared" ca="1" si="3"/>
        <v>5582.1575701747652</v>
      </c>
      <c r="I64">
        <f t="shared" ca="1" si="4"/>
        <v>54978.498968237058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68741</v>
      </c>
      <c r="B67" s="66">
        <v>68741</v>
      </c>
      <c r="D67">
        <f t="shared" ref="D67:D130" si="5">IFERROR( 100*A67/MAX(A$2:A$257), 0 )</f>
        <v>87.946828382078252</v>
      </c>
      <c r="E67">
        <f t="shared" ref="E67:E130" si="6">IFERROR( 100*B67/MAX(B$2:B$257), 0 )</f>
        <v>87.946828382078252</v>
      </c>
      <c r="G67">
        <f t="shared" ref="G67:G130" ca="1" si="7">CELL("row",D67)-2</f>
        <v>65</v>
      </c>
      <c r="H67">
        <f t="shared" ref="H67:H130" ca="1" si="8">D67*G67</f>
        <v>5716.543844835086</v>
      </c>
      <c r="I67">
        <f t="shared" ref="I67:I130" ca="1" si="9">D67*((G67-$L$1)^2)</f>
        <v>41455.477860952989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70571</v>
      </c>
      <c r="B69" s="66">
        <v>70571</v>
      </c>
      <c r="D69">
        <f t="shared" si="5"/>
        <v>90.288119546582735</v>
      </c>
      <c r="E69">
        <f t="shared" si="6"/>
        <v>90.288119546582735</v>
      </c>
      <c r="G69">
        <f t="shared" ca="1" si="7"/>
        <v>67</v>
      </c>
      <c r="H69">
        <f t="shared" ca="1" si="8"/>
        <v>6049.3040096210434</v>
      </c>
      <c r="I69">
        <f t="shared" ca="1" si="9"/>
        <v>35079.243949104835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66633</v>
      </c>
      <c r="B72" s="66">
        <v>66633</v>
      </c>
      <c r="D72">
        <f t="shared" si="5"/>
        <v>85.249865663621705</v>
      </c>
      <c r="E72">
        <f t="shared" si="6"/>
        <v>85.249865663621705</v>
      </c>
      <c r="G72">
        <f t="shared" ca="1" si="7"/>
        <v>70</v>
      </c>
      <c r="H72">
        <f t="shared" ca="1" si="8"/>
        <v>5967.4905964535192</v>
      </c>
      <c r="I72">
        <f t="shared" ca="1" si="9"/>
        <v>23806.814912951053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73702</v>
      </c>
      <c r="B75" s="66">
        <v>73702</v>
      </c>
      <c r="D75">
        <f t="shared" si="5"/>
        <v>94.293902407819658</v>
      </c>
      <c r="E75">
        <f t="shared" si="6"/>
        <v>94.293902407819658</v>
      </c>
      <c r="G75">
        <f t="shared" ca="1" si="7"/>
        <v>73</v>
      </c>
      <c r="H75">
        <f t="shared" ca="1" si="8"/>
        <v>6883.4548757708353</v>
      </c>
      <c r="I75">
        <f t="shared" ca="1" si="9"/>
        <v>17726.589139461801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65128</v>
      </c>
      <c r="B77" s="66">
        <v>65128</v>
      </c>
      <c r="D77">
        <f t="shared" si="5"/>
        <v>83.324377574780584</v>
      </c>
      <c r="E77">
        <f t="shared" si="6"/>
        <v>83.324377574780584</v>
      </c>
      <c r="G77">
        <f t="shared" ca="1" si="7"/>
        <v>75</v>
      </c>
      <c r="H77">
        <f t="shared" ca="1" si="8"/>
        <v>6249.3283181085435</v>
      </c>
      <c r="I77">
        <f t="shared" ca="1" si="9"/>
        <v>11427.833720540168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64726</v>
      </c>
      <c r="B80" s="66">
        <v>64726</v>
      </c>
      <c r="D80">
        <f t="shared" si="5"/>
        <v>82.810061155036976</v>
      </c>
      <c r="E80">
        <f t="shared" si="6"/>
        <v>82.810061155036976</v>
      </c>
      <c r="G80">
        <f t="shared" ca="1" si="7"/>
        <v>78</v>
      </c>
      <c r="H80">
        <f t="shared" ca="1" si="8"/>
        <v>6459.1847700928838</v>
      </c>
      <c r="I80">
        <f t="shared" ca="1" si="9"/>
        <v>6283.8287210893577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68413</v>
      </c>
      <c r="B82" s="66">
        <v>68413</v>
      </c>
      <c r="D82">
        <f t="shared" si="5"/>
        <v>87.527187124177985</v>
      </c>
      <c r="E82">
        <f t="shared" si="6"/>
        <v>87.527187124177985</v>
      </c>
      <c r="G82">
        <f t="shared" ca="1" si="7"/>
        <v>80</v>
      </c>
      <c r="H82">
        <f t="shared" ca="1" si="8"/>
        <v>7002.174969934239</v>
      </c>
      <c r="I82">
        <f t="shared" ca="1" si="9"/>
        <v>3942.0688658794588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63752</v>
      </c>
      <c r="B85" s="66">
        <v>63752</v>
      </c>
      <c r="D85">
        <f t="shared" si="5"/>
        <v>81.563931322125839</v>
      </c>
      <c r="E85">
        <f t="shared" si="6"/>
        <v>81.563931322125839</v>
      </c>
      <c r="G85">
        <f t="shared" ca="1" si="7"/>
        <v>83</v>
      </c>
      <c r="H85">
        <f t="shared" ca="1" si="8"/>
        <v>6769.806299736445</v>
      </c>
      <c r="I85">
        <f t="shared" ca="1" si="9"/>
        <v>1123.2910003722993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64804</v>
      </c>
      <c r="B88" s="66">
        <v>64804</v>
      </c>
      <c r="D88">
        <f t="shared" si="5"/>
        <v>82.909853893196185</v>
      </c>
      <c r="E88">
        <f t="shared" si="6"/>
        <v>82.909853893196185</v>
      </c>
      <c r="G88">
        <f t="shared" ca="1" si="7"/>
        <v>86</v>
      </c>
      <c r="H88">
        <f t="shared" ca="1" si="8"/>
        <v>7130.2474348148717</v>
      </c>
      <c r="I88">
        <f t="shared" ca="1" si="9"/>
        <v>41.918828089713685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72533</v>
      </c>
      <c r="B90" s="66">
        <v>72533</v>
      </c>
      <c r="D90">
        <f t="shared" si="5"/>
        <v>92.798290729510498</v>
      </c>
      <c r="E90">
        <f t="shared" si="6"/>
        <v>92.798290729510498</v>
      </c>
      <c r="G90">
        <f t="shared" ca="1" si="7"/>
        <v>88</v>
      </c>
      <c r="H90">
        <f t="shared" ca="1" si="8"/>
        <v>8166.2495841969239</v>
      </c>
      <c r="I90">
        <f t="shared" ca="1" si="9"/>
        <v>154.17381831447082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64932</v>
      </c>
      <c r="B93" s="66">
        <v>64932</v>
      </c>
      <c r="D93">
        <f t="shared" si="5"/>
        <v>83.073616335303598</v>
      </c>
      <c r="E93">
        <f t="shared" si="6"/>
        <v>83.073616335303598</v>
      </c>
      <c r="G93">
        <f t="shared" ca="1" si="7"/>
        <v>91</v>
      </c>
      <c r="H93">
        <f t="shared" ca="1" si="8"/>
        <v>7559.6990865126272</v>
      </c>
      <c r="I93">
        <f t="shared" ca="1" si="9"/>
        <v>1528.1452479149671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68202</v>
      </c>
      <c r="B95" s="66">
        <v>68202</v>
      </c>
      <c r="D95">
        <f t="shared" si="5"/>
        <v>87.257234973516546</v>
      </c>
      <c r="E95">
        <f t="shared" si="6"/>
        <v>87.257234973516546</v>
      </c>
      <c r="G95">
        <f t="shared" ca="1" si="7"/>
        <v>93</v>
      </c>
      <c r="H95">
        <f t="shared" ca="1" si="8"/>
        <v>8114.922852537039</v>
      </c>
      <c r="I95">
        <f t="shared" ca="1" si="9"/>
        <v>3451.099058524203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63762</v>
      </c>
      <c r="B98" s="66">
        <v>63762</v>
      </c>
      <c r="D98">
        <f t="shared" si="5"/>
        <v>81.576725262915488</v>
      </c>
      <c r="E98">
        <f t="shared" si="6"/>
        <v>81.576725262915488</v>
      </c>
      <c r="G98">
        <f t="shared" ca="1" si="7"/>
        <v>96</v>
      </c>
      <c r="H98">
        <f t="shared" ca="1" si="8"/>
        <v>7831.3656252398869</v>
      </c>
      <c r="I98">
        <f t="shared" ca="1" si="9"/>
        <v>7038.8111128880346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64876</v>
      </c>
      <c r="B100" s="66">
        <v>64876</v>
      </c>
      <c r="D100">
        <f t="shared" si="5"/>
        <v>83.0019702668816</v>
      </c>
      <c r="E100">
        <f t="shared" si="6"/>
        <v>83.0019702668816</v>
      </c>
      <c r="G100">
        <f t="shared" ca="1" si="7"/>
        <v>98</v>
      </c>
      <c r="H100">
        <f t="shared" ca="1" si="8"/>
        <v>8134.193086154397</v>
      </c>
      <c r="I100">
        <f t="shared" ca="1" si="9"/>
        <v>10577.799491843374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62095</v>
      </c>
      <c r="B103" s="66">
        <v>62095</v>
      </c>
      <c r="D103">
        <f t="shared" si="5"/>
        <v>79.443975333282154</v>
      </c>
      <c r="E103">
        <f t="shared" si="6"/>
        <v>79.443975333282154</v>
      </c>
      <c r="G103">
        <f t="shared" ca="1" si="7"/>
        <v>101</v>
      </c>
      <c r="H103">
        <f t="shared" ca="1" si="8"/>
        <v>8023.8415086614978</v>
      </c>
      <c r="I103">
        <f t="shared" ca="1" si="9"/>
        <v>16220.396515976883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66509</v>
      </c>
      <c r="B106" s="66">
        <v>66509</v>
      </c>
      <c r="D106">
        <f t="shared" si="5"/>
        <v>85.091220797830147</v>
      </c>
      <c r="E106">
        <f t="shared" si="6"/>
        <v>85.091220797830147</v>
      </c>
      <c r="G106">
        <f t="shared" ca="1" si="7"/>
        <v>104</v>
      </c>
      <c r="H106">
        <f t="shared" ca="1" si="8"/>
        <v>8849.4869629743353</v>
      </c>
      <c r="I106">
        <f t="shared" ca="1" si="9"/>
        <v>25434.422429339727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78162</v>
      </c>
      <c r="B108" s="66">
        <v>78162</v>
      </c>
      <c r="D108">
        <f t="shared" si="5"/>
        <v>100</v>
      </c>
      <c r="E108">
        <f t="shared" si="6"/>
        <v>100</v>
      </c>
      <c r="G108">
        <f t="shared" ca="1" si="7"/>
        <v>106</v>
      </c>
      <c r="H108">
        <f t="shared" ca="1" si="8"/>
        <v>10600</v>
      </c>
      <c r="I108">
        <f t="shared" ca="1" si="9"/>
        <v>37206.350679005336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77283</v>
      </c>
      <c r="B111" s="66">
        <v>77283</v>
      </c>
      <c r="D111">
        <f t="shared" si="5"/>
        <v>98.875412604590466</v>
      </c>
      <c r="E111">
        <f t="shared" si="6"/>
        <v>98.875412604590466</v>
      </c>
      <c r="G111">
        <f t="shared" ca="1" si="7"/>
        <v>109</v>
      </c>
      <c r="H111">
        <f t="shared" ca="1" si="8"/>
        <v>10777.419973900362</v>
      </c>
      <c r="I111">
        <f t="shared" ca="1" si="9"/>
        <v>49121.027490236316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66577</v>
      </c>
      <c r="B113" s="66">
        <v>66577</v>
      </c>
      <c r="D113">
        <f t="shared" si="5"/>
        <v>85.178219595199707</v>
      </c>
      <c r="E113">
        <f t="shared" si="6"/>
        <v>85.178219595199707</v>
      </c>
      <c r="G113">
        <f t="shared" ca="1" si="7"/>
        <v>111</v>
      </c>
      <c r="H113">
        <f t="shared" ca="1" si="8"/>
        <v>9454.7823750671669</v>
      </c>
      <c r="I113">
        <f t="shared" ca="1" si="9"/>
        <v>50251.144879552026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63639</v>
      </c>
      <c r="B116" s="66">
        <v>63639</v>
      </c>
      <c r="D116">
        <f t="shared" si="5"/>
        <v>81.419359791202879</v>
      </c>
      <c r="E116">
        <f t="shared" si="6"/>
        <v>81.419359791202879</v>
      </c>
      <c r="G116">
        <f t="shared" ca="1" si="7"/>
        <v>114</v>
      </c>
      <c r="H116">
        <f t="shared" ca="1" si="8"/>
        <v>9281.8070161971282</v>
      </c>
      <c r="I116">
        <f t="shared" ca="1" si="9"/>
        <v>60631.912031009662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60052</v>
      </c>
      <c r="B118" s="66">
        <v>60052</v>
      </c>
      <c r="D118">
        <f t="shared" si="5"/>
        <v>76.830173229958291</v>
      </c>
      <c r="E118">
        <f t="shared" si="6"/>
        <v>76.830173229958291</v>
      </c>
      <c r="G118">
        <f t="shared" ca="1" si="7"/>
        <v>116</v>
      </c>
      <c r="H118">
        <f t="shared" ca="1" si="8"/>
        <v>8912.3000946751617</v>
      </c>
      <c r="I118">
        <f t="shared" ca="1" si="9"/>
        <v>65908.185002605445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56737</v>
      </c>
      <c r="B121" s="66">
        <v>56737</v>
      </c>
      <c r="D121">
        <f t="shared" si="5"/>
        <v>72.588981858191957</v>
      </c>
      <c r="E121">
        <f t="shared" si="6"/>
        <v>72.588981858191957</v>
      </c>
      <c r="G121">
        <f t="shared" ca="1" si="7"/>
        <v>119</v>
      </c>
      <c r="H121">
        <f t="shared" ca="1" si="8"/>
        <v>8638.0888411248434</v>
      </c>
      <c r="I121">
        <f t="shared" ca="1" si="9"/>
        <v>75679.54118679784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49498</v>
      </c>
      <c r="B124" s="66">
        <v>49498</v>
      </c>
      <c r="D124">
        <f t="shared" si="5"/>
        <v>63.327448120570097</v>
      </c>
      <c r="E124">
        <f t="shared" si="6"/>
        <v>63.327448120570097</v>
      </c>
      <c r="G124">
        <f t="shared" ca="1" si="7"/>
        <v>122</v>
      </c>
      <c r="H124">
        <f t="shared" ca="1" si="8"/>
        <v>7725.9486707095521</v>
      </c>
      <c r="I124">
        <f t="shared" ca="1" si="9"/>
        <v>78862.294034857478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46720</v>
      </c>
      <c r="B126" s="66">
        <v>46720</v>
      </c>
      <c r="D126">
        <f t="shared" si="5"/>
        <v>59.773291369207541</v>
      </c>
      <c r="E126">
        <f t="shared" si="6"/>
        <v>59.773291369207541</v>
      </c>
      <c r="G126">
        <f t="shared" ca="1" si="7"/>
        <v>124</v>
      </c>
      <c r="H126">
        <f t="shared" ca="1" si="8"/>
        <v>7411.8881297817352</v>
      </c>
      <c r="I126">
        <f t="shared" ca="1" si="9"/>
        <v>83112.70707220574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44647</v>
      </c>
      <c r="B129" s="66">
        <v>44647</v>
      </c>
      <c r="D129">
        <f t="shared" si="5"/>
        <v>57.121107443514752</v>
      </c>
      <c r="E129">
        <f t="shared" si="6"/>
        <v>57.121107443514752</v>
      </c>
      <c r="G129">
        <f t="shared" ca="1" si="7"/>
        <v>127</v>
      </c>
      <c r="H129">
        <f t="shared" ca="1" si="8"/>
        <v>7254.3806453263733</v>
      </c>
      <c r="I129">
        <f t="shared" ca="1" si="9"/>
        <v>92718.942412084318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44646</v>
      </c>
      <c r="B131" s="66">
        <v>44646</v>
      </c>
      <c r="D131">
        <f t="shared" ref="D131:D194" si="10">IFERROR( 100*A131/MAX(A$2:A$257), 0 )</f>
        <v>57.119828049435789</v>
      </c>
      <c r="E131">
        <f t="shared" ref="E131:E194" si="11">IFERROR( 100*B131/MAX(B$2:B$257), 0 )</f>
        <v>57.119828049435789</v>
      </c>
      <c r="G131">
        <f t="shared" ref="G131:G194" ca="1" si="12">CELL("row",D131)-2</f>
        <v>129</v>
      </c>
      <c r="H131">
        <f t="shared" ref="H131:H194" ca="1" si="13">D131*G131</f>
        <v>7368.4578183772164</v>
      </c>
      <c r="I131">
        <f t="shared" ref="I131:I194" ca="1" si="14">D131*((G131-$L$1)^2)</f>
        <v>102150.53609259338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41121</v>
      </c>
      <c r="B134" s="66">
        <v>41121</v>
      </c>
      <c r="D134">
        <f t="shared" si="10"/>
        <v>52.609963921086973</v>
      </c>
      <c r="E134">
        <f t="shared" si="11"/>
        <v>52.609963921086973</v>
      </c>
      <c r="G134">
        <f t="shared" ca="1" si="12"/>
        <v>132</v>
      </c>
      <c r="H134">
        <f t="shared" ca="1" si="13"/>
        <v>6944.5152375834805</v>
      </c>
      <c r="I134">
        <f t="shared" ca="1" si="14"/>
        <v>107907.70733530835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45883</v>
      </c>
      <c r="B136" s="66">
        <v>45883</v>
      </c>
      <c r="D136">
        <f t="shared" si="10"/>
        <v>58.702438525114509</v>
      </c>
      <c r="E136">
        <f t="shared" si="11"/>
        <v>58.702438525114509</v>
      </c>
      <c r="G136">
        <f t="shared" ca="1" si="12"/>
        <v>134</v>
      </c>
      <c r="H136">
        <f t="shared" ca="1" si="13"/>
        <v>7866.1267623653439</v>
      </c>
      <c r="I136">
        <f t="shared" ca="1" si="14"/>
        <v>131273.0101577304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35347</v>
      </c>
      <c r="B139" s="66">
        <v>35347</v>
      </c>
      <c r="D139">
        <f t="shared" si="10"/>
        <v>45.222742509147665</v>
      </c>
      <c r="E139">
        <f t="shared" si="11"/>
        <v>45.222742509147665</v>
      </c>
      <c r="G139">
        <f t="shared" ca="1" si="12"/>
        <v>137</v>
      </c>
      <c r="H139">
        <f t="shared" ca="1" si="13"/>
        <v>6195.5157237532303</v>
      </c>
      <c r="I139">
        <f t="shared" ca="1" si="14"/>
        <v>114367.33310102229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35904</v>
      </c>
      <c r="B142" s="66">
        <v>35904</v>
      </c>
      <c r="D142">
        <f t="shared" si="10"/>
        <v>45.935365011130727</v>
      </c>
      <c r="E142">
        <f t="shared" si="11"/>
        <v>45.935365011130727</v>
      </c>
      <c r="G142">
        <f t="shared" ca="1" si="12"/>
        <v>140</v>
      </c>
      <c r="H142">
        <f t="shared" ca="1" si="13"/>
        <v>6430.9511015583021</v>
      </c>
      <c r="I142">
        <f t="shared" ca="1" si="14"/>
        <v>130443.20524428452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28341</v>
      </c>
      <c r="B144" s="66">
        <v>28341</v>
      </c>
      <c r="D144">
        <f t="shared" si="10"/>
        <v>36.259307591924461</v>
      </c>
      <c r="E144">
        <f t="shared" si="11"/>
        <v>36.259307591924461</v>
      </c>
      <c r="G144">
        <f t="shared" ca="1" si="12"/>
        <v>142</v>
      </c>
      <c r="H144">
        <f t="shared" ca="1" si="13"/>
        <v>5148.8216780532739</v>
      </c>
      <c r="I144">
        <f t="shared" ca="1" si="14"/>
        <v>110839.90792685999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24596</v>
      </c>
      <c r="B147" s="66">
        <v>24596</v>
      </c>
      <c r="D147">
        <f t="shared" si="10"/>
        <v>31.467976766203527</v>
      </c>
      <c r="E147">
        <f t="shared" si="11"/>
        <v>31.467976766203527</v>
      </c>
      <c r="G147">
        <f t="shared" ca="1" si="12"/>
        <v>145</v>
      </c>
      <c r="H147">
        <f t="shared" ca="1" si="13"/>
        <v>4562.8566310995111</v>
      </c>
      <c r="I147">
        <f t="shared" ca="1" si="14"/>
        <v>106915.64299531738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20635</v>
      </c>
      <c r="B149" s="66">
        <v>20635</v>
      </c>
      <c r="D149">
        <f t="shared" si="10"/>
        <v>26.40029681942632</v>
      </c>
      <c r="E149">
        <f t="shared" si="11"/>
        <v>26.40029681942632</v>
      </c>
      <c r="G149">
        <f t="shared" ca="1" si="12"/>
        <v>147</v>
      </c>
      <c r="H149">
        <f t="shared" ca="1" si="13"/>
        <v>3880.8436324556692</v>
      </c>
      <c r="I149">
        <f t="shared" ca="1" si="14"/>
        <v>95958.669618501139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18052</v>
      </c>
      <c r="B152" s="66">
        <v>18052</v>
      </c>
      <c r="D152">
        <f t="shared" si="10"/>
        <v>23.095621913461784</v>
      </c>
      <c r="E152">
        <f t="shared" si="11"/>
        <v>23.095621913461784</v>
      </c>
      <c r="G152">
        <f t="shared" ca="1" si="12"/>
        <v>150</v>
      </c>
      <c r="H152">
        <f t="shared" ca="1" si="13"/>
        <v>3464.3432870192678</v>
      </c>
      <c r="I152">
        <f t="shared" ca="1" si="14"/>
        <v>92509.303685607098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15193</v>
      </c>
      <c r="B154" s="66">
        <v>15193</v>
      </c>
      <c r="D154">
        <f t="shared" si="10"/>
        <v>19.437834241703129</v>
      </c>
      <c r="E154">
        <f t="shared" si="11"/>
        <v>19.437834241703129</v>
      </c>
      <c r="G154">
        <f t="shared" ca="1" si="12"/>
        <v>152</v>
      </c>
      <c r="H154">
        <f t="shared" ca="1" si="13"/>
        <v>2954.5508047388757</v>
      </c>
      <c r="I154">
        <f t="shared" ca="1" si="14"/>
        <v>82856.62005043008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12730</v>
      </c>
      <c r="B157" s="66">
        <v>12730</v>
      </c>
      <c r="D157">
        <f t="shared" si="10"/>
        <v>16.286686625214298</v>
      </c>
      <c r="E157">
        <f t="shared" si="11"/>
        <v>16.286686625214298</v>
      </c>
      <c r="G157">
        <f t="shared" ca="1" si="12"/>
        <v>155</v>
      </c>
      <c r="H157">
        <f t="shared" ca="1" si="13"/>
        <v>2524.4364269082162</v>
      </c>
      <c r="I157">
        <f t="shared" ca="1" si="14"/>
        <v>75951.015027233079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11198</v>
      </c>
      <c r="B160" s="66">
        <v>11198</v>
      </c>
      <c r="D160">
        <f t="shared" si="10"/>
        <v>14.32665489624114</v>
      </c>
      <c r="E160">
        <f t="shared" si="11"/>
        <v>14.32665489624114</v>
      </c>
      <c r="G160">
        <f t="shared" ca="1" si="12"/>
        <v>158</v>
      </c>
      <c r="H160">
        <f t="shared" ca="1" si="13"/>
        <v>2263.6114736060999</v>
      </c>
      <c r="I160">
        <f t="shared" ca="1" si="14"/>
        <v>72809.694521656973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8388</v>
      </c>
      <c r="B162" s="66">
        <v>8388</v>
      </c>
      <c r="D162">
        <f t="shared" si="10"/>
        <v>10.731557534351731</v>
      </c>
      <c r="E162">
        <f t="shared" si="11"/>
        <v>10.731557534351731</v>
      </c>
      <c r="G162">
        <f t="shared" ca="1" si="12"/>
        <v>160</v>
      </c>
      <c r="H162">
        <f t="shared" ca="1" si="13"/>
        <v>1717.049205496277</v>
      </c>
      <c r="I162">
        <f t="shared" ca="1" si="14"/>
        <v>57642.091620491701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8278</v>
      </c>
      <c r="B165" s="66">
        <v>8278</v>
      </c>
      <c r="D165">
        <f t="shared" si="10"/>
        <v>10.590824185665669</v>
      </c>
      <c r="E165">
        <f t="shared" si="11"/>
        <v>10.590824185665669</v>
      </c>
      <c r="G165">
        <f t="shared" ca="1" si="12"/>
        <v>163</v>
      </c>
      <c r="H165">
        <f t="shared" ca="1" si="13"/>
        <v>1726.3043422635042</v>
      </c>
      <c r="I165">
        <f t="shared" ca="1" si="14"/>
        <v>61638.634407635647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10182</v>
      </c>
      <c r="B167" s="66">
        <v>10182</v>
      </c>
      <c r="D167">
        <f t="shared" si="10"/>
        <v>13.026790512013511</v>
      </c>
      <c r="E167">
        <f t="shared" si="11"/>
        <v>13.026790512013511</v>
      </c>
      <c r="G167">
        <f t="shared" ca="1" si="12"/>
        <v>165</v>
      </c>
      <c r="H167">
        <f t="shared" ca="1" si="13"/>
        <v>2149.4204344822292</v>
      </c>
      <c r="I167">
        <f t="shared" ca="1" si="14"/>
        <v>79843.27481301954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11821</v>
      </c>
      <c r="B170" s="66">
        <v>11821</v>
      </c>
      <c r="D170">
        <f t="shared" si="10"/>
        <v>15.123717407435839</v>
      </c>
      <c r="E170">
        <f t="shared" si="11"/>
        <v>15.123717407435839</v>
      </c>
      <c r="G170">
        <f t="shared" ca="1" si="12"/>
        <v>168</v>
      </c>
      <c r="H170">
        <f t="shared" ca="1" si="13"/>
        <v>2540.784524449221</v>
      </c>
      <c r="I170">
        <f t="shared" ca="1" si="14"/>
        <v>99935.906883188101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8978</v>
      </c>
      <c r="B173" s="66">
        <v>8978</v>
      </c>
      <c r="D173">
        <f t="shared" si="10"/>
        <v>11.486400040940611</v>
      </c>
      <c r="E173">
        <f t="shared" si="11"/>
        <v>11.486400040940611</v>
      </c>
      <c r="G173">
        <f t="shared" ca="1" si="12"/>
        <v>171</v>
      </c>
      <c r="H173">
        <f t="shared" ca="1" si="13"/>
        <v>1964.1744070008444</v>
      </c>
      <c r="I173">
        <f t="shared" ca="1" si="14"/>
        <v>81606.584639478097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6162</v>
      </c>
      <c r="B175" s="66">
        <v>6162</v>
      </c>
      <c r="D175">
        <f t="shared" si="10"/>
        <v>7.8836263145774161</v>
      </c>
      <c r="E175">
        <f t="shared" si="11"/>
        <v>7.8836263145774161</v>
      </c>
      <c r="G175">
        <f t="shared" ca="1" si="12"/>
        <v>173</v>
      </c>
      <c r="H175">
        <f t="shared" ca="1" si="13"/>
        <v>1363.867352421893</v>
      </c>
      <c r="I175">
        <f t="shared" ca="1" si="14"/>
        <v>58699.766932066945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5093</v>
      </c>
      <c r="B178" s="66">
        <v>5093</v>
      </c>
      <c r="D178">
        <f t="shared" si="10"/>
        <v>6.5159540441646833</v>
      </c>
      <c r="E178">
        <f t="shared" si="11"/>
        <v>6.5159540441646833</v>
      </c>
      <c r="G178">
        <f t="shared" ca="1" si="12"/>
        <v>176</v>
      </c>
      <c r="H178">
        <f t="shared" ca="1" si="13"/>
        <v>1146.8079117729842</v>
      </c>
      <c r="I178">
        <f t="shared" ca="1" si="14"/>
        <v>51948.549157244684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5469</v>
      </c>
      <c r="B180" s="66">
        <v>5469</v>
      </c>
      <c r="D180">
        <f t="shared" si="10"/>
        <v>6.9970062178552235</v>
      </c>
      <c r="E180">
        <f t="shared" si="11"/>
        <v>6.9970062178552235</v>
      </c>
      <c r="G180">
        <f t="shared" ca="1" si="12"/>
        <v>178</v>
      </c>
      <c r="H180">
        <f t="shared" ca="1" si="13"/>
        <v>1245.4671067782299</v>
      </c>
      <c r="I180">
        <f t="shared" ca="1" si="14"/>
        <v>58310.754720006502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6793</v>
      </c>
      <c r="B183" s="66">
        <v>6793</v>
      </c>
      <c r="D183">
        <f t="shared" si="10"/>
        <v>8.6909239784038288</v>
      </c>
      <c r="E183">
        <f t="shared" si="11"/>
        <v>8.6909239784038288</v>
      </c>
      <c r="G183">
        <f t="shared" ca="1" si="12"/>
        <v>181</v>
      </c>
      <c r="H183">
        <f t="shared" ca="1" si="13"/>
        <v>1573.057240091093</v>
      </c>
      <c r="I183">
        <f t="shared" ca="1" si="14"/>
        <v>77265.839859247339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6778</v>
      </c>
      <c r="B185" s="66">
        <v>6778</v>
      </c>
      <c r="D185">
        <f t="shared" si="10"/>
        <v>8.6717330672193658</v>
      </c>
      <c r="E185">
        <f t="shared" si="11"/>
        <v>8.6717330672193658</v>
      </c>
      <c r="G185">
        <f t="shared" ca="1" si="12"/>
        <v>183</v>
      </c>
      <c r="H185">
        <f t="shared" ca="1" si="13"/>
        <v>1586.927151301144</v>
      </c>
      <c r="I185">
        <f t="shared" ca="1" si="14"/>
        <v>80400.506151457754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4725</v>
      </c>
      <c r="B188" s="66">
        <v>4725</v>
      </c>
      <c r="D188">
        <f t="shared" si="10"/>
        <v>6.0451370231058572</v>
      </c>
      <c r="E188">
        <f t="shared" si="11"/>
        <v>6.0451370231058572</v>
      </c>
      <c r="G188">
        <f t="shared" ca="1" si="12"/>
        <v>186</v>
      </c>
      <c r="H188">
        <f t="shared" ca="1" si="13"/>
        <v>1124.3954862976893</v>
      </c>
      <c r="I188">
        <f t="shared" ca="1" si="14"/>
        <v>59594.745013867934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5169</v>
      </c>
      <c r="B191" s="66">
        <v>5169</v>
      </c>
      <c r="D191">
        <f t="shared" si="10"/>
        <v>6.6131879941659628</v>
      </c>
      <c r="E191">
        <f t="shared" si="11"/>
        <v>6.6131879941659628</v>
      </c>
      <c r="G191">
        <f t="shared" ca="1" si="12"/>
        <v>189</v>
      </c>
      <c r="H191">
        <f t="shared" ca="1" si="13"/>
        <v>1249.8925308973669</v>
      </c>
      <c r="I191">
        <f t="shared" ca="1" si="14"/>
        <v>69193.976705264227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6440</v>
      </c>
      <c r="B193" s="66">
        <v>6440</v>
      </c>
      <c r="D193">
        <f t="shared" si="10"/>
        <v>8.239297868529464</v>
      </c>
      <c r="E193">
        <f t="shared" si="11"/>
        <v>8.239297868529464</v>
      </c>
      <c r="G193">
        <f t="shared" ca="1" si="12"/>
        <v>191</v>
      </c>
      <c r="H193">
        <f t="shared" ca="1" si="13"/>
        <v>1573.7058928891277</v>
      </c>
      <c r="I193">
        <f t="shared" ca="1" si="14"/>
        <v>89612.12484666564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6030</v>
      </c>
      <c r="B196" s="66">
        <v>6030</v>
      </c>
      <c r="D196">
        <f t="shared" si="15"/>
        <v>7.7147462961541411</v>
      </c>
      <c r="E196">
        <f t="shared" si="16"/>
        <v>7.7147462961541411</v>
      </c>
      <c r="G196">
        <f t="shared" ca="1" si="17"/>
        <v>194</v>
      </c>
      <c r="H196">
        <f t="shared" ca="1" si="18"/>
        <v>1496.6607814539034</v>
      </c>
      <c r="I196">
        <f t="shared" ca="1" si="19"/>
        <v>88803.814455866173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7046</v>
      </c>
      <c r="B198" s="66">
        <v>7046</v>
      </c>
      <c r="D198">
        <f t="shared" si="15"/>
        <v>9.0146106803817716</v>
      </c>
      <c r="E198">
        <f t="shared" si="16"/>
        <v>9.0146106803817716</v>
      </c>
      <c r="G198">
        <f t="shared" ca="1" si="17"/>
        <v>196</v>
      </c>
      <c r="H198">
        <f t="shared" ca="1" si="18"/>
        <v>1766.8636933548273</v>
      </c>
      <c r="I198">
        <f t="shared" ca="1" si="19"/>
        <v>107671.17802784748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9684</v>
      </c>
      <c r="B201" s="66">
        <v>9684</v>
      </c>
      <c r="D201">
        <f t="shared" si="15"/>
        <v>12.389652260689337</v>
      </c>
      <c r="E201">
        <f t="shared" si="16"/>
        <v>12.389652260689337</v>
      </c>
      <c r="G201">
        <f t="shared" ca="1" si="17"/>
        <v>199</v>
      </c>
      <c r="H201">
        <f t="shared" ca="1" si="18"/>
        <v>2465.540799877178</v>
      </c>
      <c r="I201">
        <f t="shared" ca="1" si="19"/>
        <v>156218.74400766124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8603</v>
      </c>
      <c r="B203" s="66">
        <v>8603</v>
      </c>
      <c r="D203">
        <f t="shared" si="15"/>
        <v>11.006627261329035</v>
      </c>
      <c r="E203">
        <f t="shared" si="16"/>
        <v>11.006627261329035</v>
      </c>
      <c r="G203">
        <f t="shared" ca="1" si="17"/>
        <v>201</v>
      </c>
      <c r="H203">
        <f t="shared" ca="1" si="18"/>
        <v>2212.3320795271361</v>
      </c>
      <c r="I203">
        <f t="shared" ca="1" si="19"/>
        <v>143768.16449895391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4236</v>
      </c>
      <c r="B206" s="66">
        <v>4236</v>
      </c>
      <c r="D206">
        <f t="shared" si="15"/>
        <v>5.4195133184923616</v>
      </c>
      <c r="E206">
        <f t="shared" si="16"/>
        <v>5.4195133184923616</v>
      </c>
      <c r="G206">
        <f t="shared" ca="1" si="17"/>
        <v>204</v>
      </c>
      <c r="H206">
        <f t="shared" ca="1" si="18"/>
        <v>1105.5807169724417</v>
      </c>
      <c r="I206">
        <f t="shared" ca="1" si="19"/>
        <v>74554.604091383182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3436</v>
      </c>
      <c r="B209" s="66">
        <v>3436</v>
      </c>
      <c r="D209">
        <f t="shared" si="15"/>
        <v>4.3959980553209999</v>
      </c>
      <c r="E209">
        <f t="shared" si="16"/>
        <v>4.3959980553209999</v>
      </c>
      <c r="G209">
        <f t="shared" ca="1" si="17"/>
        <v>207</v>
      </c>
      <c r="H209">
        <f t="shared" ca="1" si="18"/>
        <v>909.971597451447</v>
      </c>
      <c r="I209">
        <f t="shared" ca="1" si="19"/>
        <v>63607.590362115494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3082</v>
      </c>
      <c r="B211" s="66">
        <v>3082</v>
      </c>
      <c r="D211">
        <f t="shared" si="15"/>
        <v>3.9430925513676724</v>
      </c>
      <c r="E211">
        <f t="shared" si="16"/>
        <v>3.9430925513676724</v>
      </c>
      <c r="G211">
        <f t="shared" ca="1" si="17"/>
        <v>209</v>
      </c>
      <c r="H211">
        <f t="shared" ca="1" si="18"/>
        <v>824.1063432358435</v>
      </c>
      <c r="I211">
        <f t="shared" ca="1" si="19"/>
        <v>58967.31962757562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1132</v>
      </c>
      <c r="B214" s="66">
        <v>1132</v>
      </c>
      <c r="D214">
        <f t="shared" si="15"/>
        <v>1.4482740973874773</v>
      </c>
      <c r="E214">
        <f t="shared" si="16"/>
        <v>1.4482740973874773</v>
      </c>
      <c r="G214">
        <f t="shared" ca="1" si="17"/>
        <v>212</v>
      </c>
      <c r="H214">
        <f t="shared" ca="1" si="18"/>
        <v>307.03410864614517</v>
      </c>
      <c r="I214">
        <f t="shared" ca="1" si="19"/>
        <v>22734.022588697499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1138</v>
      </c>
      <c r="B216" s="66">
        <v>1138</v>
      </c>
      <c r="D216">
        <f t="shared" si="15"/>
        <v>1.4559504618612624</v>
      </c>
      <c r="E216">
        <f t="shared" si="16"/>
        <v>1.4559504618612624</v>
      </c>
      <c r="G216">
        <f t="shared" ca="1" si="17"/>
        <v>214</v>
      </c>
      <c r="H216">
        <f t="shared" ca="1" si="18"/>
        <v>311.57339883831014</v>
      </c>
      <c r="I216">
        <f t="shared" ca="1" si="19"/>
        <v>23590.002749084069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1230</v>
      </c>
      <c r="B219" s="66">
        <v>1230</v>
      </c>
      <c r="D219">
        <f t="shared" si="15"/>
        <v>1.5736547171259692</v>
      </c>
      <c r="E219">
        <f t="shared" si="16"/>
        <v>1.5736547171259692</v>
      </c>
      <c r="G219">
        <f t="shared" ca="1" si="17"/>
        <v>217</v>
      </c>
      <c r="H219">
        <f t="shared" ca="1" si="18"/>
        <v>341.48307361633533</v>
      </c>
      <c r="I219">
        <f t="shared" ca="1" si="19"/>
        <v>26713.119158283818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802</v>
      </c>
      <c r="B221" s="66">
        <v>802</v>
      </c>
      <c r="D221">
        <f t="shared" si="15"/>
        <v>1.0260740513292905</v>
      </c>
      <c r="E221">
        <f t="shared" si="16"/>
        <v>1.0260740513292905</v>
      </c>
      <c r="G221">
        <f t="shared" ca="1" si="17"/>
        <v>219</v>
      </c>
      <c r="H221">
        <f t="shared" ca="1" si="18"/>
        <v>224.71021724111463</v>
      </c>
      <c r="I221">
        <f t="shared" ca="1" si="19"/>
        <v>17956.671140731967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133</v>
      </c>
      <c r="B224" s="66">
        <v>133</v>
      </c>
      <c r="D224">
        <f t="shared" si="15"/>
        <v>0.17015941250223893</v>
      </c>
      <c r="E224">
        <f t="shared" si="16"/>
        <v>0.17015941250223893</v>
      </c>
      <c r="G224">
        <f t="shared" ca="1" si="17"/>
        <v>222</v>
      </c>
      <c r="H224">
        <f t="shared" ca="1" si="18"/>
        <v>37.775389575497044</v>
      </c>
      <c r="I224">
        <f t="shared" ca="1" si="19"/>
        <v>3114.4446398084647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212</v>
      </c>
      <c r="B227" s="66">
        <v>212</v>
      </c>
      <c r="D227">
        <f t="shared" si="15"/>
        <v>0.27123154474041095</v>
      </c>
      <c r="E227">
        <f t="shared" si="16"/>
        <v>0.27123154474041095</v>
      </c>
      <c r="G227">
        <f t="shared" ca="1" si="17"/>
        <v>225</v>
      </c>
      <c r="H227">
        <f t="shared" ca="1" si="18"/>
        <v>61.02709756659246</v>
      </c>
      <c r="I227">
        <f t="shared" ca="1" si="19"/>
        <v>5186.9867877733614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99.451500026680435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1.9201588617504264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0.70776270686633647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1578</v>
      </c>
      <c r="B8" s="66">
        <v>1578</v>
      </c>
      <c r="D8">
        <f t="shared" si="0"/>
        <v>1.3021091197148233</v>
      </c>
      <c r="E8">
        <f t="shared" si="1"/>
        <v>1.3021091197148233</v>
      </c>
      <c r="G8">
        <f t="shared" ca="1" si="2"/>
        <v>6</v>
      </c>
      <c r="H8">
        <f t="shared" ca="1" si="3"/>
        <v>7.8126547182889396</v>
      </c>
      <c r="I8">
        <f t="shared" ca="1" si="4"/>
        <v>11371.557042545006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2486</v>
      </c>
      <c r="B10" s="66">
        <v>2486</v>
      </c>
      <c r="D10">
        <f t="shared" si="0"/>
        <v>2.0513582202858367</v>
      </c>
      <c r="E10">
        <f t="shared" si="1"/>
        <v>2.0513582202858367</v>
      </c>
      <c r="G10">
        <f t="shared" ca="1" si="2"/>
        <v>8</v>
      </c>
      <c r="H10">
        <f t="shared" ca="1" si="3"/>
        <v>16.410865762286694</v>
      </c>
      <c r="I10">
        <f t="shared" ca="1" si="4"/>
        <v>17156.281865221812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2969</v>
      </c>
      <c r="B13" s="66">
        <v>2969</v>
      </c>
      <c r="D13">
        <f t="shared" si="0"/>
        <v>2.4499125325939861</v>
      </c>
      <c r="E13">
        <f t="shared" si="1"/>
        <v>2.4499125325939861</v>
      </c>
      <c r="G13">
        <f t="shared" ca="1" si="2"/>
        <v>11</v>
      </c>
      <c r="H13">
        <f t="shared" ca="1" si="3"/>
        <v>26.949037858533849</v>
      </c>
      <c r="I13">
        <f t="shared" ca="1" si="4"/>
        <v>19167.301933643164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4107</v>
      </c>
      <c r="B15" s="66">
        <v>4107</v>
      </c>
      <c r="D15">
        <f t="shared" si="0"/>
        <v>3.3889494009307852</v>
      </c>
      <c r="E15">
        <f t="shared" si="1"/>
        <v>3.3889494009307852</v>
      </c>
      <c r="G15">
        <f t="shared" ca="1" si="2"/>
        <v>13</v>
      </c>
      <c r="H15">
        <f t="shared" ca="1" si="3"/>
        <v>44.056342212100205</v>
      </c>
      <c r="I15">
        <f t="shared" ca="1" si="4"/>
        <v>25328.53966245574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2985</v>
      </c>
      <c r="B18" s="66">
        <v>2985</v>
      </c>
      <c r="D18">
        <f t="shared" si="0"/>
        <v>2.4631151599168235</v>
      </c>
      <c r="E18">
        <f t="shared" si="1"/>
        <v>2.4631151599168235</v>
      </c>
      <c r="G18">
        <f t="shared" ca="1" si="2"/>
        <v>16</v>
      </c>
      <c r="H18">
        <f t="shared" ca="1" si="3"/>
        <v>39.409842558669176</v>
      </c>
      <c r="I18">
        <f t="shared" ca="1" si="4"/>
        <v>17153.510477323322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7916</v>
      </c>
      <c r="B21" s="66">
        <v>7916</v>
      </c>
      <c r="D21">
        <f t="shared" si="0"/>
        <v>6.5319998679737266</v>
      </c>
      <c r="E21">
        <f t="shared" si="1"/>
        <v>6.5319998679737266</v>
      </c>
      <c r="G21">
        <f t="shared" ca="1" si="2"/>
        <v>19</v>
      </c>
      <c r="H21">
        <f t="shared" ca="1" si="3"/>
        <v>124.10799749150081</v>
      </c>
      <c r="I21">
        <f t="shared" ca="1" si="4"/>
        <v>42278.002416405987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5722</v>
      </c>
      <c r="B23" s="66">
        <v>5722</v>
      </c>
      <c r="D23">
        <f t="shared" si="0"/>
        <v>4.7215895963296699</v>
      </c>
      <c r="E23">
        <f t="shared" si="1"/>
        <v>4.7215895963296699</v>
      </c>
      <c r="G23">
        <f t="shared" ca="1" si="2"/>
        <v>21</v>
      </c>
      <c r="H23">
        <f t="shared" ca="1" si="3"/>
        <v>99.15338152292307</v>
      </c>
      <c r="I23">
        <f t="shared" ca="1" si="4"/>
        <v>29059.674072126094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5930</v>
      </c>
      <c r="B26" s="66">
        <v>5930</v>
      </c>
      <c r="D26">
        <f t="shared" si="0"/>
        <v>4.8932237515265538</v>
      </c>
      <c r="E26">
        <f t="shared" si="1"/>
        <v>4.8932237515265538</v>
      </c>
      <c r="G26">
        <f t="shared" ca="1" si="2"/>
        <v>24</v>
      </c>
      <c r="H26">
        <f t="shared" ca="1" si="3"/>
        <v>117.43737003663729</v>
      </c>
      <c r="I26">
        <f t="shared" ca="1" si="4"/>
        <v>27856.774695281394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7464</v>
      </c>
      <c r="B28" s="66">
        <v>7464</v>
      </c>
      <c r="D28">
        <f t="shared" si="0"/>
        <v>6.1590256461035748</v>
      </c>
      <c r="E28">
        <f t="shared" si="1"/>
        <v>6.1590256461035748</v>
      </c>
      <c r="G28">
        <f t="shared" ca="1" si="2"/>
        <v>26</v>
      </c>
      <c r="H28">
        <f t="shared" ca="1" si="3"/>
        <v>160.13466679869293</v>
      </c>
      <c r="I28">
        <f t="shared" ca="1" si="4"/>
        <v>33228.700035027126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8960</v>
      </c>
      <c r="B31" s="66">
        <v>8960</v>
      </c>
      <c r="D31">
        <f t="shared" si="0"/>
        <v>7.3934713007888568</v>
      </c>
      <c r="E31">
        <f t="shared" si="1"/>
        <v>7.3934713007888568</v>
      </c>
      <c r="G31">
        <f t="shared" ca="1" si="2"/>
        <v>29</v>
      </c>
      <c r="H31">
        <f t="shared" ca="1" si="3"/>
        <v>214.41066772287684</v>
      </c>
      <c r="I31">
        <f t="shared" ca="1" si="4"/>
        <v>36696.857898342911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10209</v>
      </c>
      <c r="B33" s="66">
        <v>10209</v>
      </c>
      <c r="D33">
        <f t="shared" si="0"/>
        <v>8.4241013961778393</v>
      </c>
      <c r="E33">
        <f t="shared" si="1"/>
        <v>8.4241013961778393</v>
      </c>
      <c r="G33">
        <f t="shared" ca="1" si="2"/>
        <v>31</v>
      </c>
      <c r="H33">
        <f t="shared" ca="1" si="3"/>
        <v>261.14714328151302</v>
      </c>
      <c r="I33">
        <f t="shared" ca="1" si="4"/>
        <v>39472.035680851215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14919</v>
      </c>
      <c r="B36" s="66">
        <v>14919</v>
      </c>
      <c r="D36">
        <f t="shared" si="0"/>
        <v>12.310624814338054</v>
      </c>
      <c r="E36">
        <f t="shared" si="1"/>
        <v>12.310624814338054</v>
      </c>
      <c r="G36">
        <f t="shared" ca="1" si="2"/>
        <v>34</v>
      </c>
      <c r="H36">
        <f t="shared" ca="1" si="3"/>
        <v>418.5612436874938</v>
      </c>
      <c r="I36">
        <f t="shared" ca="1" si="4"/>
        <v>52737.47155561862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16732</v>
      </c>
      <c r="B39" s="66">
        <v>16732</v>
      </c>
      <c r="D39">
        <f t="shared" si="0"/>
        <v>13.806647522857048</v>
      </c>
      <c r="E39">
        <f t="shared" si="1"/>
        <v>13.806647522857048</v>
      </c>
      <c r="G39">
        <f t="shared" ca="1" si="2"/>
        <v>37</v>
      </c>
      <c r="H39">
        <f t="shared" ca="1" si="3"/>
        <v>510.84595834571076</v>
      </c>
      <c r="I39">
        <f t="shared" ca="1" si="4"/>
        <v>53848.546608249846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21625</v>
      </c>
      <c r="B41" s="66">
        <v>21625</v>
      </c>
      <c r="D41">
        <f t="shared" si="0"/>
        <v>17.844175991022212</v>
      </c>
      <c r="E41">
        <f t="shared" si="1"/>
        <v>17.844175991022212</v>
      </c>
      <c r="G41">
        <f t="shared" ca="1" si="2"/>
        <v>39</v>
      </c>
      <c r="H41">
        <f t="shared" ca="1" si="3"/>
        <v>695.92286364986626</v>
      </c>
      <c r="I41">
        <f t="shared" ca="1" si="4"/>
        <v>65209.468655859462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29186</v>
      </c>
      <c r="B44" s="66">
        <v>29186</v>
      </c>
      <c r="D44">
        <f t="shared" si="0"/>
        <v>24.083242565270488</v>
      </c>
      <c r="E44">
        <f t="shared" si="1"/>
        <v>24.083242565270488</v>
      </c>
      <c r="G44">
        <f t="shared" ca="1" si="2"/>
        <v>42</v>
      </c>
      <c r="H44">
        <f t="shared" ca="1" si="3"/>
        <v>1011.4961877413605</v>
      </c>
      <c r="I44">
        <f t="shared" ca="1" si="4"/>
        <v>79490.953169656161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37966</v>
      </c>
      <c r="B46" s="66">
        <v>37966</v>
      </c>
      <c r="D46">
        <f t="shared" si="0"/>
        <v>31.328184308677425</v>
      </c>
      <c r="E46">
        <f t="shared" si="1"/>
        <v>31.328184308677425</v>
      </c>
      <c r="G46">
        <f t="shared" ca="1" si="2"/>
        <v>44</v>
      </c>
      <c r="H46">
        <f t="shared" ca="1" si="3"/>
        <v>1378.4401095818066</v>
      </c>
      <c r="I46">
        <f t="shared" ca="1" si="4"/>
        <v>96330.058220997642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44263</v>
      </c>
      <c r="B49" s="66">
        <v>44263</v>
      </c>
      <c r="D49">
        <f t="shared" si="0"/>
        <v>36.524243324421562</v>
      </c>
      <c r="E49">
        <f t="shared" si="1"/>
        <v>36.524243324421562</v>
      </c>
      <c r="G49">
        <f t="shared" ca="1" si="2"/>
        <v>47</v>
      </c>
      <c r="H49">
        <f t="shared" ca="1" si="3"/>
        <v>1716.6394362478134</v>
      </c>
      <c r="I49">
        <f t="shared" ca="1" si="4"/>
        <v>100484.03197018482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53097</v>
      </c>
      <c r="B51" s="66">
        <v>53097</v>
      </c>
      <c r="D51">
        <f t="shared" si="0"/>
        <v>43.813743935043071</v>
      </c>
      <c r="E51">
        <f t="shared" si="1"/>
        <v>43.813743935043071</v>
      </c>
      <c r="G51">
        <f t="shared" ca="1" si="2"/>
        <v>49</v>
      </c>
      <c r="H51">
        <f t="shared" ca="1" si="3"/>
        <v>2146.8734528171103</v>
      </c>
      <c r="I51">
        <f t="shared" ca="1" si="4"/>
        <v>111521.4820245095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50697</v>
      </c>
      <c r="B54" s="66">
        <v>50697</v>
      </c>
      <c r="D54">
        <f t="shared" si="0"/>
        <v>41.833349836617487</v>
      </c>
      <c r="E54">
        <f t="shared" si="1"/>
        <v>41.833349836617487</v>
      </c>
      <c r="G54">
        <f t="shared" ca="1" si="2"/>
        <v>52</v>
      </c>
      <c r="H54">
        <f t="shared" ca="1" si="3"/>
        <v>2175.3341915041092</v>
      </c>
      <c r="I54">
        <f t="shared" ca="1" si="4"/>
        <v>94193.846917917414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54952</v>
      </c>
      <c r="B57" s="66">
        <v>54952</v>
      </c>
      <c r="D57">
        <f t="shared" si="0"/>
        <v>45.344423540284517</v>
      </c>
      <c r="E57">
        <f t="shared" si="1"/>
        <v>45.344423540284517</v>
      </c>
      <c r="G57">
        <f t="shared" ca="1" si="2"/>
        <v>55</v>
      </c>
      <c r="H57">
        <f t="shared" ca="1" si="3"/>
        <v>2493.9432947156483</v>
      </c>
      <c r="I57">
        <f t="shared" ca="1" si="4"/>
        <v>89597.672280412691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60744</v>
      </c>
      <c r="B59" s="66">
        <v>60744</v>
      </c>
      <c r="D59">
        <f t="shared" si="0"/>
        <v>50.123774631151598</v>
      </c>
      <c r="E59">
        <f t="shared" si="1"/>
        <v>50.123774631151598</v>
      </c>
      <c r="G59">
        <f t="shared" ca="1" si="2"/>
        <v>57</v>
      </c>
      <c r="H59">
        <f t="shared" ca="1" si="3"/>
        <v>2857.0551539756411</v>
      </c>
      <c r="I59">
        <f t="shared" ca="1" si="4"/>
        <v>90329.55068379236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68370</v>
      </c>
      <c r="B62" s="66">
        <v>68370</v>
      </c>
      <c r="D62">
        <f t="shared" si="0"/>
        <v>56.416476878898898</v>
      </c>
      <c r="E62">
        <f t="shared" si="1"/>
        <v>56.416476878898898</v>
      </c>
      <c r="G62">
        <f t="shared" ca="1" si="2"/>
        <v>60</v>
      </c>
      <c r="H62">
        <f t="shared" ca="1" si="3"/>
        <v>3384.9886127339337</v>
      </c>
      <c r="I62">
        <f t="shared" ca="1" si="4"/>
        <v>87807.781143564309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76129</v>
      </c>
      <c r="B64" s="66">
        <v>76129</v>
      </c>
      <c r="D64">
        <f t="shared" si="0"/>
        <v>62.818925966267287</v>
      </c>
      <c r="E64">
        <f t="shared" si="1"/>
        <v>62.818925966267287</v>
      </c>
      <c r="G64">
        <f t="shared" ca="1" si="2"/>
        <v>62</v>
      </c>
      <c r="H64">
        <f t="shared" ca="1" si="3"/>
        <v>3894.7734099085719</v>
      </c>
      <c r="I64">
        <f t="shared" ca="1" si="4"/>
        <v>88110.758688219823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76710</v>
      </c>
      <c r="B67" s="66">
        <v>76710</v>
      </c>
      <c r="D67">
        <f t="shared" ref="D67:D130" si="5">IFERROR(100*A67/MAX(A$2:A$257), 0 )</f>
        <v>63.298346370927817</v>
      </c>
      <c r="E67">
        <f t="shared" ref="E67:E130" si="6">IFERROR(100*B67/MAX(B$2:B$257), 0 )</f>
        <v>63.298346370927817</v>
      </c>
      <c r="G67">
        <f t="shared" ref="G67:G130" ca="1" si="7">CELL("row",D67)-2</f>
        <v>65</v>
      </c>
      <c r="H67">
        <f t="shared" ref="H67:H130" ca="1" si="8">D67*G67</f>
        <v>4114.3925141103082</v>
      </c>
      <c r="I67">
        <f t="shared" ref="I67:I130" ca="1" si="9">D67*((G67-$L$1)^2)</f>
        <v>75129.17786176705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96754</v>
      </c>
      <c r="B69" s="66">
        <v>96754</v>
      </c>
      <c r="D69">
        <f t="shared" si="5"/>
        <v>79.837937749612166</v>
      </c>
      <c r="E69">
        <f t="shared" si="6"/>
        <v>79.837937749612166</v>
      </c>
      <c r="G69">
        <f t="shared" ca="1" si="7"/>
        <v>67</v>
      </c>
      <c r="H69">
        <f t="shared" ca="1" si="8"/>
        <v>5349.1418292240151</v>
      </c>
      <c r="I69">
        <f t="shared" ca="1" si="9"/>
        <v>84077.320586311864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96842</v>
      </c>
      <c r="B72" s="66">
        <v>96842</v>
      </c>
      <c r="D72">
        <f t="shared" si="5"/>
        <v>79.910552199887775</v>
      </c>
      <c r="E72">
        <f t="shared" si="6"/>
        <v>79.910552199887775</v>
      </c>
      <c r="G72">
        <f t="shared" ca="1" si="7"/>
        <v>70</v>
      </c>
      <c r="H72">
        <f t="shared" ca="1" si="8"/>
        <v>5593.7386539921445</v>
      </c>
      <c r="I72">
        <f t="shared" ca="1" si="9"/>
        <v>69313.682102012812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107597</v>
      </c>
      <c r="B75" s="66">
        <v>107597</v>
      </c>
      <c r="D75">
        <f t="shared" si="5"/>
        <v>88.785193253457436</v>
      </c>
      <c r="E75">
        <f t="shared" si="6"/>
        <v>88.785193253457436</v>
      </c>
      <c r="G75">
        <f t="shared" ca="1" si="7"/>
        <v>73</v>
      </c>
      <c r="H75">
        <f t="shared" ca="1" si="8"/>
        <v>6481.3191075023924</v>
      </c>
      <c r="I75">
        <f t="shared" ca="1" si="9"/>
        <v>62121.388593271389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114835</v>
      </c>
      <c r="B77" s="66">
        <v>114835</v>
      </c>
      <c r="D77">
        <f t="shared" si="5"/>
        <v>94.757731788625932</v>
      </c>
      <c r="E77">
        <f t="shared" si="6"/>
        <v>94.757731788625932</v>
      </c>
      <c r="G77">
        <f t="shared" ca="1" si="7"/>
        <v>75</v>
      </c>
      <c r="H77">
        <f t="shared" ca="1" si="8"/>
        <v>7106.829884146945</v>
      </c>
      <c r="I77">
        <f t="shared" ca="1" si="9"/>
        <v>56653.359774037111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116445</v>
      </c>
      <c r="B80" s="66">
        <v>116445</v>
      </c>
      <c r="D80">
        <f t="shared" si="5"/>
        <v>96.086246162986441</v>
      </c>
      <c r="E80">
        <f t="shared" si="6"/>
        <v>96.086246162986441</v>
      </c>
      <c r="G80">
        <f t="shared" ca="1" si="7"/>
        <v>78</v>
      </c>
      <c r="H80">
        <f t="shared" ca="1" si="8"/>
        <v>7494.7272007129422</v>
      </c>
      <c r="I80">
        <f t="shared" ca="1" si="9"/>
        <v>44215.705551327221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112096</v>
      </c>
      <c r="B82" s="66">
        <v>112096</v>
      </c>
      <c r="D82">
        <f t="shared" si="5"/>
        <v>92.497607023797741</v>
      </c>
      <c r="E82">
        <f t="shared" si="6"/>
        <v>92.497607023797741</v>
      </c>
      <c r="G82">
        <f t="shared" ca="1" si="7"/>
        <v>80</v>
      </c>
      <c r="H82">
        <f t="shared" ca="1" si="8"/>
        <v>7399.8085619038193</v>
      </c>
      <c r="I82">
        <f t="shared" ca="1" si="9"/>
        <v>34997.473520617496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121188</v>
      </c>
      <c r="B85" s="66">
        <v>121188</v>
      </c>
      <c r="D85">
        <f t="shared" si="5"/>
        <v>100</v>
      </c>
      <c r="E85">
        <f t="shared" si="6"/>
        <v>100</v>
      </c>
      <c r="G85">
        <f t="shared" ca="1" si="7"/>
        <v>83</v>
      </c>
      <c r="H85">
        <f t="shared" ca="1" si="8"/>
        <v>8300</v>
      </c>
      <c r="I85">
        <f t="shared" ca="1" si="9"/>
        <v>27065.185312786634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117555</v>
      </c>
      <c r="B88" s="66">
        <v>117555</v>
      </c>
      <c r="D88">
        <f t="shared" si="5"/>
        <v>97.002178433508263</v>
      </c>
      <c r="E88">
        <f t="shared" si="6"/>
        <v>97.002178433508263</v>
      </c>
      <c r="G88">
        <f t="shared" ca="1" si="7"/>
        <v>86</v>
      </c>
      <c r="H88">
        <f t="shared" ca="1" si="8"/>
        <v>8342.1873452817108</v>
      </c>
      <c r="I88">
        <f t="shared" ca="1" si="9"/>
        <v>17551.85090984901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103335</v>
      </c>
      <c r="B90" s="66">
        <v>103335</v>
      </c>
      <c r="D90">
        <f t="shared" si="5"/>
        <v>85.268343400336661</v>
      </c>
      <c r="E90">
        <f t="shared" si="6"/>
        <v>85.268343400336661</v>
      </c>
      <c r="G90">
        <f t="shared" ca="1" si="7"/>
        <v>88</v>
      </c>
      <c r="H90">
        <f t="shared" ca="1" si="8"/>
        <v>7503.6142192296265</v>
      </c>
      <c r="I90">
        <f t="shared" ca="1" si="9"/>
        <v>11181.822202196458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109476</v>
      </c>
      <c r="B93" s="66">
        <v>109476</v>
      </c>
      <c r="D93">
        <f t="shared" si="5"/>
        <v>90.335676799683142</v>
      </c>
      <c r="E93">
        <f t="shared" si="6"/>
        <v>90.335676799683142</v>
      </c>
      <c r="G93">
        <f t="shared" ca="1" si="7"/>
        <v>91</v>
      </c>
      <c r="H93">
        <f t="shared" ca="1" si="8"/>
        <v>8220.5465887711653</v>
      </c>
      <c r="I93">
        <f t="shared" ca="1" si="9"/>
        <v>6452.4834160910486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106095</v>
      </c>
      <c r="B95" s="66">
        <v>106095</v>
      </c>
      <c r="D95">
        <f t="shared" si="5"/>
        <v>87.545796613526093</v>
      </c>
      <c r="E95">
        <f t="shared" si="6"/>
        <v>87.545796613526093</v>
      </c>
      <c r="G95">
        <f t="shared" ca="1" si="7"/>
        <v>93</v>
      </c>
      <c r="H95">
        <f t="shared" ca="1" si="8"/>
        <v>8141.7590850579263</v>
      </c>
      <c r="I95">
        <f t="shared" ca="1" si="9"/>
        <v>3643.8182418950437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105012</v>
      </c>
      <c r="B98" s="66">
        <v>105012</v>
      </c>
      <c r="D98">
        <f t="shared" si="5"/>
        <v>86.652143776611553</v>
      </c>
      <c r="E98">
        <f t="shared" si="6"/>
        <v>86.652143776611553</v>
      </c>
      <c r="G98">
        <f t="shared" ca="1" si="7"/>
        <v>96</v>
      </c>
      <c r="H98">
        <f t="shared" ca="1" si="8"/>
        <v>8318.60580255471</v>
      </c>
      <c r="I98">
        <f t="shared" ca="1" si="9"/>
        <v>1032.2742019156929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93984</v>
      </c>
      <c r="B100" s="66">
        <v>93984</v>
      </c>
      <c r="D100">
        <f t="shared" si="5"/>
        <v>77.552232894345977</v>
      </c>
      <c r="E100">
        <f t="shared" si="6"/>
        <v>77.552232894345977</v>
      </c>
      <c r="G100">
        <f t="shared" ca="1" si="7"/>
        <v>98</v>
      </c>
      <c r="H100">
        <f t="shared" ca="1" si="8"/>
        <v>7600.1188236459056</v>
      </c>
      <c r="I100">
        <f t="shared" ca="1" si="9"/>
        <v>163.39110237265348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98323</v>
      </c>
      <c r="B103" s="66">
        <v>98323</v>
      </c>
      <c r="D103">
        <f t="shared" si="5"/>
        <v>81.132620391457905</v>
      </c>
      <c r="E103">
        <f t="shared" si="6"/>
        <v>81.132620391457905</v>
      </c>
      <c r="G103">
        <f t="shared" ca="1" si="7"/>
        <v>101</v>
      </c>
      <c r="H103">
        <f t="shared" ca="1" si="8"/>
        <v>8194.394659537249</v>
      </c>
      <c r="I103">
        <f t="shared" ca="1" si="9"/>
        <v>194.54402965012108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96968</v>
      </c>
      <c r="B106" s="66">
        <v>96968</v>
      </c>
      <c r="D106">
        <f t="shared" si="5"/>
        <v>80.014522890055119</v>
      </c>
      <c r="E106">
        <f t="shared" si="6"/>
        <v>80.014522890055119</v>
      </c>
      <c r="G106">
        <f t="shared" ca="1" si="7"/>
        <v>104</v>
      </c>
      <c r="H106">
        <f t="shared" ca="1" si="8"/>
        <v>8321.5103805657327</v>
      </c>
      <c r="I106">
        <f t="shared" ca="1" si="9"/>
        <v>1655.4086225061151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105611</v>
      </c>
      <c r="B108" s="66">
        <v>105611</v>
      </c>
      <c r="D108">
        <f t="shared" si="5"/>
        <v>87.14641713701026</v>
      </c>
      <c r="E108">
        <f t="shared" si="6"/>
        <v>87.14641713701026</v>
      </c>
      <c r="G108">
        <f t="shared" ca="1" si="7"/>
        <v>106</v>
      </c>
      <c r="H108">
        <f t="shared" ca="1" si="8"/>
        <v>9237.5202165230876</v>
      </c>
      <c r="I108">
        <f t="shared" ca="1" si="9"/>
        <v>3737.086899751388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97836</v>
      </c>
      <c r="B111" s="66">
        <v>97836</v>
      </c>
      <c r="D111">
        <f t="shared" si="5"/>
        <v>80.730765422319038</v>
      </c>
      <c r="E111">
        <f t="shared" si="6"/>
        <v>80.730765422319038</v>
      </c>
      <c r="G111">
        <f t="shared" ca="1" si="7"/>
        <v>109</v>
      </c>
      <c r="H111">
        <f t="shared" ca="1" si="8"/>
        <v>8799.6534310327752</v>
      </c>
      <c r="I111">
        <f t="shared" ca="1" si="9"/>
        <v>7360.5348375102858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103997</v>
      </c>
      <c r="B113" s="66">
        <v>103997</v>
      </c>
      <c r="D113">
        <f t="shared" si="5"/>
        <v>85.814602105819063</v>
      </c>
      <c r="E113">
        <f t="shared" si="6"/>
        <v>85.814602105819063</v>
      </c>
      <c r="G113">
        <f t="shared" ca="1" si="7"/>
        <v>111</v>
      </c>
      <c r="H113">
        <f t="shared" ca="1" si="8"/>
        <v>9525.4208337459168</v>
      </c>
      <c r="I113">
        <f t="shared" ca="1" si="9"/>
        <v>11444.909121659197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97471</v>
      </c>
      <c r="B116" s="66">
        <v>97471</v>
      </c>
      <c r="D116">
        <f t="shared" si="5"/>
        <v>80.429580486516812</v>
      </c>
      <c r="E116">
        <f t="shared" si="6"/>
        <v>80.429580486516812</v>
      </c>
      <c r="G116">
        <f t="shared" ca="1" si="7"/>
        <v>114</v>
      </c>
      <c r="H116">
        <f t="shared" ca="1" si="8"/>
        <v>9168.9721754629172</v>
      </c>
      <c r="I116">
        <f t="shared" ca="1" si="9"/>
        <v>17023.632630286003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97245</v>
      </c>
      <c r="B118" s="66">
        <v>97245</v>
      </c>
      <c r="D118">
        <f t="shared" si="5"/>
        <v>80.243093375581736</v>
      </c>
      <c r="E118">
        <f t="shared" si="6"/>
        <v>80.243093375581736</v>
      </c>
      <c r="G118">
        <f t="shared" ca="1" si="7"/>
        <v>116</v>
      </c>
      <c r="H118">
        <f t="shared" ca="1" si="8"/>
        <v>9308.1988315674807</v>
      </c>
      <c r="I118">
        <f t="shared" ca="1" si="9"/>
        <v>21974.799923408085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95332</v>
      </c>
      <c r="B121" s="66">
        <v>95332</v>
      </c>
      <c r="D121">
        <f t="shared" si="5"/>
        <v>78.664554246295012</v>
      </c>
      <c r="E121">
        <f t="shared" si="6"/>
        <v>78.664554246295012</v>
      </c>
      <c r="G121">
        <f t="shared" ca="1" si="7"/>
        <v>119</v>
      </c>
      <c r="H121">
        <f t="shared" ca="1" si="8"/>
        <v>9361.081955309106</v>
      </c>
      <c r="I121">
        <f t="shared" ca="1" si="9"/>
        <v>30061.175713151308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90353</v>
      </c>
      <c r="B124" s="66">
        <v>90353</v>
      </c>
      <c r="D124">
        <f t="shared" si="5"/>
        <v>74.556061656269591</v>
      </c>
      <c r="E124">
        <f t="shared" si="6"/>
        <v>74.556061656269591</v>
      </c>
      <c r="G124">
        <f t="shared" ca="1" si="7"/>
        <v>122</v>
      </c>
      <c r="H124">
        <f t="shared" ca="1" si="8"/>
        <v>9095.8395220648908</v>
      </c>
      <c r="I124">
        <f t="shared" ca="1" si="9"/>
        <v>37906.900102840897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85744</v>
      </c>
      <c r="B126" s="66">
        <v>85744</v>
      </c>
      <c r="D126">
        <f t="shared" si="5"/>
        <v>70.752879823084797</v>
      </c>
      <c r="E126">
        <f t="shared" si="6"/>
        <v>70.752879823084797</v>
      </c>
      <c r="G126">
        <f t="shared" ca="1" si="7"/>
        <v>124</v>
      </c>
      <c r="H126">
        <f t="shared" ca="1" si="8"/>
        <v>8773.3570980625154</v>
      </c>
      <c r="I126">
        <f t="shared" ca="1" si="9"/>
        <v>42637.726668486503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77696</v>
      </c>
      <c r="B129" s="66">
        <v>77696</v>
      </c>
      <c r="D129">
        <f t="shared" si="5"/>
        <v>64.11195827969766</v>
      </c>
      <c r="E129">
        <f t="shared" si="6"/>
        <v>64.11195827969766</v>
      </c>
      <c r="G129">
        <f t="shared" ca="1" si="7"/>
        <v>127</v>
      </c>
      <c r="H129">
        <f t="shared" ca="1" si="8"/>
        <v>8142.2187015216032</v>
      </c>
      <c r="I129">
        <f t="shared" ca="1" si="9"/>
        <v>48655.837810840974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69574</v>
      </c>
      <c r="B131" s="66">
        <v>69574</v>
      </c>
      <c r="D131">
        <f t="shared" ref="D131:D194" si="10">IFERROR(100*A131/MAX(A$2:A$257), 0 )</f>
        <v>57.409974584942404</v>
      </c>
      <c r="E131">
        <f t="shared" ref="E131:E194" si="11">IFERROR(100*B131/MAX(B$2:B$257), 0 )</f>
        <v>57.409974584942404</v>
      </c>
      <c r="G131">
        <f t="shared" ref="G131:G194" ca="1" si="12">CELL("row",D131)-2</f>
        <v>129</v>
      </c>
      <c r="H131">
        <f t="shared" ref="H131:H194" ca="1" si="13">D131*G131</f>
        <v>7405.8867214575703</v>
      </c>
      <c r="I131">
        <f t="shared" ref="I131:I194" ca="1" si="14">D131*((G131-$L$1)^2)</f>
        <v>50125.443976913419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60743</v>
      </c>
      <c r="B134" s="66">
        <v>60743</v>
      </c>
      <c r="D134">
        <f t="shared" si="10"/>
        <v>50.122949466943922</v>
      </c>
      <c r="E134">
        <f t="shared" si="11"/>
        <v>50.122949466943922</v>
      </c>
      <c r="G134">
        <f t="shared" ca="1" si="12"/>
        <v>132</v>
      </c>
      <c r="H134">
        <f t="shared" ca="1" si="13"/>
        <v>6616.2293296365979</v>
      </c>
      <c r="I134">
        <f t="shared" ca="1" si="14"/>
        <v>53100.495787307584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50692</v>
      </c>
      <c r="B136" s="66">
        <v>50692</v>
      </c>
      <c r="D136">
        <f t="shared" si="10"/>
        <v>41.829224015579101</v>
      </c>
      <c r="E136">
        <f t="shared" si="11"/>
        <v>41.829224015579101</v>
      </c>
      <c r="G136">
        <f t="shared" ca="1" si="12"/>
        <v>134</v>
      </c>
      <c r="H136">
        <f t="shared" ca="1" si="13"/>
        <v>5605.1160180875995</v>
      </c>
      <c r="I136">
        <f t="shared" ca="1" si="14"/>
        <v>49927.313698389582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44158</v>
      </c>
      <c r="B139" s="66">
        <v>44158</v>
      </c>
      <c r="D139">
        <f t="shared" si="10"/>
        <v>36.437601082615437</v>
      </c>
      <c r="E139">
        <f t="shared" si="11"/>
        <v>36.437601082615437</v>
      </c>
      <c r="G139">
        <f t="shared" ca="1" si="12"/>
        <v>137</v>
      </c>
      <c r="H139">
        <f t="shared" ca="1" si="13"/>
        <v>4991.9513483183146</v>
      </c>
      <c r="I139">
        <f t="shared" ca="1" si="14"/>
        <v>51373.003933705993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43301</v>
      </c>
      <c r="B142" s="66">
        <v>43301</v>
      </c>
      <c r="D142">
        <f t="shared" si="10"/>
        <v>35.730435356635972</v>
      </c>
      <c r="E142">
        <f t="shared" si="11"/>
        <v>35.730435356635972</v>
      </c>
      <c r="G142">
        <f t="shared" ca="1" si="12"/>
        <v>140</v>
      </c>
      <c r="H142">
        <f t="shared" ca="1" si="13"/>
        <v>5002.2609499290365</v>
      </c>
      <c r="I142">
        <f t="shared" ca="1" si="14"/>
        <v>58747.297578627207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32245</v>
      </c>
      <c r="B144" s="66">
        <v>32245</v>
      </c>
      <c r="D144">
        <f t="shared" si="10"/>
        <v>26.607419876555433</v>
      </c>
      <c r="E144">
        <f t="shared" si="11"/>
        <v>26.607419876555433</v>
      </c>
      <c r="G144">
        <f t="shared" ca="1" si="12"/>
        <v>142</v>
      </c>
      <c r="H144">
        <f t="shared" ca="1" si="13"/>
        <v>3778.2536224708715</v>
      </c>
      <c r="I144">
        <f t="shared" ca="1" si="14"/>
        <v>48169.403767362601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30077</v>
      </c>
      <c r="B147" s="66">
        <v>30077</v>
      </c>
      <c r="D147">
        <f t="shared" si="10"/>
        <v>24.818463874310989</v>
      </c>
      <c r="E147">
        <f t="shared" si="11"/>
        <v>24.818463874310989</v>
      </c>
      <c r="G147">
        <f t="shared" ca="1" si="12"/>
        <v>145</v>
      </c>
      <c r="H147">
        <f t="shared" ca="1" si="13"/>
        <v>3598.6772617750935</v>
      </c>
      <c r="I147">
        <f t="shared" ca="1" si="14"/>
        <v>51490.019445011785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25267</v>
      </c>
      <c r="B149" s="66">
        <v>25267</v>
      </c>
      <c r="D149">
        <f t="shared" si="10"/>
        <v>20.849424035383041</v>
      </c>
      <c r="E149">
        <f t="shared" si="11"/>
        <v>20.849424035383041</v>
      </c>
      <c r="G149">
        <f t="shared" ca="1" si="12"/>
        <v>147</v>
      </c>
      <c r="H149">
        <f t="shared" ca="1" si="13"/>
        <v>3064.8653332013073</v>
      </c>
      <c r="I149">
        <f t="shared" ca="1" si="14"/>
        <v>47137.62569123393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26458</v>
      </c>
      <c r="B152" s="66">
        <v>26458</v>
      </c>
      <c r="D152">
        <f t="shared" si="10"/>
        <v>21.832194606726738</v>
      </c>
      <c r="E152">
        <f t="shared" si="11"/>
        <v>21.832194606726738</v>
      </c>
      <c r="G152">
        <f t="shared" ca="1" si="12"/>
        <v>150</v>
      </c>
      <c r="H152">
        <f t="shared" ca="1" si="13"/>
        <v>3274.8291910090106</v>
      </c>
      <c r="I152">
        <f t="shared" ca="1" si="14"/>
        <v>55784.550596977439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24549</v>
      </c>
      <c r="B154" s="66">
        <v>24549</v>
      </c>
      <c r="D154">
        <f t="shared" si="10"/>
        <v>20.25695613427072</v>
      </c>
      <c r="E154">
        <f t="shared" si="11"/>
        <v>20.25695613427072</v>
      </c>
      <c r="G154">
        <f t="shared" ca="1" si="12"/>
        <v>152</v>
      </c>
      <c r="H154">
        <f t="shared" ca="1" si="13"/>
        <v>3079.0573324091492</v>
      </c>
      <c r="I154">
        <f t="shared" ca="1" si="14"/>
        <v>55936.441486821321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23623</v>
      </c>
      <c r="B157" s="66">
        <v>23623</v>
      </c>
      <c r="D157">
        <f t="shared" si="10"/>
        <v>19.492854077961514</v>
      </c>
      <c r="E157">
        <f t="shared" si="11"/>
        <v>19.492854077961514</v>
      </c>
      <c r="G157">
        <f t="shared" ca="1" si="12"/>
        <v>155</v>
      </c>
      <c r="H157">
        <f t="shared" ca="1" si="13"/>
        <v>3021.3923820840346</v>
      </c>
      <c r="I157">
        <f t="shared" ca="1" si="14"/>
        <v>60147.849347856572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23988</v>
      </c>
      <c r="B160" s="66">
        <v>23988</v>
      </c>
      <c r="D160">
        <f t="shared" si="10"/>
        <v>19.79403901376374</v>
      </c>
      <c r="E160">
        <f t="shared" si="11"/>
        <v>19.79403901376374</v>
      </c>
      <c r="G160">
        <f t="shared" ca="1" si="12"/>
        <v>158</v>
      </c>
      <c r="H160">
        <f t="shared" ca="1" si="13"/>
        <v>3127.4581641746709</v>
      </c>
      <c r="I160">
        <f t="shared" ca="1" si="14"/>
        <v>67852.517787924313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27418</v>
      </c>
      <c r="B162" s="66">
        <v>27418</v>
      </c>
      <c r="D162">
        <f t="shared" si="10"/>
        <v>22.624352246096972</v>
      </c>
      <c r="E162">
        <f t="shared" si="11"/>
        <v>22.624352246096972</v>
      </c>
      <c r="G162">
        <f t="shared" ca="1" si="12"/>
        <v>160</v>
      </c>
      <c r="H162">
        <f t="shared" ca="1" si="13"/>
        <v>3619.8963593755157</v>
      </c>
      <c r="I162">
        <f t="shared" ca="1" si="14"/>
        <v>82943.60946496774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19446</v>
      </c>
      <c r="B165" s="66">
        <v>19446</v>
      </c>
      <c r="D165">
        <f t="shared" si="10"/>
        <v>16.046143182493317</v>
      </c>
      <c r="E165">
        <f t="shared" si="11"/>
        <v>16.046143182493317</v>
      </c>
      <c r="G165">
        <f t="shared" ca="1" si="12"/>
        <v>163</v>
      </c>
      <c r="H165">
        <f t="shared" ca="1" si="13"/>
        <v>2615.5213387464105</v>
      </c>
      <c r="I165">
        <f t="shared" ca="1" si="14"/>
        <v>64800.934756669019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14607</v>
      </c>
      <c r="B167" s="66">
        <v>14607</v>
      </c>
      <c r="D167">
        <f t="shared" si="10"/>
        <v>12.053173581542728</v>
      </c>
      <c r="E167">
        <f t="shared" si="11"/>
        <v>12.053173581542728</v>
      </c>
      <c r="G167">
        <f t="shared" ca="1" si="12"/>
        <v>165</v>
      </c>
      <c r="H167">
        <f t="shared" ca="1" si="13"/>
        <v>1988.77364095455</v>
      </c>
      <c r="I167">
        <f t="shared" ca="1" si="14"/>
        <v>51787.736106482895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15153</v>
      </c>
      <c r="B170" s="66">
        <v>15153</v>
      </c>
      <c r="D170">
        <f t="shared" si="10"/>
        <v>12.503713238934548</v>
      </c>
      <c r="E170">
        <f t="shared" si="11"/>
        <v>12.503713238934548</v>
      </c>
      <c r="G170">
        <f t="shared" ca="1" si="12"/>
        <v>168</v>
      </c>
      <c r="H170">
        <f t="shared" ca="1" si="13"/>
        <v>2100.6238241410042</v>
      </c>
      <c r="I170">
        <f t="shared" ca="1" si="14"/>
        <v>58753.658734130018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16081</v>
      </c>
      <c r="B173" s="66">
        <v>16081</v>
      </c>
      <c r="D173">
        <f t="shared" si="10"/>
        <v>13.269465623659109</v>
      </c>
      <c r="E173">
        <f t="shared" si="11"/>
        <v>13.269465623659109</v>
      </c>
      <c r="G173">
        <f t="shared" ca="1" si="12"/>
        <v>171</v>
      </c>
      <c r="H173">
        <f t="shared" ca="1" si="13"/>
        <v>2269.0786216457077</v>
      </c>
      <c r="I173">
        <f t="shared" ca="1" si="14"/>
        <v>67928.887175823314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15724</v>
      </c>
      <c r="B175" s="66">
        <v>15724</v>
      </c>
      <c r="D175">
        <f t="shared" si="10"/>
        <v>12.974882001518303</v>
      </c>
      <c r="E175">
        <f t="shared" si="11"/>
        <v>12.974882001518303</v>
      </c>
      <c r="G175">
        <f t="shared" ca="1" si="12"/>
        <v>173</v>
      </c>
      <c r="H175">
        <f t="shared" ca="1" si="13"/>
        <v>2244.6545862626663</v>
      </c>
      <c r="I175">
        <f t="shared" ca="1" si="14"/>
        <v>70186.09118317689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14885</v>
      </c>
      <c r="B178" s="66">
        <v>14885</v>
      </c>
      <c r="D178">
        <f t="shared" si="10"/>
        <v>12.282569231277025</v>
      </c>
      <c r="E178">
        <f t="shared" si="11"/>
        <v>12.282569231277025</v>
      </c>
      <c r="G178">
        <f t="shared" ca="1" si="12"/>
        <v>176</v>
      </c>
      <c r="H178">
        <f t="shared" ca="1" si="13"/>
        <v>2161.7321847047565</v>
      </c>
      <c r="I178">
        <f t="shared" ca="1" si="14"/>
        <v>71971.837430224594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15186</v>
      </c>
      <c r="B180" s="66">
        <v>15186</v>
      </c>
      <c r="D180">
        <f t="shared" si="10"/>
        <v>12.530943657787899</v>
      </c>
      <c r="E180">
        <f t="shared" si="11"/>
        <v>12.530943657787899</v>
      </c>
      <c r="G180">
        <f t="shared" ca="1" si="12"/>
        <v>178</v>
      </c>
      <c r="H180">
        <f t="shared" ca="1" si="13"/>
        <v>2230.507971086246</v>
      </c>
      <c r="I180">
        <f t="shared" ca="1" si="14"/>
        <v>77314.253849075525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15438</v>
      </c>
      <c r="B183" s="66">
        <v>15438</v>
      </c>
      <c r="D183">
        <f t="shared" si="10"/>
        <v>12.738885038122586</v>
      </c>
      <c r="E183">
        <f t="shared" si="11"/>
        <v>12.738885038122586</v>
      </c>
      <c r="G183">
        <f t="shared" ca="1" si="12"/>
        <v>181</v>
      </c>
      <c r="H183">
        <f t="shared" ca="1" si="13"/>
        <v>2305.7381919001882</v>
      </c>
      <c r="I183">
        <f t="shared" ca="1" si="14"/>
        <v>84715.596309747707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11532</v>
      </c>
      <c r="B185" s="66">
        <v>11532</v>
      </c>
      <c r="D185">
        <f t="shared" si="10"/>
        <v>9.5157936429349448</v>
      </c>
      <c r="E185">
        <f t="shared" si="11"/>
        <v>9.5157936429349448</v>
      </c>
      <c r="G185">
        <f t="shared" ca="1" si="12"/>
        <v>183</v>
      </c>
      <c r="H185">
        <f t="shared" ca="1" si="13"/>
        <v>1741.3902366570949</v>
      </c>
      <c r="I185">
        <f t="shared" ca="1" si="14"/>
        <v>66423.587738666218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13015</v>
      </c>
      <c r="B188" s="66">
        <v>13015</v>
      </c>
      <c r="D188">
        <f t="shared" si="10"/>
        <v>10.739512162920422</v>
      </c>
      <c r="E188">
        <f t="shared" si="11"/>
        <v>10.739512162920422</v>
      </c>
      <c r="G188">
        <f t="shared" ca="1" si="12"/>
        <v>186</v>
      </c>
      <c r="H188">
        <f t="shared" ca="1" si="13"/>
        <v>1997.5492623031985</v>
      </c>
      <c r="I188">
        <f t="shared" ca="1" si="14"/>
        <v>80445.849970233467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12379</v>
      </c>
      <c r="B191" s="66">
        <v>12379</v>
      </c>
      <c r="D191">
        <f t="shared" si="10"/>
        <v>10.214707726837641</v>
      </c>
      <c r="E191">
        <f t="shared" si="11"/>
        <v>10.214707726837641</v>
      </c>
      <c r="G191">
        <f t="shared" ca="1" si="12"/>
        <v>189</v>
      </c>
      <c r="H191">
        <f t="shared" ca="1" si="13"/>
        <v>1930.5797603723142</v>
      </c>
      <c r="I191">
        <f t="shared" ca="1" si="14"/>
        <v>81911.065532768189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9392</v>
      </c>
      <c r="B193" s="66">
        <v>9392</v>
      </c>
      <c r="D193">
        <f t="shared" si="10"/>
        <v>7.7499422385054624</v>
      </c>
      <c r="E193">
        <f t="shared" si="11"/>
        <v>7.7499422385054624</v>
      </c>
      <c r="G193">
        <f t="shared" ca="1" si="12"/>
        <v>191</v>
      </c>
      <c r="H193">
        <f t="shared" ca="1" si="13"/>
        <v>1480.2389675545433</v>
      </c>
      <c r="I193">
        <f t="shared" ca="1" si="14"/>
        <v>64953.256710607544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8352</v>
      </c>
      <c r="B196" s="66">
        <v>8352</v>
      </c>
      <c r="D196">
        <f t="shared" si="15"/>
        <v>6.8917714625210413</v>
      </c>
      <c r="E196">
        <f t="shared" si="16"/>
        <v>6.8917714625210413</v>
      </c>
      <c r="G196">
        <f t="shared" ca="1" si="17"/>
        <v>194</v>
      </c>
      <c r="H196">
        <f t="shared" ca="1" si="18"/>
        <v>1337.0036637290821</v>
      </c>
      <c r="I196">
        <f t="shared" ca="1" si="19"/>
        <v>61608.431702688853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9653</v>
      </c>
      <c r="B198" s="66">
        <v>9653</v>
      </c>
      <c r="D198">
        <f t="shared" si="15"/>
        <v>7.9653100967092447</v>
      </c>
      <c r="E198">
        <f t="shared" si="16"/>
        <v>7.9653100967092447</v>
      </c>
      <c r="G198">
        <f t="shared" ca="1" si="17"/>
        <v>196</v>
      </c>
      <c r="H198">
        <f t="shared" ca="1" si="18"/>
        <v>1561.2007789550119</v>
      </c>
      <c r="I198">
        <f t="shared" ca="1" si="19"/>
        <v>74249.536928605012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10581</v>
      </c>
      <c r="B201" s="66">
        <v>10581</v>
      </c>
      <c r="D201">
        <f t="shared" si="15"/>
        <v>8.7310624814338045</v>
      </c>
      <c r="E201">
        <f t="shared" si="16"/>
        <v>8.7310624814338045</v>
      </c>
      <c r="G201">
        <f t="shared" ca="1" si="17"/>
        <v>199</v>
      </c>
      <c r="H201">
        <f t="shared" ca="1" si="18"/>
        <v>1737.481433805327</v>
      </c>
      <c r="I201">
        <f t="shared" ca="1" si="19"/>
        <v>86523.989672616939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8238</v>
      </c>
      <c r="B203" s="66">
        <v>8238</v>
      </c>
      <c r="D203">
        <f t="shared" si="15"/>
        <v>6.7977027428458268</v>
      </c>
      <c r="E203">
        <f t="shared" si="16"/>
        <v>6.7977027428458268</v>
      </c>
      <c r="G203">
        <f t="shared" ca="1" si="17"/>
        <v>201</v>
      </c>
      <c r="H203">
        <f t="shared" ca="1" si="18"/>
        <v>1366.3382513120112</v>
      </c>
      <c r="I203">
        <f t="shared" ca="1" si="19"/>
        <v>70098.57581789956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9583</v>
      </c>
      <c r="B206" s="66">
        <v>9583</v>
      </c>
      <c r="D206">
        <f t="shared" si="15"/>
        <v>7.9075486021718318</v>
      </c>
      <c r="E206">
        <f t="shared" si="16"/>
        <v>7.9075486021718318</v>
      </c>
      <c r="G206">
        <f t="shared" ca="1" si="17"/>
        <v>204</v>
      </c>
      <c r="H206">
        <f t="shared" ca="1" si="18"/>
        <v>1613.1399148430537</v>
      </c>
      <c r="I206">
        <f t="shared" ca="1" si="19"/>
        <v>86432.58104568944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5973</v>
      </c>
      <c r="B209" s="66">
        <v>5973</v>
      </c>
      <c r="D209">
        <f t="shared" si="15"/>
        <v>4.9287058124566787</v>
      </c>
      <c r="E209">
        <f t="shared" si="16"/>
        <v>4.9287058124566787</v>
      </c>
      <c r="G209">
        <f t="shared" ca="1" si="17"/>
        <v>207</v>
      </c>
      <c r="H209">
        <f t="shared" ca="1" si="18"/>
        <v>1020.2421031785325</v>
      </c>
      <c r="I209">
        <f t="shared" ca="1" si="19"/>
        <v>57008.762190324873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5378</v>
      </c>
      <c r="B211" s="66">
        <v>5378</v>
      </c>
      <c r="D211">
        <f t="shared" si="15"/>
        <v>4.4377331088886685</v>
      </c>
      <c r="E211">
        <f t="shared" si="16"/>
        <v>4.4377331088886685</v>
      </c>
      <c r="G211">
        <f t="shared" ca="1" si="17"/>
        <v>209</v>
      </c>
      <c r="H211">
        <f t="shared" ca="1" si="18"/>
        <v>927.48621975773176</v>
      </c>
      <c r="I211">
        <f t="shared" ca="1" si="19"/>
        <v>53256.675203784893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6554</v>
      </c>
      <c r="B214" s="66">
        <v>6554</v>
      </c>
      <c r="D214">
        <f t="shared" si="15"/>
        <v>5.4081262171172062</v>
      </c>
      <c r="E214">
        <f t="shared" si="16"/>
        <v>5.4081262171172062</v>
      </c>
      <c r="G214">
        <f t="shared" ca="1" si="17"/>
        <v>212</v>
      </c>
      <c r="H214">
        <f t="shared" ca="1" si="18"/>
        <v>1146.5227580288476</v>
      </c>
      <c r="I214">
        <f t="shared" ca="1" si="19"/>
        <v>68505.626301519311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2879</v>
      </c>
      <c r="B216" s="66">
        <v>2879</v>
      </c>
      <c r="D216">
        <f t="shared" si="15"/>
        <v>2.3756477539030265</v>
      </c>
      <c r="E216">
        <f t="shared" si="16"/>
        <v>2.3756477539030265</v>
      </c>
      <c r="G216">
        <f t="shared" ca="1" si="17"/>
        <v>214</v>
      </c>
      <c r="H216">
        <f t="shared" ca="1" si="18"/>
        <v>508.38861933524765</v>
      </c>
      <c r="I216">
        <f t="shared" ca="1" si="19"/>
        <v>31171.726670982382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2755</v>
      </c>
      <c r="B219" s="66">
        <v>2755</v>
      </c>
      <c r="D219">
        <f t="shared" si="15"/>
        <v>2.273327392151038</v>
      </c>
      <c r="E219">
        <f t="shared" si="16"/>
        <v>2.273327392151038</v>
      </c>
      <c r="G219">
        <f t="shared" ca="1" si="17"/>
        <v>217</v>
      </c>
      <c r="H219">
        <f t="shared" ca="1" si="18"/>
        <v>493.31204409677525</v>
      </c>
      <c r="I219">
        <f t="shared" ca="1" si="19"/>
        <v>31412.041890012246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1776</v>
      </c>
      <c r="B221" s="66">
        <v>1776</v>
      </c>
      <c r="D221">
        <f t="shared" si="15"/>
        <v>1.4654916328349341</v>
      </c>
      <c r="E221">
        <f t="shared" si="16"/>
        <v>1.4654916328349341</v>
      </c>
      <c r="G221">
        <f t="shared" ca="1" si="17"/>
        <v>219</v>
      </c>
      <c r="H221">
        <f t="shared" ca="1" si="18"/>
        <v>320.94266759085059</v>
      </c>
      <c r="I221">
        <f t="shared" ca="1" si="19"/>
        <v>20944.577573907085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1394</v>
      </c>
      <c r="B224" s="66">
        <v>1394</v>
      </c>
      <c r="D224">
        <f t="shared" si="15"/>
        <v>1.1502789055021949</v>
      </c>
      <c r="E224">
        <f t="shared" si="16"/>
        <v>1.1502789055021949</v>
      </c>
      <c r="G224">
        <f t="shared" ca="1" si="17"/>
        <v>222</v>
      </c>
      <c r="H224">
        <f t="shared" ca="1" si="18"/>
        <v>255.36191702148727</v>
      </c>
      <c r="I224">
        <f t="shared" ca="1" si="19"/>
        <v>17275.043713008487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212</v>
      </c>
      <c r="B227" s="66">
        <v>212</v>
      </c>
      <c r="D227">
        <f t="shared" si="15"/>
        <v>0.17493481202759348</v>
      </c>
      <c r="E227">
        <f t="shared" si="16"/>
        <v>0.17493481202759348</v>
      </c>
      <c r="G227">
        <f t="shared" ca="1" si="17"/>
        <v>225</v>
      </c>
      <c r="H227">
        <f t="shared" ca="1" si="18"/>
        <v>39.360332706208531</v>
      </c>
      <c r="I227">
        <f t="shared" ca="1" si="19"/>
        <v>2757.3970023902793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0.18407299999999999</v>
      </c>
      <c r="B2" s="68">
        <v>0.613676</v>
      </c>
      <c r="C2" s="68">
        <v>0</v>
      </c>
      <c r="D2" s="68">
        <v>1</v>
      </c>
      <c r="E2" s="68" t="s">
        <v>409</v>
      </c>
    </row>
    <row r="3" spans="1:5">
      <c r="A3" s="68">
        <v>0.18867800000000001</v>
      </c>
      <c r="B3" s="68">
        <v>0.604101</v>
      </c>
      <c r="C3" s="68">
        <v>0.34945500000000002</v>
      </c>
      <c r="D3" s="89">
        <v>1</v>
      </c>
      <c r="E3" s="68" t="s">
        <v>410</v>
      </c>
    </row>
    <row r="4" spans="1:5">
      <c r="A4" s="68">
        <v>0.193411</v>
      </c>
      <c r="B4" s="68">
        <v>0.59299599999999997</v>
      </c>
      <c r="C4" s="68">
        <v>0.75360199999999999</v>
      </c>
      <c r="D4" s="89">
        <v>1</v>
      </c>
      <c r="E4" s="68" t="s">
        <v>411</v>
      </c>
    </row>
    <row r="5" spans="1:5">
      <c r="A5" s="89">
        <v>0.198129</v>
      </c>
      <c r="B5" s="89">
        <v>0.581538</v>
      </c>
      <c r="C5" s="89">
        <v>1.15961</v>
      </c>
      <c r="D5" s="89">
        <v>1</v>
      </c>
      <c r="E5" s="68" t="s">
        <v>412</v>
      </c>
    </row>
    <row r="6" spans="1:5">
      <c r="A6" s="68">
        <v>0.20296500000000001</v>
      </c>
      <c r="B6" s="68">
        <v>0.56811199999999995</v>
      </c>
      <c r="C6" s="68">
        <v>1.5682799999999999</v>
      </c>
      <c r="D6" s="68">
        <v>1</v>
      </c>
      <c r="E6" s="68" t="s">
        <v>413</v>
      </c>
    </row>
    <row r="7" spans="1:5">
      <c r="A7" s="68">
        <v>0.20818200000000001</v>
      </c>
      <c r="B7" s="68">
        <v>0.55399100000000001</v>
      </c>
      <c r="C7" s="68">
        <v>1.9735400000000001</v>
      </c>
      <c r="D7" s="68">
        <v>1</v>
      </c>
      <c r="E7" s="68" t="s">
        <v>414</v>
      </c>
    </row>
    <row r="8" spans="1:5">
      <c r="A8" s="68">
        <v>0.21368300000000001</v>
      </c>
      <c r="B8" s="68">
        <v>0.53952</v>
      </c>
      <c r="C8" s="68">
        <v>2.3790300000000002</v>
      </c>
      <c r="D8" s="68">
        <v>1</v>
      </c>
      <c r="E8" s="68" t="s">
        <v>415</v>
      </c>
    </row>
    <row r="9" spans="1:5">
      <c r="A9" s="68">
        <v>0.219439</v>
      </c>
      <c r="B9" s="68">
        <v>0.52497400000000005</v>
      </c>
      <c r="C9" s="68">
        <v>2.7825099999999998</v>
      </c>
      <c r="D9" s="68">
        <v>1</v>
      </c>
      <c r="E9" s="68" t="s">
        <v>416</v>
      </c>
    </row>
    <row r="10" spans="1:5">
      <c r="A10" s="68">
        <v>0.225435</v>
      </c>
      <c r="B10" s="68">
        <v>0.50902899999999995</v>
      </c>
      <c r="C10" s="68">
        <v>3.18729</v>
      </c>
      <c r="D10" s="68">
        <v>1</v>
      </c>
      <c r="E10" s="68" t="s">
        <v>417</v>
      </c>
    </row>
    <row r="11" spans="1:5">
      <c r="A11" s="68">
        <v>0.231402</v>
      </c>
      <c r="B11" s="68">
        <v>0.49266399999999999</v>
      </c>
      <c r="C11" s="68">
        <v>3.5988199999999999</v>
      </c>
      <c r="D11" s="68">
        <v>1</v>
      </c>
      <c r="E11" s="68" t="s">
        <v>418</v>
      </c>
    </row>
    <row r="12" spans="1:5">
      <c r="A12" s="68">
        <v>0.23741799999999999</v>
      </c>
      <c r="B12" s="68">
        <v>0.47687000000000002</v>
      </c>
      <c r="C12" s="68">
        <v>4.0053700000000001</v>
      </c>
      <c r="D12" s="68">
        <v>1</v>
      </c>
      <c r="E12" s="68" t="s">
        <v>419</v>
      </c>
    </row>
    <row r="13" spans="1:5">
      <c r="A13" s="68">
        <v>0.24327799999999999</v>
      </c>
      <c r="B13" s="68">
        <v>0.46195399999999998</v>
      </c>
      <c r="C13" s="68">
        <v>4.4091899999999997</v>
      </c>
      <c r="D13" s="68">
        <v>1</v>
      </c>
      <c r="E13" s="68" t="s">
        <v>420</v>
      </c>
    </row>
    <row r="14" spans="1:5">
      <c r="A14" s="68">
        <v>0.24945700000000001</v>
      </c>
      <c r="B14" s="68">
        <v>0.44655</v>
      </c>
      <c r="C14" s="68">
        <v>4.8153100000000002</v>
      </c>
      <c r="D14" s="68">
        <v>1</v>
      </c>
      <c r="E14" s="68" t="s">
        <v>421</v>
      </c>
    </row>
    <row r="15" spans="1:5">
      <c r="A15" s="68">
        <v>0.25575900000000001</v>
      </c>
      <c r="B15" s="68">
        <v>0.43075400000000003</v>
      </c>
      <c r="C15" s="68">
        <v>5.2225999999999999</v>
      </c>
      <c r="D15" s="68">
        <v>1</v>
      </c>
      <c r="E15" s="68" t="s">
        <v>422</v>
      </c>
    </row>
    <row r="16" spans="1:5">
      <c r="A16" s="68">
        <v>0.262374</v>
      </c>
      <c r="B16" s="68">
        <v>0.41392099999999998</v>
      </c>
      <c r="C16" s="68">
        <v>5.6305800000000001</v>
      </c>
      <c r="D16" s="68">
        <v>1</v>
      </c>
      <c r="E16" s="68" t="s">
        <v>423</v>
      </c>
    </row>
    <row r="17" spans="1:5">
      <c r="A17" s="68">
        <v>0.26910400000000001</v>
      </c>
      <c r="B17" s="68">
        <v>0.39719900000000002</v>
      </c>
      <c r="C17" s="68">
        <v>6.0365599999999997</v>
      </c>
      <c r="D17" s="68">
        <v>1</v>
      </c>
      <c r="E17" s="68" t="s">
        <v>424</v>
      </c>
    </row>
    <row r="18" spans="1:5">
      <c r="A18" s="68">
        <v>0.27604299999999998</v>
      </c>
      <c r="B18" s="68">
        <v>0.38123299999999999</v>
      </c>
      <c r="C18" s="68">
        <v>6.4446500000000002</v>
      </c>
      <c r="D18" s="68">
        <v>1</v>
      </c>
      <c r="E18" s="68" t="s">
        <v>425</v>
      </c>
    </row>
    <row r="19" spans="1:5">
      <c r="A19" s="68">
        <v>0.28317199999999998</v>
      </c>
      <c r="B19" s="68">
        <v>0.366284</v>
      </c>
      <c r="C19" s="68">
        <v>6.8495600000000003</v>
      </c>
      <c r="D19" s="68">
        <v>1</v>
      </c>
      <c r="E19" s="68" t="s">
        <v>426</v>
      </c>
    </row>
    <row r="20" spans="1:5">
      <c r="A20" s="68">
        <v>0.29015000000000002</v>
      </c>
      <c r="B20" s="68">
        <v>0.35326099999999999</v>
      </c>
      <c r="C20" s="68">
        <v>7.2543899999999999</v>
      </c>
      <c r="D20" s="68">
        <v>1</v>
      </c>
      <c r="E20" s="68" t="s">
        <v>427</v>
      </c>
    </row>
    <row r="21" spans="1:5">
      <c r="A21" s="68">
        <v>0.296767</v>
      </c>
      <c r="B21" s="68">
        <v>0.343032</v>
      </c>
      <c r="C21" s="68">
        <v>7.6580899999999996</v>
      </c>
      <c r="D21" s="68">
        <v>1</v>
      </c>
      <c r="E21" s="68" t="s">
        <v>428</v>
      </c>
    </row>
    <row r="22" spans="1:5">
      <c r="A22" s="68">
        <v>0.303064</v>
      </c>
      <c r="B22" s="68">
        <v>0.33511600000000002</v>
      </c>
      <c r="C22" s="68">
        <v>8.0672499999999996</v>
      </c>
      <c r="D22" s="68">
        <v>1</v>
      </c>
      <c r="E22" s="68" t="s">
        <v>429</v>
      </c>
    </row>
    <row r="23" spans="1:5">
      <c r="A23" s="68">
        <v>0.30902299999999999</v>
      </c>
      <c r="B23" s="68">
        <v>0.32893899999999998</v>
      </c>
      <c r="C23" s="68">
        <v>8.4752299999999998</v>
      </c>
      <c r="D23" s="68">
        <v>1</v>
      </c>
      <c r="E23" s="68" t="s">
        <v>430</v>
      </c>
    </row>
    <row r="24" spans="1:5">
      <c r="A24" s="68">
        <v>0.31463799999999997</v>
      </c>
      <c r="B24" s="68">
        <v>0.32372099999999998</v>
      </c>
      <c r="C24" s="68">
        <v>8.8822500000000009</v>
      </c>
      <c r="D24" s="68">
        <v>1</v>
      </c>
      <c r="E24" s="68" t="s">
        <v>431</v>
      </c>
    </row>
    <row r="25" spans="1:5">
      <c r="A25" s="68">
        <v>0.32010499999999997</v>
      </c>
      <c r="B25" s="68">
        <v>0.31963900000000001</v>
      </c>
      <c r="C25" s="68">
        <v>9.2896699999999992</v>
      </c>
      <c r="D25" s="68">
        <v>1</v>
      </c>
      <c r="E25" s="68" t="s">
        <v>432</v>
      </c>
    </row>
    <row r="26" spans="1:5">
      <c r="A26" s="68">
        <v>0.32566800000000001</v>
      </c>
      <c r="B26" s="68">
        <v>0.316106</v>
      </c>
      <c r="C26" s="68">
        <v>9.6912000000000003</v>
      </c>
      <c r="D26" s="68">
        <v>1</v>
      </c>
      <c r="E26" s="68" t="s">
        <v>433</v>
      </c>
    </row>
    <row r="27" spans="1:5">
      <c r="A27" s="68">
        <v>0.33126100000000003</v>
      </c>
      <c r="B27" s="68">
        <v>0.31306699999999998</v>
      </c>
      <c r="C27" s="68">
        <v>10.097200000000001</v>
      </c>
      <c r="D27" s="68">
        <v>1</v>
      </c>
      <c r="E27" s="68" t="s">
        <v>434</v>
      </c>
    </row>
    <row r="28" spans="1:5">
      <c r="A28" s="68">
        <v>0.33659800000000001</v>
      </c>
      <c r="B28" s="68">
        <v>0.31096299999999999</v>
      </c>
      <c r="C28" s="68">
        <v>10.504799999999999</v>
      </c>
      <c r="D28" s="68">
        <v>1</v>
      </c>
      <c r="E28" s="68" t="s">
        <v>435</v>
      </c>
    </row>
    <row r="29" spans="1:5">
      <c r="A29" s="68">
        <v>0.34196599999999999</v>
      </c>
      <c r="B29" s="68">
        <v>0.30926300000000001</v>
      </c>
      <c r="C29" s="68">
        <v>10.9147</v>
      </c>
      <c r="D29" s="68">
        <v>1</v>
      </c>
      <c r="E29" s="68" t="s">
        <v>436</v>
      </c>
    </row>
    <row r="30" spans="1:5">
      <c r="A30" s="68">
        <v>0.34727799999999998</v>
      </c>
      <c r="B30" s="68">
        <v>0.30812499999999998</v>
      </c>
      <c r="C30" s="68">
        <v>11.317399999999999</v>
      </c>
      <c r="D30" s="68">
        <v>1</v>
      </c>
      <c r="E30" s="68" t="s">
        <v>437</v>
      </c>
    </row>
    <row r="31" spans="1:5">
      <c r="A31" s="68">
        <v>0.352661</v>
      </c>
      <c r="B31" s="68">
        <v>0.30710500000000002</v>
      </c>
      <c r="C31" s="68">
        <v>11.7227</v>
      </c>
      <c r="D31" s="68">
        <v>1</v>
      </c>
      <c r="E31" s="68" t="s">
        <v>438</v>
      </c>
    </row>
    <row r="32" spans="1:5">
      <c r="A32" s="68">
        <v>0.35818</v>
      </c>
      <c r="B32" s="68">
        <v>0.30512699999999998</v>
      </c>
      <c r="C32" s="68">
        <v>12.13</v>
      </c>
      <c r="D32" s="68">
        <v>1</v>
      </c>
      <c r="E32" s="68" t="s">
        <v>439</v>
      </c>
    </row>
    <row r="33" spans="1:5">
      <c r="A33" s="68">
        <v>0.36392600000000003</v>
      </c>
      <c r="B33" s="68">
        <v>0.30238900000000002</v>
      </c>
      <c r="C33" s="68">
        <v>12.5364</v>
      </c>
      <c r="D33" s="68">
        <v>1</v>
      </c>
      <c r="E33" s="68" t="s">
        <v>440</v>
      </c>
    </row>
    <row r="34" spans="1:5">
      <c r="A34" s="68">
        <v>0.36971700000000002</v>
      </c>
      <c r="B34" s="68">
        <v>0.29852200000000001</v>
      </c>
      <c r="C34" s="68">
        <v>12.944599999999999</v>
      </c>
      <c r="D34" s="68">
        <v>1</v>
      </c>
      <c r="E34" s="68" t="s">
        <v>441</v>
      </c>
    </row>
    <row r="35" spans="1:5">
      <c r="A35" s="68">
        <v>0.37568299999999999</v>
      </c>
      <c r="B35" s="68">
        <v>0.29433700000000002</v>
      </c>
      <c r="C35" s="68">
        <v>13.3474</v>
      </c>
      <c r="D35" s="68">
        <v>1</v>
      </c>
      <c r="E35" s="68" t="s">
        <v>442</v>
      </c>
    </row>
    <row r="36" spans="1:5">
      <c r="A36" s="68">
        <v>0.38145800000000002</v>
      </c>
      <c r="B36" s="68">
        <v>0.29055300000000001</v>
      </c>
      <c r="C36" s="68">
        <v>13.752700000000001</v>
      </c>
      <c r="D36" s="68">
        <v>1</v>
      </c>
      <c r="E36" s="68" t="s">
        <v>443</v>
      </c>
    </row>
    <row r="37" spans="1:5">
      <c r="A37" s="68">
        <v>0.38711800000000002</v>
      </c>
      <c r="B37" s="68">
        <v>0.28776099999999999</v>
      </c>
      <c r="C37" s="68">
        <v>14.1592</v>
      </c>
      <c r="D37" s="68">
        <v>1</v>
      </c>
      <c r="E37" s="68" t="s">
        <v>444</v>
      </c>
    </row>
    <row r="38" spans="1:5">
      <c r="A38" s="68">
        <v>0.39245600000000003</v>
      </c>
      <c r="B38" s="68">
        <v>0.28632800000000003</v>
      </c>
      <c r="C38" s="68">
        <v>14.57</v>
      </c>
      <c r="D38" s="68">
        <v>1</v>
      </c>
      <c r="E38" s="68" t="s">
        <v>445</v>
      </c>
    </row>
    <row r="39" spans="1:5">
      <c r="A39" s="68">
        <v>0.397399</v>
      </c>
      <c r="B39" s="68">
        <v>0.28539199999999998</v>
      </c>
      <c r="C39" s="68">
        <v>14.974299999999999</v>
      </c>
      <c r="D39" s="68">
        <v>1</v>
      </c>
      <c r="E39" s="68" t="s">
        <v>446</v>
      </c>
    </row>
    <row r="40" spans="1:5">
      <c r="A40" s="68">
        <v>0.40211999999999998</v>
      </c>
      <c r="B40" s="68">
        <v>0.28523799999999999</v>
      </c>
      <c r="C40" s="68">
        <v>15.379099999999999</v>
      </c>
      <c r="D40" s="68">
        <v>1</v>
      </c>
      <c r="E40" s="68" t="s">
        <v>447</v>
      </c>
    </row>
    <row r="41" spans="1:5">
      <c r="A41" s="68">
        <v>0.406443</v>
      </c>
      <c r="B41" s="68">
        <v>0.28565000000000002</v>
      </c>
      <c r="C41" s="68">
        <v>15.785299999999999</v>
      </c>
      <c r="D41" s="68">
        <v>1</v>
      </c>
      <c r="E41" s="68" t="s">
        <v>448</v>
      </c>
    </row>
    <row r="42" spans="1:5">
      <c r="A42" s="68">
        <v>0.41003600000000001</v>
      </c>
      <c r="B42" s="68">
        <v>0.28736800000000001</v>
      </c>
      <c r="C42" s="68">
        <v>16.192299999999999</v>
      </c>
      <c r="D42" s="68">
        <v>1</v>
      </c>
      <c r="E42" s="68" t="s">
        <v>449</v>
      </c>
    </row>
    <row r="43" spans="1:5">
      <c r="A43" s="68">
        <v>0.412914</v>
      </c>
      <c r="B43" s="68">
        <v>0.28928900000000002</v>
      </c>
      <c r="C43" s="68">
        <v>16.601099999999999</v>
      </c>
      <c r="D43" s="68">
        <v>1</v>
      </c>
      <c r="E43" s="68" t="s">
        <v>450</v>
      </c>
    </row>
    <row r="44" spans="1:5">
      <c r="A44" s="68">
        <v>0.415128</v>
      </c>
      <c r="B44" s="68">
        <v>0.290827</v>
      </c>
      <c r="C44" s="68">
        <v>17.005700000000001</v>
      </c>
      <c r="D44" s="68">
        <v>1</v>
      </c>
      <c r="E44" s="68" t="s">
        <v>451</v>
      </c>
    </row>
    <row r="45" spans="1:5">
      <c r="A45" s="68">
        <v>0.41708400000000001</v>
      </c>
      <c r="B45" s="68">
        <v>0.29242800000000002</v>
      </c>
      <c r="C45" s="68">
        <v>17.4131</v>
      </c>
      <c r="D45" s="68">
        <v>1</v>
      </c>
      <c r="E45" s="68" t="s">
        <v>452</v>
      </c>
    </row>
    <row r="46" spans="1:5">
      <c r="A46" s="68">
        <v>0.41880800000000001</v>
      </c>
      <c r="B46" s="68">
        <v>0.294622</v>
      </c>
      <c r="C46" s="68">
        <v>17.814399999999999</v>
      </c>
      <c r="D46" s="68">
        <v>1</v>
      </c>
      <c r="E46" s="68" t="s">
        <v>453</v>
      </c>
    </row>
    <row r="47" spans="1:5">
      <c r="A47" s="68">
        <v>0.42019699999999999</v>
      </c>
      <c r="B47" s="68">
        <v>0.29700900000000002</v>
      </c>
      <c r="C47" s="68">
        <v>18.2224</v>
      </c>
      <c r="D47" s="68">
        <v>1</v>
      </c>
      <c r="E47" s="68" t="s">
        <v>454</v>
      </c>
    </row>
    <row r="48" spans="1:5">
      <c r="A48" s="68">
        <v>0.42159099999999999</v>
      </c>
      <c r="B48" s="68">
        <v>0.29966399999999999</v>
      </c>
      <c r="C48" s="68">
        <v>18.628799999999998</v>
      </c>
      <c r="D48" s="68">
        <v>1</v>
      </c>
      <c r="E48" s="68" t="s">
        <v>455</v>
      </c>
    </row>
    <row r="49" spans="1:5">
      <c r="A49" s="68">
        <v>0.422904</v>
      </c>
      <c r="B49" s="68">
        <v>0.30249199999999998</v>
      </c>
      <c r="C49" s="68">
        <v>19.0349</v>
      </c>
      <c r="D49" s="68">
        <v>1</v>
      </c>
      <c r="E49" s="68" t="s">
        <v>456</v>
      </c>
    </row>
    <row r="50" spans="1:5">
      <c r="A50" s="68">
        <v>0.42405399999999999</v>
      </c>
      <c r="B50" s="68">
        <v>0.30425200000000002</v>
      </c>
      <c r="C50" s="68">
        <v>19.4438</v>
      </c>
      <c r="D50" s="68">
        <v>1</v>
      </c>
      <c r="E50" s="68" t="s">
        <v>457</v>
      </c>
    </row>
    <row r="51" spans="1:5">
      <c r="A51" s="68">
        <v>0.42492400000000002</v>
      </c>
      <c r="B51" s="68">
        <v>0.30497999999999997</v>
      </c>
      <c r="C51" s="68">
        <v>19.8491</v>
      </c>
      <c r="D51" s="68">
        <v>1</v>
      </c>
      <c r="E51" s="68" t="s">
        <v>458</v>
      </c>
    </row>
    <row r="52" spans="1:5">
      <c r="A52" s="68">
        <v>0.42603200000000002</v>
      </c>
      <c r="B52" s="68">
        <v>0.30567</v>
      </c>
      <c r="C52" s="68">
        <v>20.2532</v>
      </c>
      <c r="D52" s="68">
        <v>1</v>
      </c>
      <c r="E52" s="68" t="s">
        <v>459</v>
      </c>
    </row>
    <row r="53" spans="1:5">
      <c r="A53" s="68">
        <v>0.42658099999999999</v>
      </c>
      <c r="B53" s="68">
        <v>0.30536600000000003</v>
      </c>
      <c r="C53" s="68">
        <v>20.660499999999999</v>
      </c>
      <c r="D53" s="68">
        <v>1</v>
      </c>
      <c r="E53" s="68" t="s">
        <v>460</v>
      </c>
    </row>
    <row r="54" spans="1:5">
      <c r="A54" s="68">
        <v>0.42686099999999999</v>
      </c>
      <c r="B54" s="68">
        <v>0.30452600000000002</v>
      </c>
      <c r="C54" s="68">
        <v>21.065100000000001</v>
      </c>
      <c r="D54" s="68">
        <v>1</v>
      </c>
      <c r="E54" s="68" t="s">
        <v>461</v>
      </c>
    </row>
    <row r="55" spans="1:5">
      <c r="A55" s="68">
        <v>0.427062</v>
      </c>
      <c r="B55" s="68">
        <v>0.30317499999999997</v>
      </c>
      <c r="C55" s="68">
        <v>21.474</v>
      </c>
      <c r="D55" s="68">
        <v>1</v>
      </c>
      <c r="E55" s="68" t="s">
        <v>462</v>
      </c>
    </row>
    <row r="56" spans="1:5">
      <c r="A56" s="68">
        <v>0.42686600000000002</v>
      </c>
      <c r="B56" s="68">
        <v>0.30126700000000001</v>
      </c>
      <c r="C56" s="68">
        <v>21.878900000000002</v>
      </c>
      <c r="D56" s="68">
        <v>1</v>
      </c>
      <c r="E56" s="68" t="s">
        <v>463</v>
      </c>
    </row>
    <row r="57" spans="1:5">
      <c r="A57" s="68">
        <v>0.42598000000000003</v>
      </c>
      <c r="B57" s="68">
        <v>0.298458</v>
      </c>
      <c r="C57" s="68">
        <v>22.285299999999999</v>
      </c>
      <c r="D57" s="68">
        <v>1</v>
      </c>
      <c r="E57" s="68" t="s">
        <v>464</v>
      </c>
    </row>
    <row r="58" spans="1:5">
      <c r="A58" s="68">
        <v>0.42455900000000002</v>
      </c>
      <c r="B58" s="68">
        <v>0.29559800000000003</v>
      </c>
      <c r="C58" s="68">
        <v>22.694900000000001</v>
      </c>
      <c r="D58" s="68">
        <v>1</v>
      </c>
      <c r="E58" s="68" t="s">
        <v>465</v>
      </c>
    </row>
    <row r="59" spans="1:5">
      <c r="A59" s="68">
        <v>0.42274200000000001</v>
      </c>
      <c r="B59" s="68">
        <v>0.292543</v>
      </c>
      <c r="C59" s="68">
        <v>23.099699999999999</v>
      </c>
      <c r="D59" s="68">
        <v>1</v>
      </c>
      <c r="E59" s="68" t="s">
        <v>466</v>
      </c>
    </row>
    <row r="60" spans="1:5">
      <c r="A60" s="68">
        <v>0.42047000000000001</v>
      </c>
      <c r="B60" s="68">
        <v>0.290244</v>
      </c>
      <c r="C60" s="68">
        <v>23.5077</v>
      </c>
      <c r="D60" s="68">
        <v>1</v>
      </c>
      <c r="E60" s="68" t="s">
        <v>467</v>
      </c>
    </row>
    <row r="61" spans="1:5">
      <c r="A61" s="68">
        <v>0.41800599999999999</v>
      </c>
      <c r="B61" s="68">
        <v>0.28807700000000003</v>
      </c>
      <c r="C61" s="68">
        <v>23.910599999999999</v>
      </c>
      <c r="D61" s="68">
        <v>1</v>
      </c>
      <c r="E61" s="68" t="s">
        <v>468</v>
      </c>
    </row>
    <row r="62" spans="1:5">
      <c r="A62" s="68">
        <v>0.41523900000000002</v>
      </c>
      <c r="B62" s="68">
        <v>0.28616000000000003</v>
      </c>
      <c r="C62" s="68">
        <v>24.314699999999998</v>
      </c>
      <c r="D62" s="68">
        <v>1</v>
      </c>
      <c r="E62" s="68" t="s">
        <v>469</v>
      </c>
    </row>
    <row r="63" spans="1:5">
      <c r="A63" s="68">
        <v>0.412352</v>
      </c>
      <c r="B63" s="68">
        <v>0.28382600000000002</v>
      </c>
      <c r="C63" s="68">
        <v>24.721900000000002</v>
      </c>
      <c r="D63" s="68">
        <v>1</v>
      </c>
      <c r="E63" s="68" t="s">
        <v>470</v>
      </c>
    </row>
    <row r="64" spans="1:5">
      <c r="A64" s="68">
        <v>0.40917399999999998</v>
      </c>
      <c r="B64" s="68">
        <v>0.28171800000000002</v>
      </c>
      <c r="C64" s="68">
        <v>25.125399999999999</v>
      </c>
      <c r="D64" s="68">
        <v>1</v>
      </c>
      <c r="E64" s="68" t="s">
        <v>471</v>
      </c>
    </row>
    <row r="65" spans="1:5">
      <c r="A65" s="68">
        <v>0.40588200000000002</v>
      </c>
      <c r="B65" s="68">
        <v>0.28014699999999998</v>
      </c>
      <c r="C65" s="68">
        <v>25.5349</v>
      </c>
      <c r="D65" s="68">
        <v>1</v>
      </c>
      <c r="E65" s="68" t="s">
        <v>472</v>
      </c>
    </row>
    <row r="66" spans="1:5">
      <c r="A66" s="68">
        <v>0.402507</v>
      </c>
      <c r="B66" s="68">
        <v>0.27842499999999998</v>
      </c>
      <c r="C66" s="68">
        <v>25.944800000000001</v>
      </c>
      <c r="D66" s="68">
        <v>1</v>
      </c>
      <c r="E66" s="68" t="s">
        <v>473</v>
      </c>
    </row>
    <row r="67" spans="1:5">
      <c r="A67" s="68">
        <v>0.39959099999999997</v>
      </c>
      <c r="B67" s="68">
        <v>0.27654200000000001</v>
      </c>
      <c r="C67" s="68">
        <v>26.350200000000001</v>
      </c>
      <c r="D67" s="68">
        <v>1</v>
      </c>
      <c r="E67" s="68" t="s">
        <v>474</v>
      </c>
    </row>
    <row r="68" spans="1:5">
      <c r="A68" s="68">
        <v>0.39699499999999999</v>
      </c>
      <c r="B68" s="68">
        <v>0.27410899999999999</v>
      </c>
      <c r="C68" s="68">
        <v>26.7563</v>
      </c>
      <c r="D68" s="68">
        <v>1</v>
      </c>
      <c r="E68" s="68" t="s">
        <v>475</v>
      </c>
    </row>
    <row r="69" spans="1:5">
      <c r="A69" s="68">
        <v>0.39447100000000002</v>
      </c>
      <c r="B69" s="68">
        <v>0.27138499999999999</v>
      </c>
      <c r="C69" s="68">
        <v>27.159099999999999</v>
      </c>
      <c r="D69" s="68">
        <v>1</v>
      </c>
      <c r="E69" s="68" t="s">
        <v>476</v>
      </c>
    </row>
    <row r="70" spans="1:5">
      <c r="A70" s="68">
        <v>0.39174199999999998</v>
      </c>
      <c r="B70" s="68">
        <v>0.268206</v>
      </c>
      <c r="C70" s="68">
        <v>27.5641</v>
      </c>
      <c r="D70" s="68">
        <v>1</v>
      </c>
      <c r="E70" s="68" t="s">
        <v>477</v>
      </c>
    </row>
    <row r="71" spans="1:5">
      <c r="A71" s="68">
        <v>0.389179</v>
      </c>
      <c r="B71" s="68">
        <v>0.26496799999999998</v>
      </c>
      <c r="C71" s="68">
        <v>27.9726</v>
      </c>
      <c r="D71" s="68">
        <v>1</v>
      </c>
      <c r="E71" s="68" t="s">
        <v>478</v>
      </c>
    </row>
    <row r="72" spans="1:5">
      <c r="A72" s="68">
        <v>0.38695499999999999</v>
      </c>
      <c r="B72" s="68">
        <v>0.26084000000000002</v>
      </c>
      <c r="C72" s="68">
        <v>28.380500000000001</v>
      </c>
      <c r="D72" s="68">
        <v>1</v>
      </c>
      <c r="E72" s="68" t="s">
        <v>479</v>
      </c>
    </row>
    <row r="73" spans="1:5">
      <c r="A73" s="68">
        <v>0.38463799999999998</v>
      </c>
      <c r="B73" s="68">
        <v>0.25666600000000001</v>
      </c>
      <c r="C73" s="68">
        <v>28.785299999999999</v>
      </c>
      <c r="D73" s="68">
        <v>1</v>
      </c>
      <c r="E73" s="68" t="s">
        <v>480</v>
      </c>
    </row>
    <row r="74" spans="1:5">
      <c r="A74" s="68">
        <v>0.38228600000000001</v>
      </c>
      <c r="B74" s="68">
        <v>0.25281399999999998</v>
      </c>
      <c r="C74" s="68">
        <v>29.193000000000001</v>
      </c>
      <c r="D74" s="68">
        <v>1</v>
      </c>
      <c r="E74" s="68" t="s">
        <v>481</v>
      </c>
    </row>
    <row r="75" spans="1:5">
      <c r="A75" s="68">
        <v>0.37992799999999999</v>
      </c>
      <c r="B75" s="68">
        <v>0.24934600000000001</v>
      </c>
      <c r="C75" s="68">
        <v>29.5959</v>
      </c>
      <c r="D75" s="68">
        <v>1</v>
      </c>
      <c r="E75" s="68" t="s">
        <v>482</v>
      </c>
    </row>
    <row r="76" spans="1:5">
      <c r="A76" s="68">
        <v>0.37750299999999998</v>
      </c>
      <c r="B76" s="68">
        <v>0.24645</v>
      </c>
      <c r="C76" s="68">
        <v>30.0031</v>
      </c>
      <c r="D76" s="68">
        <v>2</v>
      </c>
      <c r="E76" s="68" t="s">
        <v>483</v>
      </c>
    </row>
    <row r="77" spans="1:5">
      <c r="A77" s="68">
        <v>0.374421</v>
      </c>
      <c r="B77" s="68">
        <v>0.243586</v>
      </c>
      <c r="C77" s="68">
        <v>30.599299999999999</v>
      </c>
      <c r="D77" s="68">
        <v>2</v>
      </c>
      <c r="E77" s="68" t="s">
        <v>484</v>
      </c>
    </row>
    <row r="78" spans="1:5">
      <c r="A78" s="68">
        <v>0.372033</v>
      </c>
      <c r="B78" s="68">
        <v>0.24175199999999999</v>
      </c>
      <c r="C78" s="68">
        <v>30.975100000000001</v>
      </c>
      <c r="D78" s="68">
        <v>2</v>
      </c>
      <c r="E78" s="68" t="s">
        <v>485</v>
      </c>
    </row>
    <row r="79" spans="1:5">
      <c r="A79" s="68">
        <v>0.36957099999999998</v>
      </c>
      <c r="B79" s="68">
        <v>0.23996999999999999</v>
      </c>
      <c r="C79" s="68">
        <v>31.350200000000001</v>
      </c>
      <c r="D79" s="68">
        <v>2</v>
      </c>
      <c r="E79" s="68" t="s">
        <v>486</v>
      </c>
    </row>
    <row r="80" spans="1:5">
      <c r="A80" s="68">
        <v>0.367232</v>
      </c>
      <c r="B80" s="68">
        <v>0.23905599999999999</v>
      </c>
      <c r="C80" s="68">
        <v>31.7226</v>
      </c>
      <c r="D80" s="68">
        <v>2</v>
      </c>
      <c r="E80" s="68" t="s">
        <v>487</v>
      </c>
    </row>
    <row r="81" spans="1:5">
      <c r="A81" s="68">
        <v>0.36530899999999999</v>
      </c>
      <c r="B81" s="68">
        <v>0.23858399999999999</v>
      </c>
      <c r="C81" s="68">
        <v>32.097799999999999</v>
      </c>
      <c r="D81" s="68">
        <v>2</v>
      </c>
      <c r="E81" s="68" t="s">
        <v>488</v>
      </c>
    </row>
    <row r="82" spans="1:5">
      <c r="A82" s="68">
        <v>0.363819</v>
      </c>
      <c r="B82" s="68">
        <v>0.237925</v>
      </c>
      <c r="C82" s="68">
        <v>32.503700000000002</v>
      </c>
      <c r="D82" s="68">
        <v>2</v>
      </c>
      <c r="E82" s="68" t="s">
        <v>489</v>
      </c>
    </row>
    <row r="83" spans="1:5">
      <c r="A83" s="68">
        <v>0.36246099999999998</v>
      </c>
      <c r="B83" s="68">
        <v>0.23789399999999999</v>
      </c>
      <c r="C83" s="68">
        <v>32.912799999999997</v>
      </c>
      <c r="D83" s="68">
        <v>2</v>
      </c>
      <c r="E83" s="68" t="s">
        <v>490</v>
      </c>
    </row>
    <row r="84" spans="1:5">
      <c r="A84" s="68">
        <v>0.36127799999999999</v>
      </c>
      <c r="B84" s="68">
        <v>0.23794999999999999</v>
      </c>
      <c r="C84" s="68">
        <v>33.320500000000003</v>
      </c>
      <c r="D84" s="68">
        <v>2</v>
      </c>
      <c r="E84" s="68" t="s">
        <v>491</v>
      </c>
    </row>
    <row r="85" spans="1:5">
      <c r="A85" s="68">
        <v>0.36031099999999999</v>
      </c>
      <c r="B85" s="68">
        <v>0.23768800000000001</v>
      </c>
      <c r="C85" s="68">
        <v>33.722299999999997</v>
      </c>
      <c r="D85" s="68">
        <v>2</v>
      </c>
      <c r="E85" s="68" t="s">
        <v>492</v>
      </c>
    </row>
    <row r="86" spans="1:5">
      <c r="A86" s="68">
        <v>0.35972599999999999</v>
      </c>
      <c r="B86" s="68">
        <v>0.236621</v>
      </c>
      <c r="C86" s="68">
        <v>34.134</v>
      </c>
      <c r="D86" s="68">
        <v>2</v>
      </c>
      <c r="E86" s="68" t="s">
        <v>493</v>
      </c>
    </row>
    <row r="87" spans="1:5">
      <c r="A87" s="68">
        <v>0.35925299999999999</v>
      </c>
      <c r="B87" s="68">
        <v>0.23544899999999999</v>
      </c>
      <c r="C87" s="68">
        <v>34.534799999999997</v>
      </c>
      <c r="D87" s="68">
        <v>2</v>
      </c>
      <c r="E87" s="68" t="s">
        <v>494</v>
      </c>
    </row>
    <row r="88" spans="1:5">
      <c r="A88" s="68">
        <v>0.35907699999999998</v>
      </c>
      <c r="B88" s="68">
        <v>0.23341600000000001</v>
      </c>
      <c r="C88" s="68">
        <v>34.941499999999998</v>
      </c>
      <c r="D88" s="68">
        <v>2</v>
      </c>
      <c r="E88" s="68" t="s">
        <v>495</v>
      </c>
    </row>
    <row r="89" spans="1:5">
      <c r="A89" s="68">
        <v>0.35896099999999997</v>
      </c>
      <c r="B89" s="68">
        <v>0.23097400000000001</v>
      </c>
      <c r="C89" s="68">
        <v>35.347799999999999</v>
      </c>
      <c r="D89" s="68">
        <v>2</v>
      </c>
      <c r="E89" s="68" t="s">
        <v>496</v>
      </c>
    </row>
    <row r="90" spans="1:5">
      <c r="A90" s="68">
        <v>0.35883799999999999</v>
      </c>
      <c r="B90" s="68">
        <v>0.22902400000000001</v>
      </c>
      <c r="C90" s="68">
        <v>35.753</v>
      </c>
      <c r="D90" s="68">
        <v>2</v>
      </c>
      <c r="E90" s="68" t="s">
        <v>497</v>
      </c>
    </row>
    <row r="91" spans="1:5">
      <c r="A91" s="68">
        <v>0.358767</v>
      </c>
      <c r="B91" s="68">
        <v>0.22689899999999999</v>
      </c>
      <c r="C91" s="68">
        <v>36.161099999999998</v>
      </c>
      <c r="D91" s="68">
        <v>2</v>
      </c>
      <c r="E91" s="68" t="s">
        <v>498</v>
      </c>
    </row>
    <row r="92" spans="1:5">
      <c r="A92" s="68">
        <v>0.358769</v>
      </c>
      <c r="B92" s="68">
        <v>0.22498000000000001</v>
      </c>
      <c r="C92" s="68">
        <v>36.567999999999998</v>
      </c>
      <c r="D92" s="68">
        <v>2</v>
      </c>
      <c r="E92" s="68" t="s">
        <v>499</v>
      </c>
    </row>
    <row r="93" spans="1:5">
      <c r="A93" s="68">
        <v>0.358983</v>
      </c>
      <c r="B93" s="68">
        <v>0.223301</v>
      </c>
      <c r="C93" s="68">
        <v>36.975700000000003</v>
      </c>
      <c r="D93" s="68">
        <v>2</v>
      </c>
      <c r="E93" s="68" t="s">
        <v>500</v>
      </c>
    </row>
    <row r="94" spans="1:5">
      <c r="A94" s="68">
        <v>0.35965000000000003</v>
      </c>
      <c r="B94" s="68">
        <v>0.222695</v>
      </c>
      <c r="C94" s="68">
        <v>37.379100000000001</v>
      </c>
      <c r="D94" s="68">
        <v>2</v>
      </c>
      <c r="E94" s="68" t="s">
        <v>501</v>
      </c>
    </row>
    <row r="95" spans="1:5">
      <c r="A95" s="68">
        <v>0.36068800000000001</v>
      </c>
      <c r="B95" s="68">
        <v>0.222497</v>
      </c>
      <c r="C95" s="68">
        <v>37.786700000000003</v>
      </c>
      <c r="D95" s="68">
        <v>2</v>
      </c>
      <c r="E95" s="68" t="s">
        <v>502</v>
      </c>
    </row>
    <row r="96" spans="1:5">
      <c r="A96" s="68">
        <v>0.36216799999999999</v>
      </c>
      <c r="B96" s="68">
        <v>0.22222800000000001</v>
      </c>
      <c r="C96" s="68">
        <v>38.19</v>
      </c>
      <c r="D96" s="68">
        <v>2</v>
      </c>
      <c r="E96" s="68" t="s">
        <v>503</v>
      </c>
    </row>
    <row r="97" spans="1:5">
      <c r="A97" s="68">
        <v>0.36419899999999999</v>
      </c>
      <c r="B97" s="68">
        <v>0.22237799999999999</v>
      </c>
      <c r="C97" s="68">
        <v>38.600200000000001</v>
      </c>
      <c r="D97" s="68">
        <v>2</v>
      </c>
      <c r="E97" s="68" t="s">
        <v>504</v>
      </c>
    </row>
    <row r="98" spans="1:5">
      <c r="A98" s="68">
        <v>0.36669200000000002</v>
      </c>
      <c r="B98" s="68">
        <v>0.223054</v>
      </c>
      <c r="C98" s="68">
        <v>39.005000000000003</v>
      </c>
      <c r="D98" s="68">
        <v>2</v>
      </c>
      <c r="E98" s="68" t="s">
        <v>505</v>
      </c>
    </row>
    <row r="99" spans="1:5">
      <c r="A99" s="68">
        <v>0.36968499999999999</v>
      </c>
      <c r="B99" s="68">
        <v>0.22397700000000001</v>
      </c>
      <c r="C99" s="68">
        <v>39.412700000000001</v>
      </c>
      <c r="D99" s="68">
        <v>2</v>
      </c>
      <c r="E99" s="68" t="s">
        <v>506</v>
      </c>
    </row>
    <row r="100" spans="1:5">
      <c r="A100" s="68">
        <v>0.373139</v>
      </c>
      <c r="B100" s="68">
        <v>0.22568099999999999</v>
      </c>
      <c r="C100" s="68">
        <v>39.816499999999998</v>
      </c>
      <c r="D100" s="68">
        <v>2</v>
      </c>
      <c r="E100" s="68" t="s">
        <v>507</v>
      </c>
    </row>
    <row r="101" spans="1:5">
      <c r="A101" s="68">
        <v>0.37670199999999998</v>
      </c>
      <c r="B101" s="68">
        <v>0.22766500000000001</v>
      </c>
      <c r="C101" s="68">
        <v>40.227400000000003</v>
      </c>
      <c r="D101" s="68">
        <v>2</v>
      </c>
      <c r="E101" s="68" t="s">
        <v>508</v>
      </c>
    </row>
    <row r="102" spans="1:5">
      <c r="A102" s="68">
        <v>0.38024200000000002</v>
      </c>
      <c r="B102" s="68">
        <v>0.23033000000000001</v>
      </c>
      <c r="C102" s="68">
        <v>40.6312</v>
      </c>
      <c r="D102" s="68">
        <v>2</v>
      </c>
      <c r="E102" s="68" t="s">
        <v>509</v>
      </c>
    </row>
    <row r="103" spans="1:5">
      <c r="A103" s="68">
        <v>0.38372099999999998</v>
      </c>
      <c r="B103" s="68">
        <v>0.23349900000000001</v>
      </c>
      <c r="C103" s="68">
        <v>41.034500000000001</v>
      </c>
      <c r="D103" s="68">
        <v>2</v>
      </c>
      <c r="E103" s="68" t="s">
        <v>510</v>
      </c>
    </row>
    <row r="104" spans="1:5">
      <c r="A104" s="68">
        <v>0.38691300000000001</v>
      </c>
      <c r="B104" s="68">
        <v>0.238263</v>
      </c>
      <c r="C104" s="68">
        <v>41.445900000000002</v>
      </c>
      <c r="D104" s="68">
        <v>2</v>
      </c>
      <c r="E104" s="68" t="s">
        <v>511</v>
      </c>
    </row>
    <row r="105" spans="1:5">
      <c r="A105" s="68">
        <v>0.38983600000000002</v>
      </c>
      <c r="B105" s="68">
        <v>0.24266399999999999</v>
      </c>
      <c r="C105" s="68">
        <v>41.848199999999999</v>
      </c>
      <c r="D105" s="68">
        <v>2</v>
      </c>
      <c r="E105" s="68" t="s">
        <v>512</v>
      </c>
    </row>
    <row r="106" spans="1:5">
      <c r="A106" s="68">
        <v>0.39249699999999998</v>
      </c>
      <c r="B106" s="68">
        <v>0.24685399999999999</v>
      </c>
      <c r="C106" s="68">
        <v>42.256399999999999</v>
      </c>
      <c r="D106" s="68">
        <v>2</v>
      </c>
      <c r="E106" s="68" t="s">
        <v>513</v>
      </c>
    </row>
    <row r="107" spans="1:5">
      <c r="A107" s="68">
        <v>0.39518399999999998</v>
      </c>
      <c r="B107" s="68">
        <v>0.25160300000000002</v>
      </c>
      <c r="C107" s="68">
        <v>42.662599999999998</v>
      </c>
      <c r="D107" s="68">
        <v>2</v>
      </c>
      <c r="E107" s="68" t="s">
        <v>514</v>
      </c>
    </row>
    <row r="108" spans="1:5">
      <c r="A108" s="68">
        <v>0.39776899999999998</v>
      </c>
      <c r="B108" s="68">
        <v>0.25646600000000003</v>
      </c>
      <c r="C108" s="68">
        <v>43.063699999999997</v>
      </c>
      <c r="D108" s="68">
        <v>2</v>
      </c>
      <c r="E108" s="68" t="s">
        <v>515</v>
      </c>
    </row>
    <row r="109" spans="1:5">
      <c r="A109" s="68">
        <v>0.40025300000000003</v>
      </c>
      <c r="B109" s="68">
        <v>0.26151400000000002</v>
      </c>
      <c r="C109" s="68">
        <v>43.4711</v>
      </c>
      <c r="D109" s="68">
        <v>2</v>
      </c>
      <c r="E109" s="68" t="s">
        <v>516</v>
      </c>
    </row>
    <row r="110" spans="1:5">
      <c r="A110" s="68">
        <v>0.40211999999999998</v>
      </c>
      <c r="B110" s="68">
        <v>0.26693499999999998</v>
      </c>
      <c r="C110" s="68">
        <v>43.880099999999999</v>
      </c>
      <c r="D110" s="68">
        <v>2</v>
      </c>
      <c r="E110" s="68" t="s">
        <v>517</v>
      </c>
    </row>
    <row r="111" spans="1:5">
      <c r="A111" s="68">
        <v>0.40324300000000002</v>
      </c>
      <c r="B111" s="68">
        <v>0.27297399999999999</v>
      </c>
      <c r="C111" s="68">
        <v>44.287799999999997</v>
      </c>
      <c r="D111" s="68">
        <v>2</v>
      </c>
      <c r="E111" s="68" t="s">
        <v>518</v>
      </c>
    </row>
    <row r="112" spans="1:5">
      <c r="A112" s="68">
        <v>0.40428700000000001</v>
      </c>
      <c r="B112" s="68">
        <v>0.27891700000000003</v>
      </c>
      <c r="C112" s="68">
        <v>44.692999999999998</v>
      </c>
      <c r="D112" s="68">
        <v>2</v>
      </c>
      <c r="E112" s="68" t="s">
        <v>519</v>
      </c>
    </row>
    <row r="113" spans="1:5">
      <c r="A113" s="68">
        <v>0.40542</v>
      </c>
      <c r="B113" s="68">
        <v>0.28540300000000002</v>
      </c>
      <c r="C113" s="68">
        <v>45.096800000000002</v>
      </c>
      <c r="D113" s="68">
        <v>2</v>
      </c>
      <c r="E113" s="68" t="s">
        <v>520</v>
      </c>
    </row>
    <row r="114" spans="1:5">
      <c r="A114" s="68">
        <v>0.40626200000000001</v>
      </c>
      <c r="B114" s="68">
        <v>0.29244799999999999</v>
      </c>
      <c r="C114" s="68">
        <v>45.504100000000001</v>
      </c>
      <c r="D114" s="68">
        <v>2</v>
      </c>
      <c r="E114" s="68" t="s">
        <v>521</v>
      </c>
    </row>
    <row r="115" spans="1:5">
      <c r="A115" s="68">
        <v>0.40722599999999998</v>
      </c>
      <c r="B115" s="68">
        <v>0.29955100000000001</v>
      </c>
      <c r="C115" s="68">
        <v>45.911999999999999</v>
      </c>
      <c r="D115" s="68">
        <v>2</v>
      </c>
      <c r="E115" s="68" t="s">
        <v>522</v>
      </c>
    </row>
    <row r="116" spans="1:5">
      <c r="A116" s="68">
        <v>0.40787600000000002</v>
      </c>
      <c r="B116" s="68">
        <v>0.30726999999999999</v>
      </c>
      <c r="C116" s="68">
        <v>46.317900000000002</v>
      </c>
      <c r="D116" s="68">
        <v>2</v>
      </c>
      <c r="E116" s="68" t="s">
        <v>523</v>
      </c>
    </row>
    <row r="117" spans="1:5">
      <c r="A117" s="68">
        <v>0.408333</v>
      </c>
      <c r="B117" s="68">
        <v>0.31483899999999998</v>
      </c>
      <c r="C117" s="68">
        <v>46.723599999999998</v>
      </c>
      <c r="D117" s="68">
        <v>2</v>
      </c>
      <c r="E117" s="68" t="s">
        <v>524</v>
      </c>
    </row>
    <row r="118" spans="1:5">
      <c r="A118" s="68">
        <v>0.40878900000000001</v>
      </c>
      <c r="B118" s="68">
        <v>0.32232699999999997</v>
      </c>
      <c r="C118" s="68">
        <v>47.130800000000001</v>
      </c>
      <c r="D118" s="68">
        <v>2</v>
      </c>
      <c r="E118" s="68" t="s">
        <v>525</v>
      </c>
    </row>
    <row r="119" spans="1:5">
      <c r="A119" s="68">
        <v>0.40927799999999998</v>
      </c>
      <c r="B119" s="68">
        <v>0.32925599999999999</v>
      </c>
      <c r="C119" s="68">
        <v>47.534700000000001</v>
      </c>
      <c r="D119" s="68">
        <v>2</v>
      </c>
      <c r="E119" s="68" t="s">
        <v>526</v>
      </c>
    </row>
    <row r="120" spans="1:5">
      <c r="A120" s="68">
        <v>0.409723</v>
      </c>
      <c r="B120" s="68">
        <v>0.33563999999999999</v>
      </c>
      <c r="C120" s="68">
        <v>47.943300000000001</v>
      </c>
      <c r="D120" s="68">
        <v>2</v>
      </c>
      <c r="E120" s="68" t="s">
        <v>527</v>
      </c>
    </row>
    <row r="121" spans="1:5">
      <c r="A121" s="68">
        <v>0.41004400000000002</v>
      </c>
      <c r="B121" s="68">
        <v>0.34213199999999999</v>
      </c>
      <c r="C121" s="68">
        <v>48.350499999999997</v>
      </c>
      <c r="D121" s="68">
        <v>2</v>
      </c>
      <c r="E121" s="68" t="s">
        <v>528</v>
      </c>
    </row>
    <row r="122" spans="1:5">
      <c r="A122" s="68">
        <v>0.41020499999999999</v>
      </c>
      <c r="B122" s="68">
        <v>0.34863699999999997</v>
      </c>
      <c r="C122" s="68">
        <v>48.755699999999997</v>
      </c>
      <c r="D122" s="68">
        <v>2</v>
      </c>
      <c r="E122" s="68" t="s">
        <v>529</v>
      </c>
    </row>
    <row r="123" spans="1:5">
      <c r="A123" s="68">
        <v>0.41037899999999999</v>
      </c>
      <c r="B123" s="68">
        <v>0.35445399999999999</v>
      </c>
      <c r="C123" s="68">
        <v>49.159399999999998</v>
      </c>
      <c r="D123" s="68">
        <v>2</v>
      </c>
      <c r="E123" s="68" t="s">
        <v>530</v>
      </c>
    </row>
    <row r="124" spans="1:5">
      <c r="A124" s="68">
        <v>0.41048699999999999</v>
      </c>
      <c r="B124" s="68">
        <v>0.36016500000000001</v>
      </c>
      <c r="C124" s="68">
        <v>49.566499999999998</v>
      </c>
      <c r="D124" s="68">
        <v>2</v>
      </c>
      <c r="E124" s="68" t="s">
        <v>531</v>
      </c>
    </row>
    <row r="125" spans="1:5">
      <c r="A125" s="68">
        <v>0.41074300000000002</v>
      </c>
      <c r="B125" s="68">
        <v>0.365535</v>
      </c>
      <c r="C125" s="68">
        <v>49.972900000000003</v>
      </c>
      <c r="D125" s="68">
        <v>2</v>
      </c>
      <c r="E125" s="68" t="s">
        <v>532</v>
      </c>
    </row>
    <row r="126" spans="1:5">
      <c r="A126" s="68">
        <v>0.41053899999999999</v>
      </c>
      <c r="B126" s="68">
        <v>0.36884800000000001</v>
      </c>
      <c r="C126" s="68">
        <v>50.380800000000001</v>
      </c>
      <c r="D126" s="68">
        <v>2</v>
      </c>
      <c r="E126" s="68" t="s">
        <v>533</v>
      </c>
    </row>
    <row r="127" spans="1:5">
      <c r="A127" s="68">
        <v>0.41026699999999999</v>
      </c>
      <c r="B127" s="68">
        <v>0.37227100000000002</v>
      </c>
      <c r="C127" s="68">
        <v>50.7879</v>
      </c>
      <c r="D127" s="68">
        <v>2</v>
      </c>
      <c r="E127" s="68" t="s">
        <v>534</v>
      </c>
    </row>
    <row r="128" spans="1:5">
      <c r="A128" s="68">
        <v>0.41000700000000001</v>
      </c>
      <c r="B128" s="68">
        <v>0.37560500000000002</v>
      </c>
      <c r="C128" s="68">
        <v>51.191200000000002</v>
      </c>
      <c r="D128" s="68">
        <v>2</v>
      </c>
      <c r="E128" s="68" t="s">
        <v>535</v>
      </c>
    </row>
    <row r="129" spans="1:5">
      <c r="A129" s="68">
        <v>0.40978399999999998</v>
      </c>
      <c r="B129" s="68">
        <v>0.37843900000000003</v>
      </c>
      <c r="C129" s="68">
        <v>51.596899999999998</v>
      </c>
      <c r="D129" s="68">
        <v>2</v>
      </c>
      <c r="E129" s="68" t="s">
        <v>536</v>
      </c>
    </row>
    <row r="130" spans="1:5">
      <c r="A130" s="68">
        <v>0.40953899999999999</v>
      </c>
      <c r="B130" s="68">
        <v>0.38139699999999999</v>
      </c>
      <c r="C130" s="68">
        <v>52.004199999999997</v>
      </c>
      <c r="D130" s="68">
        <v>2</v>
      </c>
      <c r="E130" s="68" t="s">
        <v>537</v>
      </c>
    </row>
    <row r="131" spans="1:5">
      <c r="A131" s="68">
        <v>0.40920600000000001</v>
      </c>
      <c r="B131" s="68">
        <v>0.38455299999999998</v>
      </c>
      <c r="C131" s="68">
        <v>52.414099999999998</v>
      </c>
      <c r="D131" s="68">
        <v>2</v>
      </c>
      <c r="E131" s="68" t="s">
        <v>538</v>
      </c>
    </row>
    <row r="132" spans="1:5">
      <c r="A132" s="68">
        <v>0.40861999999999998</v>
      </c>
      <c r="B132" s="68">
        <v>0.38757799999999998</v>
      </c>
      <c r="C132" s="68">
        <v>52.817799999999998</v>
      </c>
      <c r="D132" s="68">
        <v>2</v>
      </c>
      <c r="E132" s="68" t="s">
        <v>539</v>
      </c>
    </row>
    <row r="133" spans="1:5">
      <c r="A133" s="68">
        <v>0.40781800000000001</v>
      </c>
      <c r="B133" s="68">
        <v>0.39093899999999998</v>
      </c>
      <c r="C133" s="68">
        <v>53.220799999999997</v>
      </c>
      <c r="D133" s="68">
        <v>2</v>
      </c>
      <c r="E133" s="68" t="s">
        <v>540</v>
      </c>
    </row>
    <row r="134" spans="1:5">
      <c r="A134" s="68">
        <v>0.40695300000000001</v>
      </c>
      <c r="B134" s="68">
        <v>0.39473000000000003</v>
      </c>
      <c r="C134" s="68">
        <v>53.626399999999997</v>
      </c>
      <c r="D134" s="68">
        <v>2</v>
      </c>
      <c r="E134" s="68" t="s">
        <v>541</v>
      </c>
    </row>
    <row r="135" spans="1:5">
      <c r="A135" s="68">
        <v>0.40635300000000002</v>
      </c>
      <c r="B135" s="68">
        <v>0.39847199999999999</v>
      </c>
      <c r="C135" s="68">
        <v>54.038899999999998</v>
      </c>
      <c r="D135" s="68">
        <v>2</v>
      </c>
      <c r="E135" s="68" t="s">
        <v>542</v>
      </c>
    </row>
    <row r="136" spans="1:5">
      <c r="A136" s="68">
        <v>0.40601599999999999</v>
      </c>
      <c r="B136" s="68">
        <v>0.40185399999999999</v>
      </c>
      <c r="C136" s="68">
        <v>54.445599999999999</v>
      </c>
      <c r="D136" s="68">
        <v>2</v>
      </c>
      <c r="E136" s="68" t="s">
        <v>543</v>
      </c>
    </row>
    <row r="137" spans="1:5">
      <c r="A137" s="68">
        <v>0.40564800000000001</v>
      </c>
      <c r="B137" s="68">
        <v>0.40565499999999999</v>
      </c>
      <c r="C137" s="68">
        <v>54.849400000000003</v>
      </c>
      <c r="D137" s="68">
        <v>2</v>
      </c>
      <c r="E137" s="68" t="s">
        <v>544</v>
      </c>
    </row>
    <row r="138" spans="1:5">
      <c r="A138" s="68">
        <v>0.40500599999999998</v>
      </c>
      <c r="B138" s="68">
        <v>0.41001199999999999</v>
      </c>
      <c r="C138" s="68">
        <v>55.253999999999998</v>
      </c>
      <c r="D138" s="68">
        <v>2</v>
      </c>
      <c r="E138" s="68" t="s">
        <v>545</v>
      </c>
    </row>
    <row r="139" spans="1:5">
      <c r="A139" s="68">
        <v>0.40493600000000002</v>
      </c>
      <c r="B139" s="68">
        <v>0.41347899999999999</v>
      </c>
      <c r="C139" s="68">
        <v>55.6599</v>
      </c>
      <c r="D139" s="68">
        <v>2</v>
      </c>
      <c r="E139" s="68" t="s">
        <v>546</v>
      </c>
    </row>
    <row r="140" spans="1:5">
      <c r="A140" s="68">
        <v>0.40464800000000001</v>
      </c>
      <c r="B140" s="68">
        <v>0.41622599999999998</v>
      </c>
      <c r="C140" s="68">
        <v>56.068800000000003</v>
      </c>
      <c r="D140" s="68">
        <v>2</v>
      </c>
      <c r="E140" s="68" t="s">
        <v>547</v>
      </c>
    </row>
    <row r="141" spans="1:5">
      <c r="A141" s="68">
        <v>0.40489199999999997</v>
      </c>
      <c r="B141" s="68">
        <v>0.41837200000000002</v>
      </c>
      <c r="C141" s="68">
        <v>56.472799999999999</v>
      </c>
      <c r="D141" s="68">
        <v>2</v>
      </c>
      <c r="E141" s="68" t="s">
        <v>548</v>
      </c>
    </row>
    <row r="142" spans="1:5">
      <c r="A142" s="68">
        <v>0.40561399999999997</v>
      </c>
      <c r="B142" s="68">
        <v>0.420095</v>
      </c>
      <c r="C142" s="68">
        <v>56.881999999999998</v>
      </c>
      <c r="D142" s="68">
        <v>2</v>
      </c>
      <c r="E142" s="68" t="s">
        <v>549</v>
      </c>
    </row>
    <row r="143" spans="1:5">
      <c r="A143" s="68">
        <v>0.40651199999999998</v>
      </c>
      <c r="B143" s="68">
        <v>0.42164499999999999</v>
      </c>
      <c r="C143" s="68">
        <v>57.2866</v>
      </c>
      <c r="D143" s="68">
        <v>2</v>
      </c>
      <c r="E143" s="68" t="s">
        <v>550</v>
      </c>
    </row>
    <row r="144" spans="1:5">
      <c r="A144" s="68">
        <v>0.40754499999999999</v>
      </c>
      <c r="B144" s="68">
        <v>0.42344900000000002</v>
      </c>
      <c r="C144" s="68">
        <v>57.689399999999999</v>
      </c>
      <c r="D144" s="68">
        <v>2</v>
      </c>
      <c r="E144" s="68" t="s">
        <v>551</v>
      </c>
    </row>
    <row r="145" spans="1:5">
      <c r="A145" s="68">
        <v>0.40896199999999999</v>
      </c>
      <c r="B145" s="68">
        <v>0.42578899999999997</v>
      </c>
      <c r="C145" s="68">
        <v>58.097299999999997</v>
      </c>
      <c r="D145" s="68">
        <v>2</v>
      </c>
      <c r="E145" s="68" t="s">
        <v>552</v>
      </c>
    </row>
    <row r="146" spans="1:5">
      <c r="A146" s="68">
        <v>0.41084500000000002</v>
      </c>
      <c r="B146" s="68">
        <v>0.42711199999999999</v>
      </c>
      <c r="C146" s="68">
        <v>58.506100000000004</v>
      </c>
      <c r="D146" s="68">
        <v>2</v>
      </c>
      <c r="E146" s="68" t="s">
        <v>553</v>
      </c>
    </row>
    <row r="147" spans="1:5">
      <c r="A147" s="68">
        <v>0.41334700000000002</v>
      </c>
      <c r="B147" s="68">
        <v>0.42641899999999999</v>
      </c>
      <c r="C147" s="68">
        <v>58.912100000000002</v>
      </c>
      <c r="D147" s="68">
        <v>2</v>
      </c>
      <c r="E147" s="68" t="s">
        <v>554</v>
      </c>
    </row>
    <row r="148" spans="1:5">
      <c r="A148" s="68">
        <v>0.41627999999999998</v>
      </c>
      <c r="B148" s="68">
        <v>0.42597000000000002</v>
      </c>
      <c r="C148" s="68">
        <v>59.3187</v>
      </c>
      <c r="D148" s="68">
        <v>2</v>
      </c>
      <c r="E148" s="68" t="s">
        <v>555</v>
      </c>
    </row>
    <row r="149" spans="1:5">
      <c r="A149" s="68">
        <v>0.41989900000000002</v>
      </c>
      <c r="B149" s="68">
        <v>0.42777799999999999</v>
      </c>
      <c r="C149" s="68">
        <v>59.724899999999998</v>
      </c>
      <c r="D149" s="68">
        <v>2</v>
      </c>
      <c r="E149" s="68" t="s">
        <v>556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406</v>
      </c>
      <c r="B1" s="66" t="s">
        <v>557</v>
      </c>
      <c r="C1" s="66" t="s">
        <v>559</v>
      </c>
      <c r="D1" s="66" t="s">
        <v>560</v>
      </c>
      <c r="E1" s="66" t="s">
        <v>561</v>
      </c>
      <c r="F1" s="66" t="s">
        <v>348</v>
      </c>
      <c r="G1" s="66" t="s">
        <v>349</v>
      </c>
      <c r="H1" s="66" t="s">
        <v>562</v>
      </c>
      <c r="I1" s="66" t="s">
        <v>563</v>
      </c>
      <c r="J1" s="66" t="s">
        <v>564</v>
      </c>
      <c r="K1" s="66" t="s">
        <v>565</v>
      </c>
      <c r="L1" s="66" t="s">
        <v>566</v>
      </c>
      <c r="M1" s="66" t="s">
        <v>567</v>
      </c>
      <c r="N1" s="66"/>
    </row>
    <row r="2" spans="1:14">
      <c r="A2" s="75">
        <v>43612.703368055554</v>
      </c>
      <c r="B2" s="66" t="s">
        <v>558</v>
      </c>
      <c r="C2" s="66"/>
      <c r="D2" s="66"/>
      <c r="E2" s="66">
        <v>4.9234099999999996</v>
      </c>
      <c r="F2" s="66">
        <v>1.9195899999999999</v>
      </c>
      <c r="G2" s="66">
        <v>0.708399</v>
      </c>
      <c r="H2" s="66">
        <v>0</v>
      </c>
      <c r="I2" s="66">
        <v>121188</v>
      </c>
      <c r="J2" s="66">
        <v>83</v>
      </c>
      <c r="K2" s="66">
        <v>83</v>
      </c>
      <c r="L2" s="66">
        <v>0</v>
      </c>
      <c r="M2" s="66" t="s">
        <v>568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2019-05-27T08:53:25Z</cp:lastPrinted>
  <dcterms:created xsi:type="dcterms:W3CDTF">2010-10-29T12:53:05Z</dcterms:created>
  <dcterms:modified xsi:type="dcterms:W3CDTF">2019-05-27T08:53:43Z</dcterms:modified>
</cp:coreProperties>
</file>